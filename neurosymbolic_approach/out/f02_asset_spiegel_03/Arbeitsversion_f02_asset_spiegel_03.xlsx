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f02_asset_spiegel_03.xlsx, Anlagespiegel!F20 · gedruckt '428.116,86'</t>
      </text>
    </comment>
    <comment ref="E8" authorId="0" shapeId="0">
      <text>
        <t>Quelle: f02_asset_spiegel_03.xlsx, Anlagespiegel!G20 · gedruckt '6.843,42'</t>
      </text>
    </comment>
    <comment ref="F8" authorId="0" shapeId="0">
      <text>
        <t>Quelle: f02_asset_spiegel_03.xlsx, Anlagespiegel!I20 · gedruckt '0,00'</t>
      </text>
    </comment>
    <comment ref="G8" authorId="0" shapeId="0">
      <text>
        <t>Quelle: f02_asset_spiegel_03.xlsx, Anlagespiegel!J20 · gedruckt '0,00'</t>
      </text>
    </comment>
    <comment ref="L8" authorId="0" shapeId="0">
      <text>
        <t>Quelle: f02_asset_spiegel_03.xlsx, Anlagespiegel!L20 · gedruckt '23.697,49'</t>
      </text>
    </comment>
    <comment ref="O8" authorId="0" shapeId="0">
      <text>
        <t>Quelle: f02_asset_spiegel_03.xlsx, Anlagespiegel!K20 · gedruckt '0,00'</t>
      </text>
    </comment>
    <comment ref="R8" authorId="0" shapeId="0">
      <text>
        <t>Quelle: f02_asset_spiegel_03.xlsx, Anlagespiegel!N20 · gedruckt '344.887,82'</t>
      </text>
    </comment>
    <comment ref="S8" authorId="0" shapeId="0">
      <text>
        <t>Quelle: f02_asset_spiegel_03.xlsx, Anlagespiegel!O20 · gedruckt '90.072,46'</t>
      </text>
    </comment>
    <comment ref="T8" authorId="0" shapeId="0">
      <text>
        <t>Quelle: f02_asset_spiegel_03.xlsx, Anlagespiegel!M20 · gedruckt '106.926,53'</t>
      </text>
    </comment>
    <comment ref="D9" authorId="0" shapeId="0">
      <text>
        <t>Quelle: f02_asset_spiegel_03.xlsx, Anlagespiegel!F21 · gedruckt '428.116,86'</t>
      </text>
    </comment>
    <comment ref="E9" authorId="0" shapeId="0">
      <text>
        <t>Quelle: f02_asset_spiegel_03.xlsx, Anlagespiegel!G21 · gedruckt '6.843,42'</t>
      </text>
    </comment>
    <comment ref="F9" authorId="0" shapeId="0">
      <text>
        <t>Quelle: f02_asset_spiegel_03.xlsx, Anlagespiegel!I21 · gedruckt '0,00'</t>
      </text>
    </comment>
    <comment ref="G9" authorId="0" shapeId="0">
      <text>
        <t>Quelle: f02_asset_spiegel_03.xlsx, Anlagespiegel!J21 · gedruckt '0,00'</t>
      </text>
    </comment>
    <comment ref="L9" authorId="0" shapeId="0">
      <text>
        <t>Quelle: f02_asset_spiegel_03.xlsx, Anlagespiegel!L21 · gedruckt '23.697,49'</t>
      </text>
    </comment>
    <comment ref="O9" authorId="0" shapeId="0">
      <text>
        <t>Quelle: f02_asset_spiegel_03.xlsx, Anlagespiegel!K21 · gedruckt '0,00'</t>
      </text>
    </comment>
    <comment ref="R9" authorId="0" shapeId="0">
      <text>
        <t>Quelle: f02_asset_spiegel_03.xlsx, Anlagespiegel!N21 · gedruckt '344.887,82'</t>
      </text>
    </comment>
    <comment ref="S9" authorId="0" shapeId="0">
      <text>
        <t>Quelle: f02_asset_spiegel_03.xlsx, Anlagespiegel!O21 · gedruckt '90.072,46'</t>
      </text>
    </comment>
    <comment ref="T9" authorId="0" shapeId="0">
      <text>
        <t>Quelle: f02_asset_spiegel_03.xlsx, Anlagespiegel!M21 · gedruckt '106.926,53'</t>
      </text>
    </comment>
    <comment ref="D10" authorId="0" shapeId="0">
      <text>
        <t>Quelle: f02_asset_spiegel_03.xlsx, Anlagespiegel!F22 · gedruckt '428.116,86'</t>
      </text>
    </comment>
    <comment ref="E10" authorId="0" shapeId="0">
      <text>
        <t>Quelle: f02_asset_spiegel_03.xlsx, Anlagespiegel!G22 · gedruckt '6.843,42'</t>
      </text>
    </comment>
    <comment ref="F10" authorId="0" shapeId="0">
      <text>
        <t>Quelle: f02_asset_spiegel_03.xlsx, Anlagespiegel!I22 · gedruckt '0,00'</t>
      </text>
    </comment>
    <comment ref="G10" authorId="0" shapeId="0">
      <text>
        <t>Quelle: f02_asset_spiegel_03.xlsx, Anlagespiegel!J22 · gedruckt '0,00'</t>
      </text>
    </comment>
    <comment ref="L10" authorId="0" shapeId="0">
      <text>
        <t>Quelle: f02_asset_spiegel_03.xlsx, Anlagespiegel!L22 · gedruckt '23.697,49'</t>
      </text>
    </comment>
    <comment ref="O10" authorId="0" shapeId="0">
      <text>
        <t>Quelle: f02_asset_spiegel_03.xlsx, Anlagespiegel!K22 · gedruckt '0,00'</t>
      </text>
    </comment>
    <comment ref="R10" authorId="0" shapeId="0">
      <text>
        <t>Quelle: f02_asset_spiegel_03.xlsx, Anlagespiegel!N22 · gedruckt '344.887,82'</t>
      </text>
    </comment>
    <comment ref="S10" authorId="0" shapeId="0">
      <text>
        <t>Quelle: f02_asset_spiegel_03.xlsx, Anlagespiegel!O22 · gedruckt '90.072,46'</t>
      </text>
    </comment>
    <comment ref="T10" authorId="0" shapeId="0">
      <text>
        <t>Quelle: f02_asset_spiegel_03.xlsx, Anlagespiegel!M22 · gedruckt '106.926,53'</t>
      </text>
    </comment>
    <comment ref="D11" authorId="0" shapeId="0">
      <text>
        <t>Quelle: f02_asset_spiegel_03.xlsx, Anlagespiegel!F27 · gedruckt '57.853,61'</t>
      </text>
    </comment>
    <comment ref="E11" authorId="0" shapeId="0">
      <text>
        <t>Quelle: f02_asset_spiegel_03.xlsx, Anlagespiegel!G27 · gedruckt '0,00'</t>
      </text>
    </comment>
    <comment ref="F11" authorId="0" shapeId="0">
      <text>
        <t>Quelle: f02_asset_spiegel_03.xlsx, Anlagespiegel!I27 · gedruckt '0,00'</t>
      </text>
    </comment>
    <comment ref="G11" authorId="0" shapeId="0">
      <text>
        <t>Quelle: f02_asset_spiegel_03.xlsx, Anlagespiegel!J27 · gedruckt '0,00'</t>
      </text>
    </comment>
    <comment ref="L11" authorId="0" shapeId="0">
      <text>
        <t>Quelle: f02_asset_spiegel_03.xlsx, Anlagespiegel!L27 · gedruckt '0,00'</t>
      </text>
    </comment>
    <comment ref="O11" authorId="0" shapeId="0">
      <text>
        <t>Quelle: f02_asset_spiegel_03.xlsx, Anlagespiegel!K27 · gedruckt '0,00'</t>
      </text>
    </comment>
    <comment ref="R11" authorId="0" shapeId="0">
      <text>
        <t>Quelle: f02_asset_spiegel_03.xlsx, Anlagespiegel!N27 · gedruckt '0,00'</t>
      </text>
    </comment>
    <comment ref="S11" authorId="0" shapeId="0">
      <text>
        <t>Quelle: f02_asset_spiegel_03.xlsx, Anlagespiegel!O27 · gedruckt '57.853,61'</t>
      </text>
    </comment>
    <comment ref="T11" authorId="0" shapeId="0">
      <text>
        <t>Quelle: f02_asset_spiegel_03.xlsx, Anlagespiegel!M27 · gedruckt '57.853,61'</t>
      </text>
    </comment>
    <comment ref="D12" authorId="0" shapeId="0">
      <text>
        <t>Quelle: f02_asset_spiegel_03.xlsx, Anlagespiegel!F28 · gedruckt '57.853,61'</t>
      </text>
    </comment>
    <comment ref="E12" authorId="0" shapeId="0">
      <text>
        <t>Quelle: f02_asset_spiegel_03.xlsx, Anlagespiegel!G28 · gedruckt '0,00'</t>
      </text>
    </comment>
    <comment ref="F12" authorId="0" shapeId="0">
      <text>
        <t>Quelle: f02_asset_spiegel_03.xlsx, Anlagespiegel!I28 · gedruckt '0,00'</t>
      </text>
    </comment>
    <comment ref="G12" authorId="0" shapeId="0">
      <text>
        <t>Quelle: f02_asset_spiegel_03.xlsx, Anlagespiegel!J28 · gedruckt '0,00'</t>
      </text>
    </comment>
    <comment ref="L12" authorId="0" shapeId="0">
      <text>
        <t>Quelle: f02_asset_spiegel_03.xlsx, Anlagespiegel!L28 · gedruckt '0,00'</t>
      </text>
    </comment>
    <comment ref="O12" authorId="0" shapeId="0">
      <text>
        <t>Quelle: f02_asset_spiegel_03.xlsx, Anlagespiegel!K28 · gedruckt '0,00'</t>
      </text>
    </comment>
    <comment ref="R12" authorId="0" shapeId="0">
      <text>
        <t>Quelle: f02_asset_spiegel_03.xlsx, Anlagespiegel!N28 · gedruckt '0,00'</t>
      </text>
    </comment>
    <comment ref="S12" authorId="0" shapeId="0">
      <text>
        <t>Quelle: f02_asset_spiegel_03.xlsx, Anlagespiegel!O28 · gedruckt '57.853,61'</t>
      </text>
    </comment>
    <comment ref="T12" authorId="0" shapeId="0">
      <text>
        <t>Quelle: f02_asset_spiegel_03.xlsx, Anlagespiegel!M28 · gedruckt '57.853,61'</t>
      </text>
    </comment>
    <comment ref="D13" authorId="0" shapeId="0">
      <text>
        <t>Quelle: f02_asset_spiegel_03.xlsx, Anlagespiegel!F29 · gedruckt '57.853,61'</t>
      </text>
    </comment>
    <comment ref="E13" authorId="0" shapeId="0">
      <text>
        <t>Quelle: f02_asset_spiegel_03.xlsx, Anlagespiegel!G29 · gedruckt '0,00'</t>
      </text>
    </comment>
    <comment ref="F13" authorId="0" shapeId="0">
      <text>
        <t>Quelle: f02_asset_spiegel_03.xlsx, Anlagespiegel!I29 · gedruckt '0,00'</t>
      </text>
    </comment>
    <comment ref="G13" authorId="0" shapeId="0">
      <text>
        <t>Quelle: f02_asset_spiegel_03.xlsx, Anlagespiegel!J29 · gedruckt '0,00'</t>
      </text>
    </comment>
    <comment ref="L13" authorId="0" shapeId="0">
      <text>
        <t>Quelle: f02_asset_spiegel_03.xlsx, Anlagespiegel!L29 · gedruckt '0,00'</t>
      </text>
    </comment>
    <comment ref="O13" authorId="0" shapeId="0">
      <text>
        <t>Quelle: f02_asset_spiegel_03.xlsx, Anlagespiegel!K29 · gedruckt '0,00'</t>
      </text>
    </comment>
    <comment ref="R13" authorId="0" shapeId="0">
      <text>
        <t>Quelle: f02_asset_spiegel_03.xlsx, Anlagespiegel!N29 · gedruckt '0,00'</t>
      </text>
    </comment>
    <comment ref="S13" authorId="0" shapeId="0">
      <text>
        <t>Quelle: f02_asset_spiegel_03.xlsx, Anlagespiegel!O29 · gedruckt '57.853,61'</t>
      </text>
    </comment>
    <comment ref="T13" authorId="0" shapeId="0">
      <text>
        <t>Quelle: f02_asset_spiegel_03.xlsx, Anlagespiegel!M29 · gedruckt '57.853,61'</t>
      </text>
    </comment>
    <comment ref="D14" authorId="0" shapeId="0">
      <text>
        <t>Quelle: f02_asset_spiegel_03.xlsx, Anlagespiegel!F49 · gedruckt '8.684.481,61'</t>
      </text>
    </comment>
    <comment ref="E14" authorId="0" shapeId="0">
      <text>
        <t>Quelle: f02_asset_spiegel_03.xlsx, Anlagespiegel!G49 · gedruckt '2.602.898,90'</t>
      </text>
    </comment>
    <comment ref="F14" authorId="0" shapeId="0">
      <text>
        <t>Quelle: f02_asset_spiegel_03.xlsx, Anlagespiegel!I49 · gedruckt '0,00'</t>
      </text>
    </comment>
    <comment ref="G14" authorId="0" shapeId="0">
      <text>
        <t>Quelle: f02_asset_spiegel_03.xlsx, Anlagespiegel!J49 · gedruckt '0,00'</t>
      </text>
    </comment>
    <comment ref="L14" authorId="0" shapeId="0">
      <text>
        <t>Quelle: f02_asset_spiegel_03.xlsx, Anlagespiegel!L49 · gedruckt '284.811,70'</t>
      </text>
    </comment>
    <comment ref="O14" authorId="0" shapeId="0">
      <text>
        <t>Quelle: f02_asset_spiegel_03.xlsx, Anlagespiegel!K49 · gedruckt '0,00'</t>
      </text>
    </comment>
    <comment ref="R14" authorId="0" shapeId="0">
      <text>
        <t>Quelle: f02_asset_spiegel_03.xlsx, Anlagespiegel!N49 · gedruckt '1.743.148,88'</t>
      </text>
    </comment>
    <comment ref="S14" authorId="0" shapeId="0">
      <text>
        <t>Quelle: f02_asset_spiegel_03.xlsx, Anlagespiegel!O49 · gedruckt '9.544.231,63'</t>
      </text>
    </comment>
    <comment ref="T14" authorId="0" shapeId="0">
      <text>
        <t>Quelle: f02_asset_spiegel_03.xlsx, Anlagespiegel!M49 · gedruckt '7.226.144,43'</t>
      </text>
    </comment>
    <comment ref="D15" authorId="0" shapeId="0">
      <text>
        <t>Quelle: f02_asset_spiegel_03.xlsx, Anlagespiegel!F50 · gedruckt '8.684.481,61'</t>
      </text>
    </comment>
    <comment ref="E15" authorId="0" shapeId="0">
      <text>
        <t>Quelle: f02_asset_spiegel_03.xlsx, Anlagespiegel!G50 · gedruckt '2.602.898,90'</t>
      </text>
    </comment>
    <comment ref="F15" authorId="0" shapeId="0">
      <text>
        <t>Quelle: f02_asset_spiegel_03.xlsx, Anlagespiegel!I50 · gedruckt '0,00'</t>
      </text>
    </comment>
    <comment ref="G15" authorId="0" shapeId="0">
      <text>
        <t>Quelle: f02_asset_spiegel_03.xlsx, Anlagespiegel!J50 · gedruckt '0,00'</t>
      </text>
    </comment>
    <comment ref="L15" authorId="0" shapeId="0">
      <text>
        <t>Quelle: f02_asset_spiegel_03.xlsx, Anlagespiegel!L50 · gedruckt '284.811,70'</t>
      </text>
    </comment>
    <comment ref="O15" authorId="0" shapeId="0">
      <text>
        <t>Quelle: f02_asset_spiegel_03.xlsx, Anlagespiegel!K50 · gedruckt '0,00'</t>
      </text>
    </comment>
    <comment ref="R15" authorId="0" shapeId="0">
      <text>
        <t>Quelle: f02_asset_spiegel_03.xlsx, Anlagespiegel!N50 · gedruckt '1.743.148,88'</t>
      </text>
    </comment>
    <comment ref="S15" authorId="0" shapeId="0">
      <text>
        <t>Quelle: f02_asset_spiegel_03.xlsx, Anlagespiegel!O50 · gedruckt '9.544.231,63'</t>
      </text>
    </comment>
    <comment ref="T15" authorId="0" shapeId="0">
      <text>
        <t>Quelle: f02_asset_spiegel_03.xlsx, Anlagespiegel!M50 · gedruckt '7.226.144,43'</t>
      </text>
    </comment>
    <comment ref="D16" authorId="0" shapeId="0">
      <text>
        <t>Quelle: f02_asset_spiegel_03.xlsx, Anlagespiegel!F51 · gedruckt '8.684.481,61'</t>
      </text>
    </comment>
    <comment ref="E16" authorId="0" shapeId="0">
      <text>
        <t>Quelle: f02_asset_spiegel_03.xlsx, Anlagespiegel!G51 · gedruckt '2.602.898,90'</t>
      </text>
    </comment>
    <comment ref="F16" authorId="0" shapeId="0">
      <text>
        <t>Quelle: f02_asset_spiegel_03.xlsx, Anlagespiegel!I51 · gedruckt '0,00'</t>
      </text>
    </comment>
    <comment ref="G16" authorId="0" shapeId="0">
      <text>
        <t>Quelle: f02_asset_spiegel_03.xlsx, Anlagespiegel!J51 · gedruckt '0,00'</t>
      </text>
    </comment>
    <comment ref="L16" authorId="0" shapeId="0">
      <text>
        <t>Quelle: f02_asset_spiegel_03.xlsx, Anlagespiegel!L51 · gedruckt '284.811,70'</t>
      </text>
    </comment>
    <comment ref="O16" authorId="0" shapeId="0">
      <text>
        <t>Quelle: f02_asset_spiegel_03.xlsx, Anlagespiegel!K51 · gedruckt '0,00'</t>
      </text>
    </comment>
    <comment ref="R16" authorId="0" shapeId="0">
      <text>
        <t>Quelle: f02_asset_spiegel_03.xlsx, Anlagespiegel!N51 · gedruckt '1.743.148,88'</t>
      </text>
    </comment>
    <comment ref="S16" authorId="0" shapeId="0">
      <text>
        <t>Quelle: f02_asset_spiegel_03.xlsx, Anlagespiegel!O51 · gedruckt '9.544.231,63'</t>
      </text>
    </comment>
    <comment ref="T16" authorId="0" shapeId="0">
      <text>
        <t>Quelle: f02_asset_spiegel_03.xlsx, Anlagespiegel!M51 · gedruckt '7.226.144,43'</t>
      </text>
    </comment>
    <comment ref="D17" authorId="0" shapeId="0">
      <text>
        <t>Quelle: f02_asset_spiegel_03.xlsx, Anlagespiegel!F65 · gedruckt '327.285,83'</t>
      </text>
    </comment>
    <comment ref="E17" authorId="0" shapeId="0">
      <text>
        <t>Quelle: f02_asset_spiegel_03.xlsx, Anlagespiegel!G65 · gedruckt '416.863,03'</t>
      </text>
    </comment>
    <comment ref="F17" authorId="0" shapeId="0">
      <text>
        <t>Quelle: f02_asset_spiegel_03.xlsx, Anlagespiegel!I65 · gedruckt '106.495,83'</t>
      </text>
    </comment>
    <comment ref="G17" authorId="0" shapeId="0">
      <text>
        <t>Quelle: f02_asset_spiegel_03.xlsx, Anlagespiegel!J65 · gedruckt '272.104,31'</t>
      </text>
    </comment>
    <comment ref="L17" authorId="0" shapeId="0">
      <text>
        <t>Quelle: f02_asset_spiegel_03.xlsx, Anlagespiegel!L65 · gedruckt '34.324,87'</t>
      </text>
    </comment>
    <comment ref="O17" authorId="0" shapeId="0">
      <text>
        <t>Quelle: f02_asset_spiegel_03.xlsx, Anlagespiegel!K65 · gedruckt '0,00'</t>
      </text>
    </comment>
    <comment ref="R17" authorId="0" shapeId="0">
      <text>
        <t>Quelle: f02_asset_spiegel_03.xlsx, Anlagespiegel!N65 · gedruckt '255.023,45'</t>
      </text>
    </comment>
    <comment ref="S17" authorId="0" shapeId="0">
      <text>
        <t>Quelle: f02_asset_spiegel_03.xlsx, Anlagespiegel!O65 · gedruckt '654.733,89'</t>
      </text>
    </comment>
    <comment ref="T17" authorId="0" shapeId="0">
      <text>
        <t>Quelle: f02_asset_spiegel_03.xlsx, Anlagespiegel!M65 · gedruckt '92,42'</t>
      </text>
    </comment>
    <comment ref="D18" authorId="0" shapeId="0">
      <text>
        <t>Quelle: f02_asset_spiegel_03.xlsx, Anlagespiegel!F66 · gedruckt '327.285,83'</t>
      </text>
    </comment>
    <comment ref="E18" authorId="0" shapeId="0">
      <text>
        <t>Quelle: f02_asset_spiegel_03.xlsx, Anlagespiegel!G66 · gedruckt '416.863,03'</t>
      </text>
    </comment>
    <comment ref="F18" authorId="0" shapeId="0">
      <text>
        <t>Quelle: f02_asset_spiegel_03.xlsx, Anlagespiegel!I66 · gedruckt '106.495,83'</t>
      </text>
    </comment>
    <comment ref="G18" authorId="0" shapeId="0">
      <text>
        <t>Quelle: f02_asset_spiegel_03.xlsx, Anlagespiegel!J66 · gedruckt '272.104,31'</t>
      </text>
    </comment>
    <comment ref="L18" authorId="0" shapeId="0">
      <text>
        <t>Quelle: f02_asset_spiegel_03.xlsx, Anlagespiegel!L66 · gedruckt '34.324,87'</t>
      </text>
    </comment>
    <comment ref="O18" authorId="0" shapeId="0">
      <text>
        <t>Quelle: f02_asset_spiegel_03.xlsx, Anlagespiegel!K66 · gedruckt '0,00'</t>
      </text>
    </comment>
    <comment ref="R18" authorId="0" shapeId="0">
      <text>
        <t>Quelle: f02_asset_spiegel_03.xlsx, Anlagespiegel!N66 · gedruckt '255.023,45'</t>
      </text>
    </comment>
    <comment ref="S18" authorId="0" shapeId="0">
      <text>
        <t>Quelle: f02_asset_spiegel_03.xlsx, Anlagespiegel!O66 · gedruckt '654.733,89'</t>
      </text>
    </comment>
    <comment ref="T18" authorId="0" shapeId="0">
      <text>
        <t>Quelle: f02_asset_spiegel_03.xlsx, Anlagespiegel!M66 · gedruckt '92,42'</t>
      </text>
    </comment>
    <comment ref="D19" authorId="0" shapeId="0">
      <text>
        <t>Quelle: f02_asset_spiegel_03.xlsx, Anlagespiegel!F67 · gedruckt '327.285,83'</t>
      </text>
    </comment>
    <comment ref="E19" authorId="0" shapeId="0">
      <text>
        <t>Quelle: f02_asset_spiegel_03.xlsx, Anlagespiegel!G67 · gedruckt '416.863,03'</t>
      </text>
    </comment>
    <comment ref="F19" authorId="0" shapeId="0">
      <text>
        <t>Quelle: f02_asset_spiegel_03.xlsx, Anlagespiegel!I67 · gedruckt '106.495,83'</t>
      </text>
    </comment>
    <comment ref="G19" authorId="0" shapeId="0">
      <text>
        <t>Quelle: f02_asset_spiegel_03.xlsx, Anlagespiegel!J67 · gedruckt '272.104,31'</t>
      </text>
    </comment>
    <comment ref="L19" authorId="0" shapeId="0">
      <text>
        <t>Quelle: f02_asset_spiegel_03.xlsx, Anlagespiegel!L67 · gedruckt '34.324,87'</t>
      </text>
    </comment>
    <comment ref="O19" authorId="0" shapeId="0">
      <text>
        <t>Quelle: f02_asset_spiegel_03.xlsx, Anlagespiegel!K67 · gedruckt '0,00'</t>
      </text>
    </comment>
    <comment ref="R19" authorId="0" shapeId="0">
      <text>
        <t>Quelle: f02_asset_spiegel_03.xlsx, Anlagespiegel!N67 · gedruckt '255.023,45'</t>
      </text>
    </comment>
    <comment ref="S19" authorId="0" shapeId="0">
      <text>
        <t>Quelle: f02_asset_spiegel_03.xlsx, Anlagespiegel!O67 · gedruckt '654.733,89'</t>
      </text>
    </comment>
    <comment ref="T19" authorId="0" shapeId="0">
      <text>
        <t>Quelle: f02_asset_spiegel_03.xlsx, Anlagespiegel!M67 · gedruckt '92,42'</t>
      </text>
    </comment>
    <comment ref="D20" authorId="0" shapeId="0">
      <text>
        <t>Quelle: f02_asset_spiegel_03.xlsx, Anlagespiegel!F81 · gedruckt '163.773,82'</t>
      </text>
    </comment>
    <comment ref="E20" authorId="0" shapeId="0">
      <text>
        <t>Quelle: f02_asset_spiegel_03.xlsx, Anlagespiegel!G81 · gedruckt '224.744,32'</t>
      </text>
    </comment>
    <comment ref="F20" authorId="0" shapeId="0">
      <text>
        <t>Quelle: f02_asset_spiegel_03.xlsx, Anlagespiegel!I81 · gedruckt '0,00'</t>
      </text>
    </comment>
    <comment ref="G20" authorId="0" shapeId="0">
      <text>
        <t>Quelle: f02_asset_spiegel_03.xlsx, Anlagespiegel!J81 · gedruckt '0,00'</t>
      </text>
    </comment>
    <comment ref="L20" authorId="0" shapeId="0">
      <text>
        <t>Quelle: f02_asset_spiegel_03.xlsx, Anlagespiegel!L81 · gedruckt '18.092,64'</t>
      </text>
    </comment>
    <comment ref="O20" authorId="0" shapeId="0">
      <text>
        <t>Quelle: f02_asset_spiegel_03.xlsx, Anlagespiegel!K81 · gedruckt '0,00'</t>
      </text>
    </comment>
    <comment ref="R20" authorId="0" shapeId="0">
      <text>
        <t>Quelle: f02_asset_spiegel_03.xlsx, Anlagespiegel!N81 · gedruckt '109.699,50'</t>
      </text>
    </comment>
    <comment ref="S20" authorId="0" shapeId="0">
      <text>
        <t>Quelle: f02_asset_spiegel_03.xlsx, Anlagespiegel!O81 · gedruckt '278.818,64'</t>
      </text>
    </comment>
    <comment ref="T20" authorId="0" shapeId="0">
      <text>
        <t>Quelle: f02_asset_spiegel_03.xlsx, Anlagespiegel!M81 · gedruckt '72.166,96'</t>
      </text>
    </comment>
    <comment ref="D21" authorId="0" shapeId="0">
      <text>
        <t>Quelle: f02_asset_spiegel_03.xlsx, Anlagespiegel!F82 · gedruckt '163.773,82'</t>
      </text>
    </comment>
    <comment ref="E21" authorId="0" shapeId="0">
      <text>
        <t>Quelle: f02_asset_spiegel_03.xlsx, Anlagespiegel!G82 · gedruckt '224.744,32'</t>
      </text>
    </comment>
    <comment ref="F21" authorId="0" shapeId="0">
      <text>
        <t>Quelle: f02_asset_spiegel_03.xlsx, Anlagespiegel!I82 · gedruckt '0,00'</t>
      </text>
    </comment>
    <comment ref="G21" authorId="0" shapeId="0">
      <text>
        <t>Quelle: f02_asset_spiegel_03.xlsx, Anlagespiegel!J82 · gedruckt '0,00'</t>
      </text>
    </comment>
    <comment ref="L21" authorId="0" shapeId="0">
      <text>
        <t>Quelle: f02_asset_spiegel_03.xlsx, Anlagespiegel!L82 · gedruckt '18.092,64'</t>
      </text>
    </comment>
    <comment ref="O21" authorId="0" shapeId="0">
      <text>
        <t>Quelle: f02_asset_spiegel_03.xlsx, Anlagespiegel!K82 · gedruckt '0,00'</t>
      </text>
    </comment>
    <comment ref="R21" authorId="0" shapeId="0">
      <text>
        <t>Quelle: f02_asset_spiegel_03.xlsx, Anlagespiegel!N82 · gedruckt '109.699,50'</t>
      </text>
    </comment>
    <comment ref="S21" authorId="0" shapeId="0">
      <text>
        <t>Quelle: f02_asset_spiegel_03.xlsx, Anlagespiegel!O82 · gedruckt '278.818,64'</t>
      </text>
    </comment>
    <comment ref="T21" authorId="0" shapeId="0">
      <text>
        <t>Quelle: f02_asset_spiegel_03.xlsx, Anlagespiegel!M82 · gedruckt '72.166,96'</t>
      </text>
    </comment>
    <comment ref="D22" authorId="0" shapeId="0">
      <text>
        <t>Quelle: f02_asset_spiegel_03.xlsx, Anlagespiegel!F83 · gedruckt '163.773,82'</t>
      </text>
    </comment>
    <comment ref="E22" authorId="0" shapeId="0">
      <text>
        <t>Quelle: f02_asset_spiegel_03.xlsx, Anlagespiegel!G83 · gedruckt '224.744,32'</t>
      </text>
    </comment>
    <comment ref="F22" authorId="0" shapeId="0">
      <text>
        <t>Quelle: f02_asset_spiegel_03.xlsx, Anlagespiegel!I83 · gedruckt '0,00'</t>
      </text>
    </comment>
    <comment ref="G22" authorId="0" shapeId="0">
      <text>
        <t>Quelle: f02_asset_spiegel_03.xlsx, Anlagespiegel!J83 · gedruckt '0,00'</t>
      </text>
    </comment>
    <comment ref="L22" authorId="0" shapeId="0">
      <text>
        <t>Quelle: f02_asset_spiegel_03.xlsx, Anlagespiegel!L83 · gedruckt '18.092,64'</t>
      </text>
    </comment>
    <comment ref="O22" authorId="0" shapeId="0">
      <text>
        <t>Quelle: f02_asset_spiegel_03.xlsx, Anlagespiegel!K83 · gedruckt '0,00'</t>
      </text>
    </comment>
    <comment ref="R22" authorId="0" shapeId="0">
      <text>
        <t>Quelle: f02_asset_spiegel_03.xlsx, Anlagespiegel!N83 · gedruckt '109.699,50'</t>
      </text>
    </comment>
    <comment ref="S22" authorId="0" shapeId="0">
      <text>
        <t>Quelle: f02_asset_spiegel_03.xlsx, Anlagespiegel!O83 · gedruckt '278.818,64'</t>
      </text>
    </comment>
    <comment ref="T22" authorId="0" shapeId="0">
      <text>
        <t>Quelle: f02_asset_spiegel_03.xlsx, Anlagespiegel!M83 · gedruckt '72.166,96'</t>
      </text>
    </comment>
    <comment ref="D23" authorId="0" shapeId="0">
      <text>
        <t>Quelle: f02_asset_spiegel_03.xlsx, Anlagespiegel!F94 · gedruckt '205.664,33'</t>
      </text>
    </comment>
    <comment ref="E23" authorId="0" shapeId="0">
      <text>
        <t>Quelle: f02_asset_spiegel_03.xlsx, Anlagespiegel!G94 · gedruckt '0,00'</t>
      </text>
    </comment>
    <comment ref="F23" authorId="0" shapeId="0">
      <text>
        <t>Quelle: f02_asset_spiegel_03.xlsx, Anlagespiegel!I94 · gedruckt '0,00'</t>
      </text>
    </comment>
    <comment ref="G23" authorId="0" shapeId="0">
      <text>
        <t>Quelle: f02_asset_spiegel_03.xlsx, Anlagespiegel!J94 · gedruckt '0,00'</t>
      </text>
    </comment>
    <comment ref="L23" authorId="0" shapeId="0">
      <text>
        <t>Quelle: f02_asset_spiegel_03.xlsx, Anlagespiegel!L94 · gedruckt '14.053,16'</t>
      </text>
    </comment>
    <comment ref="O23" authorId="0" shapeId="0">
      <text>
        <t>Quelle: f02_asset_spiegel_03.xlsx, Anlagespiegel!K94 · gedruckt '0,00'</t>
      </text>
    </comment>
    <comment ref="R23" authorId="0" shapeId="0">
      <text>
        <t>Quelle: f02_asset_spiegel_03.xlsx, Anlagespiegel!N94 · gedruckt '155.378,80'</t>
      </text>
    </comment>
    <comment ref="S23" authorId="0" shapeId="0">
      <text>
        <t>Quelle: f02_asset_spiegel_03.xlsx, Anlagespiegel!O94 · gedruckt '50.285,53'</t>
      </text>
    </comment>
    <comment ref="T23" authorId="0" shapeId="0">
      <text>
        <t>Quelle: f02_asset_spiegel_03.xlsx, Anlagespiegel!M94 · gedruckt '64.338,69'</t>
      </text>
    </comment>
    <comment ref="D24" authorId="0" shapeId="0">
      <text>
        <t>Quelle: f02_asset_spiegel_03.xlsx, Anlagespiegel!F107 · gedruckt '895.539,83'</t>
      </text>
    </comment>
    <comment ref="E24" authorId="0" shapeId="0">
      <text>
        <t>Quelle: f02_asset_spiegel_03.xlsx, Anlagespiegel!G107 · gedruckt '86.171,00'</t>
      </text>
    </comment>
    <comment ref="F24" authorId="0" shapeId="0">
      <text>
        <t>Quelle: f02_asset_spiegel_03.xlsx, Anlagespiegel!I107 · gedruckt '0,00'</t>
      </text>
    </comment>
    <comment ref="G24" authorId="0" shapeId="0">
      <text>
        <t>Quelle: f02_asset_spiegel_03.xlsx, Anlagespiegel!J107 · gedruckt '0,00'</t>
      </text>
    </comment>
    <comment ref="L24" authorId="0" shapeId="0">
      <text>
        <t>Quelle: f02_asset_spiegel_03.xlsx, Anlagespiegel!L107 · gedruckt '63.049,50'</t>
      </text>
    </comment>
    <comment ref="O24" authorId="0" shapeId="0">
      <text>
        <t>Quelle: f02_asset_spiegel_03.xlsx, Anlagespiegel!K107 · gedruckt '0,00'</t>
      </text>
    </comment>
    <comment ref="R24" authorId="0" shapeId="0">
      <text>
        <t>Quelle: f02_asset_spiegel_03.xlsx, Anlagespiegel!N107 · gedruckt '634.543,40'</t>
      </text>
    </comment>
    <comment ref="S24" authorId="0" shapeId="0">
      <text>
        <t>Quelle: f02_asset_spiegel_03.xlsx, Anlagespiegel!O107 · gedruckt '347.167,43'</t>
      </text>
    </comment>
    <comment ref="T24" authorId="0" shapeId="0">
      <text>
        <t>Quelle: f02_asset_spiegel_03.xlsx, Anlagespiegel!M107 · gedruckt '324.045,93'</t>
      </text>
    </comment>
    <comment ref="D25" authorId="0" shapeId="0">
      <text>
        <t>Quelle: f02_asset_spiegel_03.xlsx, Anlagespiegel!F108 · gedruckt '1.101.204,16'</t>
      </text>
    </comment>
    <comment ref="E25" authorId="0" shapeId="0">
      <text>
        <t>Quelle: f02_asset_spiegel_03.xlsx, Anlagespiegel!G108 · gedruckt '86.171,00'</t>
      </text>
    </comment>
    <comment ref="F25" authorId="0" shapeId="0">
      <text>
        <t>Quelle: f02_asset_spiegel_03.xlsx, Anlagespiegel!I108 · gedruckt '0,00'</t>
      </text>
    </comment>
    <comment ref="G25" authorId="0" shapeId="0">
      <text>
        <t>Quelle: f02_asset_spiegel_03.xlsx, Anlagespiegel!J108 · gedruckt '0,00'</t>
      </text>
    </comment>
    <comment ref="L25" authorId="0" shapeId="0">
      <text>
        <t>Quelle: f02_asset_spiegel_03.xlsx, Anlagespiegel!L108 · gedruckt '77.102,66'</t>
      </text>
    </comment>
    <comment ref="O25" authorId="0" shapeId="0">
      <text>
        <t>Quelle: f02_asset_spiegel_03.xlsx, Anlagespiegel!K108 · gedruckt '0,00'</t>
      </text>
    </comment>
    <comment ref="R25" authorId="0" shapeId="0">
      <text>
        <t>Quelle: f02_asset_spiegel_03.xlsx, Anlagespiegel!N108 · gedruckt '789.922,20'</t>
      </text>
    </comment>
    <comment ref="S25" authorId="0" shapeId="0">
      <text>
        <t>Quelle: f02_asset_spiegel_03.xlsx, Anlagespiegel!O108 · gedruckt '397.452,96'</t>
      </text>
    </comment>
    <comment ref="T25" authorId="0" shapeId="0">
      <text>
        <t>Quelle: f02_asset_spiegel_03.xlsx, Anlagespiegel!M108 · gedruckt '388.384,62'</t>
      </text>
    </comment>
    <comment ref="D26" authorId="0" shapeId="0">
      <text>
        <t>Quelle: f02_asset_spiegel_03.xlsx, Anlagespiegel!F109 · gedruckt '1.101.204,16'</t>
      </text>
    </comment>
    <comment ref="E26" authorId="0" shapeId="0">
      <text>
        <t>Quelle: f02_asset_spiegel_03.xlsx, Anlagespiegel!G109 · gedruckt '86.171,00'</t>
      </text>
    </comment>
    <comment ref="F26" authorId="0" shapeId="0">
      <text>
        <t>Quelle: f02_asset_spiegel_03.xlsx, Anlagespiegel!I109 · gedruckt '0,00'</t>
      </text>
    </comment>
    <comment ref="G26" authorId="0" shapeId="0">
      <text>
        <t>Quelle: f02_asset_spiegel_03.xlsx, Anlagespiegel!J109 · gedruckt '0,00'</t>
      </text>
    </comment>
    <comment ref="L26" authorId="0" shapeId="0">
      <text>
        <t>Quelle: f02_asset_spiegel_03.xlsx, Anlagespiegel!L109 · gedruckt '77.102,66'</t>
      </text>
    </comment>
    <comment ref="O26" authorId="0" shapeId="0">
      <text>
        <t>Quelle: f02_asset_spiegel_03.xlsx, Anlagespiegel!K109 · gedruckt '0,00'</t>
      </text>
    </comment>
    <comment ref="R26" authorId="0" shapeId="0">
      <text>
        <t>Quelle: f02_asset_spiegel_03.xlsx, Anlagespiegel!N109 · gedruckt '789.922,20'</t>
      </text>
    </comment>
    <comment ref="S26" authorId="0" shapeId="0">
      <text>
        <t>Quelle: f02_asset_spiegel_03.xlsx, Anlagespiegel!O109 · gedruckt '397.452,96'</t>
      </text>
    </comment>
    <comment ref="T26" authorId="0" shapeId="0">
      <text>
        <t>Quelle: f02_asset_spiegel_03.xlsx, Anlagespiegel!M109 · gedruckt '388.384,62'</t>
      </text>
    </comment>
    <comment ref="D27" authorId="0" shapeId="0">
      <text>
        <t>Quelle: f02_asset_spiegel_03.xlsx, Anlagespiegel!F127 · gedruckt '98.934,10'</t>
      </text>
    </comment>
    <comment ref="E27" authorId="0" shapeId="0">
      <text>
        <t>Quelle: f02_asset_spiegel_03.xlsx, Anlagespiegel!G127 · gedruckt '83.131,77'</t>
      </text>
    </comment>
    <comment ref="F27" authorId="0" shapeId="0">
      <text>
        <t>Quelle: f02_asset_spiegel_03.xlsx, Anlagespiegel!I127 · gedruckt '0,00'</t>
      </text>
    </comment>
    <comment ref="G27" authorId="0" shapeId="0">
      <text>
        <t>Quelle: f02_asset_spiegel_03.xlsx, Anlagespiegel!J127 · gedruckt '0,00'</t>
      </text>
    </comment>
    <comment ref="L27" authorId="0" shapeId="0">
      <text>
        <t>Quelle: f02_asset_spiegel_03.xlsx, Anlagespiegel!L127 · gedruckt '7.291,21'</t>
      </text>
    </comment>
    <comment ref="O27" authorId="0" shapeId="0">
      <text>
        <t>Quelle: f02_asset_spiegel_03.xlsx, Anlagespiegel!K127 · gedruckt '0,00'</t>
      </text>
    </comment>
    <comment ref="R27" authorId="0" shapeId="0">
      <text>
        <t>Quelle: f02_asset_spiegel_03.xlsx, Anlagespiegel!N127 · gedruckt '103.797,24'</t>
      </text>
    </comment>
    <comment ref="S27" authorId="0" shapeId="0">
      <text>
        <t>Quelle: f02_asset_spiegel_03.xlsx, Anlagespiegel!O127 · gedruckt '78.268,63'</t>
      </text>
    </comment>
    <comment ref="T27" authorId="0" shapeId="0">
      <text>
        <t>Quelle: f02_asset_spiegel_03.xlsx, Anlagespiegel!M127 · gedruckt '2.428,07'</t>
      </text>
    </comment>
    <comment ref="D28" authorId="0" shapeId="0">
      <text>
        <t>Quelle: f02_asset_spiegel_03.xlsx, Anlagespiegel!F128 · gedruckt '98.934,10'</t>
      </text>
    </comment>
    <comment ref="E28" authorId="0" shapeId="0">
      <text>
        <t>Quelle: f02_asset_spiegel_03.xlsx, Anlagespiegel!G128 · gedruckt '83.131,77'</t>
      </text>
    </comment>
    <comment ref="F28" authorId="0" shapeId="0">
      <text>
        <t>Quelle: f02_asset_spiegel_03.xlsx, Anlagespiegel!I128 · gedruckt '0,00'</t>
      </text>
    </comment>
    <comment ref="G28" authorId="0" shapeId="0">
      <text>
        <t>Quelle: f02_asset_spiegel_03.xlsx, Anlagespiegel!J128 · gedruckt '0,00'</t>
      </text>
    </comment>
    <comment ref="L28" authorId="0" shapeId="0">
      <text>
        <t>Quelle: f02_asset_spiegel_03.xlsx, Anlagespiegel!L128 · gedruckt '7.291,21'</t>
      </text>
    </comment>
    <comment ref="O28" authorId="0" shapeId="0">
      <text>
        <t>Quelle: f02_asset_spiegel_03.xlsx, Anlagespiegel!K128 · gedruckt '0,00'</t>
      </text>
    </comment>
    <comment ref="R28" authorId="0" shapeId="0">
      <text>
        <t>Quelle: f02_asset_spiegel_03.xlsx, Anlagespiegel!N128 · gedruckt '103.797,24'</t>
      </text>
    </comment>
    <comment ref="S28" authorId="0" shapeId="0">
      <text>
        <t>Quelle: f02_asset_spiegel_03.xlsx, Anlagespiegel!O128 · gedruckt '78.268,63'</t>
      </text>
    </comment>
    <comment ref="T28" authorId="0" shapeId="0">
      <text>
        <t>Quelle: f02_asset_spiegel_03.xlsx, Anlagespiegel!M128 · gedruckt '2.428,07'</t>
      </text>
    </comment>
    <comment ref="D29" authorId="0" shapeId="0">
      <text>
        <t>Quelle: f02_asset_spiegel_03.xlsx, Anlagespiegel!F129 · gedruckt '98.934,10'</t>
      </text>
    </comment>
    <comment ref="E29" authorId="0" shapeId="0">
      <text>
        <t>Quelle: f02_asset_spiegel_03.xlsx, Anlagespiegel!G129 · gedruckt '83.131,77'</t>
      </text>
    </comment>
    <comment ref="F29" authorId="0" shapeId="0">
      <text>
        <t>Quelle: f02_asset_spiegel_03.xlsx, Anlagespiegel!I129 · gedruckt '0,00'</t>
      </text>
    </comment>
    <comment ref="G29" authorId="0" shapeId="0">
      <text>
        <t>Quelle: f02_asset_spiegel_03.xlsx, Anlagespiegel!J129 · gedruckt '0,00'</t>
      </text>
    </comment>
    <comment ref="L29" authorId="0" shapeId="0">
      <text>
        <t>Quelle: f02_asset_spiegel_03.xlsx, Anlagespiegel!L129 · gedruckt '7.291,21'</t>
      </text>
    </comment>
    <comment ref="O29" authorId="0" shapeId="0">
      <text>
        <t>Quelle: f02_asset_spiegel_03.xlsx, Anlagespiegel!K129 · gedruckt '0,00'</t>
      </text>
    </comment>
    <comment ref="R29" authorId="0" shapeId="0">
      <text>
        <t>Quelle: f02_asset_spiegel_03.xlsx, Anlagespiegel!N129 · gedruckt '103.797,24'</t>
      </text>
    </comment>
    <comment ref="S29" authorId="0" shapeId="0">
      <text>
        <t>Quelle: f02_asset_spiegel_03.xlsx, Anlagespiegel!O129 · gedruckt '78.268,63'</t>
      </text>
    </comment>
    <comment ref="T29" authorId="0" shapeId="0">
      <text>
        <t>Quelle: f02_asset_spiegel_03.xlsx, Anlagespiegel!M129 · gedruckt '2.428,07'</t>
      </text>
    </comment>
    <comment ref="D30" authorId="0" shapeId="0">
      <text>
        <t>Quelle: f02_asset_spiegel_03.xlsx, Anlagespiegel!F143 · gedruckt '48.823,63'</t>
      </text>
    </comment>
    <comment ref="E30" authorId="0" shapeId="0">
      <text>
        <t>Quelle: f02_asset_spiegel_03.xlsx, Anlagespiegel!G143 · gedruckt '160,51'</t>
      </text>
    </comment>
    <comment ref="F30" authorId="0" shapeId="0">
      <text>
        <t>Quelle: f02_asset_spiegel_03.xlsx, Anlagespiegel!I143 · gedruckt '0,00'</t>
      </text>
    </comment>
    <comment ref="G30" authorId="0" shapeId="0">
      <text>
        <t>Quelle: f02_asset_spiegel_03.xlsx, Anlagespiegel!J143 · gedruckt '0,00'</t>
      </text>
    </comment>
    <comment ref="L30" authorId="0" shapeId="0">
      <text>
        <t>Quelle: f02_asset_spiegel_03.xlsx, Anlagespiegel!L143 · gedruckt '3.153,81'</t>
      </text>
    </comment>
    <comment ref="O30" authorId="0" shapeId="0">
      <text>
        <t>Quelle: f02_asset_spiegel_03.xlsx, Anlagespiegel!K143 · gedruckt '0,00'</t>
      </text>
    </comment>
    <comment ref="R30" authorId="0" shapeId="0">
      <text>
        <t>Quelle: f02_asset_spiegel_03.xlsx, Anlagespiegel!N143 · gedruckt '33.060,21'</t>
      </text>
    </comment>
    <comment ref="S30" authorId="0" shapeId="0">
      <text>
        <t>Quelle: f02_asset_spiegel_03.xlsx, Anlagespiegel!O143 · gedruckt '15.923,93'</t>
      </text>
    </comment>
    <comment ref="T30" authorId="0" shapeId="0">
      <text>
        <t>Quelle: f02_asset_spiegel_03.xlsx, Anlagespiegel!M143 · gedruckt '18.917,23'</t>
      </text>
    </comment>
    <comment ref="D31" authorId="0" shapeId="0">
      <text>
        <t>Quelle: f02_asset_spiegel_03.xlsx, Anlagespiegel!F144 · gedruckt '48.823,63'</t>
      </text>
    </comment>
    <comment ref="E31" authorId="0" shapeId="0">
      <text>
        <t>Quelle: f02_asset_spiegel_03.xlsx, Anlagespiegel!G144 · gedruckt '160,51'</t>
      </text>
    </comment>
    <comment ref="F31" authorId="0" shapeId="0">
      <text>
        <t>Quelle: f02_asset_spiegel_03.xlsx, Anlagespiegel!I144 · gedruckt '0,00'</t>
      </text>
    </comment>
    <comment ref="G31" authorId="0" shapeId="0">
      <text>
        <t>Quelle: f02_asset_spiegel_03.xlsx, Anlagespiegel!J144 · gedruckt '0,00'</t>
      </text>
    </comment>
    <comment ref="L31" authorId="0" shapeId="0">
      <text>
        <t>Quelle: f02_asset_spiegel_03.xlsx, Anlagespiegel!L144 · gedruckt '3.153,81'</t>
      </text>
    </comment>
    <comment ref="O31" authorId="0" shapeId="0">
      <text>
        <t>Quelle: f02_asset_spiegel_03.xlsx, Anlagespiegel!K144 · gedruckt '0,00'</t>
      </text>
    </comment>
    <comment ref="R31" authorId="0" shapeId="0">
      <text>
        <t>Quelle: f02_asset_spiegel_03.xlsx, Anlagespiegel!N144 · gedruckt '33.060,21'</t>
      </text>
    </comment>
    <comment ref="S31" authorId="0" shapeId="0">
      <text>
        <t>Quelle: f02_asset_spiegel_03.xlsx, Anlagespiegel!O144 · gedruckt '15.923,93'</t>
      </text>
    </comment>
    <comment ref="T31" authorId="0" shapeId="0">
      <text>
        <t>Quelle: f02_asset_spiegel_03.xlsx, Anlagespiegel!M144 · gedruckt '18.917,23'</t>
      </text>
    </comment>
    <comment ref="D32" authorId="0" shapeId="0">
      <text>
        <t>Quelle: f02_asset_spiegel_03.xlsx, Anlagespiegel!F151 · gedruckt '55.732,69'</t>
      </text>
    </comment>
    <comment ref="E32" authorId="0" shapeId="0">
      <text>
        <t>Quelle: f02_asset_spiegel_03.xlsx, Anlagespiegel!G151 · gedruckt '1.202,00'</t>
      </text>
    </comment>
    <comment ref="F32" authorId="0" shapeId="0">
      <text>
        <t>Quelle: f02_asset_spiegel_03.xlsx, Anlagespiegel!I151 · gedruckt '0,00'</t>
      </text>
    </comment>
    <comment ref="G32" authorId="0" shapeId="0">
      <text>
        <t>Quelle: f02_asset_spiegel_03.xlsx, Anlagespiegel!J151 · gedruckt '0,00'</t>
      </text>
    </comment>
    <comment ref="L32" authorId="0" shapeId="0">
      <text>
        <t>Quelle: f02_asset_spiegel_03.xlsx, Anlagespiegel!L151 · gedruckt '9.190,45'</t>
      </text>
    </comment>
    <comment ref="O32" authorId="0" shapeId="0">
      <text>
        <t>Quelle: f02_asset_spiegel_03.xlsx, Anlagespiegel!K151 · gedruckt '0,00'</t>
      </text>
    </comment>
    <comment ref="R32" authorId="0" shapeId="0">
      <text>
        <t>Quelle: f02_asset_spiegel_03.xlsx, Anlagespiegel!N151 · gedruckt '40.565,59'</t>
      </text>
    </comment>
    <comment ref="S32" authorId="0" shapeId="0">
      <text>
        <t>Quelle: f02_asset_spiegel_03.xlsx, Anlagespiegel!O151 · gedruckt '16.369,10'</t>
      </text>
    </comment>
    <comment ref="T32" authorId="0" shapeId="0">
      <text>
        <t>Quelle: f02_asset_spiegel_03.xlsx, Anlagespiegel!M151 · gedruckt '24.357,55'</t>
      </text>
    </comment>
    <comment ref="D33" authorId="0" shapeId="0">
      <text>
        <t>Quelle: f02_asset_spiegel_03.xlsx, Anlagespiegel!F152 · gedruckt '55.732,69'</t>
      </text>
    </comment>
    <comment ref="E33" authorId="0" shapeId="0">
      <text>
        <t>Quelle: f02_asset_spiegel_03.xlsx, Anlagespiegel!G152 · gedruckt '1.202,00'</t>
      </text>
    </comment>
    <comment ref="F33" authorId="0" shapeId="0">
      <text>
        <t>Quelle: f02_asset_spiegel_03.xlsx, Anlagespiegel!I152 · gedruckt '0,00'</t>
      </text>
    </comment>
    <comment ref="G33" authorId="0" shapeId="0">
      <text>
        <t>Quelle: f02_asset_spiegel_03.xlsx, Anlagespiegel!J152 · gedruckt '0,00'</t>
      </text>
    </comment>
    <comment ref="L33" authorId="0" shapeId="0">
      <text>
        <t>Quelle: f02_asset_spiegel_03.xlsx, Anlagespiegel!L152 · gedruckt '9.190,45'</t>
      </text>
    </comment>
    <comment ref="O33" authorId="0" shapeId="0">
      <text>
        <t>Quelle: f02_asset_spiegel_03.xlsx, Anlagespiegel!K152 · gedruckt '0,00'</t>
      </text>
    </comment>
    <comment ref="R33" authorId="0" shapeId="0">
      <text>
        <t>Quelle: f02_asset_spiegel_03.xlsx, Anlagespiegel!N152 · gedruckt '40.565,59'</t>
      </text>
    </comment>
    <comment ref="S33" authorId="0" shapeId="0">
      <text>
        <t>Quelle: f02_asset_spiegel_03.xlsx, Anlagespiegel!O152 · gedruckt '16.369,10'</t>
      </text>
    </comment>
    <comment ref="T33" authorId="0" shapeId="0">
      <text>
        <t>Quelle: f02_asset_spiegel_03.xlsx, Anlagespiegel!M152 · gedruckt '24.357,55'</t>
      </text>
    </comment>
    <comment ref="D34" authorId="0" shapeId="0">
      <text>
        <t>Quelle: f02_asset_spiegel_03.xlsx, Anlagespiegel!F153 · gedruckt '104.556,32'</t>
      </text>
    </comment>
    <comment ref="E34" authorId="0" shapeId="0">
      <text>
        <t>Quelle: f02_asset_spiegel_03.xlsx, Anlagespiegel!G153 · gedruckt '1.362,51'</t>
      </text>
    </comment>
    <comment ref="F34" authorId="0" shapeId="0">
      <text>
        <t>Quelle: f02_asset_spiegel_03.xlsx, Anlagespiegel!I153 · gedruckt '0,00'</t>
      </text>
    </comment>
    <comment ref="G34" authorId="0" shapeId="0">
      <text>
        <t>Quelle: f02_asset_spiegel_03.xlsx, Anlagespiegel!J153 · gedruckt '0,00'</t>
      </text>
    </comment>
    <comment ref="L34" authorId="0" shapeId="0">
      <text>
        <t>Quelle: f02_asset_spiegel_03.xlsx, Anlagespiegel!L153 · gedruckt '12.344,26'</t>
      </text>
    </comment>
    <comment ref="O34" authorId="0" shapeId="0">
      <text>
        <t>Quelle: f02_asset_spiegel_03.xlsx, Anlagespiegel!K153 · gedruckt '0,00'</t>
      </text>
    </comment>
    <comment ref="R34" authorId="0" shapeId="0">
      <text>
        <t>Quelle: f02_asset_spiegel_03.xlsx, Anlagespiegel!N153 · gedruckt '73.625,80'</t>
      </text>
    </comment>
    <comment ref="S34" authorId="0" shapeId="0">
      <text>
        <t>Quelle: f02_asset_spiegel_03.xlsx, Anlagespiegel!O153 · gedruckt '32.293,03'</t>
      </text>
    </comment>
    <comment ref="T34" authorId="0" shapeId="0">
      <text>
        <t>Quelle: f02_asset_spiegel_03.xlsx, Anlagespiegel!M153 · gedruckt '43.274,78'</t>
      </text>
    </comment>
    <comment ref="D35" authorId="0" shapeId="0">
      <text>
        <t>Quelle: f02_asset_spiegel_03.xlsx, Anlagespiegel!F165 · gedruckt '1.515,76'</t>
      </text>
    </comment>
    <comment ref="E35" authorId="0" shapeId="0">
      <text>
        <t>Quelle: f02_asset_spiegel_03.xlsx, Anlagespiegel!G165 · gedruckt '2.316,03'</t>
      </text>
    </comment>
    <comment ref="F35" authorId="0" shapeId="0">
      <text>
        <t>Quelle: f02_asset_spiegel_03.xlsx, Anlagespiegel!I165 · gedruckt '0,00'</t>
      </text>
    </comment>
    <comment ref="G35" authorId="0" shapeId="0">
      <text>
        <t>Quelle: f02_asset_spiegel_03.xlsx, Anlagespiegel!J165 · gedruckt '0,00'</t>
      </text>
    </comment>
    <comment ref="L35" authorId="0" shapeId="0">
      <text>
        <t>Quelle: f02_asset_spiegel_03.xlsx, Anlagespiegel!L165 · gedruckt '2.316,03'</t>
      </text>
    </comment>
    <comment ref="O35" authorId="0" shapeId="0">
      <text>
        <t>Quelle: f02_asset_spiegel_03.xlsx, Anlagespiegel!K165 · gedruckt '0,00'</t>
      </text>
    </comment>
    <comment ref="R35" authorId="0" shapeId="0">
      <text>
        <t>Quelle: f02_asset_spiegel_03.xlsx, Anlagespiegel!N165 · gedruckt '3.831,79'</t>
      </text>
    </comment>
    <comment ref="S35" authorId="0" shapeId="0">
      <text>
        <t>Quelle: f02_asset_spiegel_03.xlsx, Anlagespiegel!O165 · gedruckt '0,00'</t>
      </text>
    </comment>
    <comment ref="T35" authorId="0" shapeId="0">
      <text>
        <t>Quelle: f02_asset_spiegel_03.xlsx, Anlagespiegel!M165 · gedruckt '0,00'</t>
      </text>
    </comment>
    <comment ref="D36" authorId="0" shapeId="0">
      <text>
        <t>Quelle: f02_asset_spiegel_03.xlsx, Anlagespiegel!F166 · gedruckt '1.515,76'</t>
      </text>
    </comment>
    <comment ref="E36" authorId="0" shapeId="0">
      <text>
        <t>Quelle: f02_asset_spiegel_03.xlsx, Anlagespiegel!G166 · gedruckt '2.316,03'</t>
      </text>
    </comment>
    <comment ref="F36" authorId="0" shapeId="0">
      <text>
        <t>Quelle: f02_asset_spiegel_03.xlsx, Anlagespiegel!I166 · gedruckt '0,00'</t>
      </text>
    </comment>
    <comment ref="G36" authorId="0" shapeId="0">
      <text>
        <t>Quelle: f02_asset_spiegel_03.xlsx, Anlagespiegel!J166 · gedruckt '0,00'</t>
      </text>
    </comment>
    <comment ref="L36" authorId="0" shapeId="0">
      <text>
        <t>Quelle: f02_asset_spiegel_03.xlsx, Anlagespiegel!L166 · gedruckt '2.316,03'</t>
      </text>
    </comment>
    <comment ref="O36" authorId="0" shapeId="0">
      <text>
        <t>Quelle: f02_asset_spiegel_03.xlsx, Anlagespiegel!K166 · gedruckt '0,00'</t>
      </text>
    </comment>
    <comment ref="R36" authorId="0" shapeId="0">
      <text>
        <t>Quelle: f02_asset_spiegel_03.xlsx, Anlagespiegel!N166 · gedruckt '3.831,79'</t>
      </text>
    </comment>
    <comment ref="S36" authorId="0" shapeId="0">
      <text>
        <t>Quelle: f02_asset_spiegel_03.xlsx, Anlagespiegel!O166 · gedruckt '0,00'</t>
      </text>
    </comment>
    <comment ref="T36" authorId="0" shapeId="0">
      <text>
        <t>Quelle: f02_asset_spiegel_03.xlsx, Anlagespiegel!M166 · gedruckt '0,00'</t>
      </text>
    </comment>
    <comment ref="D37" authorId="0" shapeId="0">
      <text>
        <t>Quelle: f02_asset_spiegel_03.xlsx, Anlagespiegel!F170 · gedruckt '229.055,00'</t>
      </text>
    </comment>
    <comment ref="E37" authorId="0" shapeId="0">
      <text>
        <t>Quelle: f02_asset_spiegel_03.xlsx, Anlagespiegel!G170 · gedruckt '43.049,31'</t>
      </text>
    </comment>
    <comment ref="F37" authorId="0" shapeId="0">
      <text>
        <t>Quelle: f02_asset_spiegel_03.xlsx, Anlagespiegel!I170 · gedruckt '0,00'</t>
      </text>
    </comment>
    <comment ref="G37" authorId="0" shapeId="0">
      <text>
        <t>Quelle: f02_asset_spiegel_03.xlsx, Anlagespiegel!J170 · gedruckt '-272.104,31'</t>
      </text>
    </comment>
    <comment ref="L37" authorId="0" shapeId="0">
      <text>
        <t>Quelle: f02_asset_spiegel_03.xlsx, Anlagespiegel!L170 · gedruckt '0,00'</t>
      </text>
    </comment>
    <comment ref="O37" authorId="0" shapeId="0">
      <text>
        <t>Quelle: f02_asset_spiegel_03.xlsx, Anlagespiegel!K170 · gedruckt '0,00'</t>
      </text>
    </comment>
    <comment ref="R37" authorId="0" shapeId="0">
      <text>
        <t>Quelle: f02_asset_spiegel_03.xlsx, Anlagespiegel!N170 · gedruckt '0,00'</t>
      </text>
    </comment>
    <comment ref="S37" authorId="0" shapeId="0">
      <text>
        <t>Quelle: f02_asset_spiegel_03.xlsx, Anlagespiegel!O170 · gedruckt '0,00'</t>
      </text>
    </comment>
    <comment ref="T37" authorId="0" shapeId="0">
      <text>
        <t>Quelle: f02_asset_spiegel_03.xlsx, Anlagespiegel!M170 · gedruckt '229.055,00'</t>
      </text>
    </comment>
    <comment ref="D38" authorId="0" shapeId="0">
      <text>
        <t>Quelle: f02_asset_spiegel_03.xlsx, Anlagespiegel!F171 · gedruckt '229.055,00'</t>
      </text>
    </comment>
    <comment ref="E38" authorId="0" shapeId="0">
      <text>
        <t>Quelle: f02_asset_spiegel_03.xlsx, Anlagespiegel!G171 · gedruckt '43.049,31'</t>
      </text>
    </comment>
    <comment ref="F38" authorId="0" shapeId="0">
      <text>
        <t>Quelle: f02_asset_spiegel_03.xlsx, Anlagespiegel!I171 · gedruckt '0,00'</t>
      </text>
    </comment>
    <comment ref="G38" authorId="0" shapeId="0">
      <text>
        <t>Quelle: f02_asset_spiegel_03.xlsx, Anlagespiegel!J171 · gedruckt '-272.104,31'</t>
      </text>
    </comment>
    <comment ref="L38" authorId="0" shapeId="0">
      <text>
        <t>Quelle: f02_asset_spiegel_03.xlsx, Anlagespiegel!L171 · gedruckt '0,00'</t>
      </text>
    </comment>
    <comment ref="O38" authorId="0" shapeId="0">
      <text>
        <t>Quelle: f02_asset_spiegel_03.xlsx, Anlagespiegel!K171 · gedruckt '0,00'</t>
      </text>
    </comment>
    <comment ref="R38" authorId="0" shapeId="0">
      <text>
        <t>Quelle: f02_asset_spiegel_03.xlsx, Anlagespiegel!N171 · gedruckt '0,00'</t>
      </text>
    </comment>
    <comment ref="S38" authorId="0" shapeId="0">
      <text>
        <t>Quelle: f02_asset_spiegel_03.xlsx, Anlagespiegel!O171 · gedruckt '0,00'</t>
      </text>
    </comment>
    <comment ref="T38" authorId="0" shapeId="0">
      <text>
        <t>Quelle: f02_asset_spiegel_03.xlsx, Anlagespiegel!M171 · gedruckt '229.055,00'</t>
      </text>
    </comment>
  </commentList>
</comments>
</file>

<file path=xl/comments/comment2.xml><?xml version="1.0" encoding="utf-8"?>
<comments xmlns="http://schemas.openxmlformats.org/spreadsheetml/2006/main">
  <authors>
    <author>Datenübernahme</author>
  </authors>
  <commentList>
    <comment ref="W2" authorId="0" shapeId="0">
      <text>
        <t>Quelle: f02_asset_spiegel_03.xlsx, Anlagespiegel!F9 · gedruckt '1.904,00'</t>
      </text>
    </comment>
    <comment ref="X2" authorId="0" shapeId="0">
      <text>
        <t>Quelle: f02_asset_spiegel_03.xlsx, Anlagespiegel!G9 · leer gedruckt (= 0)</t>
      </text>
    </comment>
    <comment ref="Y2" authorId="0" shapeId="0">
      <text>
        <t>Quelle: f02_asset_spiegel_03.xlsx, Anlagespiegel!I9 · leer gedruckt (= 0)</t>
      </text>
    </comment>
    <comment ref="Z2" authorId="0" shapeId="0">
      <text>
        <t>Quelle: f02_asset_spiegel_03.xlsx, Anlagespiegel!J9 · leer gedruckt (= 0)</t>
      </text>
    </comment>
    <comment ref="AC2" authorId="0" shapeId="0">
      <text>
        <t>Quelle: f02_asset_spiegel_03.xlsx, Anlagespiegel!L9 · gedruckt '0,00'</t>
      </text>
    </comment>
    <comment ref="AF2" authorId="0" shapeId="0">
      <text>
        <t>Quelle: f02_asset_spiegel_03.xlsx, Anlagespiegel!K9 · leer gedruckt (= 0)</t>
      </text>
    </comment>
    <comment ref="AH2" authorId="0" shapeId="0">
      <text>
        <t>Quelle: f02_asset_spiegel_03.xlsx, Anlagespiegel!N9 · gedruckt '1.903,00'</t>
      </text>
    </comment>
    <comment ref="AI2" authorId="0" shapeId="0">
      <text>
        <t>Quelle: f02_asset_spiegel_03.xlsx, Anlagespiegel!O9 · gedruckt '1,00'</t>
      </text>
    </comment>
    <comment ref="AJ2" authorId="0" shapeId="0">
      <text>
        <t>Quelle: f02_asset_spiegel_03.xlsx, Anlagespiegel!M9 · gedruckt '1,00'</t>
      </text>
    </comment>
    <comment ref="W3" authorId="0" shapeId="0">
      <text>
        <t>Quelle: f02_asset_spiegel_03.xlsx, Anlagespiegel!F10 · gedruckt '6.313,78'</t>
      </text>
    </comment>
    <comment ref="X3" authorId="0" shapeId="0">
      <text>
        <t>Quelle: f02_asset_spiegel_03.xlsx, Anlagespiegel!G10 · leer gedruckt (= 0)</t>
      </text>
    </comment>
    <comment ref="Y3" authorId="0" shapeId="0">
      <text>
        <t>Quelle: f02_asset_spiegel_03.xlsx, Anlagespiegel!I10 · leer gedruckt (= 0)</t>
      </text>
    </comment>
    <comment ref="Z3" authorId="0" shapeId="0">
      <text>
        <t>Quelle: f02_asset_spiegel_03.xlsx, Anlagespiegel!J10 · leer gedruckt (= 0)</t>
      </text>
    </comment>
    <comment ref="AC3" authorId="0" shapeId="0">
      <text>
        <t>Quelle: f02_asset_spiegel_03.xlsx, Anlagespiegel!L10 · gedruckt '0,00'</t>
      </text>
    </comment>
    <comment ref="AF3" authorId="0" shapeId="0">
      <text>
        <t>Quelle: f02_asset_spiegel_03.xlsx, Anlagespiegel!K10 · leer gedruckt (= 0)</t>
      </text>
    </comment>
    <comment ref="AH3" authorId="0" shapeId="0">
      <text>
        <t>Quelle: f02_asset_spiegel_03.xlsx, Anlagespiegel!N10 · gedruckt '6.312,78'</t>
      </text>
    </comment>
    <comment ref="AI3" authorId="0" shapeId="0">
      <text>
        <t>Quelle: f02_asset_spiegel_03.xlsx, Anlagespiegel!O10 · gedruckt '1,00'</t>
      </text>
    </comment>
    <comment ref="AJ3" authorId="0" shapeId="0">
      <text>
        <t>Quelle: f02_asset_spiegel_03.xlsx, Anlagespiegel!M10 · gedruckt '1,00'</t>
      </text>
    </comment>
    <comment ref="W4" authorId="0" shapeId="0">
      <text>
        <t>Quelle: f02_asset_spiegel_03.xlsx, Anlagespiegel!F11 · gedruckt '71.456,26'</t>
      </text>
    </comment>
    <comment ref="X4" authorId="0" shapeId="0">
      <text>
        <t>Quelle: f02_asset_spiegel_03.xlsx, Anlagespiegel!G11 · leer gedruckt (= 0)</t>
      </text>
    </comment>
    <comment ref="Y4" authorId="0" shapeId="0">
      <text>
        <t>Quelle: f02_asset_spiegel_03.xlsx, Anlagespiegel!I11 · leer gedruckt (= 0)</t>
      </text>
    </comment>
    <comment ref="Z4" authorId="0" shapeId="0">
      <text>
        <t>Quelle: f02_asset_spiegel_03.xlsx, Anlagespiegel!J11 · leer gedruckt (= 0)</t>
      </text>
    </comment>
    <comment ref="AC4" authorId="0" shapeId="0">
      <text>
        <t>Quelle: f02_asset_spiegel_03.xlsx, Anlagespiegel!L11 · gedruckt '0,00'</t>
      </text>
    </comment>
    <comment ref="AF4" authorId="0" shapeId="0">
      <text>
        <t>Quelle: f02_asset_spiegel_03.xlsx, Anlagespiegel!K11 · leer gedruckt (= 0)</t>
      </text>
    </comment>
    <comment ref="AH4" authorId="0" shapeId="0">
      <text>
        <t>Quelle: f02_asset_spiegel_03.xlsx, Anlagespiegel!N11 · gedruckt '71.455,26'</t>
      </text>
    </comment>
    <comment ref="AI4" authorId="0" shapeId="0">
      <text>
        <t>Quelle: f02_asset_spiegel_03.xlsx, Anlagespiegel!O11 · gedruckt '1,00'</t>
      </text>
    </comment>
    <comment ref="AJ4" authorId="0" shapeId="0">
      <text>
        <t>Quelle: f02_asset_spiegel_03.xlsx, Anlagespiegel!M11 · gedruckt '1,00'</t>
      </text>
    </comment>
    <comment ref="W5" authorId="0" shapeId="0">
      <text>
        <t>Quelle: f02_asset_spiegel_03.xlsx, Anlagespiegel!F12 · gedruckt '110.494,86'</t>
      </text>
    </comment>
    <comment ref="X5" authorId="0" shapeId="0">
      <text>
        <t>Quelle: f02_asset_spiegel_03.xlsx, Anlagespiegel!G12 · leer gedruckt (= 0)</t>
      </text>
    </comment>
    <comment ref="Y5" authorId="0" shapeId="0">
      <text>
        <t>Quelle: f02_asset_spiegel_03.xlsx, Anlagespiegel!I12 · leer gedruckt (= 0)</t>
      </text>
    </comment>
    <comment ref="Z5" authorId="0" shapeId="0">
      <text>
        <t>Quelle: f02_asset_spiegel_03.xlsx, Anlagespiegel!J12 · leer gedruckt (= 0)</t>
      </text>
    </comment>
    <comment ref="AC5" authorId="0" shapeId="0">
      <text>
        <t>Quelle: f02_asset_spiegel_03.xlsx, Anlagespiegel!L12 · gedruckt '0,00'</t>
      </text>
    </comment>
    <comment ref="AF5" authorId="0" shapeId="0">
      <text>
        <t>Quelle: f02_asset_spiegel_03.xlsx, Anlagespiegel!K12 · leer gedruckt (= 0)</t>
      </text>
    </comment>
    <comment ref="AH5" authorId="0" shapeId="0">
      <text>
        <t>Quelle: f02_asset_spiegel_03.xlsx, Anlagespiegel!N12 · gedruckt '110.493,86'</t>
      </text>
    </comment>
    <comment ref="AI5" authorId="0" shapeId="0">
      <text>
        <t>Quelle: f02_asset_spiegel_03.xlsx, Anlagespiegel!O12 · gedruckt '1,00'</t>
      </text>
    </comment>
    <comment ref="AJ5" authorId="0" shapeId="0">
      <text>
        <t>Quelle: f02_asset_spiegel_03.xlsx, Anlagespiegel!M12 · gedruckt '1,00'</t>
      </text>
    </comment>
    <comment ref="W6" authorId="0" shapeId="0">
      <text>
        <t>Quelle: f02_asset_spiegel_03.xlsx, Anlagespiegel!F13 · gedruckt '2.213,33'</t>
      </text>
    </comment>
    <comment ref="X6" authorId="0" shapeId="0">
      <text>
        <t>Quelle: f02_asset_spiegel_03.xlsx, Anlagespiegel!G13 · leer gedruckt (= 0)</t>
      </text>
    </comment>
    <comment ref="Y6" authorId="0" shapeId="0">
      <text>
        <t>Quelle: f02_asset_spiegel_03.xlsx, Anlagespiegel!I13 · leer gedruckt (= 0)</t>
      </text>
    </comment>
    <comment ref="Z6" authorId="0" shapeId="0">
      <text>
        <t>Quelle: f02_asset_spiegel_03.xlsx, Anlagespiegel!J13 · leer gedruckt (= 0)</t>
      </text>
    </comment>
    <comment ref="AC6" authorId="0" shapeId="0">
      <text>
        <t>Quelle: f02_asset_spiegel_03.xlsx, Anlagespiegel!L13 · gedruckt '0,00'</t>
      </text>
    </comment>
    <comment ref="AF6" authorId="0" shapeId="0">
      <text>
        <t>Quelle: f02_asset_spiegel_03.xlsx, Anlagespiegel!K13 · leer gedruckt (= 0)</t>
      </text>
    </comment>
    <comment ref="AH6" authorId="0" shapeId="0">
      <text>
        <t>Quelle: f02_asset_spiegel_03.xlsx, Anlagespiegel!N13 · gedruckt '2.212,33'</t>
      </text>
    </comment>
    <comment ref="AI6" authorId="0" shapeId="0">
      <text>
        <t>Quelle: f02_asset_spiegel_03.xlsx, Anlagespiegel!O13 · gedruckt '1,00'</t>
      </text>
    </comment>
    <comment ref="AJ6" authorId="0" shapeId="0">
      <text>
        <t>Quelle: f02_asset_spiegel_03.xlsx, Anlagespiegel!M13 · gedruckt '1,00'</t>
      </text>
    </comment>
    <comment ref="W7" authorId="0" shapeId="0">
      <text>
        <t>Quelle: f02_asset_spiegel_03.xlsx, Anlagespiegel!F14 · gedruckt '1.749,47'</t>
      </text>
    </comment>
    <comment ref="X7" authorId="0" shapeId="0">
      <text>
        <t>Quelle: f02_asset_spiegel_03.xlsx, Anlagespiegel!G14 · leer gedruckt (= 0)</t>
      </text>
    </comment>
    <comment ref="Y7" authorId="0" shapeId="0">
      <text>
        <t>Quelle: f02_asset_spiegel_03.xlsx, Anlagespiegel!I14 · leer gedruckt (= 0)</t>
      </text>
    </comment>
    <comment ref="Z7" authorId="0" shapeId="0">
      <text>
        <t>Quelle: f02_asset_spiegel_03.xlsx, Anlagespiegel!J14 · leer gedruckt (= 0)</t>
      </text>
    </comment>
    <comment ref="AC7" authorId="0" shapeId="0">
      <text>
        <t>Quelle: f02_asset_spiegel_03.xlsx, Anlagespiegel!L14 · gedruckt '0,00'</t>
      </text>
    </comment>
    <comment ref="AF7" authorId="0" shapeId="0">
      <text>
        <t>Quelle: f02_asset_spiegel_03.xlsx, Anlagespiegel!K14 · leer gedruckt (= 0)</t>
      </text>
    </comment>
    <comment ref="AH7" authorId="0" shapeId="0">
      <text>
        <t>Quelle: f02_asset_spiegel_03.xlsx, Anlagespiegel!N14 · gedruckt '1.748,47'</t>
      </text>
    </comment>
    <comment ref="AI7" authorId="0" shapeId="0">
      <text>
        <t>Quelle: f02_asset_spiegel_03.xlsx, Anlagespiegel!O14 · gedruckt '1,00'</t>
      </text>
    </comment>
    <comment ref="AJ7" authorId="0" shapeId="0">
      <text>
        <t>Quelle: f02_asset_spiegel_03.xlsx, Anlagespiegel!M14 · gedruckt '1,00'</t>
      </text>
    </comment>
    <comment ref="W8" authorId="0" shapeId="0">
      <text>
        <t>Quelle: f02_asset_spiegel_03.xlsx, Anlagespiegel!F15 · gedruckt '101.815,00'</t>
      </text>
    </comment>
    <comment ref="X8" authorId="0" shapeId="0">
      <text>
        <t>Quelle: f02_asset_spiegel_03.xlsx, Anlagespiegel!G15 · leer gedruckt (= 0)</t>
      </text>
    </comment>
    <comment ref="Y8" authorId="0" shapeId="0">
      <text>
        <t>Quelle: f02_asset_spiegel_03.xlsx, Anlagespiegel!I15 · leer gedruckt (= 0)</t>
      </text>
    </comment>
    <comment ref="Z8" authorId="0" shapeId="0">
      <text>
        <t>Quelle: f02_asset_spiegel_03.xlsx, Anlagespiegel!J15 · leer gedruckt (= 0)</t>
      </text>
    </comment>
    <comment ref="AC8" authorId="0" shapeId="0">
      <text>
        <t>Quelle: f02_asset_spiegel_03.xlsx, Anlagespiegel!L15 · gedruckt '0,00'</t>
      </text>
    </comment>
    <comment ref="AF8" authorId="0" shapeId="0">
      <text>
        <t>Quelle: f02_asset_spiegel_03.xlsx, Anlagespiegel!K15 · leer gedruckt (= 0)</t>
      </text>
    </comment>
    <comment ref="AH8" authorId="0" shapeId="0">
      <text>
        <t>Quelle: f02_asset_spiegel_03.xlsx, Anlagespiegel!N15 · gedruckt '101.814,00'</t>
      </text>
    </comment>
    <comment ref="AI8" authorId="0" shapeId="0">
      <text>
        <t>Quelle: f02_asset_spiegel_03.xlsx, Anlagespiegel!O15 · gedruckt '1,00'</t>
      </text>
    </comment>
    <comment ref="AJ8" authorId="0" shapeId="0">
      <text>
        <t>Quelle: f02_asset_spiegel_03.xlsx, Anlagespiegel!M15 · gedruckt '1,00'</t>
      </text>
    </comment>
    <comment ref="W9" authorId="0" shapeId="0">
      <text>
        <t>Quelle: f02_asset_spiegel_03.xlsx, Anlagespiegel!F16 · gedruckt '20.388,77'</t>
      </text>
    </comment>
    <comment ref="X9" authorId="0" shapeId="0">
      <text>
        <t>Quelle: f02_asset_spiegel_03.xlsx, Anlagespiegel!G16 · leer gedruckt (= 0)</t>
      </text>
    </comment>
    <comment ref="Y9" authorId="0" shapeId="0">
      <text>
        <t>Quelle: f02_asset_spiegel_03.xlsx, Anlagespiegel!I16 · leer gedruckt (= 0)</t>
      </text>
    </comment>
    <comment ref="Z9" authorId="0" shapeId="0">
      <text>
        <t>Quelle: f02_asset_spiegel_03.xlsx, Anlagespiegel!J16 · leer gedruckt (= 0)</t>
      </text>
    </comment>
    <comment ref="AC9" authorId="0" shapeId="0">
      <text>
        <t>Quelle: f02_asset_spiegel_03.xlsx, Anlagespiegel!L16 · gedruckt '0,00'</t>
      </text>
    </comment>
    <comment ref="AF9" authorId="0" shapeId="0">
      <text>
        <t>Quelle: f02_asset_spiegel_03.xlsx, Anlagespiegel!K16 · leer gedruckt (= 0)</t>
      </text>
    </comment>
    <comment ref="AH9" authorId="0" shapeId="0">
      <text>
        <t>Quelle: f02_asset_spiegel_03.xlsx, Anlagespiegel!N16 · gedruckt '20.387,77'</t>
      </text>
    </comment>
    <comment ref="AI9" authorId="0" shapeId="0">
      <text>
        <t>Quelle: f02_asset_spiegel_03.xlsx, Anlagespiegel!O16 · gedruckt '1,00'</t>
      </text>
    </comment>
    <comment ref="AJ9" authorId="0" shapeId="0">
      <text>
        <t>Quelle: f02_asset_spiegel_03.xlsx, Anlagespiegel!M16 · gedruckt '1,00'</t>
      </text>
    </comment>
    <comment ref="W10" authorId="0" shapeId="0">
      <text>
        <t>Quelle: f02_asset_spiegel_03.xlsx, Anlagespiegel!F17 · gedruckt '3.941,39'</t>
      </text>
    </comment>
    <comment ref="X10" authorId="0" shapeId="0">
      <text>
        <t>Quelle: f02_asset_spiegel_03.xlsx, Anlagespiegel!G17 · leer gedruckt (= 0)</t>
      </text>
    </comment>
    <comment ref="Y10" authorId="0" shapeId="0">
      <text>
        <t>Quelle: f02_asset_spiegel_03.xlsx, Anlagespiegel!I17 · leer gedruckt (= 0)</t>
      </text>
    </comment>
    <comment ref="Z10" authorId="0" shapeId="0">
      <text>
        <t>Quelle: f02_asset_spiegel_03.xlsx, Anlagespiegel!J17 · leer gedruckt (= 0)</t>
      </text>
    </comment>
    <comment ref="AC10" authorId="0" shapeId="0">
      <text>
        <t>Quelle: f02_asset_spiegel_03.xlsx, Anlagespiegel!L17 · gedruckt '874,86'</t>
      </text>
    </comment>
    <comment ref="AF10" authorId="0" shapeId="0">
      <text>
        <t>Quelle: f02_asset_spiegel_03.xlsx, Anlagespiegel!K17 · leer gedruckt (= 0)</t>
      </text>
    </comment>
    <comment ref="AH10" authorId="0" shapeId="0">
      <text>
        <t>Quelle: f02_asset_spiegel_03.xlsx, Anlagespiegel!N17 · gedruckt '3.940,39'</t>
      </text>
    </comment>
    <comment ref="AI10" authorId="0" shapeId="0">
      <text>
        <t>Quelle: f02_asset_spiegel_03.xlsx, Anlagespiegel!O17 · gedruckt '1,00'</t>
      </text>
    </comment>
    <comment ref="AJ10" authorId="0" shapeId="0">
      <text>
        <t>Quelle: f02_asset_spiegel_03.xlsx, Anlagespiegel!M17 · gedruckt '875,86'</t>
      </text>
    </comment>
    <comment ref="W11" authorId="0" shapeId="0">
      <text>
        <t>Quelle: f02_asset_spiegel_03.xlsx, Anlagespiegel!F18 · gedruckt '107.840,00'</t>
      </text>
    </comment>
    <comment ref="X11" authorId="0" shapeId="0">
      <text>
        <t>Quelle: f02_asset_spiegel_03.xlsx, Anlagespiegel!G18 · leer gedruckt (= 0)</t>
      </text>
    </comment>
    <comment ref="Y11" authorId="0" shapeId="0">
      <text>
        <t>Quelle: f02_asset_spiegel_03.xlsx, Anlagespiegel!I18 · leer gedruckt (= 0)</t>
      </text>
    </comment>
    <comment ref="Z11" authorId="0" shapeId="0">
      <text>
        <t>Quelle: f02_asset_spiegel_03.xlsx, Anlagespiegel!J18 · leer gedruckt (= 0)</t>
      </text>
    </comment>
    <comment ref="AC11" authorId="0" shapeId="0">
      <text>
        <t>Quelle: f02_asset_spiegel_03.xlsx, Anlagespiegel!L18 · gedruckt '21.568,00'</t>
      </text>
    </comment>
    <comment ref="AF11" authorId="0" shapeId="0">
      <text>
        <t>Quelle: f02_asset_spiegel_03.xlsx, Anlagespiegel!K18 · leer gedruckt (= 0)</t>
      </text>
    </comment>
    <comment ref="AH11" authorId="0" shapeId="0">
      <text>
        <t>Quelle: f02_asset_spiegel_03.xlsx, Anlagespiegel!N18 · gedruckt '23.365,33'</t>
      </text>
    </comment>
    <comment ref="AI11" authorId="0" shapeId="0">
      <text>
        <t>Quelle: f02_asset_spiegel_03.xlsx, Anlagespiegel!O18 · gedruckt '84.474,67'</t>
      </text>
    </comment>
    <comment ref="AJ11" authorId="0" shapeId="0">
      <text>
        <t>Quelle: f02_asset_spiegel_03.xlsx, Anlagespiegel!M18 · gedruckt '106.042,67'</t>
      </text>
    </comment>
    <comment ref="W12" authorId="0" shapeId="0">
      <text>
        <t>Quelle: f02_asset_spiegel_03.xlsx, Anlagespiegel!F19 · gedruckt '0,00'</t>
      </text>
    </comment>
    <comment ref="X12" authorId="0" shapeId="0">
      <text>
        <t>Quelle: f02_asset_spiegel_03.xlsx, Anlagespiegel!G19 · gedruckt '6.843,42'</t>
      </text>
    </comment>
    <comment ref="Y12" authorId="0" shapeId="0">
      <text>
        <t>Quelle: f02_asset_spiegel_03.xlsx, Anlagespiegel!I19 · leer gedruckt (= 0)</t>
      </text>
    </comment>
    <comment ref="Z12" authorId="0" shapeId="0">
      <text>
        <t>Quelle: f02_asset_spiegel_03.xlsx, Anlagespiegel!J19 · leer gedruckt (= 0)</t>
      </text>
    </comment>
    <comment ref="AC12" authorId="0" shapeId="0">
      <text>
        <t>Quelle: f02_asset_spiegel_03.xlsx, Anlagespiegel!L19 · gedruckt '1.254,63'</t>
      </text>
    </comment>
    <comment ref="AF12" authorId="0" shapeId="0">
      <text>
        <t>Quelle: f02_asset_spiegel_03.xlsx, Anlagespiegel!K19 · leer gedruckt (= 0)</t>
      </text>
    </comment>
    <comment ref="AH12" authorId="0" shapeId="0">
      <text>
        <t>Quelle: f02_asset_spiegel_03.xlsx, Anlagespiegel!N19 · gedruckt '1.254,63'</t>
      </text>
    </comment>
    <comment ref="AI12" authorId="0" shapeId="0">
      <text>
        <t>Quelle: f02_asset_spiegel_03.xlsx, Anlagespiegel!O19 · gedruckt '5.588,79'</t>
      </text>
    </comment>
    <comment ref="AJ12" authorId="0" shapeId="0">
      <text>
        <t>Quelle: f02_asset_spiegel_03.xlsx, Anlagespiegel!M19 · gedruckt '0,00'</t>
      </text>
    </comment>
    <comment ref="W13" authorId="0" shapeId="0">
      <text>
        <t>Quelle: f02_asset_spiegel_03.xlsx, Anlagespiegel!F26 · gedruckt '57.853,61'</t>
      </text>
    </comment>
    <comment ref="X13" authorId="0" shapeId="0">
      <text>
        <t>Quelle: f02_asset_spiegel_03.xlsx, Anlagespiegel!G26 · leer gedruckt (= 0)</t>
      </text>
    </comment>
    <comment ref="Y13" authorId="0" shapeId="0">
      <text>
        <t>Quelle: f02_asset_spiegel_03.xlsx, Anlagespiegel!I26 · leer gedruckt (= 0)</t>
      </text>
    </comment>
    <comment ref="Z13" authorId="0" shapeId="0">
      <text>
        <t>Quelle: f02_asset_spiegel_03.xlsx, Anlagespiegel!J26 · leer gedruckt (= 0)</t>
      </text>
    </comment>
    <comment ref="AC13" authorId="0" shapeId="0">
      <text>
        <t>Quelle: f02_asset_spiegel_03.xlsx, Anlagespiegel!L26 · gedruckt '0,00'</t>
      </text>
    </comment>
    <comment ref="AF13" authorId="0" shapeId="0">
      <text>
        <t>Quelle: f02_asset_spiegel_03.xlsx, Anlagespiegel!K26 · leer gedruckt (= 0)</t>
      </text>
    </comment>
    <comment ref="AH13" authorId="0" shapeId="0">
      <text>
        <t>Quelle: f02_asset_spiegel_03.xlsx, Anlagespiegel!N26 · gedruckt '0,00'</t>
      </text>
    </comment>
    <comment ref="AI13" authorId="0" shapeId="0">
      <text>
        <t>Quelle: f02_asset_spiegel_03.xlsx, Anlagespiegel!O26 · gedruckt '57.853,61'</t>
      </text>
    </comment>
    <comment ref="AJ13" authorId="0" shapeId="0">
      <text>
        <t>Quelle: f02_asset_spiegel_03.xlsx, Anlagespiegel!M26 · gedruckt '57.853,61'</t>
      </text>
    </comment>
    <comment ref="W14" authorId="0" shapeId="0">
      <text>
        <t>Quelle: f02_asset_spiegel_03.xlsx, Anlagespiegel!F33 · gedruckt '217.231,00'</t>
      </text>
    </comment>
    <comment ref="X14" authorId="0" shapeId="0">
      <text>
        <t>Quelle: f02_asset_spiegel_03.xlsx, Anlagespiegel!G33 · leer gedruckt (= 0)</t>
      </text>
    </comment>
    <comment ref="Y14" authorId="0" shapeId="0">
      <text>
        <t>Quelle: f02_asset_spiegel_03.xlsx, Anlagespiegel!I33 · leer gedruckt (= 0)</t>
      </text>
    </comment>
    <comment ref="Z14" authorId="0" shapeId="0">
      <text>
        <t>Quelle: f02_asset_spiegel_03.xlsx, Anlagespiegel!J33 · leer gedruckt (= 0)</t>
      </text>
    </comment>
    <comment ref="AC14" authorId="0" shapeId="0">
      <text>
        <t>Quelle: f02_asset_spiegel_03.xlsx, Anlagespiegel!L33 · gedruckt '0,00'</t>
      </text>
    </comment>
    <comment ref="AF14" authorId="0" shapeId="0">
      <text>
        <t>Quelle: f02_asset_spiegel_03.xlsx, Anlagespiegel!K33 · leer gedruckt (= 0)</t>
      </text>
    </comment>
    <comment ref="AH14" authorId="0" shapeId="0">
      <text>
        <t>Quelle: f02_asset_spiegel_03.xlsx, Anlagespiegel!N33 · gedruckt '217.230,00'</t>
      </text>
    </comment>
    <comment ref="AI14" authorId="0" shapeId="0">
      <text>
        <t>Quelle: f02_asset_spiegel_03.xlsx, Anlagespiegel!O33 · gedruckt '1,00'</t>
      </text>
    </comment>
    <comment ref="AJ14" authorId="0" shapeId="0">
      <text>
        <t>Quelle: f02_asset_spiegel_03.xlsx, Anlagespiegel!M33 · gedruckt '1,00'</t>
      </text>
    </comment>
    <comment ref="W15" authorId="0" shapeId="0">
      <text>
        <t>Quelle: f02_asset_spiegel_03.xlsx, Anlagespiegel!F34 · gedruckt '56.440,34'</t>
      </text>
    </comment>
    <comment ref="X15" authorId="0" shapeId="0">
      <text>
        <t>Quelle: f02_asset_spiegel_03.xlsx, Anlagespiegel!G34 · leer gedruckt (= 0)</t>
      </text>
    </comment>
    <comment ref="Y15" authorId="0" shapeId="0">
      <text>
        <t>Quelle: f02_asset_spiegel_03.xlsx, Anlagespiegel!I34 · leer gedruckt (= 0)</t>
      </text>
    </comment>
    <comment ref="Z15" authorId="0" shapeId="0">
      <text>
        <t>Quelle: f02_asset_spiegel_03.xlsx, Anlagespiegel!J34 · leer gedruckt (= 0)</t>
      </text>
    </comment>
    <comment ref="AC15" authorId="0" shapeId="0">
      <text>
        <t>Quelle: f02_asset_spiegel_03.xlsx, Anlagespiegel!L34 · gedruckt '1.710,31'</t>
      </text>
    </comment>
    <comment ref="AF15" authorId="0" shapeId="0">
      <text>
        <t>Quelle: f02_asset_spiegel_03.xlsx, Anlagespiegel!K34 · leer gedruckt (= 0)</t>
      </text>
    </comment>
    <comment ref="AH15" authorId="0" shapeId="0">
      <text>
        <t>Quelle: f02_asset_spiegel_03.xlsx, Anlagespiegel!N34 · gedruckt '46.891,09'</t>
      </text>
    </comment>
    <comment ref="AI15" authorId="0" shapeId="0">
      <text>
        <t>Quelle: f02_asset_spiegel_03.xlsx, Anlagespiegel!O34 · gedruckt '9.549,25'</t>
      </text>
    </comment>
    <comment ref="AJ15" authorId="0" shapeId="0">
      <text>
        <t>Quelle: f02_asset_spiegel_03.xlsx, Anlagespiegel!M34 · gedruckt '11.259,56'</t>
      </text>
    </comment>
    <comment ref="W16" authorId="0" shapeId="0">
      <text>
        <t>Quelle: f02_asset_spiegel_03.xlsx, Anlagespiegel!F35 · gedruckt '1.359.040,00'</t>
      </text>
    </comment>
    <comment ref="X16" authorId="0" shapeId="0">
      <text>
        <t>Quelle: f02_asset_spiegel_03.xlsx, Anlagespiegel!G35 · leer gedruckt (= 0)</t>
      </text>
    </comment>
    <comment ref="Y16" authorId="0" shapeId="0">
      <text>
        <t>Quelle: f02_asset_spiegel_03.xlsx, Anlagespiegel!I35 · leer gedruckt (= 0)</t>
      </text>
    </comment>
    <comment ref="Z16" authorId="0" shapeId="0">
      <text>
        <t>Quelle: f02_asset_spiegel_03.xlsx, Anlagespiegel!J35 · leer gedruckt (= 0)</t>
      </text>
    </comment>
    <comment ref="AC16" authorId="0" shapeId="0">
      <text>
        <t>Quelle: f02_asset_spiegel_03.xlsx, Anlagespiegel!L35 · gedruckt '41.183,03'</t>
      </text>
    </comment>
    <comment ref="AF16" authorId="0" shapeId="0">
      <text>
        <t>Quelle: f02_asset_spiegel_03.xlsx, Anlagespiegel!K35 · leer gedruckt (= 0)</t>
      </text>
    </comment>
    <comment ref="AH16" authorId="0" shapeId="0">
      <text>
        <t>Quelle: f02_asset_spiegel_03.xlsx, Anlagespiegel!N35 · gedruckt '586.858,18'</t>
      </text>
    </comment>
    <comment ref="AI16" authorId="0" shapeId="0">
      <text>
        <t>Quelle: f02_asset_spiegel_03.xlsx, Anlagespiegel!O35 · gedruckt '772.181,82'</t>
      </text>
    </comment>
    <comment ref="AJ16" authorId="0" shapeId="0">
      <text>
        <t>Quelle: f02_asset_spiegel_03.xlsx, Anlagespiegel!M35 · gedruckt '813.364,85'</t>
      </text>
    </comment>
    <comment ref="W17" authorId="0" shapeId="0">
      <text>
        <t>Quelle: f02_asset_spiegel_03.xlsx, Anlagespiegel!F36 · gedruckt '350.536,42'</t>
      </text>
    </comment>
    <comment ref="X17" authorId="0" shapeId="0">
      <text>
        <t>Quelle: f02_asset_spiegel_03.xlsx, Anlagespiegel!G36 · leer gedruckt (= 0)</t>
      </text>
    </comment>
    <comment ref="Y17" authorId="0" shapeId="0">
      <text>
        <t>Quelle: f02_asset_spiegel_03.xlsx, Anlagespiegel!I36 · leer gedruckt (= 0)</t>
      </text>
    </comment>
    <comment ref="Z17" authorId="0" shapeId="0">
      <text>
        <t>Quelle: f02_asset_spiegel_03.xlsx, Anlagespiegel!J36 · leer gedruckt (= 0)</t>
      </text>
    </comment>
    <comment ref="AC17" authorId="0" shapeId="0">
      <text>
        <t>Quelle: f02_asset_spiegel_03.xlsx, Anlagespiegel!L36 · gedruckt '10.622,32'</t>
      </text>
    </comment>
    <comment ref="AF17" authorId="0" shapeId="0">
      <text>
        <t>Quelle: f02_asset_spiegel_03.xlsx, Anlagespiegel!K36 · leer gedruckt (= 0)</t>
      </text>
    </comment>
    <comment ref="AH17" authorId="0" shapeId="0">
      <text>
        <t>Quelle: f02_asset_spiegel_03.xlsx, Anlagespiegel!N36 · gedruckt '58.422,74'</t>
      </text>
    </comment>
    <comment ref="AI17" authorId="0" shapeId="0">
      <text>
        <t>Quelle: f02_asset_spiegel_03.xlsx, Anlagespiegel!O36 · gedruckt '292.113,68'</t>
      </text>
    </comment>
    <comment ref="AJ17" authorId="0" shapeId="0">
      <text>
        <t>Quelle: f02_asset_spiegel_03.xlsx, Anlagespiegel!M36 · gedruckt '302.736,00'</t>
      </text>
    </comment>
    <comment ref="W18" authorId="0" shapeId="0">
      <text>
        <t>Quelle: f02_asset_spiegel_03.xlsx, Anlagespiegel!F37 · gedruckt '678.291,92'</t>
      </text>
    </comment>
    <comment ref="X18" authorId="0" shapeId="0">
      <text>
        <t>Quelle: f02_asset_spiegel_03.xlsx, Anlagespiegel!G37 · leer gedruckt (= 0)</t>
      </text>
    </comment>
    <comment ref="Y18" authorId="0" shapeId="0">
      <text>
        <t>Quelle: f02_asset_spiegel_03.xlsx, Anlagespiegel!I37 · leer gedruckt (= 0)</t>
      </text>
    </comment>
    <comment ref="Z18" authorId="0" shapeId="0">
      <text>
        <t>Quelle: f02_asset_spiegel_03.xlsx, Anlagespiegel!J37 · leer gedruckt (= 0)</t>
      </text>
    </comment>
    <comment ref="AC18" authorId="0" shapeId="0">
      <text>
        <t>Quelle: f02_asset_spiegel_03.xlsx, Anlagespiegel!L37 · gedruckt '20.554,30'</t>
      </text>
    </comment>
    <comment ref="AF18" authorId="0" shapeId="0">
      <text>
        <t>Quelle: f02_asset_spiegel_03.xlsx, Anlagespiegel!K37 · leer gedruckt (= 0)</t>
      </text>
    </comment>
    <comment ref="AH18" authorId="0" shapeId="0">
      <text>
        <t>Quelle: f02_asset_spiegel_03.xlsx, Anlagespiegel!N37 · gedruckt '161.008,69'</t>
      </text>
    </comment>
    <comment ref="AI18" authorId="0" shapeId="0">
      <text>
        <t>Quelle: f02_asset_spiegel_03.xlsx, Anlagespiegel!O37 · gedruckt '517.283,23'</t>
      </text>
    </comment>
    <comment ref="AJ18" authorId="0" shapeId="0">
      <text>
        <t>Quelle: f02_asset_spiegel_03.xlsx, Anlagespiegel!M37 · gedruckt '537.837,53'</t>
      </text>
    </comment>
    <comment ref="W19" authorId="0" shapeId="0">
      <text>
        <t>Quelle: f02_asset_spiegel_03.xlsx, Anlagespiegel!F38 · gedruckt '168.570,19'</t>
      </text>
    </comment>
    <comment ref="X19" authorId="0" shapeId="0">
      <text>
        <t>Quelle: f02_asset_spiegel_03.xlsx, Anlagespiegel!G38 · leer gedruckt (= 0)</t>
      </text>
    </comment>
    <comment ref="Y19" authorId="0" shapeId="0">
      <text>
        <t>Quelle: f02_asset_spiegel_03.xlsx, Anlagespiegel!I38 · leer gedruckt (= 0)</t>
      </text>
    </comment>
    <comment ref="Z19" authorId="0" shapeId="0">
      <text>
        <t>Quelle: f02_asset_spiegel_03.xlsx, Anlagespiegel!J38 · leer gedruckt (= 0)</t>
      </text>
    </comment>
    <comment ref="AC19" authorId="0" shapeId="0">
      <text>
        <t>Quelle: f02_asset_spiegel_03.xlsx, Anlagespiegel!L38 · gedruckt '5.108,19'</t>
      </text>
    </comment>
    <comment ref="AF19" authorId="0" shapeId="0">
      <text>
        <t>Quelle: f02_asset_spiegel_03.xlsx, Anlagespiegel!K38 · leer gedruckt (= 0)</t>
      </text>
    </comment>
    <comment ref="AH19" authorId="0" shapeId="0">
      <text>
        <t>Quelle: f02_asset_spiegel_03.xlsx, Anlagespiegel!N38 · gedruckt '23.412,53'</t>
      </text>
    </comment>
    <comment ref="AI19" authorId="0" shapeId="0">
      <text>
        <t>Quelle: f02_asset_spiegel_03.xlsx, Anlagespiegel!O38 · gedruckt '145.157,66'</t>
      </text>
    </comment>
    <comment ref="AJ19" authorId="0" shapeId="0">
      <text>
        <t>Quelle: f02_asset_spiegel_03.xlsx, Anlagespiegel!M38 · gedruckt '150.265,85'</t>
      </text>
    </comment>
    <comment ref="W20" authorId="0" shapeId="0">
      <text>
        <t>Quelle: f02_asset_spiegel_03.xlsx, Anlagespiegel!F39 · gedruckt '641.861,00'</t>
      </text>
    </comment>
    <comment ref="X20" authorId="0" shapeId="0">
      <text>
        <t>Quelle: f02_asset_spiegel_03.xlsx, Anlagespiegel!G39 · leer gedruckt (= 0)</t>
      </text>
    </comment>
    <comment ref="Y20" authorId="0" shapeId="0">
      <text>
        <t>Quelle: f02_asset_spiegel_03.xlsx, Anlagespiegel!I39 · leer gedruckt (= 0)</t>
      </text>
    </comment>
    <comment ref="Z20" authorId="0" shapeId="0">
      <text>
        <t>Quelle: f02_asset_spiegel_03.xlsx, Anlagespiegel!J39 · leer gedruckt (= 0)</t>
      </text>
    </comment>
    <comment ref="AC20" authorId="0" shapeId="0">
      <text>
        <t>Quelle: f02_asset_spiegel_03.xlsx, Anlagespiegel!L39 · gedruckt '19.450,34'</t>
      </text>
    </comment>
    <comment ref="AF20" authorId="0" shapeId="0">
      <text>
        <t>Quelle: f02_asset_spiegel_03.xlsx, Anlagespiegel!K39 · leer gedruckt (= 0)</t>
      </text>
    </comment>
    <comment ref="AH20" authorId="0" shapeId="0">
      <text>
        <t>Quelle: f02_asset_spiegel_03.xlsx, Anlagespiegel!N39 · gedruckt '139.394,06'</t>
      </text>
    </comment>
    <comment ref="AI20" authorId="0" shapeId="0">
      <text>
        <t>Quelle: f02_asset_spiegel_03.xlsx, Anlagespiegel!O39 · gedruckt '502.466,94'</t>
      </text>
    </comment>
    <comment ref="AJ20" authorId="0" shapeId="0">
      <text>
        <t>Quelle: f02_asset_spiegel_03.xlsx, Anlagespiegel!M39 · gedruckt '521.917,28'</t>
      </text>
    </comment>
    <comment ref="W21" authorId="0" shapeId="0">
      <text>
        <t>Quelle: f02_asset_spiegel_03.xlsx, Anlagespiegel!F40 · gedruckt '136.128,79'</t>
      </text>
    </comment>
    <comment ref="X21" authorId="0" shapeId="0">
      <text>
        <t>Quelle: f02_asset_spiegel_03.xlsx, Anlagespiegel!G40 · leer gedruckt (= 0)</t>
      </text>
    </comment>
    <comment ref="Y21" authorId="0" shapeId="0">
      <text>
        <t>Quelle: f02_asset_spiegel_03.xlsx, Anlagespiegel!I40 · leer gedruckt (= 0)</t>
      </text>
    </comment>
    <comment ref="Z21" authorId="0" shapeId="0">
      <text>
        <t>Quelle: f02_asset_spiegel_03.xlsx, Anlagespiegel!J40 · leer gedruckt (= 0)</t>
      </text>
    </comment>
    <comment ref="AC21" authorId="0" shapeId="0">
      <text>
        <t>Quelle: f02_asset_spiegel_03.xlsx, Anlagespiegel!L40 · gedruckt '4.125,11'</t>
      </text>
    </comment>
    <comment ref="AF21" authorId="0" shapeId="0">
      <text>
        <t>Quelle: f02_asset_spiegel_03.xlsx, Anlagespiegel!K40 · leer gedruckt (= 0)</t>
      </text>
    </comment>
    <comment ref="AH21" authorId="0" shapeId="0">
      <text>
        <t>Quelle: f02_asset_spiegel_03.xlsx, Anlagespiegel!N40 · gedruckt '21.656,85'</t>
      </text>
    </comment>
    <comment ref="AI21" authorId="0" shapeId="0">
      <text>
        <t>Quelle: f02_asset_spiegel_03.xlsx, Anlagespiegel!O40 · gedruckt '114.471,94'</t>
      </text>
    </comment>
    <comment ref="AJ21" authorId="0" shapeId="0">
      <text>
        <t>Quelle: f02_asset_spiegel_03.xlsx, Anlagespiegel!M40 · gedruckt '118.597,05'</t>
      </text>
    </comment>
    <comment ref="W22" authorId="0" shapeId="0">
      <text>
        <t>Quelle: f02_asset_spiegel_03.xlsx, Anlagespiegel!F41 · gedruckt '482.225,00'</t>
      </text>
    </comment>
    <comment ref="X22" authorId="0" shapeId="0">
      <text>
        <t>Quelle: f02_asset_spiegel_03.xlsx, Anlagespiegel!G41 · leer gedruckt (= 0)</t>
      </text>
    </comment>
    <comment ref="Y22" authorId="0" shapeId="0">
      <text>
        <t>Quelle: f02_asset_spiegel_03.xlsx, Anlagespiegel!I41 · leer gedruckt (= 0)</t>
      </text>
    </comment>
    <comment ref="Z22" authorId="0" shapeId="0">
      <text>
        <t>Quelle: f02_asset_spiegel_03.xlsx, Anlagespiegel!J41 · leer gedruckt (= 0)</t>
      </text>
    </comment>
    <comment ref="AC22" authorId="0" shapeId="0">
      <text>
        <t>Quelle: f02_asset_spiegel_03.xlsx, Anlagespiegel!L41 · gedruckt '14.612,88'</t>
      </text>
    </comment>
    <comment ref="AF22" authorId="0" shapeId="0">
      <text>
        <t>Quelle: f02_asset_spiegel_03.xlsx, Anlagespiegel!K41 · leer gedruckt (= 0)</t>
      </text>
    </comment>
    <comment ref="AH22" authorId="0" shapeId="0">
      <text>
        <t>Quelle: f02_asset_spiegel_03.xlsx, Anlagespiegel!N41 · gedruckt '88.895,01'</t>
      </text>
    </comment>
    <comment ref="AI22" authorId="0" shapeId="0">
      <text>
        <t>Quelle: f02_asset_spiegel_03.xlsx, Anlagespiegel!O41 · gedruckt '393.329,99'</t>
      </text>
    </comment>
    <comment ref="AJ22" authorId="0" shapeId="0">
      <text>
        <t>Quelle: f02_asset_spiegel_03.xlsx, Anlagespiegel!M41 · gedruckt '407.942,87'</t>
      </text>
    </comment>
    <comment ref="W23" authorId="0" shapeId="0">
      <text>
        <t>Quelle: f02_asset_spiegel_03.xlsx, Anlagespiegel!F42 · gedruckt '169.147,56'</t>
      </text>
    </comment>
    <comment ref="X23" authorId="0" shapeId="0">
      <text>
        <t>Quelle: f02_asset_spiegel_03.xlsx, Anlagespiegel!G42 · leer gedruckt (= 0)</t>
      </text>
    </comment>
    <comment ref="Y23" authorId="0" shapeId="0">
      <text>
        <t>Quelle: f02_asset_spiegel_03.xlsx, Anlagespiegel!I42 · leer gedruckt (= 0)</t>
      </text>
    </comment>
    <comment ref="Z23" authorId="0" shapeId="0">
      <text>
        <t>Quelle: f02_asset_spiegel_03.xlsx, Anlagespiegel!J42 · leer gedruckt (= 0)</t>
      </text>
    </comment>
    <comment ref="AC23" authorId="0" shapeId="0">
      <text>
        <t>Quelle: f02_asset_spiegel_03.xlsx, Anlagespiegel!L42 · gedruckt '5.125,69'</t>
      </text>
    </comment>
    <comment ref="AF23" authorId="0" shapeId="0">
      <text>
        <t>Quelle: f02_asset_spiegel_03.xlsx, Anlagespiegel!K42 · leer gedruckt (= 0)</t>
      </text>
    </comment>
    <comment ref="AH23" authorId="0" shapeId="0">
      <text>
        <t>Quelle: f02_asset_spiegel_03.xlsx, Anlagespiegel!N42 · gedruckt '22.211,30'</t>
      </text>
    </comment>
    <comment ref="AI23" authorId="0" shapeId="0">
      <text>
        <t>Quelle: f02_asset_spiegel_03.xlsx, Anlagespiegel!O42 · gedruckt '146.936,26'</t>
      </text>
    </comment>
    <comment ref="AJ23" authorId="0" shapeId="0">
      <text>
        <t>Quelle: f02_asset_spiegel_03.xlsx, Anlagespiegel!M42 · gedruckt '152.061,95'</t>
      </text>
    </comment>
    <comment ref="W24" authorId="0" shapeId="0">
      <text>
        <t>Quelle: f02_asset_spiegel_03.xlsx, Anlagespiegel!F43 · gedruckt '0,00'</t>
      </text>
    </comment>
    <comment ref="X24" authorId="0" shapeId="0">
      <text>
        <t>Quelle: f02_asset_spiegel_03.xlsx, Anlagespiegel!G43 · gedruckt '20.831,62'</t>
      </text>
    </comment>
    <comment ref="Y24" authorId="0" shapeId="0">
      <text>
        <t>Quelle: f02_asset_spiegel_03.xlsx, Anlagespiegel!I43 · leer gedruckt (= 0)</t>
      </text>
    </comment>
    <comment ref="Z24" authorId="0" shapeId="0">
      <text>
        <t>Quelle: f02_asset_spiegel_03.xlsx, Anlagespiegel!J43 · leer gedruckt (= 0)</t>
      </text>
    </comment>
    <comment ref="AC24" authorId="0" shapeId="0">
      <text>
        <t>Quelle: f02_asset_spiegel_03.xlsx, Anlagespiegel!L43 · gedruckt '578,66'</t>
      </text>
    </comment>
    <comment ref="AF24" authorId="0" shapeId="0">
      <text>
        <t>Quelle: f02_asset_spiegel_03.xlsx, Anlagespiegel!K43 · leer gedruckt (= 0)</t>
      </text>
    </comment>
    <comment ref="AH24" authorId="0" shapeId="0">
      <text>
        <t>Quelle: f02_asset_spiegel_03.xlsx, Anlagespiegel!N43 · gedruckt '578,66'</t>
      </text>
    </comment>
    <comment ref="AI24" authorId="0" shapeId="0">
      <text>
        <t>Quelle: f02_asset_spiegel_03.xlsx, Anlagespiegel!O43 · gedruckt '20.252,96'</t>
      </text>
    </comment>
    <comment ref="AJ24" authorId="0" shapeId="0">
      <text>
        <t>Quelle: f02_asset_spiegel_03.xlsx, Anlagespiegel!M43 · gedruckt '0,00'</t>
      </text>
    </comment>
    <comment ref="W25" authorId="0" shapeId="0">
      <text>
        <t>Quelle: f02_asset_spiegel_03.xlsx, Anlagespiegel!F44 · gedruckt '1.328.396,00'</t>
      </text>
    </comment>
    <comment ref="X25" authorId="0" shapeId="0">
      <text>
        <t>Quelle: f02_asset_spiegel_03.xlsx, Anlagespiegel!G44 · leer gedruckt (= 0)</t>
      </text>
    </comment>
    <comment ref="Y25" authorId="0" shapeId="0">
      <text>
        <t>Quelle: f02_asset_spiegel_03.xlsx, Anlagespiegel!I44 · leer gedruckt (= 0)</t>
      </text>
    </comment>
    <comment ref="Z25" authorId="0" shapeId="0">
      <text>
        <t>Quelle: f02_asset_spiegel_03.xlsx, Anlagespiegel!J44 · leer gedruckt (= 0)</t>
      </text>
    </comment>
    <comment ref="AC25" authorId="0" shapeId="0">
      <text>
        <t>Quelle: f02_asset_spiegel_03.xlsx, Anlagespiegel!L44 · gedruckt '40.254,42'</t>
      </text>
    </comment>
    <comment ref="AF25" authorId="0" shapeId="0">
      <text>
        <t>Quelle: f02_asset_spiegel_03.xlsx, Anlagespiegel!K44 · leer gedruckt (= 0)</t>
      </text>
    </comment>
    <comment ref="AH25" authorId="0" shapeId="0">
      <text>
        <t>Quelle: f02_asset_spiegel_03.xlsx, Anlagespiegel!N44 · gedruckt '157.663,16'</t>
      </text>
    </comment>
    <comment ref="AI25" authorId="0" shapeId="0">
      <text>
        <t>Quelle: f02_asset_spiegel_03.xlsx, Anlagespiegel!O44 · gedruckt '1.170.732,84'</t>
      </text>
    </comment>
    <comment ref="AJ25" authorId="0" shapeId="0">
      <text>
        <t>Quelle: f02_asset_spiegel_03.xlsx, Anlagespiegel!M44 · gedruckt '1.210.987,26'</t>
      </text>
    </comment>
    <comment ref="W26" authorId="0" shapeId="0">
      <text>
        <t>Quelle: f02_asset_spiegel_03.xlsx, Anlagespiegel!F45 · gedruckt '0,00'</t>
      </text>
    </comment>
    <comment ref="X26" authorId="0" shapeId="0">
      <text>
        <t>Quelle: f02_asset_spiegel_03.xlsx, Anlagespiegel!G45 · gedruckt '310.502,81'</t>
      </text>
    </comment>
    <comment ref="Y26" authorId="0" shapeId="0">
      <text>
        <t>Quelle: f02_asset_spiegel_03.xlsx, Anlagespiegel!I45 · leer gedruckt (= 0)</t>
      </text>
    </comment>
    <comment ref="Z26" authorId="0" shapeId="0">
      <text>
        <t>Quelle: f02_asset_spiegel_03.xlsx, Anlagespiegel!J45 · leer gedruckt (= 0)</t>
      </text>
    </comment>
    <comment ref="AC26" authorId="0" shapeId="0">
      <text>
        <t>Quelle: f02_asset_spiegel_03.xlsx, Anlagespiegel!L45 · gedruckt '4.704,59'</t>
      </text>
    </comment>
    <comment ref="AF26" authorId="0" shapeId="0">
      <text>
        <t>Quelle: f02_asset_spiegel_03.xlsx, Anlagespiegel!K45 · leer gedruckt (= 0)</t>
      </text>
    </comment>
    <comment ref="AH26" authorId="0" shapeId="0">
      <text>
        <t>Quelle: f02_asset_spiegel_03.xlsx, Anlagespiegel!N45 · gedruckt '4.704,59'</t>
      </text>
    </comment>
    <comment ref="AI26" authorId="0" shapeId="0">
      <text>
        <t>Quelle: f02_asset_spiegel_03.xlsx, Anlagespiegel!O45 · gedruckt '305.798,22'</t>
      </text>
    </comment>
    <comment ref="AJ26" authorId="0" shapeId="0">
      <text>
        <t>Quelle: f02_asset_spiegel_03.xlsx, Anlagespiegel!M45 · gedruckt '0,00'</t>
      </text>
    </comment>
    <comment ref="W27" authorId="0" shapeId="0">
      <text>
        <t>Quelle: f02_asset_spiegel_03.xlsx, Anlagespiegel!F46 · gedruckt '888.586,00'</t>
      </text>
    </comment>
    <comment ref="X27" authorId="0" shapeId="0">
      <text>
        <t>Quelle: f02_asset_spiegel_03.xlsx, Anlagespiegel!G46 · leer gedruckt (= 0)</t>
      </text>
    </comment>
    <comment ref="Y27" authorId="0" shapeId="0">
      <text>
        <t>Quelle: f02_asset_spiegel_03.xlsx, Anlagespiegel!I46 · leer gedruckt (= 0)</t>
      </text>
    </comment>
    <comment ref="Z27" authorId="0" shapeId="0">
      <text>
        <t>Quelle: f02_asset_spiegel_03.xlsx, Anlagespiegel!J46 · leer gedruckt (= 0)</t>
      </text>
    </comment>
    <comment ref="AC27" authorId="0" shapeId="0">
      <text>
        <t>Quelle: f02_asset_spiegel_03.xlsx, Anlagespiegel!L46 · gedruckt '26.926,84'</t>
      </text>
    </comment>
    <comment ref="AF27" authorId="0" shapeId="0">
      <text>
        <t>Quelle: f02_asset_spiegel_03.xlsx, Anlagespiegel!K46 · leer gedruckt (= 0)</t>
      </text>
    </comment>
    <comment ref="AH27" authorId="0" shapeId="0">
      <text>
        <t>Quelle: f02_asset_spiegel_03.xlsx, Anlagespiegel!N46 · gedruckt '96.487,87'</t>
      </text>
    </comment>
    <comment ref="AI27" authorId="0" shapeId="0">
      <text>
        <t>Quelle: f02_asset_spiegel_03.xlsx, Anlagespiegel!O46 · gedruckt '792.098,13'</t>
      </text>
    </comment>
    <comment ref="AJ27" authorId="0" shapeId="0">
      <text>
        <t>Quelle: f02_asset_spiegel_03.xlsx, Anlagespiegel!M46 · gedruckt '819.024,97'</t>
      </text>
    </comment>
    <comment ref="W28" authorId="0" shapeId="0">
      <text>
        <t>Quelle: f02_asset_spiegel_03.xlsx, Anlagespiegel!F47 · gedruckt '2.208.027,39'</t>
      </text>
    </comment>
    <comment ref="X28" authorId="0" shapeId="0">
      <text>
        <t>Quelle: f02_asset_spiegel_03.xlsx, Anlagespiegel!G47 · leer gedruckt (= 0)</t>
      </text>
    </comment>
    <comment ref="Y28" authorId="0" shapeId="0">
      <text>
        <t>Quelle: f02_asset_spiegel_03.xlsx, Anlagespiegel!I47 · leer gedruckt (= 0)</t>
      </text>
    </comment>
    <comment ref="Z28" authorId="0" shapeId="0">
      <text>
        <t>Quelle: f02_asset_spiegel_03.xlsx, Anlagespiegel!J47 · leer gedruckt (= 0)</t>
      </text>
    </comment>
    <comment ref="AC28" authorId="0" shapeId="0">
      <text>
        <t>Quelle: f02_asset_spiegel_03.xlsx, Anlagespiegel!L47 · gedruckt '66.909,92'</t>
      </text>
    </comment>
    <comment ref="AF28" authorId="0" shapeId="0">
      <text>
        <t>Quelle: f02_asset_spiegel_03.xlsx, Anlagespiegel!K47 · leer gedruckt (= 0)</t>
      </text>
    </comment>
    <comment ref="AH28" authorId="0" shapeId="0">
      <text>
        <t>Quelle: f02_asset_spiegel_03.xlsx, Anlagespiegel!N47 · gedruckt '94.789,05'</t>
      </text>
    </comment>
    <comment ref="AI28" authorId="0" shapeId="0">
      <text>
        <t>Quelle: f02_asset_spiegel_03.xlsx, Anlagespiegel!O47 · gedruckt '2.113.238,34'</t>
      </text>
    </comment>
    <comment ref="AJ28" authorId="0" shapeId="0">
      <text>
        <t>Quelle: f02_asset_spiegel_03.xlsx, Anlagespiegel!M47 · gedruckt '2.180.148,26'</t>
      </text>
    </comment>
    <comment ref="W29" authorId="0" shapeId="0">
      <text>
        <t>Quelle: f02_asset_spiegel_03.xlsx, Anlagespiegel!F48 · gedruckt '0,00'</t>
      </text>
    </comment>
    <comment ref="X29" authorId="0" shapeId="0">
      <text>
        <t>Quelle: f02_asset_spiegel_03.xlsx, Anlagespiegel!G48 · gedruckt '2.271.564,47'</t>
      </text>
    </comment>
    <comment ref="Y29" authorId="0" shapeId="0">
      <text>
        <t>Quelle: f02_asset_spiegel_03.xlsx, Anlagespiegel!I48 · leer gedruckt (= 0)</t>
      </text>
    </comment>
    <comment ref="Z29" authorId="0" shapeId="0">
      <text>
        <t>Quelle: f02_asset_spiegel_03.xlsx, Anlagespiegel!J48 · leer gedruckt (= 0)</t>
      </text>
    </comment>
    <comment ref="AC29" authorId="0" shapeId="0">
      <text>
        <t>Quelle: f02_asset_spiegel_03.xlsx, Anlagespiegel!L48 · gedruckt '22.945,10'</t>
      </text>
    </comment>
    <comment ref="AF29" authorId="0" shapeId="0">
      <text>
        <t>Quelle: f02_asset_spiegel_03.xlsx, Anlagespiegel!K48 · leer gedruckt (= 0)</t>
      </text>
    </comment>
    <comment ref="AH29" authorId="0" shapeId="0">
      <text>
        <t>Quelle: f02_asset_spiegel_03.xlsx, Anlagespiegel!N48 · gedruckt '22.945,10'</t>
      </text>
    </comment>
    <comment ref="AI29" authorId="0" shapeId="0">
      <text>
        <t>Quelle: f02_asset_spiegel_03.xlsx, Anlagespiegel!O48 · gedruckt '2.248.619,37'</t>
      </text>
    </comment>
    <comment ref="AJ29" authorId="0" shapeId="0">
      <text>
        <t>Quelle: f02_asset_spiegel_03.xlsx, Anlagespiegel!M48 · gedruckt '0,00'</t>
      </text>
    </comment>
    <comment ref="W30" authorId="0" shapeId="0">
      <text>
        <t>Quelle: f02_asset_spiegel_03.xlsx, Anlagespiegel!F55 · gedruckt '106.495,83'</t>
      </text>
    </comment>
    <comment ref="X30" authorId="0" shapeId="0">
      <text>
        <t>Quelle: f02_asset_spiegel_03.xlsx, Anlagespiegel!G55 · leer gedruckt (= 0)</t>
      </text>
    </comment>
    <comment ref="Y30" authorId="0" shapeId="0">
      <text>
        <t>Quelle: f02_asset_spiegel_03.xlsx, Anlagespiegel!I55 · gedruckt '106.495,83'</t>
      </text>
    </comment>
    <comment ref="Z30" authorId="0" shapeId="0">
      <text>
        <t>Quelle: f02_asset_spiegel_03.xlsx, Anlagespiegel!J55 · leer gedruckt (= 0)</t>
      </text>
    </comment>
    <comment ref="AC30" authorId="0" shapeId="0">
      <text>
        <t>Quelle: f02_asset_spiegel_03.xlsx, Anlagespiegel!L55 · gedruckt '0,00'</t>
      </text>
    </comment>
    <comment ref="AF30" authorId="0" shapeId="0">
      <text>
        <t>Quelle: f02_asset_spiegel_03.xlsx, Anlagespiegel!K55 · leer gedruckt (= 0)</t>
      </text>
    </comment>
    <comment ref="AH30" authorId="0" shapeId="0">
      <text>
        <t>Quelle: f02_asset_spiegel_03.xlsx, Anlagespiegel!N55 · gedruckt '0,00'</t>
      </text>
    </comment>
    <comment ref="AI30" authorId="0" shapeId="0">
      <text>
        <t>Quelle: f02_asset_spiegel_03.xlsx, Anlagespiegel!O55 · gedruckt '0,00'</t>
      </text>
    </comment>
    <comment ref="AJ30" authorId="0" shapeId="0">
      <text>
        <t>Quelle: f02_asset_spiegel_03.xlsx, Anlagespiegel!M55 · gedruckt '1,00'</t>
      </text>
    </comment>
    <comment ref="W31" authorId="0" shapeId="0">
      <text>
        <t>Quelle: f02_asset_spiegel_03.xlsx, Anlagespiegel!F56 · gedruckt '8.032,00'</t>
      </text>
    </comment>
    <comment ref="X31" authorId="0" shapeId="0">
      <text>
        <t>Quelle: f02_asset_spiegel_03.xlsx, Anlagespiegel!G56 · leer gedruckt (= 0)</t>
      </text>
    </comment>
    <comment ref="Y31" authorId="0" shapeId="0">
      <text>
        <t>Quelle: f02_asset_spiegel_03.xlsx, Anlagespiegel!I56 · leer gedruckt (= 0)</t>
      </text>
    </comment>
    <comment ref="Z31" authorId="0" shapeId="0">
      <text>
        <t>Quelle: f02_asset_spiegel_03.xlsx, Anlagespiegel!J56 · leer gedruckt (= 0)</t>
      </text>
    </comment>
    <comment ref="AC31" authorId="0" shapeId="0">
      <text>
        <t>Quelle: f02_asset_spiegel_03.xlsx, Anlagespiegel!L56 · gedruckt '0,00'</t>
      </text>
    </comment>
    <comment ref="AF31" authorId="0" shapeId="0">
      <text>
        <t>Quelle: f02_asset_spiegel_03.xlsx, Anlagespiegel!K56 · leer gedruckt (= 0)</t>
      </text>
    </comment>
    <comment ref="AH31" authorId="0" shapeId="0">
      <text>
        <t>Quelle: f02_asset_spiegel_03.xlsx, Anlagespiegel!N56 · gedruckt '8.031,00'</t>
      </text>
    </comment>
    <comment ref="AI31" authorId="0" shapeId="0">
      <text>
        <t>Quelle: f02_asset_spiegel_03.xlsx, Anlagespiegel!O56 · gedruckt '1,00'</t>
      </text>
    </comment>
    <comment ref="AJ31" authorId="0" shapeId="0">
      <text>
        <t>Quelle: f02_asset_spiegel_03.xlsx, Anlagespiegel!M56 · gedruckt '1,00'</t>
      </text>
    </comment>
    <comment ref="W32" authorId="0" shapeId="0">
      <text>
        <t>Quelle: f02_asset_spiegel_03.xlsx, Anlagespiegel!F57 · gedruckt '1.073,00'</t>
      </text>
    </comment>
    <comment ref="X32" authorId="0" shapeId="0">
      <text>
        <t>Quelle: f02_asset_spiegel_03.xlsx, Anlagespiegel!G57 · leer gedruckt (= 0)</t>
      </text>
    </comment>
    <comment ref="Y32" authorId="0" shapeId="0">
      <text>
        <t>Quelle: f02_asset_spiegel_03.xlsx, Anlagespiegel!I57 · leer gedruckt (= 0)</t>
      </text>
    </comment>
    <comment ref="Z32" authorId="0" shapeId="0">
      <text>
        <t>Quelle: f02_asset_spiegel_03.xlsx, Anlagespiegel!J57 · leer gedruckt (= 0)</t>
      </text>
    </comment>
    <comment ref="AC32" authorId="0" shapeId="0">
      <text>
        <t>Quelle: f02_asset_spiegel_03.xlsx, Anlagespiegel!L57 · gedruckt '82,54'</t>
      </text>
    </comment>
    <comment ref="AF32" authorId="0" shapeId="0">
      <text>
        <t>Quelle: f02_asset_spiegel_03.xlsx, Anlagespiegel!K57 · leer gedruckt (= 0)</t>
      </text>
    </comment>
    <comment ref="AH32" authorId="0" shapeId="0">
      <text>
        <t>Quelle: f02_asset_spiegel_03.xlsx, Anlagespiegel!N57 · gedruckt '1.066,12'</t>
      </text>
    </comment>
    <comment ref="AI32" authorId="0" shapeId="0">
      <text>
        <t>Quelle: f02_asset_spiegel_03.xlsx, Anlagespiegel!O57 · gedruckt '6,88'</t>
      </text>
    </comment>
    <comment ref="AJ32" authorId="0" shapeId="0">
      <text>
        <t>Quelle: f02_asset_spiegel_03.xlsx, Anlagespiegel!M57 · gedruckt '89,42'</t>
      </text>
    </comment>
    <comment ref="W33" authorId="0" shapeId="0">
      <text>
        <t>Quelle: f02_asset_spiegel_03.xlsx, Anlagespiegel!F58 · gedruckt '211.685,00'</t>
      </text>
    </comment>
    <comment ref="X33" authorId="0" shapeId="0">
      <text>
        <t>Quelle: f02_asset_spiegel_03.xlsx, Anlagespiegel!G58 · leer gedruckt (= 0)</t>
      </text>
    </comment>
    <comment ref="Y33" authorId="0" shapeId="0">
      <text>
        <t>Quelle: f02_asset_spiegel_03.xlsx, Anlagespiegel!I58 · leer gedruckt (= 0)</t>
      </text>
    </comment>
    <comment ref="Z33" authorId="0" shapeId="0">
      <text>
        <t>Quelle: f02_asset_spiegel_03.xlsx, Anlagespiegel!J58 · leer gedruckt (= 0)</t>
      </text>
    </comment>
    <comment ref="AC33" authorId="0" shapeId="0">
      <text>
        <t>Quelle: f02_asset_spiegel_03.xlsx, Anlagespiegel!L58 · gedruckt '0,00'</t>
      </text>
    </comment>
    <comment ref="AF33" authorId="0" shapeId="0">
      <text>
        <t>Quelle: f02_asset_spiegel_03.xlsx, Anlagespiegel!K58 · leer gedruckt (= 0)</t>
      </text>
    </comment>
    <comment ref="AH33" authorId="0" shapeId="0">
      <text>
        <t>Quelle: f02_asset_spiegel_03.xlsx, Anlagespiegel!N58 · gedruckt '211.684,00'</t>
      </text>
    </comment>
    <comment ref="AI33" authorId="0" shapeId="0">
      <text>
        <t>Quelle: f02_asset_spiegel_03.xlsx, Anlagespiegel!O58 · gedruckt '1,00'</t>
      </text>
    </comment>
    <comment ref="AJ33" authorId="0" shapeId="0">
      <text>
        <t>Quelle: f02_asset_spiegel_03.xlsx, Anlagespiegel!M58 · gedruckt '1,00'</t>
      </text>
    </comment>
    <comment ref="W34" authorId="0" shapeId="0">
      <text>
        <t>Quelle: f02_asset_spiegel_03.xlsx, Anlagespiegel!F59 · gedruckt '0,00'</t>
      </text>
    </comment>
    <comment ref="X34" authorId="0" shapeId="0">
      <text>
        <t>Quelle: f02_asset_spiegel_03.xlsx, Anlagespiegel!G59 · gedruckt '31.946,00'</t>
      </text>
    </comment>
    <comment ref="Y34" authorId="0" shapeId="0">
      <text>
        <t>Quelle: f02_asset_spiegel_03.xlsx, Anlagespiegel!I59 · leer gedruckt (= 0)</t>
      </text>
    </comment>
    <comment ref="Z34" authorId="0" shapeId="0">
      <text>
        <t>Quelle: f02_asset_spiegel_03.xlsx, Anlagespiegel!J59 · leer gedruckt (= 0)</t>
      </text>
    </comment>
    <comment ref="AC34" authorId="0" shapeId="0">
      <text>
        <t>Quelle: f02_asset_spiegel_03.xlsx, Anlagespiegel!L59 · gedruckt '3.993,25'</t>
      </text>
    </comment>
    <comment ref="AF34" authorId="0" shapeId="0">
      <text>
        <t>Quelle: f02_asset_spiegel_03.xlsx, Anlagespiegel!K59 · leer gedruckt (= 0)</t>
      </text>
    </comment>
    <comment ref="AH34" authorId="0" shapeId="0">
      <text>
        <t>Quelle: f02_asset_spiegel_03.xlsx, Anlagespiegel!N59 · gedruckt '3.993,25'</t>
      </text>
    </comment>
    <comment ref="AI34" authorId="0" shapeId="0">
      <text>
        <t>Quelle: f02_asset_spiegel_03.xlsx, Anlagespiegel!O59 · gedruckt '27.952,75'</t>
      </text>
    </comment>
    <comment ref="AJ34" authorId="0" shapeId="0">
      <text>
        <t>Quelle: f02_asset_spiegel_03.xlsx, Anlagespiegel!M59 · gedruckt '0,00'</t>
      </text>
    </comment>
    <comment ref="W35" authorId="0" shapeId="0">
      <text>
        <t>Quelle: f02_asset_spiegel_03.xlsx, Anlagespiegel!F60 · gedruckt '0,00'</t>
      </text>
    </comment>
    <comment ref="X35" authorId="0" shapeId="0">
      <text>
        <t>Quelle: f02_asset_spiegel_03.xlsx, Anlagespiegel!G60 · gedruckt '15.559,23'</t>
      </text>
    </comment>
    <comment ref="Y35" authorId="0" shapeId="0">
      <text>
        <t>Quelle: f02_asset_spiegel_03.xlsx, Anlagespiegel!I60 · leer gedruckt (= 0)</t>
      </text>
    </comment>
    <comment ref="Z35" authorId="0" shapeId="0">
      <text>
        <t>Quelle: f02_asset_spiegel_03.xlsx, Anlagespiegel!J60 · leer gedruckt (= 0)</t>
      </text>
    </comment>
    <comment ref="AC35" authorId="0" shapeId="0">
      <text>
        <t>Quelle: f02_asset_spiegel_03.xlsx, Anlagespiegel!L60 · gedruckt '1.296,60'</t>
      </text>
    </comment>
    <comment ref="AF35" authorId="0" shapeId="0">
      <text>
        <t>Quelle: f02_asset_spiegel_03.xlsx, Anlagespiegel!K60 · leer gedruckt (= 0)</t>
      </text>
    </comment>
    <comment ref="AH35" authorId="0" shapeId="0">
      <text>
        <t>Quelle: f02_asset_spiegel_03.xlsx, Anlagespiegel!N60 · gedruckt '1.296,60'</t>
      </text>
    </comment>
    <comment ref="AI35" authorId="0" shapeId="0">
      <text>
        <t>Quelle: f02_asset_spiegel_03.xlsx, Anlagespiegel!O60 · gedruckt '14.262,63'</t>
      </text>
    </comment>
    <comment ref="AJ35" authorId="0" shapeId="0">
      <text>
        <t>Quelle: f02_asset_spiegel_03.xlsx, Anlagespiegel!M60 · gedruckt '0,00'</t>
      </text>
    </comment>
    <comment ref="W36" authorId="0" shapeId="0">
      <text>
        <t>Quelle: f02_asset_spiegel_03.xlsx, Anlagespiegel!F61 · gedruckt '0,00'</t>
      </text>
    </comment>
    <comment ref="X36" authorId="0" shapeId="0">
      <text>
        <t>Quelle: f02_asset_spiegel_03.xlsx, Anlagespiegel!G61 · leer gedruckt (= 0)</t>
      </text>
    </comment>
    <comment ref="Y36" authorId="0" shapeId="0">
      <text>
        <t>Quelle: f02_asset_spiegel_03.xlsx, Anlagespiegel!I61 · leer gedruckt (= 0)</t>
      </text>
    </comment>
    <comment ref="Z36" authorId="0" shapeId="0">
      <text>
        <t>Quelle: f02_asset_spiegel_03.xlsx, Anlagespiegel!J61 · gedruckt '272.104,31'</t>
      </text>
    </comment>
    <comment ref="AC36" authorId="0" shapeId="0">
      <text>
        <t>Quelle: f02_asset_spiegel_03.xlsx, Anlagespiegel!L61 · gedruckt '13.605,22'</t>
      </text>
    </comment>
    <comment ref="AF36" authorId="0" shapeId="0">
      <text>
        <t>Quelle: f02_asset_spiegel_03.xlsx, Anlagespiegel!K61 · leer gedruckt (= 0)</t>
      </text>
    </comment>
    <comment ref="AH36" authorId="0" shapeId="0">
      <text>
        <t>Quelle: f02_asset_spiegel_03.xlsx, Anlagespiegel!N61 · gedruckt '13.605,22'</t>
      </text>
    </comment>
    <comment ref="AI36" authorId="0" shapeId="0">
      <text>
        <t>Quelle: f02_asset_spiegel_03.xlsx, Anlagespiegel!O61 · gedruckt '258.499,09'</t>
      </text>
    </comment>
    <comment ref="AJ36" authorId="0" shapeId="0">
      <text>
        <t>Quelle: f02_asset_spiegel_03.xlsx, Anlagespiegel!M61 · gedruckt '0,00'</t>
      </text>
    </comment>
    <comment ref="W37" authorId="0" shapeId="0">
      <text>
        <t>Quelle: f02_asset_spiegel_03.xlsx, Anlagespiegel!F62 · gedruckt '0,00'</t>
      </text>
    </comment>
    <comment ref="X37" authorId="0" shapeId="0">
      <text>
        <t>Quelle: f02_asset_spiegel_03.xlsx, Anlagespiegel!G62 · gedruckt '27.231,00'</t>
      </text>
    </comment>
    <comment ref="Y37" authorId="0" shapeId="0">
      <text>
        <t>Quelle: f02_asset_spiegel_03.xlsx, Anlagespiegel!I62 · leer gedruckt (= 0)</t>
      </text>
    </comment>
    <comment ref="Z37" authorId="0" shapeId="0">
      <text>
        <t>Quelle: f02_asset_spiegel_03.xlsx, Anlagespiegel!J62 · leer gedruckt (= 0)</t>
      </text>
    </comment>
    <comment ref="AC37" authorId="0" shapeId="0">
      <text>
        <t>Quelle: f02_asset_spiegel_03.xlsx, Anlagespiegel!L62 · gedruckt '2.042,33'</t>
      </text>
    </comment>
    <comment ref="AF37" authorId="0" shapeId="0">
      <text>
        <t>Quelle: f02_asset_spiegel_03.xlsx, Anlagespiegel!K62 · leer gedruckt (= 0)</t>
      </text>
    </comment>
    <comment ref="AH37" authorId="0" shapeId="0">
      <text>
        <t>Quelle: f02_asset_spiegel_03.xlsx, Anlagespiegel!N62 · gedruckt '2.042,33'</t>
      </text>
    </comment>
    <comment ref="AI37" authorId="0" shapeId="0">
      <text>
        <t>Quelle: f02_asset_spiegel_03.xlsx, Anlagespiegel!O62 · gedruckt '25.188,67'</t>
      </text>
    </comment>
    <comment ref="AJ37" authorId="0" shapeId="0">
      <text>
        <t>Quelle: f02_asset_spiegel_03.xlsx, Anlagespiegel!M62 · gedruckt '0,00'</t>
      </text>
    </comment>
    <comment ref="W38" authorId="0" shapeId="0">
      <text>
        <t>Quelle: f02_asset_spiegel_03.xlsx, Anlagespiegel!F63 · gedruckt '0,00'</t>
      </text>
    </comment>
    <comment ref="X38" authorId="0" shapeId="0">
      <text>
        <t>Quelle: f02_asset_spiegel_03.xlsx, Anlagespiegel!G63 · gedruckt '13.920,80'</t>
      </text>
    </comment>
    <comment ref="Y38" authorId="0" shapeId="0">
      <text>
        <t>Quelle: f02_asset_spiegel_03.xlsx, Anlagespiegel!I63 · leer gedruckt (= 0)</t>
      </text>
    </comment>
    <comment ref="Z38" authorId="0" shapeId="0">
      <text>
        <t>Quelle: f02_asset_spiegel_03.xlsx, Anlagespiegel!J63 · leer gedruckt (= 0)</t>
      </text>
    </comment>
    <comment ref="AC38" authorId="0" shapeId="0">
      <text>
        <t>Quelle: f02_asset_spiegel_03.xlsx, Anlagespiegel!L63 · gedruckt '541,36'</t>
      </text>
    </comment>
    <comment ref="AF38" authorId="0" shapeId="0">
      <text>
        <t>Quelle: f02_asset_spiegel_03.xlsx, Anlagespiegel!K63 · leer gedruckt (= 0)</t>
      </text>
    </comment>
    <comment ref="AH38" authorId="0" shapeId="0">
      <text>
        <t>Quelle: f02_asset_spiegel_03.xlsx, Anlagespiegel!N63 · gedruckt '541,36'</t>
      </text>
    </comment>
    <comment ref="AI38" authorId="0" shapeId="0">
      <text>
        <t>Quelle: f02_asset_spiegel_03.xlsx, Anlagespiegel!O63 · gedruckt '13.379,44'</t>
      </text>
    </comment>
    <comment ref="AJ38" authorId="0" shapeId="0">
      <text>
        <t>Quelle: f02_asset_spiegel_03.xlsx, Anlagespiegel!M63 · gedruckt '0,00'</t>
      </text>
    </comment>
    <comment ref="W39" authorId="0" shapeId="0">
      <text>
        <t>Quelle: f02_asset_spiegel_03.xlsx, Anlagespiegel!F64 · gedruckt '0,00'</t>
      </text>
    </comment>
    <comment ref="X39" authorId="0" shapeId="0">
      <text>
        <t>Quelle: f02_asset_spiegel_03.xlsx, Anlagespiegel!G64 · gedruckt '328.206,00'</t>
      </text>
    </comment>
    <comment ref="Y39" authorId="0" shapeId="0">
      <text>
        <t>Quelle: f02_asset_spiegel_03.xlsx, Anlagespiegel!I64 · leer gedruckt (= 0)</t>
      </text>
    </comment>
    <comment ref="Z39" authorId="0" shapeId="0">
      <text>
        <t>Quelle: f02_asset_spiegel_03.xlsx, Anlagespiegel!J64 · leer gedruckt (= 0)</t>
      </text>
    </comment>
    <comment ref="AC39" authorId="0" shapeId="0">
      <text>
        <t>Quelle: f02_asset_spiegel_03.xlsx, Anlagespiegel!L64 · gedruckt '12.763,57'</t>
      </text>
    </comment>
    <comment ref="AF39" authorId="0" shapeId="0">
      <text>
        <t>Quelle: f02_asset_spiegel_03.xlsx, Anlagespiegel!K64 · leer gedruckt (= 0)</t>
      </text>
    </comment>
    <comment ref="AH39" authorId="0" shapeId="0">
      <text>
        <t>Quelle: f02_asset_spiegel_03.xlsx, Anlagespiegel!N64 · gedruckt '12.763,57'</t>
      </text>
    </comment>
    <comment ref="AI39" authorId="0" shapeId="0">
      <text>
        <t>Quelle: f02_asset_spiegel_03.xlsx, Anlagespiegel!O64 · gedruckt '315.442,43'</t>
      </text>
    </comment>
    <comment ref="AJ39" authorId="0" shapeId="0">
      <text>
        <t>Quelle: f02_asset_spiegel_03.xlsx, Anlagespiegel!M64 · gedruckt '0,00'</t>
      </text>
    </comment>
    <comment ref="W40" authorId="0" shapeId="0">
      <text>
        <t>Quelle: f02_asset_spiegel_03.xlsx, Anlagespiegel!F71 · gedruckt '46.761,00'</t>
      </text>
    </comment>
    <comment ref="X40" authorId="0" shapeId="0">
      <text>
        <t>Quelle: f02_asset_spiegel_03.xlsx, Anlagespiegel!G71 · leer gedruckt (= 0)</t>
      </text>
    </comment>
    <comment ref="Y40" authorId="0" shapeId="0">
      <text>
        <t>Quelle: f02_asset_spiegel_03.xlsx, Anlagespiegel!I71 · leer gedruckt (= 0)</t>
      </text>
    </comment>
    <comment ref="Z40" authorId="0" shapeId="0">
      <text>
        <t>Quelle: f02_asset_spiegel_03.xlsx, Anlagespiegel!J71 · leer gedruckt (= 0)</t>
      </text>
    </comment>
    <comment ref="AC40" authorId="0" shapeId="0">
      <text>
        <t>Quelle: f02_asset_spiegel_03.xlsx, Anlagespiegel!L71 · gedruckt '0,00'</t>
      </text>
    </comment>
    <comment ref="AF40" authorId="0" shapeId="0">
      <text>
        <t>Quelle: f02_asset_spiegel_03.xlsx, Anlagespiegel!K71 · leer gedruckt (= 0)</t>
      </text>
    </comment>
    <comment ref="AH40" authorId="0" shapeId="0">
      <text>
        <t>Quelle: f02_asset_spiegel_03.xlsx, Anlagespiegel!N71 · gedruckt '46.760,00'</t>
      </text>
    </comment>
    <comment ref="AI40" authorId="0" shapeId="0">
      <text>
        <t>Quelle: f02_asset_spiegel_03.xlsx, Anlagespiegel!O71 · gedruckt '1,00'</t>
      </text>
    </comment>
    <comment ref="AJ40" authorId="0" shapeId="0">
      <text>
        <t>Quelle: f02_asset_spiegel_03.xlsx, Anlagespiegel!M71 · gedruckt '1,00'</t>
      </text>
    </comment>
    <comment ref="W41" authorId="0" shapeId="0">
      <text>
        <t>Quelle: f02_asset_spiegel_03.xlsx, Anlagespiegel!F72 · gedruckt '46.960,71'</t>
      </text>
    </comment>
    <comment ref="X41" authorId="0" shapeId="0">
      <text>
        <t>Quelle: f02_asset_spiegel_03.xlsx, Anlagespiegel!G72 · leer gedruckt (= 0)</t>
      </text>
    </comment>
    <comment ref="Y41" authorId="0" shapeId="0">
      <text>
        <t>Quelle: f02_asset_spiegel_03.xlsx, Anlagespiegel!I72 · leer gedruckt (= 0)</t>
      </text>
    </comment>
    <comment ref="Z41" authorId="0" shapeId="0">
      <text>
        <t>Quelle: f02_asset_spiegel_03.xlsx, Anlagespiegel!J72 · leer gedruckt (= 0)</t>
      </text>
    </comment>
    <comment ref="AC41" authorId="0" shapeId="0">
      <text>
        <t>Quelle: f02_asset_spiegel_03.xlsx, Anlagespiegel!L72 · gedruckt '2.348,03'</t>
      </text>
    </comment>
    <comment ref="AF41" authorId="0" shapeId="0">
      <text>
        <t>Quelle: f02_asset_spiegel_03.xlsx, Anlagespiegel!K72 · leer gedruckt (= 0)</t>
      </text>
    </comment>
    <comment ref="AH41" authorId="0" shapeId="0">
      <text>
        <t>Quelle: f02_asset_spiegel_03.xlsx, Anlagespiegel!N72 · gedruckt '25.437,05'</t>
      </text>
    </comment>
    <comment ref="AI41" authorId="0" shapeId="0">
      <text>
        <t>Quelle: f02_asset_spiegel_03.xlsx, Anlagespiegel!O72 · gedruckt '21.523,66'</t>
      </text>
    </comment>
    <comment ref="AJ41" authorId="0" shapeId="0">
      <text>
        <t>Quelle: f02_asset_spiegel_03.xlsx, Anlagespiegel!M72 · gedruckt '23.871,69'</t>
      </text>
    </comment>
    <comment ref="W42" authorId="0" shapeId="0">
      <text>
        <t>Quelle: f02_asset_spiegel_03.xlsx, Anlagespiegel!F73 · gedruckt '18.009,12'</t>
      </text>
    </comment>
    <comment ref="X42" authorId="0" shapeId="0">
      <text>
        <t>Quelle: f02_asset_spiegel_03.xlsx, Anlagespiegel!G73 · leer gedruckt (= 0)</t>
      </text>
    </comment>
    <comment ref="Y42" authorId="0" shapeId="0">
      <text>
        <t>Quelle: f02_asset_spiegel_03.xlsx, Anlagespiegel!I73 · leer gedruckt (= 0)</t>
      </text>
    </comment>
    <comment ref="Z42" authorId="0" shapeId="0">
      <text>
        <t>Quelle: f02_asset_spiegel_03.xlsx, Anlagespiegel!J73 · leer gedruckt (= 0)</t>
      </text>
    </comment>
    <comment ref="AC42" authorId="0" shapeId="0">
      <text>
        <t>Quelle: f02_asset_spiegel_03.xlsx, Anlagespiegel!L73 · gedruckt '1.200,61'</t>
      </text>
    </comment>
    <comment ref="AF42" authorId="0" shapeId="0">
      <text>
        <t>Quelle: f02_asset_spiegel_03.xlsx, Anlagespiegel!K73 · leer gedruckt (= 0)</t>
      </text>
    </comment>
    <comment ref="AH42" authorId="0" shapeId="0">
      <text>
        <t>Quelle: f02_asset_spiegel_03.xlsx, Anlagespiegel!N73 · gedruckt '10.105,12'</t>
      </text>
    </comment>
    <comment ref="AI42" authorId="0" shapeId="0">
      <text>
        <t>Quelle: f02_asset_spiegel_03.xlsx, Anlagespiegel!O73 · gedruckt '7.904,00'</t>
      </text>
    </comment>
    <comment ref="AJ42" authorId="0" shapeId="0">
      <text>
        <t>Quelle: f02_asset_spiegel_03.xlsx, Anlagespiegel!M73 · gedruckt '9.104,61'</t>
      </text>
    </comment>
    <comment ref="W43" authorId="0" shapeId="0">
      <text>
        <t>Quelle: f02_asset_spiegel_03.xlsx, Anlagespiegel!F74 · gedruckt '15.122,30'</t>
      </text>
    </comment>
    <comment ref="X43" authorId="0" shapeId="0">
      <text>
        <t>Quelle: f02_asset_spiegel_03.xlsx, Anlagespiegel!G74 · leer gedruckt (= 0)</t>
      </text>
    </comment>
    <comment ref="Y43" authorId="0" shapeId="0">
      <text>
        <t>Quelle: f02_asset_spiegel_03.xlsx, Anlagespiegel!I74 · leer gedruckt (= 0)</t>
      </text>
    </comment>
    <comment ref="Z43" authorId="0" shapeId="0">
      <text>
        <t>Quelle: f02_asset_spiegel_03.xlsx, Anlagespiegel!J74 · leer gedruckt (= 0)</t>
      </text>
    </comment>
    <comment ref="AC43" authorId="0" shapeId="0">
      <text>
        <t>Quelle: f02_asset_spiegel_03.xlsx, Anlagespiegel!L74 · gedruckt '756,11'</t>
      </text>
    </comment>
    <comment ref="AF43" authorId="0" shapeId="0">
      <text>
        <t>Quelle: f02_asset_spiegel_03.xlsx, Anlagespiegel!K74 · leer gedruckt (= 0)</t>
      </text>
    </comment>
    <comment ref="AH43" authorId="0" shapeId="0">
      <text>
        <t>Quelle: f02_asset_spiegel_03.xlsx, Anlagespiegel!N74 · gedruckt '5.418,82'</t>
      </text>
    </comment>
    <comment ref="AI43" authorId="0" shapeId="0">
      <text>
        <t>Quelle: f02_asset_spiegel_03.xlsx, Anlagespiegel!O74 · gedruckt '9.703,48'</t>
      </text>
    </comment>
    <comment ref="AJ43" authorId="0" shapeId="0">
      <text>
        <t>Quelle: f02_asset_spiegel_03.xlsx, Anlagespiegel!M74 · gedruckt '10.459,59'</t>
      </text>
    </comment>
    <comment ref="W44" authorId="0" shapeId="0">
      <text>
        <t>Quelle: f02_asset_spiegel_03.xlsx, Anlagespiegel!F75 · gedruckt '3.495,87'</t>
      </text>
    </comment>
    <comment ref="X44" authorId="0" shapeId="0">
      <text>
        <t>Quelle: f02_asset_spiegel_03.xlsx, Anlagespiegel!G75 · leer gedruckt (= 0)</t>
      </text>
    </comment>
    <comment ref="Y44" authorId="0" shapeId="0">
      <text>
        <t>Quelle: f02_asset_spiegel_03.xlsx, Anlagespiegel!I75 · leer gedruckt (= 0)</t>
      </text>
    </comment>
    <comment ref="Z44" authorId="0" shapeId="0">
      <text>
        <t>Quelle: f02_asset_spiegel_03.xlsx, Anlagespiegel!J75 · leer gedruckt (= 0)</t>
      </text>
    </comment>
    <comment ref="AC44" authorId="0" shapeId="0">
      <text>
        <t>Quelle: f02_asset_spiegel_03.xlsx, Anlagespiegel!L75 · gedruckt '174,79'</t>
      </text>
    </comment>
    <comment ref="AF44" authorId="0" shapeId="0">
      <text>
        <t>Quelle: f02_asset_spiegel_03.xlsx, Anlagespiegel!K75 · leer gedruckt (= 0)</t>
      </text>
    </comment>
    <comment ref="AH44" authorId="0" shapeId="0">
      <text>
        <t>Quelle: f02_asset_spiegel_03.xlsx, Anlagespiegel!N75 · gedruckt '305,89'</t>
      </text>
    </comment>
    <comment ref="AI44" authorId="0" shapeId="0">
      <text>
        <t>Quelle: f02_asset_spiegel_03.xlsx, Anlagespiegel!O75 · gedruckt '3.189,98'</t>
      </text>
    </comment>
    <comment ref="AJ44" authorId="0" shapeId="0">
      <text>
        <t>Quelle: f02_asset_spiegel_03.xlsx, Anlagespiegel!M75 · gedruckt '3.364,77'</t>
      </text>
    </comment>
    <comment ref="W45" authorId="0" shapeId="0">
      <text>
        <t>Quelle: f02_asset_spiegel_03.xlsx, Anlagespiegel!F76 · gedruckt '28.296,30'</t>
      </text>
    </comment>
    <comment ref="X45" authorId="0" shapeId="0">
      <text>
        <t>Quelle: f02_asset_spiegel_03.xlsx, Anlagespiegel!G76 · leer gedruckt (= 0)</t>
      </text>
    </comment>
    <comment ref="Y45" authorId="0" shapeId="0">
      <text>
        <t>Quelle: f02_asset_spiegel_03.xlsx, Anlagespiegel!I76 · leer gedruckt (= 0)</t>
      </text>
    </comment>
    <comment ref="Z45" authorId="0" shapeId="0">
      <text>
        <t>Quelle: f02_asset_spiegel_03.xlsx, Anlagespiegel!J76 · leer gedruckt (= 0)</t>
      </text>
    </comment>
    <comment ref="AC45" authorId="0" shapeId="0">
      <text>
        <t>Quelle: f02_asset_spiegel_03.xlsx, Anlagespiegel!L76 · gedruckt '1.886,42'</t>
      </text>
    </comment>
    <comment ref="AF45" authorId="0" shapeId="0">
      <text>
        <t>Quelle: f02_asset_spiegel_03.xlsx, Anlagespiegel!K76 · leer gedruckt (= 0)</t>
      </text>
    </comment>
    <comment ref="AH45" authorId="0" shapeId="0">
      <text>
        <t>Quelle: f02_asset_spiegel_03.xlsx, Anlagespiegel!N76 · gedruckt '9.746,50'</t>
      </text>
    </comment>
    <comment ref="AI45" authorId="0" shapeId="0">
      <text>
        <t>Quelle: f02_asset_spiegel_03.xlsx, Anlagespiegel!O76 · gedruckt '18.549,80'</t>
      </text>
    </comment>
    <comment ref="AJ45" authorId="0" shapeId="0">
      <text>
        <t>Quelle: f02_asset_spiegel_03.xlsx, Anlagespiegel!M76 · gedruckt '20.436,22'</t>
      </text>
    </comment>
    <comment ref="W46" authorId="0" shapeId="0">
      <text>
        <t>Quelle: f02_asset_spiegel_03.xlsx, Anlagespiegel!F77 · gedruckt '5.128,52'</t>
      </text>
    </comment>
    <comment ref="X46" authorId="0" shapeId="0">
      <text>
        <t>Quelle: f02_asset_spiegel_03.xlsx, Anlagespiegel!G77 · leer gedruckt (= 0)</t>
      </text>
    </comment>
    <comment ref="Y46" authorId="0" shapeId="0">
      <text>
        <t>Quelle: f02_asset_spiegel_03.xlsx, Anlagespiegel!I77 · leer gedruckt (= 0)</t>
      </text>
    </comment>
    <comment ref="Z46" authorId="0" shapeId="0">
      <text>
        <t>Quelle: f02_asset_spiegel_03.xlsx, Anlagespiegel!J77 · leer gedruckt (= 0)</t>
      </text>
    </comment>
    <comment ref="AC46" authorId="0" shapeId="0">
      <text>
        <t>Quelle: f02_asset_spiegel_03.xlsx, Anlagespiegel!L77 · gedruckt '341,90'</t>
      </text>
    </comment>
    <comment ref="AF46" authorId="0" shapeId="0">
      <text>
        <t>Quelle: f02_asset_spiegel_03.xlsx, Anlagespiegel!K77 · leer gedruckt (= 0)</t>
      </text>
    </comment>
    <comment ref="AH46" authorId="0" shapeId="0">
      <text>
        <t>Quelle: f02_asset_spiegel_03.xlsx, Anlagespiegel!N77 · gedruckt '541,34'</t>
      </text>
    </comment>
    <comment ref="AI46" authorId="0" shapeId="0">
      <text>
        <t>Quelle: f02_asset_spiegel_03.xlsx, Anlagespiegel!O77 · gedruckt '4.587,18'</t>
      </text>
    </comment>
    <comment ref="AJ46" authorId="0" shapeId="0">
      <text>
        <t>Quelle: f02_asset_spiegel_03.xlsx, Anlagespiegel!M77 · gedruckt '4.929,08'</t>
      </text>
    </comment>
    <comment ref="W47" authorId="0" shapeId="0">
      <text>
        <t>Quelle: f02_asset_spiegel_03.xlsx, Anlagespiegel!F78 · gedruckt '0,00'</t>
      </text>
    </comment>
    <comment ref="X47" authorId="0" shapeId="0">
      <text>
        <t>Quelle: f02_asset_spiegel_03.xlsx, Anlagespiegel!G78 · gedruckt '184.855,19'</t>
      </text>
    </comment>
    <comment ref="Y47" authorId="0" shapeId="0">
      <text>
        <t>Quelle: f02_asset_spiegel_03.xlsx, Anlagespiegel!I78 · leer gedruckt (= 0)</t>
      </text>
    </comment>
    <comment ref="Z47" authorId="0" shapeId="0">
      <text>
        <t>Quelle: f02_asset_spiegel_03.xlsx, Anlagespiegel!J78 · leer gedruckt (= 0)</t>
      </text>
    </comment>
    <comment ref="AC47" authorId="0" shapeId="0">
      <text>
        <t>Quelle: f02_asset_spiegel_03.xlsx, Anlagespiegel!L78 · gedruckt '10.269,73'</t>
      </text>
    </comment>
    <comment ref="AF47" authorId="0" shapeId="0">
      <text>
        <t>Quelle: f02_asset_spiegel_03.xlsx, Anlagespiegel!K78 · leer gedruckt (= 0)</t>
      </text>
    </comment>
    <comment ref="AH47" authorId="0" shapeId="0">
      <text>
        <t>Quelle: f02_asset_spiegel_03.xlsx, Anlagespiegel!N78 · gedruckt '10.269,73'</t>
      </text>
    </comment>
    <comment ref="AI47" authorId="0" shapeId="0">
      <text>
        <t>Quelle: f02_asset_spiegel_03.xlsx, Anlagespiegel!O78 · gedruckt '174.585,46'</t>
      </text>
    </comment>
    <comment ref="AJ47" authorId="0" shapeId="0">
      <text>
        <t>Quelle: f02_asset_spiegel_03.xlsx, Anlagespiegel!M78 · gedruckt '0,00'</t>
      </text>
    </comment>
    <comment ref="W48" authorId="0" shapeId="0">
      <text>
        <t>Quelle: f02_asset_spiegel_03.xlsx, Anlagespiegel!F79 · gedruckt '0,00'</t>
      </text>
    </comment>
    <comment ref="X48" authorId="0" shapeId="0">
      <text>
        <t>Quelle: f02_asset_spiegel_03.xlsx, Anlagespiegel!G79 · gedruckt '20.576,00'</t>
      </text>
    </comment>
    <comment ref="Y48" authorId="0" shapeId="0">
      <text>
        <t>Quelle: f02_asset_spiegel_03.xlsx, Anlagespiegel!I79 · leer gedruckt (= 0)</t>
      </text>
    </comment>
    <comment ref="Z48" authorId="0" shapeId="0">
      <text>
        <t>Quelle: f02_asset_spiegel_03.xlsx, Anlagespiegel!J79 · leer gedruckt (= 0)</t>
      </text>
    </comment>
    <comment ref="AC48" authorId="0" shapeId="0">
      <text>
        <t>Quelle: f02_asset_spiegel_03.xlsx, Anlagespiegel!L79 · gedruckt '685,87'</t>
      </text>
    </comment>
    <comment ref="AF48" authorId="0" shapeId="0">
      <text>
        <t>Quelle: f02_asset_spiegel_03.xlsx, Anlagespiegel!K79 · leer gedruckt (= 0)</t>
      </text>
    </comment>
    <comment ref="AH48" authorId="0" shapeId="0">
      <text>
        <t>Quelle: f02_asset_spiegel_03.xlsx, Anlagespiegel!N79 · gedruckt '685,87'</t>
      </text>
    </comment>
    <comment ref="AI48" authorId="0" shapeId="0">
      <text>
        <t>Quelle: f02_asset_spiegel_03.xlsx, Anlagespiegel!O79 · gedruckt '19.890,13'</t>
      </text>
    </comment>
    <comment ref="AJ48" authorId="0" shapeId="0">
      <text>
        <t>Quelle: f02_asset_spiegel_03.xlsx, Anlagespiegel!M79 · gedruckt '0,00'</t>
      </text>
    </comment>
    <comment ref="W49" authorId="0" shapeId="0">
      <text>
        <t>Quelle: f02_asset_spiegel_03.xlsx, Anlagespiegel!F80 · gedruckt '0,00'</t>
      </text>
    </comment>
    <comment ref="X49" authorId="0" shapeId="0">
      <text>
        <t>Quelle: f02_asset_spiegel_03.xlsx, Anlagespiegel!G80 · gedruckt '19.313,13'</t>
      </text>
    </comment>
    <comment ref="Y49" authorId="0" shapeId="0">
      <text>
        <t>Quelle: f02_asset_spiegel_03.xlsx, Anlagespiegel!I80 · leer gedruckt (= 0)</t>
      </text>
    </comment>
    <comment ref="Z49" authorId="0" shapeId="0">
      <text>
        <t>Quelle: f02_asset_spiegel_03.xlsx, Anlagespiegel!J80 · leer gedruckt (= 0)</t>
      </text>
    </comment>
    <comment ref="AC49" authorId="0" shapeId="0">
      <text>
        <t>Quelle: f02_asset_spiegel_03.xlsx, Anlagespiegel!L80 · gedruckt '429,18'</t>
      </text>
    </comment>
    <comment ref="AF49" authorId="0" shapeId="0">
      <text>
        <t>Quelle: f02_asset_spiegel_03.xlsx, Anlagespiegel!K80 · leer gedruckt (= 0)</t>
      </text>
    </comment>
    <comment ref="AH49" authorId="0" shapeId="0">
      <text>
        <t>Quelle: f02_asset_spiegel_03.xlsx, Anlagespiegel!N80 · gedruckt '429,18'</t>
      </text>
    </comment>
    <comment ref="AI49" authorId="0" shapeId="0">
      <text>
        <t>Quelle: f02_asset_spiegel_03.xlsx, Anlagespiegel!O80 · gedruckt '18.883,95'</t>
      </text>
    </comment>
    <comment ref="AJ49" authorId="0" shapeId="0">
      <text>
        <t>Quelle: f02_asset_spiegel_03.xlsx, Anlagespiegel!M80 · gedruckt '0,00'</t>
      </text>
    </comment>
    <comment ref="W50" authorId="0" shapeId="0">
      <text>
        <t>Quelle: f02_asset_spiegel_03.xlsx, Anlagespiegel!F87 · gedruckt '27.109,25'</t>
      </text>
    </comment>
    <comment ref="X50" authorId="0" shapeId="0">
      <text>
        <t>Quelle: f02_asset_spiegel_03.xlsx, Anlagespiegel!G87 · leer gedruckt (= 0)</t>
      </text>
    </comment>
    <comment ref="Y50" authorId="0" shapeId="0">
      <text>
        <t>Quelle: f02_asset_spiegel_03.xlsx, Anlagespiegel!I87 · leer gedruckt (= 0)</t>
      </text>
    </comment>
    <comment ref="Z50" authorId="0" shapeId="0">
      <text>
        <t>Quelle: f02_asset_spiegel_03.xlsx, Anlagespiegel!J87 · leer gedruckt (= 0)</t>
      </text>
    </comment>
    <comment ref="AC50" authorId="0" shapeId="0">
      <text>
        <t>Quelle: f02_asset_spiegel_03.xlsx, Anlagespiegel!L87 · gedruckt '0,00'</t>
      </text>
    </comment>
    <comment ref="AF50" authorId="0" shapeId="0">
      <text>
        <t>Quelle: f02_asset_spiegel_03.xlsx, Anlagespiegel!K87 · leer gedruckt (= 0)</t>
      </text>
    </comment>
    <comment ref="AH50" authorId="0" shapeId="0">
      <text>
        <t>Quelle: f02_asset_spiegel_03.xlsx, Anlagespiegel!N87 · gedruckt '27.108,25'</t>
      </text>
    </comment>
    <comment ref="AI50" authorId="0" shapeId="0">
      <text>
        <t>Quelle: f02_asset_spiegel_03.xlsx, Anlagespiegel!O87 · gedruckt '1,00'</t>
      </text>
    </comment>
    <comment ref="AJ50" authorId="0" shapeId="0">
      <text>
        <t>Quelle: f02_asset_spiegel_03.xlsx, Anlagespiegel!M87 · gedruckt '1,00'</t>
      </text>
    </comment>
    <comment ref="W51" authorId="0" shapeId="0">
      <text>
        <t>Quelle: f02_asset_spiegel_03.xlsx, Anlagespiegel!F88 · gedruckt '35.343,00'</t>
      </text>
    </comment>
    <comment ref="X51" authorId="0" shapeId="0">
      <text>
        <t>Quelle: f02_asset_spiegel_03.xlsx, Anlagespiegel!G88 · leer gedruckt (= 0)</t>
      </text>
    </comment>
    <comment ref="Y51" authorId="0" shapeId="0">
      <text>
        <t>Quelle: f02_asset_spiegel_03.xlsx, Anlagespiegel!I88 · leer gedruckt (= 0)</t>
      </text>
    </comment>
    <comment ref="Z51" authorId="0" shapeId="0">
      <text>
        <t>Quelle: f02_asset_spiegel_03.xlsx, Anlagespiegel!J88 · leer gedruckt (= 0)</t>
      </text>
    </comment>
    <comment ref="AC51" authorId="0" shapeId="0">
      <text>
        <t>Quelle: f02_asset_spiegel_03.xlsx, Anlagespiegel!L88 · gedruckt '0,00'</t>
      </text>
    </comment>
    <comment ref="AF51" authorId="0" shapeId="0">
      <text>
        <t>Quelle: f02_asset_spiegel_03.xlsx, Anlagespiegel!K88 · leer gedruckt (= 0)</t>
      </text>
    </comment>
    <comment ref="AH51" authorId="0" shapeId="0">
      <text>
        <t>Quelle: f02_asset_spiegel_03.xlsx, Anlagespiegel!N88 · gedruckt '35.342,00'</t>
      </text>
    </comment>
    <comment ref="AI51" authorId="0" shapeId="0">
      <text>
        <t>Quelle: f02_asset_spiegel_03.xlsx, Anlagespiegel!O88 · gedruckt '1,00'</t>
      </text>
    </comment>
    <comment ref="AJ51" authorId="0" shapeId="0">
      <text>
        <t>Quelle: f02_asset_spiegel_03.xlsx, Anlagespiegel!M88 · gedruckt '1,00'</t>
      </text>
    </comment>
    <comment ref="W52" authorId="0" shapeId="0">
      <text>
        <t>Quelle: f02_asset_spiegel_03.xlsx, Anlagespiegel!F89 · gedruckt '8.207,47'</t>
      </text>
    </comment>
    <comment ref="X52" authorId="0" shapeId="0">
      <text>
        <t>Quelle: f02_asset_spiegel_03.xlsx, Anlagespiegel!G89 · leer gedruckt (= 0)</t>
      </text>
    </comment>
    <comment ref="Y52" authorId="0" shapeId="0">
      <text>
        <t>Quelle: f02_asset_spiegel_03.xlsx, Anlagespiegel!I89 · leer gedruckt (= 0)</t>
      </text>
    </comment>
    <comment ref="Z52" authorId="0" shapeId="0">
      <text>
        <t>Quelle: f02_asset_spiegel_03.xlsx, Anlagespiegel!J89 · leer gedruckt (= 0)</t>
      </text>
    </comment>
    <comment ref="AC52" authorId="0" shapeId="0">
      <text>
        <t>Quelle: f02_asset_spiegel_03.xlsx, Anlagespiegel!L89 · gedruckt '0,00'</t>
      </text>
    </comment>
    <comment ref="AF52" authorId="0" shapeId="0">
      <text>
        <t>Quelle: f02_asset_spiegel_03.xlsx, Anlagespiegel!K89 · leer gedruckt (= 0)</t>
      </text>
    </comment>
    <comment ref="AH52" authorId="0" shapeId="0">
      <text>
        <t>Quelle: f02_asset_spiegel_03.xlsx, Anlagespiegel!N89 · gedruckt '8.206,47'</t>
      </text>
    </comment>
    <comment ref="AI52" authorId="0" shapeId="0">
      <text>
        <t>Quelle: f02_asset_spiegel_03.xlsx, Anlagespiegel!O89 · gedruckt '1,00'</t>
      </text>
    </comment>
    <comment ref="AJ52" authorId="0" shapeId="0">
      <text>
        <t>Quelle: f02_asset_spiegel_03.xlsx, Anlagespiegel!M89 · gedruckt '1,00'</t>
      </text>
    </comment>
    <comment ref="W53" authorId="0" shapeId="0">
      <text>
        <t>Quelle: f02_asset_spiegel_03.xlsx, Anlagespiegel!F90 · gedruckt '24.048,61'</t>
      </text>
    </comment>
    <comment ref="X53" authorId="0" shapeId="0">
      <text>
        <t>Quelle: f02_asset_spiegel_03.xlsx, Anlagespiegel!G90 · leer gedruckt (= 0)</t>
      </text>
    </comment>
    <comment ref="Y53" authorId="0" shapeId="0">
      <text>
        <t>Quelle: f02_asset_spiegel_03.xlsx, Anlagespiegel!I90 · leer gedruckt (= 0)</t>
      </text>
    </comment>
    <comment ref="Z53" authorId="0" shapeId="0">
      <text>
        <t>Quelle: f02_asset_spiegel_03.xlsx, Anlagespiegel!J90 · leer gedruckt (= 0)</t>
      </text>
    </comment>
    <comment ref="AC53" authorId="0" shapeId="0">
      <text>
        <t>Quelle: f02_asset_spiegel_03.xlsx, Anlagespiegel!L90 · gedruckt '0,00'</t>
      </text>
    </comment>
    <comment ref="AF53" authorId="0" shapeId="0">
      <text>
        <t>Quelle: f02_asset_spiegel_03.xlsx, Anlagespiegel!K90 · leer gedruckt (= 0)</t>
      </text>
    </comment>
    <comment ref="AH53" authorId="0" shapeId="0">
      <text>
        <t>Quelle: f02_asset_spiegel_03.xlsx, Anlagespiegel!N90 · gedruckt '24.047,61'</t>
      </text>
    </comment>
    <comment ref="AI53" authorId="0" shapeId="0">
      <text>
        <t>Quelle: f02_asset_spiegel_03.xlsx, Anlagespiegel!O90 · gedruckt '1,00'</t>
      </text>
    </comment>
    <comment ref="AJ53" authorId="0" shapeId="0">
      <text>
        <t>Quelle: f02_asset_spiegel_03.xlsx, Anlagespiegel!M90 · gedruckt '1,00'</t>
      </text>
    </comment>
    <comment ref="W54" authorId="0" shapeId="0">
      <text>
        <t>Quelle: f02_asset_spiegel_03.xlsx, Anlagespiegel!F91 · gedruckt '26.637,00'</t>
      </text>
    </comment>
    <comment ref="X54" authorId="0" shapeId="0">
      <text>
        <t>Quelle: f02_asset_spiegel_03.xlsx, Anlagespiegel!G91 · leer gedruckt (= 0)</t>
      </text>
    </comment>
    <comment ref="Y54" authorId="0" shapeId="0">
      <text>
        <t>Quelle: f02_asset_spiegel_03.xlsx, Anlagespiegel!I91 · leer gedruckt (= 0)</t>
      </text>
    </comment>
    <comment ref="Z54" authorId="0" shapeId="0">
      <text>
        <t>Quelle: f02_asset_spiegel_03.xlsx, Anlagespiegel!J91 · leer gedruckt (= 0)</t>
      </text>
    </comment>
    <comment ref="AC54" authorId="0" shapeId="0">
      <text>
        <t>Quelle: f02_asset_spiegel_03.xlsx, Anlagespiegel!L91 · gedruckt '0,00'</t>
      </text>
    </comment>
    <comment ref="AF54" authorId="0" shapeId="0">
      <text>
        <t>Quelle: f02_asset_spiegel_03.xlsx, Anlagespiegel!K91 · leer gedruckt (= 0)</t>
      </text>
    </comment>
    <comment ref="AH54" authorId="0" shapeId="0">
      <text>
        <t>Quelle: f02_asset_spiegel_03.xlsx, Anlagespiegel!N91 · gedruckt '26.636,00'</t>
      </text>
    </comment>
    <comment ref="AI54" authorId="0" shapeId="0">
      <text>
        <t>Quelle: f02_asset_spiegel_03.xlsx, Anlagespiegel!O91 · gedruckt '1,00'</t>
      </text>
    </comment>
    <comment ref="AJ54" authorId="0" shapeId="0">
      <text>
        <t>Quelle: f02_asset_spiegel_03.xlsx, Anlagespiegel!M91 · gedruckt '1,00'</t>
      </text>
    </comment>
    <comment ref="W55" authorId="0" shapeId="0">
      <text>
        <t>Quelle: f02_asset_spiegel_03.xlsx, Anlagespiegel!F92 · gedruckt '27.442,00'</t>
      </text>
    </comment>
    <comment ref="X55" authorId="0" shapeId="0">
      <text>
        <t>Quelle: f02_asset_spiegel_03.xlsx, Anlagespiegel!G92 · leer gedruckt (= 0)</t>
      </text>
    </comment>
    <comment ref="Y55" authorId="0" shapeId="0">
      <text>
        <t>Quelle: f02_asset_spiegel_03.xlsx, Anlagespiegel!I92 · leer gedruckt (= 0)</t>
      </text>
    </comment>
    <comment ref="Z55" authorId="0" shapeId="0">
      <text>
        <t>Quelle: f02_asset_spiegel_03.xlsx, Anlagespiegel!J92 · leer gedruckt (= 0)</t>
      </text>
    </comment>
    <comment ref="AC55" authorId="0" shapeId="0">
      <text>
        <t>Quelle: f02_asset_spiegel_03.xlsx, Anlagespiegel!L92 · gedruckt '4.573,66'</t>
      </text>
    </comment>
    <comment ref="AF55" authorId="0" shapeId="0">
      <text>
        <t>Quelle: f02_asset_spiegel_03.xlsx, Anlagespiegel!K92 · leer gedruckt (= 0)</t>
      </text>
    </comment>
    <comment ref="AH55" authorId="0" shapeId="0">
      <text>
        <t>Quelle: f02_asset_spiegel_03.xlsx, Anlagespiegel!N92 · gedruckt '19.819,22'</t>
      </text>
    </comment>
    <comment ref="AI55" authorId="0" shapeId="0">
      <text>
        <t>Quelle: f02_asset_spiegel_03.xlsx, Anlagespiegel!O92 · gedruckt '7.622,78'</t>
      </text>
    </comment>
    <comment ref="AJ55" authorId="0" shapeId="0">
      <text>
        <t>Quelle: f02_asset_spiegel_03.xlsx, Anlagespiegel!M92 · gedruckt '12.196,44'</t>
      </text>
    </comment>
    <comment ref="W56" authorId="0" shapeId="0">
      <text>
        <t>Quelle: f02_asset_spiegel_03.xlsx, Anlagespiegel!F93 · gedruckt '56.877,00'</t>
      </text>
    </comment>
    <comment ref="X56" authorId="0" shapeId="0">
      <text>
        <t>Quelle: f02_asset_spiegel_03.xlsx, Anlagespiegel!G93 · leer gedruckt (= 0)</t>
      </text>
    </comment>
    <comment ref="Y56" authorId="0" shapeId="0">
      <text>
        <t>Quelle: f02_asset_spiegel_03.xlsx, Anlagespiegel!I93 · leer gedruckt (= 0)</t>
      </text>
    </comment>
    <comment ref="Z56" authorId="0" shapeId="0">
      <text>
        <t>Quelle: f02_asset_spiegel_03.xlsx, Anlagespiegel!J93 · leer gedruckt (= 0)</t>
      </text>
    </comment>
    <comment ref="AC56" authorId="0" shapeId="0">
      <text>
        <t>Quelle: f02_asset_spiegel_03.xlsx, Anlagespiegel!L93 · gedruckt '9.479,50'</t>
      </text>
    </comment>
    <comment ref="AF56" authorId="0" shapeId="0">
      <text>
        <t>Quelle: f02_asset_spiegel_03.xlsx, Anlagespiegel!K93 · leer gedruckt (= 0)</t>
      </text>
    </comment>
    <comment ref="AH56" authorId="0" shapeId="0">
      <text>
        <t>Quelle: f02_asset_spiegel_03.xlsx, Anlagespiegel!N93 · gedruckt '14.219,25'</t>
      </text>
    </comment>
    <comment ref="AI56" authorId="0" shapeId="0">
      <text>
        <t>Quelle: f02_asset_spiegel_03.xlsx, Anlagespiegel!O93 · gedruckt '42.657,75'</t>
      </text>
    </comment>
    <comment ref="AJ56" authorId="0" shapeId="0">
      <text>
        <t>Quelle: f02_asset_spiegel_03.xlsx, Anlagespiegel!M93 · gedruckt '52.137,25'</t>
      </text>
    </comment>
    <comment ref="W57" authorId="0" shapeId="0">
      <text>
        <t>Quelle: f02_asset_spiegel_03.xlsx, Anlagespiegel!F96 · gedruckt '98.506,00'</t>
      </text>
    </comment>
    <comment ref="X57" authorId="0" shapeId="0">
      <text>
        <t>Quelle: f02_asset_spiegel_03.xlsx, Anlagespiegel!G96 · leer gedruckt (= 0)</t>
      </text>
    </comment>
    <comment ref="Y57" authorId="0" shapeId="0">
      <text>
        <t>Quelle: f02_asset_spiegel_03.xlsx, Anlagespiegel!I96 · leer gedruckt (= 0)</t>
      </text>
    </comment>
    <comment ref="Z57" authorId="0" shapeId="0">
      <text>
        <t>Quelle: f02_asset_spiegel_03.xlsx, Anlagespiegel!J96 · leer gedruckt (= 0)</t>
      </text>
    </comment>
    <comment ref="AC57" authorId="0" shapeId="0">
      <text>
        <t>Quelle: f02_asset_spiegel_03.xlsx, Anlagespiegel!L96 · gedruckt '0,00'</t>
      </text>
    </comment>
    <comment ref="AF57" authorId="0" shapeId="0">
      <text>
        <t>Quelle: f02_asset_spiegel_03.xlsx, Anlagespiegel!K96 · leer gedruckt (= 0)</t>
      </text>
    </comment>
    <comment ref="AH57" authorId="0" shapeId="0">
      <text>
        <t>Quelle: f02_asset_spiegel_03.xlsx, Anlagespiegel!N96 · gedruckt '98.505,00'</t>
      </text>
    </comment>
    <comment ref="AI57" authorId="0" shapeId="0">
      <text>
        <t>Quelle: f02_asset_spiegel_03.xlsx, Anlagespiegel!O96 · gedruckt '1,00'</t>
      </text>
    </comment>
    <comment ref="AJ57" authorId="0" shapeId="0">
      <text>
        <t>Quelle: f02_asset_spiegel_03.xlsx, Anlagespiegel!M96 · gedruckt '1,00'</t>
      </text>
    </comment>
    <comment ref="W58" authorId="0" shapeId="0">
      <text>
        <t>Quelle: f02_asset_spiegel_03.xlsx, Anlagespiegel!F97 · gedruckt '25.360,16'</t>
      </text>
    </comment>
    <comment ref="X58" authorId="0" shapeId="0">
      <text>
        <t>Quelle: f02_asset_spiegel_03.xlsx, Anlagespiegel!G97 · leer gedruckt (= 0)</t>
      </text>
    </comment>
    <comment ref="Y58" authorId="0" shapeId="0">
      <text>
        <t>Quelle: f02_asset_spiegel_03.xlsx, Anlagespiegel!I97 · leer gedruckt (= 0)</t>
      </text>
    </comment>
    <comment ref="Z58" authorId="0" shapeId="0">
      <text>
        <t>Quelle: f02_asset_spiegel_03.xlsx, Anlagespiegel!J97 · leer gedruckt (= 0)</t>
      </text>
    </comment>
    <comment ref="AC58" authorId="0" shapeId="0">
      <text>
        <t>Quelle: f02_asset_spiegel_03.xlsx, Anlagespiegel!L97 · gedruckt '0,00'</t>
      </text>
    </comment>
    <comment ref="AF58" authorId="0" shapeId="0">
      <text>
        <t>Quelle: f02_asset_spiegel_03.xlsx, Anlagespiegel!K97 · leer gedruckt (= 0)</t>
      </text>
    </comment>
    <comment ref="AH58" authorId="0" shapeId="0">
      <text>
        <t>Quelle: f02_asset_spiegel_03.xlsx, Anlagespiegel!N97 · gedruckt '25.359,16'</t>
      </text>
    </comment>
    <comment ref="AI58" authorId="0" shapeId="0">
      <text>
        <t>Quelle: f02_asset_spiegel_03.xlsx, Anlagespiegel!O97 · gedruckt '1,00'</t>
      </text>
    </comment>
    <comment ref="AJ58" authorId="0" shapeId="0">
      <text>
        <t>Quelle: f02_asset_spiegel_03.xlsx, Anlagespiegel!M97 · gedruckt '1,00'</t>
      </text>
    </comment>
    <comment ref="W59" authorId="0" shapeId="0">
      <text>
        <t>Quelle: f02_asset_spiegel_03.xlsx, Anlagespiegel!F98 · gedruckt '156.983,50'</t>
      </text>
    </comment>
    <comment ref="X59" authorId="0" shapeId="0">
      <text>
        <t>Quelle: f02_asset_spiegel_03.xlsx, Anlagespiegel!G98 · leer gedruckt (= 0)</t>
      </text>
    </comment>
    <comment ref="Y59" authorId="0" shapeId="0">
      <text>
        <t>Quelle: f02_asset_spiegel_03.xlsx, Anlagespiegel!I98 · leer gedruckt (= 0)</t>
      </text>
    </comment>
    <comment ref="Z59" authorId="0" shapeId="0">
      <text>
        <t>Quelle: f02_asset_spiegel_03.xlsx, Anlagespiegel!J98 · leer gedruckt (= 0)</t>
      </text>
    </comment>
    <comment ref="AC59" authorId="0" shapeId="0">
      <text>
        <t>Quelle: f02_asset_spiegel_03.xlsx, Anlagespiegel!L98 · gedruckt '0,00'</t>
      </text>
    </comment>
    <comment ref="AF59" authorId="0" shapeId="0">
      <text>
        <t>Quelle: f02_asset_spiegel_03.xlsx, Anlagespiegel!K98 · leer gedruckt (= 0)</t>
      </text>
    </comment>
    <comment ref="AH59" authorId="0" shapeId="0">
      <text>
        <t>Quelle: f02_asset_spiegel_03.xlsx, Anlagespiegel!N98 · gedruckt '156.982,50'</t>
      </text>
    </comment>
    <comment ref="AI59" authorId="0" shapeId="0">
      <text>
        <t>Quelle: f02_asset_spiegel_03.xlsx, Anlagespiegel!O98 · gedruckt '1,00'</t>
      </text>
    </comment>
    <comment ref="AJ59" authorId="0" shapeId="0">
      <text>
        <t>Quelle: f02_asset_spiegel_03.xlsx, Anlagespiegel!M98 · gedruckt '1,00'</t>
      </text>
    </comment>
    <comment ref="W60" authorId="0" shapeId="0">
      <text>
        <t>Quelle: f02_asset_spiegel_03.xlsx, Anlagespiegel!F99 · gedruckt '33.402,80'</t>
      </text>
    </comment>
    <comment ref="X60" authorId="0" shapeId="0">
      <text>
        <t>Quelle: f02_asset_spiegel_03.xlsx, Anlagespiegel!G99 · leer gedruckt (= 0)</t>
      </text>
    </comment>
    <comment ref="Y60" authorId="0" shapeId="0">
      <text>
        <t>Quelle: f02_asset_spiegel_03.xlsx, Anlagespiegel!I99 · leer gedruckt (= 0)</t>
      </text>
    </comment>
    <comment ref="Z60" authorId="0" shapeId="0">
      <text>
        <t>Quelle: f02_asset_spiegel_03.xlsx, Anlagespiegel!J99 · leer gedruckt (= 0)</t>
      </text>
    </comment>
    <comment ref="AC60" authorId="0" shapeId="0">
      <text>
        <t>Quelle: f02_asset_spiegel_03.xlsx, Anlagespiegel!L99 · gedruckt '0,00'</t>
      </text>
    </comment>
    <comment ref="AF60" authorId="0" shapeId="0">
      <text>
        <t>Quelle: f02_asset_spiegel_03.xlsx, Anlagespiegel!K99 · leer gedruckt (= 0)</t>
      </text>
    </comment>
    <comment ref="AH60" authorId="0" shapeId="0">
      <text>
        <t>Quelle: f02_asset_spiegel_03.xlsx, Anlagespiegel!N99 · gedruckt '33.401,80'</t>
      </text>
    </comment>
    <comment ref="AI60" authorId="0" shapeId="0">
      <text>
        <t>Quelle: f02_asset_spiegel_03.xlsx, Anlagespiegel!O99 · gedruckt '1,00'</t>
      </text>
    </comment>
    <comment ref="AJ60" authorId="0" shapeId="0">
      <text>
        <t>Quelle: f02_asset_spiegel_03.xlsx, Anlagespiegel!M99 · gedruckt '1,00'</t>
      </text>
    </comment>
    <comment ref="W61" authorId="0" shapeId="0">
      <text>
        <t>Quelle: f02_asset_spiegel_03.xlsx, Anlagespiegel!F100 · gedruckt '141.502,00'</t>
      </text>
    </comment>
    <comment ref="X61" authorId="0" shapeId="0">
      <text>
        <t>Quelle: f02_asset_spiegel_03.xlsx, Anlagespiegel!G100 · leer gedruckt (= 0)</t>
      </text>
    </comment>
    <comment ref="Y61" authorId="0" shapeId="0">
      <text>
        <t>Quelle: f02_asset_spiegel_03.xlsx, Anlagespiegel!I100 · leer gedruckt (= 0)</t>
      </text>
    </comment>
    <comment ref="Z61" authorId="0" shapeId="0">
      <text>
        <t>Quelle: f02_asset_spiegel_03.xlsx, Anlagespiegel!J100 · leer gedruckt (= 0)</t>
      </text>
    </comment>
    <comment ref="AC61" authorId="0" shapeId="0">
      <text>
        <t>Quelle: f02_asset_spiegel_03.xlsx, Anlagespiegel!L100 · gedruckt '11.790,83'</t>
      </text>
    </comment>
    <comment ref="AF61" authorId="0" shapeId="0">
      <text>
        <t>Quelle: f02_asset_spiegel_03.xlsx, Anlagespiegel!K100 · leer gedruckt (= 0)</t>
      </text>
    </comment>
    <comment ref="AH61" authorId="0" shapeId="0">
      <text>
        <t>Quelle: f02_asset_spiegel_03.xlsx, Anlagespiegel!N100 · gedruckt '141.501,00'</t>
      </text>
    </comment>
    <comment ref="AI61" authorId="0" shapeId="0">
      <text>
        <t>Quelle: f02_asset_spiegel_03.xlsx, Anlagespiegel!O100 · gedruckt '1,00'</t>
      </text>
    </comment>
    <comment ref="AJ61" authorId="0" shapeId="0">
      <text>
        <t>Quelle: f02_asset_spiegel_03.xlsx, Anlagespiegel!M100 · gedruckt '11.791,83'</t>
      </text>
    </comment>
    <comment ref="W62" authorId="0" shapeId="0">
      <text>
        <t>Quelle: f02_asset_spiegel_03.xlsx, Anlagespiegel!F101 · gedruckt '41.019,66'</t>
      </text>
    </comment>
    <comment ref="X62" authorId="0" shapeId="0">
      <text>
        <t>Quelle: f02_asset_spiegel_03.xlsx, Anlagespiegel!G101 · leer gedruckt (= 0)</t>
      </text>
    </comment>
    <comment ref="Y62" authorId="0" shapeId="0">
      <text>
        <t>Quelle: f02_asset_spiegel_03.xlsx, Anlagespiegel!I101 · leer gedruckt (= 0)</t>
      </text>
    </comment>
    <comment ref="Z62" authorId="0" shapeId="0">
      <text>
        <t>Quelle: f02_asset_spiegel_03.xlsx, Anlagespiegel!J101 · leer gedruckt (= 0)</t>
      </text>
    </comment>
    <comment ref="AC62" authorId="0" shapeId="0">
      <text>
        <t>Quelle: f02_asset_spiegel_03.xlsx, Anlagespiegel!L101 · gedruckt '4.557,74'</t>
      </text>
    </comment>
    <comment ref="AF62" authorId="0" shapeId="0">
      <text>
        <t>Quelle: f02_asset_spiegel_03.xlsx, Anlagespiegel!K101 · leer gedruckt (= 0)</t>
      </text>
    </comment>
    <comment ref="AH62" authorId="0" shapeId="0">
      <text>
        <t>Quelle: f02_asset_spiegel_03.xlsx, Anlagespiegel!N101 · gedruckt '30.005,12'</t>
      </text>
    </comment>
    <comment ref="AI62" authorId="0" shapeId="0">
      <text>
        <t>Quelle: f02_asset_spiegel_03.xlsx, Anlagespiegel!O101 · gedruckt '11.014,54'</t>
      </text>
    </comment>
    <comment ref="AJ62" authorId="0" shapeId="0">
      <text>
        <t>Quelle: f02_asset_spiegel_03.xlsx, Anlagespiegel!M101 · gedruckt '15.572,28'</t>
      </text>
    </comment>
    <comment ref="W63" authorId="0" shapeId="0">
      <text>
        <t>Quelle: f02_asset_spiegel_03.xlsx, Anlagespiegel!F102 · gedruckt '150.436,00'</t>
      </text>
    </comment>
    <comment ref="X63" authorId="0" shapeId="0">
      <text>
        <t>Quelle: f02_asset_spiegel_03.xlsx, Anlagespiegel!G102 · leer gedruckt (= 0)</t>
      </text>
    </comment>
    <comment ref="Y63" authorId="0" shapeId="0">
      <text>
        <t>Quelle: f02_asset_spiegel_03.xlsx, Anlagespiegel!I102 · leer gedruckt (= 0)</t>
      </text>
    </comment>
    <comment ref="Z63" authorId="0" shapeId="0">
      <text>
        <t>Quelle: f02_asset_spiegel_03.xlsx, Anlagespiegel!J102 · leer gedruckt (= 0)</t>
      </text>
    </comment>
    <comment ref="AC63" authorId="0" shapeId="0">
      <text>
        <t>Quelle: f02_asset_spiegel_03.xlsx, Anlagespiegel!L102 · gedruckt '16.715,11'</t>
      </text>
    </comment>
    <comment ref="AF63" authorId="0" shapeId="0">
      <text>
        <t>Quelle: f02_asset_spiegel_03.xlsx, Anlagespiegel!K102 · leer gedruckt (= 0)</t>
      </text>
    </comment>
    <comment ref="AH63" authorId="0" shapeId="0">
      <text>
        <t>Quelle: f02_asset_spiegel_03.xlsx, Anlagespiegel!N102 · gedruckt '80.789,70'</t>
      </text>
    </comment>
    <comment ref="AI63" authorId="0" shapeId="0">
      <text>
        <t>Quelle: f02_asset_spiegel_03.xlsx, Anlagespiegel!O102 · gedruckt '69.646,30'</t>
      </text>
    </comment>
    <comment ref="AJ63" authorId="0" shapeId="0">
      <text>
        <t>Quelle: f02_asset_spiegel_03.xlsx, Anlagespiegel!M102 · gedruckt '86.361,41'</t>
      </text>
    </comment>
    <comment ref="W64" authorId="0" shapeId="0">
      <text>
        <t>Quelle: f02_asset_spiegel_03.xlsx, Anlagespiegel!F103 · gedruckt '32.674,77'</t>
      </text>
    </comment>
    <comment ref="X64" authorId="0" shapeId="0">
      <text>
        <t>Quelle: f02_asset_spiegel_03.xlsx, Anlagespiegel!G103 · leer gedruckt (= 0)</t>
      </text>
    </comment>
    <comment ref="Y64" authorId="0" shapeId="0">
      <text>
        <t>Quelle: f02_asset_spiegel_03.xlsx, Anlagespiegel!I103 · leer gedruckt (= 0)</t>
      </text>
    </comment>
    <comment ref="Z64" authorId="0" shapeId="0">
      <text>
        <t>Quelle: f02_asset_spiegel_03.xlsx, Anlagespiegel!J103 · leer gedruckt (= 0)</t>
      </text>
    </comment>
    <comment ref="AC64" authorId="0" shapeId="0">
      <text>
        <t>Quelle: f02_asset_spiegel_03.xlsx, Anlagespiegel!L103 · gedruckt '3.630,53'</t>
      </text>
    </comment>
    <comment ref="AF64" authorId="0" shapeId="0">
      <text>
        <t>Quelle: f02_asset_spiegel_03.xlsx, Anlagespiegel!K103 · leer gedruckt (= 0)</t>
      </text>
    </comment>
    <comment ref="AH64" authorId="0" shapeId="0">
      <text>
        <t>Quelle: f02_asset_spiegel_03.xlsx, Anlagespiegel!N103 · gedruckt '12.404,31'</t>
      </text>
    </comment>
    <comment ref="AI64" authorId="0" shapeId="0">
      <text>
        <t>Quelle: f02_asset_spiegel_03.xlsx, Anlagespiegel!O103 · gedruckt '20.270,46'</t>
      </text>
    </comment>
    <comment ref="AJ64" authorId="0" shapeId="0">
      <text>
        <t>Quelle: f02_asset_spiegel_03.xlsx, Anlagespiegel!M103 · gedruckt '23.900,99'</t>
      </text>
    </comment>
    <comment ref="W65" authorId="0" shapeId="0">
      <text>
        <t>Quelle: f02_asset_spiegel_03.xlsx, Anlagespiegel!F104 · gedruckt '59.058,94'</t>
      </text>
    </comment>
    <comment ref="X65" authorId="0" shapeId="0">
      <text>
        <t>Quelle: f02_asset_spiegel_03.xlsx, Anlagespiegel!G104 · leer gedruckt (= 0)</t>
      </text>
    </comment>
    <comment ref="Y65" authorId="0" shapeId="0">
      <text>
        <t>Quelle: f02_asset_spiegel_03.xlsx, Anlagespiegel!I104 · leer gedruckt (= 0)</t>
      </text>
    </comment>
    <comment ref="Z65" authorId="0" shapeId="0">
      <text>
        <t>Quelle: f02_asset_spiegel_03.xlsx, Anlagespiegel!J104 · leer gedruckt (= 0)</t>
      </text>
    </comment>
    <comment ref="AC65" authorId="0" shapeId="0">
      <text>
        <t>Quelle: f02_asset_spiegel_03.xlsx, Anlagespiegel!L104 · gedruckt '6.562,10'</t>
      </text>
    </comment>
    <comment ref="AF65" authorId="0" shapeId="0">
      <text>
        <t>Quelle: f02_asset_spiegel_03.xlsx, Anlagespiegel!K104 · leer gedruckt (= 0)</t>
      </text>
    </comment>
    <comment ref="AH65" authorId="0" shapeId="0">
      <text>
        <t>Quelle: f02_asset_spiegel_03.xlsx, Anlagespiegel!N104 · gedruckt '16.952,10'</t>
      </text>
    </comment>
    <comment ref="AI65" authorId="0" shapeId="0">
      <text>
        <t>Quelle: f02_asset_spiegel_03.xlsx, Anlagespiegel!O104 · gedruckt '42.106,84'</t>
      </text>
    </comment>
    <comment ref="AJ65" authorId="0" shapeId="0">
      <text>
        <t>Quelle: f02_asset_spiegel_03.xlsx, Anlagespiegel!M104 · gedruckt '48.668,94'</t>
      </text>
    </comment>
    <comment ref="W66" authorId="0" shapeId="0">
      <text>
        <t>Quelle: f02_asset_spiegel_03.xlsx, Anlagespiegel!F105 · gedruckt '156.596,00'</t>
      </text>
    </comment>
    <comment ref="X66" authorId="0" shapeId="0">
      <text>
        <t>Quelle: f02_asset_spiegel_03.xlsx, Anlagespiegel!G105 · leer gedruckt (= 0)</t>
      </text>
    </comment>
    <comment ref="Y66" authorId="0" shapeId="0">
      <text>
        <t>Quelle: f02_asset_spiegel_03.xlsx, Anlagespiegel!I105 · leer gedruckt (= 0)</t>
      </text>
    </comment>
    <comment ref="Z66" authorId="0" shapeId="0">
      <text>
        <t>Quelle: f02_asset_spiegel_03.xlsx, Anlagespiegel!J105 · leer gedruckt (= 0)</t>
      </text>
    </comment>
    <comment ref="AC66" authorId="0" shapeId="0">
      <text>
        <t>Quelle: f02_asset_spiegel_03.xlsx, Anlagespiegel!L105 · gedruckt '17.399,55'</t>
      </text>
    </comment>
    <comment ref="AF66" authorId="0" shapeId="0">
      <text>
        <t>Quelle: f02_asset_spiegel_03.xlsx, Anlagespiegel!K105 · leer gedruckt (= 0)</t>
      </text>
    </comment>
    <comment ref="AH66" authorId="0" shapeId="0">
      <text>
        <t>Quelle: f02_asset_spiegel_03.xlsx, Anlagespiegel!N105 · gedruckt '36.249,07'</t>
      </text>
    </comment>
    <comment ref="AI66" authorId="0" shapeId="0">
      <text>
        <t>Quelle: f02_asset_spiegel_03.xlsx, Anlagespiegel!O105 · gedruckt '120.346,93'</t>
      </text>
    </comment>
    <comment ref="AJ66" authorId="0" shapeId="0">
      <text>
        <t>Quelle: f02_asset_spiegel_03.xlsx, Anlagespiegel!M105 · gedruckt '137.746,48'</t>
      </text>
    </comment>
    <comment ref="W67" authorId="0" shapeId="0">
      <text>
        <t>Quelle: f02_asset_spiegel_03.xlsx, Anlagespiegel!F106 · gedruckt '0,00'</t>
      </text>
    </comment>
    <comment ref="X67" authorId="0" shapeId="0">
      <text>
        <t>Quelle: f02_asset_spiegel_03.xlsx, Anlagespiegel!G106 · gedruckt '86.171,00'</t>
      </text>
    </comment>
    <comment ref="Y67" authorId="0" shapeId="0">
      <text>
        <t>Quelle: f02_asset_spiegel_03.xlsx, Anlagespiegel!I106 · leer gedruckt (= 0)</t>
      </text>
    </comment>
    <comment ref="Z67" authorId="0" shapeId="0">
      <text>
        <t>Quelle: f02_asset_spiegel_03.xlsx, Anlagespiegel!J106 · leer gedruckt (= 0)</t>
      </text>
    </comment>
    <comment ref="AC67" authorId="0" shapeId="0">
      <text>
        <t>Quelle: f02_asset_spiegel_03.xlsx, Anlagespiegel!L106 · gedruckt '2.393,64'</t>
      </text>
    </comment>
    <comment ref="AF67" authorId="0" shapeId="0">
      <text>
        <t>Quelle: f02_asset_spiegel_03.xlsx, Anlagespiegel!K106 · leer gedruckt (= 0)</t>
      </text>
    </comment>
    <comment ref="AH67" authorId="0" shapeId="0">
      <text>
        <t>Quelle: f02_asset_spiegel_03.xlsx, Anlagespiegel!N106 · gedruckt '2.393,64'</t>
      </text>
    </comment>
    <comment ref="AI67" authorId="0" shapeId="0">
      <text>
        <t>Quelle: f02_asset_spiegel_03.xlsx, Anlagespiegel!O106 · gedruckt '83.777,36'</t>
      </text>
    </comment>
    <comment ref="AJ67" authorId="0" shapeId="0">
      <text>
        <t>Quelle: f02_asset_spiegel_03.xlsx, Anlagespiegel!M106 · gedruckt '0,00'</t>
      </text>
    </comment>
    <comment ref="W68" authorId="0" shapeId="0">
      <text>
        <t>Quelle: f02_asset_spiegel_03.xlsx, Anlagespiegel!F113 · gedruckt '879,00'</t>
      </text>
    </comment>
    <comment ref="X68" authorId="0" shapeId="0">
      <text>
        <t>Quelle: f02_asset_spiegel_03.xlsx, Anlagespiegel!G113 · leer gedruckt (= 0)</t>
      </text>
    </comment>
    <comment ref="Y68" authorId="0" shapeId="0">
      <text>
        <t>Quelle: f02_asset_spiegel_03.xlsx, Anlagespiegel!I113 · leer gedruckt (= 0)</t>
      </text>
    </comment>
    <comment ref="Z68" authorId="0" shapeId="0">
      <text>
        <t>Quelle: f02_asset_spiegel_03.xlsx, Anlagespiegel!J113 · leer gedruckt (= 0)</t>
      </text>
    </comment>
    <comment ref="AC68" authorId="0" shapeId="0">
      <text>
        <t>Quelle: f02_asset_spiegel_03.xlsx, Anlagespiegel!L113 · gedruckt '0,00'</t>
      </text>
    </comment>
    <comment ref="AF68" authorId="0" shapeId="0">
      <text>
        <t>Quelle: f02_asset_spiegel_03.xlsx, Anlagespiegel!K113 · leer gedruckt (= 0)</t>
      </text>
    </comment>
    <comment ref="AH68" authorId="0" shapeId="0">
      <text>
        <t>Quelle: f02_asset_spiegel_03.xlsx, Anlagespiegel!N113 · gedruckt '878,00'</t>
      </text>
    </comment>
    <comment ref="AI68" authorId="0" shapeId="0">
      <text>
        <t>Quelle: f02_asset_spiegel_03.xlsx, Anlagespiegel!O113 · gedruckt '1,00'</t>
      </text>
    </comment>
    <comment ref="AJ68" authorId="0" shapeId="0">
      <text>
        <t>Quelle: f02_asset_spiegel_03.xlsx, Anlagespiegel!M113 · gedruckt '1,00'</t>
      </text>
    </comment>
    <comment ref="W69" authorId="0" shapeId="0">
      <text>
        <t>Quelle: f02_asset_spiegel_03.xlsx, Anlagespiegel!F114 · gedruckt '166,09'</t>
      </text>
    </comment>
    <comment ref="X69" authorId="0" shapeId="0">
      <text>
        <t>Quelle: f02_asset_spiegel_03.xlsx, Anlagespiegel!G114 · leer gedruckt (= 0)</t>
      </text>
    </comment>
    <comment ref="Y69" authorId="0" shapeId="0">
      <text>
        <t>Quelle: f02_asset_spiegel_03.xlsx, Anlagespiegel!I114 · leer gedruckt (= 0)</t>
      </text>
    </comment>
    <comment ref="Z69" authorId="0" shapeId="0">
      <text>
        <t>Quelle: f02_asset_spiegel_03.xlsx, Anlagespiegel!J114 · leer gedruckt (= 0)</t>
      </text>
    </comment>
    <comment ref="AC69" authorId="0" shapeId="0">
      <text>
        <t>Quelle: f02_asset_spiegel_03.xlsx, Anlagespiegel!L114 · gedruckt '0,00'</t>
      </text>
    </comment>
    <comment ref="AF69" authorId="0" shapeId="0">
      <text>
        <t>Quelle: f02_asset_spiegel_03.xlsx, Anlagespiegel!K114 · leer gedruckt (= 0)</t>
      </text>
    </comment>
    <comment ref="AH69" authorId="0" shapeId="0">
      <text>
        <t>Quelle: f02_asset_spiegel_03.xlsx, Anlagespiegel!N114 · gedruckt '165,09'</t>
      </text>
    </comment>
    <comment ref="AI69" authorId="0" shapeId="0">
      <text>
        <t>Quelle: f02_asset_spiegel_03.xlsx, Anlagespiegel!O114 · gedruckt '1,00'</t>
      </text>
    </comment>
    <comment ref="AJ69" authorId="0" shapeId="0">
      <text>
        <t>Quelle: f02_asset_spiegel_03.xlsx, Anlagespiegel!M114 · gedruckt '1,00'</t>
      </text>
    </comment>
    <comment ref="W70" authorId="0" shapeId="0">
      <text>
        <t>Quelle: f02_asset_spiegel_03.xlsx, Anlagespiegel!F115 · gedruckt '3.999,00'</t>
      </text>
    </comment>
    <comment ref="X70" authorId="0" shapeId="0">
      <text>
        <t>Quelle: f02_asset_spiegel_03.xlsx, Anlagespiegel!G115 · leer gedruckt (= 0)</t>
      </text>
    </comment>
    <comment ref="Y70" authorId="0" shapeId="0">
      <text>
        <t>Quelle: f02_asset_spiegel_03.xlsx, Anlagespiegel!I115 · leer gedruckt (= 0)</t>
      </text>
    </comment>
    <comment ref="Z70" authorId="0" shapeId="0">
      <text>
        <t>Quelle: f02_asset_spiegel_03.xlsx, Anlagespiegel!J115 · leer gedruckt (= 0)</t>
      </text>
    </comment>
    <comment ref="AC70" authorId="0" shapeId="0">
      <text>
        <t>Quelle: f02_asset_spiegel_03.xlsx, Anlagespiegel!L115 · gedruckt '0,00'</t>
      </text>
    </comment>
    <comment ref="AF70" authorId="0" shapeId="0">
      <text>
        <t>Quelle: f02_asset_spiegel_03.xlsx, Anlagespiegel!K115 · leer gedruckt (= 0)</t>
      </text>
    </comment>
    <comment ref="AH70" authorId="0" shapeId="0">
      <text>
        <t>Quelle: f02_asset_spiegel_03.xlsx, Anlagespiegel!N115 · gedruckt '3.998,00'</t>
      </text>
    </comment>
    <comment ref="AI70" authorId="0" shapeId="0">
      <text>
        <t>Quelle: f02_asset_spiegel_03.xlsx, Anlagespiegel!O115 · gedruckt '1,00'</t>
      </text>
    </comment>
    <comment ref="AJ70" authorId="0" shapeId="0">
      <text>
        <t>Quelle: f02_asset_spiegel_03.xlsx, Anlagespiegel!M115 · gedruckt '1,00'</t>
      </text>
    </comment>
    <comment ref="W71" authorId="0" shapeId="0">
      <text>
        <t>Quelle: f02_asset_spiegel_03.xlsx, Anlagespiegel!F116 · gedruckt '3.748,00'</t>
      </text>
    </comment>
    <comment ref="X71" authorId="0" shapeId="0">
      <text>
        <t>Quelle: f02_asset_spiegel_03.xlsx, Anlagespiegel!G116 · leer gedruckt (= 0)</t>
      </text>
    </comment>
    <comment ref="Y71" authorId="0" shapeId="0">
      <text>
        <t>Quelle: f02_asset_spiegel_03.xlsx, Anlagespiegel!I116 · leer gedruckt (= 0)</t>
      </text>
    </comment>
    <comment ref="Z71" authorId="0" shapeId="0">
      <text>
        <t>Quelle: f02_asset_spiegel_03.xlsx, Anlagespiegel!J116 · leer gedruckt (= 0)</t>
      </text>
    </comment>
    <comment ref="AC71" authorId="0" shapeId="0">
      <text>
        <t>Quelle: f02_asset_spiegel_03.xlsx, Anlagespiegel!L116 · gedruckt '0,00'</t>
      </text>
    </comment>
    <comment ref="AF71" authorId="0" shapeId="0">
      <text>
        <t>Quelle: f02_asset_spiegel_03.xlsx, Anlagespiegel!K116 · leer gedruckt (= 0)</t>
      </text>
    </comment>
    <comment ref="AH71" authorId="0" shapeId="0">
      <text>
        <t>Quelle: f02_asset_spiegel_03.xlsx, Anlagespiegel!N116 · gedruckt '3.747,00'</t>
      </text>
    </comment>
    <comment ref="AI71" authorId="0" shapeId="0">
      <text>
        <t>Quelle: f02_asset_spiegel_03.xlsx, Anlagespiegel!O116 · gedruckt '1,00'</t>
      </text>
    </comment>
    <comment ref="AJ71" authorId="0" shapeId="0">
      <text>
        <t>Quelle: f02_asset_spiegel_03.xlsx, Anlagespiegel!M116 · gedruckt '1,00'</t>
      </text>
    </comment>
    <comment ref="W72" authorId="0" shapeId="0">
      <text>
        <t>Quelle: f02_asset_spiegel_03.xlsx, Anlagespiegel!F117 · gedruckt '3.869,00'</t>
      </text>
    </comment>
    <comment ref="X72" authorId="0" shapeId="0">
      <text>
        <t>Quelle: f02_asset_spiegel_03.xlsx, Anlagespiegel!G117 · leer gedruckt (= 0)</t>
      </text>
    </comment>
    <comment ref="Y72" authorId="0" shapeId="0">
      <text>
        <t>Quelle: f02_asset_spiegel_03.xlsx, Anlagespiegel!I117 · leer gedruckt (= 0)</t>
      </text>
    </comment>
    <comment ref="Z72" authorId="0" shapeId="0">
      <text>
        <t>Quelle: f02_asset_spiegel_03.xlsx, Anlagespiegel!J117 · leer gedruckt (= 0)</t>
      </text>
    </comment>
    <comment ref="AC72" authorId="0" shapeId="0">
      <text>
        <t>Quelle: f02_asset_spiegel_03.xlsx, Anlagespiegel!L117 · gedruckt '0,00'</t>
      </text>
    </comment>
    <comment ref="AF72" authorId="0" shapeId="0">
      <text>
        <t>Quelle: f02_asset_spiegel_03.xlsx, Anlagespiegel!K117 · leer gedruckt (= 0)</t>
      </text>
    </comment>
    <comment ref="AH72" authorId="0" shapeId="0">
      <text>
        <t>Quelle: f02_asset_spiegel_03.xlsx, Anlagespiegel!N117 · gedruckt '3.868,00'</t>
      </text>
    </comment>
    <comment ref="AI72" authorId="0" shapeId="0">
      <text>
        <t>Quelle: f02_asset_spiegel_03.xlsx, Anlagespiegel!O117 · gedruckt '1,00'</t>
      </text>
    </comment>
    <comment ref="AJ72" authorId="0" shapeId="0">
      <text>
        <t>Quelle: f02_asset_spiegel_03.xlsx, Anlagespiegel!M117 · gedruckt '1,00'</t>
      </text>
    </comment>
    <comment ref="W73" authorId="0" shapeId="0">
      <text>
        <t>Quelle: f02_asset_spiegel_03.xlsx, Anlagespiegel!F118 · gedruckt '52.732,00'</t>
      </text>
    </comment>
    <comment ref="X73" authorId="0" shapeId="0">
      <text>
        <t>Quelle: f02_asset_spiegel_03.xlsx, Anlagespiegel!G118 · leer gedruckt (= 0)</t>
      </text>
    </comment>
    <comment ref="Y73" authorId="0" shapeId="0">
      <text>
        <t>Quelle: f02_asset_spiegel_03.xlsx, Anlagespiegel!I118 · leer gedruckt (= 0)</t>
      </text>
    </comment>
    <comment ref="Z73" authorId="0" shapeId="0">
      <text>
        <t>Quelle: f02_asset_spiegel_03.xlsx, Anlagespiegel!J118 · leer gedruckt (= 0)</t>
      </text>
    </comment>
    <comment ref="AC73" authorId="0" shapeId="0">
      <text>
        <t>Quelle: f02_asset_spiegel_03.xlsx, Anlagespiegel!L118 · gedruckt '0,00'</t>
      </text>
    </comment>
    <comment ref="AF73" authorId="0" shapeId="0">
      <text>
        <t>Quelle: f02_asset_spiegel_03.xlsx, Anlagespiegel!K118 · leer gedruckt (= 0)</t>
      </text>
    </comment>
    <comment ref="AH73" authorId="0" shapeId="0">
      <text>
        <t>Quelle: f02_asset_spiegel_03.xlsx, Anlagespiegel!N118 · gedruckt '52.731,00'</t>
      </text>
    </comment>
    <comment ref="AI73" authorId="0" shapeId="0">
      <text>
        <t>Quelle: f02_asset_spiegel_03.xlsx, Anlagespiegel!O118 · gedruckt '1,00'</t>
      </text>
    </comment>
    <comment ref="AJ73" authorId="0" shapeId="0">
      <text>
        <t>Quelle: f02_asset_spiegel_03.xlsx, Anlagespiegel!M118 · gedruckt '1,00'</t>
      </text>
    </comment>
    <comment ref="W74" authorId="0" shapeId="0">
      <text>
        <t>Quelle: f02_asset_spiegel_03.xlsx, Anlagespiegel!F119 · gedruckt '11.796,00'</t>
      </text>
    </comment>
    <comment ref="X74" authorId="0" shapeId="0">
      <text>
        <t>Quelle: f02_asset_spiegel_03.xlsx, Anlagespiegel!G119 · leer gedruckt (= 0)</t>
      </text>
    </comment>
    <comment ref="Y74" authorId="0" shapeId="0">
      <text>
        <t>Quelle: f02_asset_spiegel_03.xlsx, Anlagespiegel!I119 · leer gedruckt (= 0)</t>
      </text>
    </comment>
    <comment ref="Z74" authorId="0" shapeId="0">
      <text>
        <t>Quelle: f02_asset_spiegel_03.xlsx, Anlagespiegel!J119 · leer gedruckt (= 0)</t>
      </text>
    </comment>
    <comment ref="AC74" authorId="0" shapeId="0">
      <text>
        <t>Quelle: f02_asset_spiegel_03.xlsx, Anlagespiegel!L119 · gedruckt '0,00'</t>
      </text>
    </comment>
    <comment ref="AF74" authorId="0" shapeId="0">
      <text>
        <t>Quelle: f02_asset_spiegel_03.xlsx, Anlagespiegel!K119 · leer gedruckt (= 0)</t>
      </text>
    </comment>
    <comment ref="AH74" authorId="0" shapeId="0">
      <text>
        <t>Quelle: f02_asset_spiegel_03.xlsx, Anlagespiegel!N119 · gedruckt '11.795,00'</t>
      </text>
    </comment>
    <comment ref="AI74" authorId="0" shapeId="0">
      <text>
        <t>Quelle: f02_asset_spiegel_03.xlsx, Anlagespiegel!O119 · gedruckt '1,00'</t>
      </text>
    </comment>
    <comment ref="AJ74" authorId="0" shapeId="0">
      <text>
        <t>Quelle: f02_asset_spiegel_03.xlsx, Anlagespiegel!M119 · gedruckt '1,00'</t>
      </text>
    </comment>
    <comment ref="W75" authorId="0" shapeId="0">
      <text>
        <t>Quelle: f02_asset_spiegel_03.xlsx, Anlagespiegel!F120 · gedruckt '3.124,75'</t>
      </text>
    </comment>
    <comment ref="X75" authorId="0" shapeId="0">
      <text>
        <t>Quelle: f02_asset_spiegel_03.xlsx, Anlagespiegel!G120 · leer gedruckt (= 0)</t>
      </text>
    </comment>
    <comment ref="Y75" authorId="0" shapeId="0">
      <text>
        <t>Quelle: f02_asset_spiegel_03.xlsx, Anlagespiegel!I120 · leer gedruckt (= 0)</t>
      </text>
    </comment>
    <comment ref="Z75" authorId="0" shapeId="0">
      <text>
        <t>Quelle: f02_asset_spiegel_03.xlsx, Anlagespiegel!J120 · leer gedruckt (= 0)</t>
      </text>
    </comment>
    <comment ref="AC75" authorId="0" shapeId="0">
      <text>
        <t>Quelle: f02_asset_spiegel_03.xlsx, Anlagespiegel!L120 · gedruckt '623,95'</t>
      </text>
    </comment>
    <comment ref="AF75" authorId="0" shapeId="0">
      <text>
        <t>Quelle: f02_asset_spiegel_03.xlsx, Anlagespiegel!K120 · leer gedruckt (= 0)</t>
      </text>
    </comment>
    <comment ref="AH75" authorId="0" shapeId="0">
      <text>
        <t>Quelle: f02_asset_spiegel_03.xlsx, Anlagespiegel!N120 · gedruckt '3.123,75'</t>
      </text>
    </comment>
    <comment ref="AI75" authorId="0" shapeId="0">
      <text>
        <t>Quelle: f02_asset_spiegel_03.xlsx, Anlagespiegel!O120 · gedruckt '1,00'</t>
      </text>
    </comment>
    <comment ref="AJ75" authorId="0" shapeId="0">
      <text>
        <t>Quelle: f02_asset_spiegel_03.xlsx, Anlagespiegel!M120 · gedruckt '624,95'</t>
      </text>
    </comment>
    <comment ref="W76" authorId="0" shapeId="0">
      <text>
        <t>Quelle: f02_asset_spiegel_03.xlsx, Anlagespiegel!F121 · gedruckt '13.833,26'</t>
      </text>
    </comment>
    <comment ref="X76" authorId="0" shapeId="0">
      <text>
        <t>Quelle: f02_asset_spiegel_03.xlsx, Anlagespiegel!G121 · leer gedruckt (= 0)</t>
      </text>
    </comment>
    <comment ref="Y76" authorId="0" shapeId="0">
      <text>
        <t>Quelle: f02_asset_spiegel_03.xlsx, Anlagespiegel!I121 · leer gedruckt (= 0)</t>
      </text>
    </comment>
    <comment ref="Z76" authorId="0" shapeId="0">
      <text>
        <t>Quelle: f02_asset_spiegel_03.xlsx, Anlagespiegel!J121 · leer gedruckt (= 0)</t>
      </text>
    </comment>
    <comment ref="AC76" authorId="0" shapeId="0">
      <text>
        <t>Quelle: f02_asset_spiegel_03.xlsx, Anlagespiegel!L121 · gedruckt '0,00'</t>
      </text>
    </comment>
    <comment ref="AF76" authorId="0" shapeId="0">
      <text>
        <t>Quelle: f02_asset_spiegel_03.xlsx, Anlagespiegel!K121 · leer gedruckt (= 0)</t>
      </text>
    </comment>
    <comment ref="AH76" authorId="0" shapeId="0">
      <text>
        <t>Quelle: f02_asset_spiegel_03.xlsx, Anlagespiegel!N121 · gedruckt '13.832,26'</t>
      </text>
    </comment>
    <comment ref="AI76" authorId="0" shapeId="0">
      <text>
        <t>Quelle: f02_asset_spiegel_03.xlsx, Anlagespiegel!O121 · gedruckt '1,00'</t>
      </text>
    </comment>
    <comment ref="AJ76" authorId="0" shapeId="0">
      <text>
        <t>Quelle: f02_asset_spiegel_03.xlsx, Anlagespiegel!M121 · gedruckt '1,00'</t>
      </text>
    </comment>
    <comment ref="W77" authorId="0" shapeId="0">
      <text>
        <t>Quelle: f02_asset_spiegel_03.xlsx, Anlagespiegel!F122 · gedruckt '4.787,00'</t>
      </text>
    </comment>
    <comment ref="X77" authorId="0" shapeId="0">
      <text>
        <t>Quelle: f02_asset_spiegel_03.xlsx, Anlagespiegel!G122 · leer gedruckt (= 0)</t>
      </text>
    </comment>
    <comment ref="Y77" authorId="0" shapeId="0">
      <text>
        <t>Quelle: f02_asset_spiegel_03.xlsx, Anlagespiegel!I122 · leer gedruckt (= 0)</t>
      </text>
    </comment>
    <comment ref="Z77" authorId="0" shapeId="0">
      <text>
        <t>Quelle: f02_asset_spiegel_03.xlsx, Anlagespiegel!J122 · leer gedruckt (= 0)</t>
      </text>
    </comment>
    <comment ref="AC77" authorId="0" shapeId="0">
      <text>
        <t>Quelle: f02_asset_spiegel_03.xlsx, Anlagespiegel!L122 · gedruckt '598,37'</t>
      </text>
    </comment>
    <comment ref="AF77" authorId="0" shapeId="0">
      <text>
        <t>Quelle: f02_asset_spiegel_03.xlsx, Anlagespiegel!K122 · leer gedruckt (= 0)</t>
      </text>
    </comment>
    <comment ref="AH77" authorId="0" shapeId="0">
      <text>
        <t>Quelle: f02_asset_spiegel_03.xlsx, Anlagespiegel!N122 · gedruckt '3.590,25'</t>
      </text>
    </comment>
    <comment ref="AI77" authorId="0" shapeId="0">
      <text>
        <t>Quelle: f02_asset_spiegel_03.xlsx, Anlagespiegel!O122 · gedruckt '1.196,75'</t>
      </text>
    </comment>
    <comment ref="AJ77" authorId="0" shapeId="0">
      <text>
        <t>Quelle: f02_asset_spiegel_03.xlsx, Anlagespiegel!M122 · gedruckt '1.795,12'</t>
      </text>
    </comment>
    <comment ref="W78" authorId="0" shapeId="0">
      <text>
        <t>Quelle: f02_asset_spiegel_03.xlsx, Anlagespiegel!F123 · gedruckt '0,00'</t>
      </text>
    </comment>
    <comment ref="X78" authorId="0" shapeId="0">
      <text>
        <t>Quelle: f02_asset_spiegel_03.xlsx, Anlagespiegel!G123 · gedruckt '8.117,00'</t>
      </text>
    </comment>
    <comment ref="Y78" authorId="0" shapeId="0">
      <text>
        <t>Quelle: f02_asset_spiegel_03.xlsx, Anlagespiegel!I123 · leer gedruckt (= 0)</t>
      </text>
    </comment>
    <comment ref="Z78" authorId="0" shapeId="0">
      <text>
        <t>Quelle: f02_asset_spiegel_03.xlsx, Anlagespiegel!J123 · leer gedruckt (= 0)</t>
      </text>
    </comment>
    <comment ref="AC78" authorId="0" shapeId="0">
      <text>
        <t>Quelle: f02_asset_spiegel_03.xlsx, Anlagespiegel!L123 · gedruckt '760,97'</t>
      </text>
    </comment>
    <comment ref="AF78" authorId="0" shapeId="0">
      <text>
        <t>Quelle: f02_asset_spiegel_03.xlsx, Anlagespiegel!K123 · leer gedruckt (= 0)</t>
      </text>
    </comment>
    <comment ref="AH78" authorId="0" shapeId="0">
      <text>
        <t>Quelle: f02_asset_spiegel_03.xlsx, Anlagespiegel!N123 · gedruckt '760,97'</t>
      </text>
    </comment>
    <comment ref="AI78" authorId="0" shapeId="0">
      <text>
        <t>Quelle: f02_asset_spiegel_03.xlsx, Anlagespiegel!O123 · gedruckt '7.356,03'</t>
      </text>
    </comment>
    <comment ref="AJ78" authorId="0" shapeId="0">
      <text>
        <t>Quelle: f02_asset_spiegel_03.xlsx, Anlagespiegel!M123 · gedruckt '0,00'</t>
      </text>
    </comment>
    <comment ref="W79" authorId="0" shapeId="0">
      <text>
        <t>Quelle: f02_asset_spiegel_03.xlsx, Anlagespiegel!F124 · gedruckt '0,00'</t>
      </text>
    </comment>
    <comment ref="X79" authorId="0" shapeId="0">
      <text>
        <t>Quelle: f02_asset_spiegel_03.xlsx, Anlagespiegel!G124 · gedruckt '47.845,60'</t>
      </text>
    </comment>
    <comment ref="Y79" authorId="0" shapeId="0">
      <text>
        <t>Quelle: f02_asset_spiegel_03.xlsx, Anlagespiegel!I124 · leer gedruckt (= 0)</t>
      </text>
    </comment>
    <comment ref="Z79" authorId="0" shapeId="0">
      <text>
        <t>Quelle: f02_asset_spiegel_03.xlsx, Anlagespiegel!J124 · leer gedruckt (= 0)</t>
      </text>
    </comment>
    <comment ref="AC79" authorId="0" shapeId="0">
      <text>
        <t>Quelle: f02_asset_spiegel_03.xlsx, Anlagespiegel!L124 · gedruckt '4.784,56'</t>
      </text>
    </comment>
    <comment ref="AF79" authorId="0" shapeId="0">
      <text>
        <t>Quelle: f02_asset_spiegel_03.xlsx, Anlagespiegel!K124 · leer gedruckt (= 0)</t>
      </text>
    </comment>
    <comment ref="AH79" authorId="0" shapeId="0">
      <text>
        <t>Quelle: f02_asset_spiegel_03.xlsx, Anlagespiegel!N124 · gedruckt '4.784,56'</t>
      </text>
    </comment>
    <comment ref="AI79" authorId="0" shapeId="0">
      <text>
        <t>Quelle: f02_asset_spiegel_03.xlsx, Anlagespiegel!O124 · gedruckt '43.061,04'</t>
      </text>
    </comment>
    <comment ref="AJ79" authorId="0" shapeId="0">
      <text>
        <t>Quelle: f02_asset_spiegel_03.xlsx, Anlagespiegel!M124 · gedruckt '0,00'</t>
      </text>
    </comment>
    <comment ref="W80" authorId="0" shapeId="0">
      <text>
        <t>Quelle: f02_asset_spiegel_03.xlsx, Anlagespiegel!F125 · gedruckt '0,00'</t>
      </text>
    </comment>
    <comment ref="X80" authorId="0" shapeId="0">
      <text>
        <t>Quelle: f02_asset_spiegel_03.xlsx, Anlagespiegel!G125 · gedruckt '846,52'</t>
      </text>
    </comment>
    <comment ref="Y80" authorId="0" shapeId="0">
      <text>
        <t>Quelle: f02_asset_spiegel_03.xlsx, Anlagespiegel!I125 · leer gedruckt (= 0)</t>
      </text>
    </comment>
    <comment ref="Z80" authorId="0" shapeId="0">
      <text>
        <t>Quelle: f02_asset_spiegel_03.xlsx, Anlagespiegel!J125 · leer gedruckt (= 0)</t>
      </text>
    </comment>
    <comment ref="AC80" authorId="0" shapeId="0">
      <text>
        <t>Quelle: f02_asset_spiegel_03.xlsx, Anlagespiegel!L125 · gedruckt '84,65'</t>
      </text>
    </comment>
    <comment ref="AF80" authorId="0" shapeId="0">
      <text>
        <t>Quelle: f02_asset_spiegel_03.xlsx, Anlagespiegel!K125 · leer gedruckt (= 0)</t>
      </text>
    </comment>
    <comment ref="AH80" authorId="0" shapeId="0">
      <text>
        <t>Quelle: f02_asset_spiegel_03.xlsx, Anlagespiegel!N125 · gedruckt '84,65'</t>
      </text>
    </comment>
    <comment ref="AI80" authorId="0" shapeId="0">
      <text>
        <t>Quelle: f02_asset_spiegel_03.xlsx, Anlagespiegel!O125 · gedruckt '761,87'</t>
      </text>
    </comment>
    <comment ref="AJ80" authorId="0" shapeId="0">
      <text>
        <t>Quelle: f02_asset_spiegel_03.xlsx, Anlagespiegel!M125 · gedruckt '0,00'</t>
      </text>
    </comment>
    <comment ref="W81" authorId="0" shapeId="0">
      <text>
        <t>Quelle: f02_asset_spiegel_03.xlsx, Anlagespiegel!F126 · gedruckt '0,00'</t>
      </text>
    </comment>
    <comment ref="X81" authorId="0" shapeId="0">
      <text>
        <t>Quelle: f02_asset_spiegel_03.xlsx, Anlagespiegel!G126 · gedruckt '26.322,65'</t>
      </text>
    </comment>
    <comment ref="Y81" authorId="0" shapeId="0">
      <text>
        <t>Quelle: f02_asset_spiegel_03.xlsx, Anlagespiegel!I126 · leer gedruckt (= 0)</t>
      </text>
    </comment>
    <comment ref="Z81" authorId="0" shapeId="0">
      <text>
        <t>Quelle: f02_asset_spiegel_03.xlsx, Anlagespiegel!J126 · leer gedruckt (= 0)</t>
      </text>
    </comment>
    <comment ref="AC81" authorId="0" shapeId="0">
      <text>
        <t>Quelle: f02_asset_spiegel_03.xlsx, Anlagespiegel!L126 · gedruckt '438,71'</t>
      </text>
    </comment>
    <comment ref="AF81" authorId="0" shapeId="0">
      <text>
        <t>Quelle: f02_asset_spiegel_03.xlsx, Anlagespiegel!K126 · leer gedruckt (= 0)</t>
      </text>
    </comment>
    <comment ref="AH81" authorId="0" shapeId="0">
      <text>
        <t>Quelle: f02_asset_spiegel_03.xlsx, Anlagespiegel!N126 · gedruckt '438,71'</t>
      </text>
    </comment>
    <comment ref="AI81" authorId="0" shapeId="0">
      <text>
        <t>Quelle: f02_asset_spiegel_03.xlsx, Anlagespiegel!O126 · gedruckt '25.883,94'</t>
      </text>
    </comment>
    <comment ref="AJ81" authorId="0" shapeId="0">
      <text>
        <t>Quelle: f02_asset_spiegel_03.xlsx, Anlagespiegel!M126 · gedruckt '0,00'</t>
      </text>
    </comment>
    <comment ref="W82" authorId="0" shapeId="0">
      <text>
        <t>Quelle: f02_asset_spiegel_03.xlsx, Anlagespiegel!F133 · gedruckt '3.853,00'</t>
      </text>
    </comment>
    <comment ref="X82" authorId="0" shapeId="0">
      <text>
        <t>Quelle: f02_asset_spiegel_03.xlsx, Anlagespiegel!G133 · leer gedruckt (= 0)</t>
      </text>
    </comment>
    <comment ref="Y82" authorId="0" shapeId="0">
      <text>
        <t>Quelle: f02_asset_spiegel_03.xlsx, Anlagespiegel!I133 · leer gedruckt (= 0)</t>
      </text>
    </comment>
    <comment ref="Z82" authorId="0" shapeId="0">
      <text>
        <t>Quelle: f02_asset_spiegel_03.xlsx, Anlagespiegel!J133 · leer gedruckt (= 0)</t>
      </text>
    </comment>
    <comment ref="AC82" authorId="0" shapeId="0">
      <text>
        <t>Quelle: f02_asset_spiegel_03.xlsx, Anlagespiegel!L133 · gedruckt '0,00'</t>
      </text>
    </comment>
    <comment ref="AF82" authorId="0" shapeId="0">
      <text>
        <t>Quelle: f02_asset_spiegel_03.xlsx, Anlagespiegel!K133 · leer gedruckt (= 0)</t>
      </text>
    </comment>
    <comment ref="AH82" authorId="0" shapeId="0">
      <text>
        <t>Quelle: f02_asset_spiegel_03.xlsx, Anlagespiegel!N133 · gedruckt '3.852,00'</t>
      </text>
    </comment>
    <comment ref="AI82" authorId="0" shapeId="0">
      <text>
        <t>Quelle: f02_asset_spiegel_03.xlsx, Anlagespiegel!O133 · gedruckt '1,00'</t>
      </text>
    </comment>
    <comment ref="AJ82" authorId="0" shapeId="0">
      <text>
        <t>Quelle: f02_asset_spiegel_03.xlsx, Anlagespiegel!M133 · gedruckt '1,00'</t>
      </text>
    </comment>
    <comment ref="W83" authorId="0" shapeId="0">
      <text>
        <t>Quelle: f02_asset_spiegel_03.xlsx, Anlagespiegel!F134 · gedruckt '838,28'</t>
      </text>
    </comment>
    <comment ref="X83" authorId="0" shapeId="0">
      <text>
        <t>Quelle: f02_asset_spiegel_03.xlsx, Anlagespiegel!G134 · leer gedruckt (= 0)</t>
      </text>
    </comment>
    <comment ref="Y83" authorId="0" shapeId="0">
      <text>
        <t>Quelle: f02_asset_spiegel_03.xlsx, Anlagespiegel!I134 · leer gedruckt (= 0)</t>
      </text>
    </comment>
    <comment ref="Z83" authorId="0" shapeId="0">
      <text>
        <t>Quelle: f02_asset_spiegel_03.xlsx, Anlagespiegel!J134 · leer gedruckt (= 0)</t>
      </text>
    </comment>
    <comment ref="AC83" authorId="0" shapeId="0">
      <text>
        <t>Quelle: f02_asset_spiegel_03.xlsx, Anlagespiegel!L134 · gedruckt '0,00'</t>
      </text>
    </comment>
    <comment ref="AF83" authorId="0" shapeId="0">
      <text>
        <t>Quelle: f02_asset_spiegel_03.xlsx, Anlagespiegel!K134 · leer gedruckt (= 0)</t>
      </text>
    </comment>
    <comment ref="AH83" authorId="0" shapeId="0">
      <text>
        <t>Quelle: f02_asset_spiegel_03.xlsx, Anlagespiegel!N134 · gedruckt '837,28'</t>
      </text>
    </comment>
    <comment ref="AI83" authorId="0" shapeId="0">
      <text>
        <t>Quelle: f02_asset_spiegel_03.xlsx, Anlagespiegel!O134 · gedruckt '1,00'</t>
      </text>
    </comment>
    <comment ref="AJ83" authorId="0" shapeId="0">
      <text>
        <t>Quelle: f02_asset_spiegel_03.xlsx, Anlagespiegel!M134 · gedruckt '1,00'</t>
      </text>
    </comment>
    <comment ref="W84" authorId="0" shapeId="0">
      <text>
        <t>Quelle: f02_asset_spiegel_03.xlsx, Anlagespiegel!F135 · gedruckt '0,00'</t>
      </text>
    </comment>
    <comment ref="X84" authorId="0" shapeId="0">
      <text>
        <t>Quelle: f02_asset_spiegel_03.xlsx, Anlagespiegel!G135 · gedruckt '81,81'</t>
      </text>
    </comment>
    <comment ref="Y84" authorId="0" shapeId="0">
      <text>
        <t>Quelle: f02_asset_spiegel_03.xlsx, Anlagespiegel!I135 · leer gedruckt (= 0)</t>
      </text>
    </comment>
    <comment ref="Z84" authorId="0" shapeId="0">
      <text>
        <t>Quelle: f02_asset_spiegel_03.xlsx, Anlagespiegel!J135 · leer gedruckt (= 0)</t>
      </text>
    </comment>
    <comment ref="AC84" authorId="0" shapeId="0">
      <text>
        <t>Quelle: f02_asset_spiegel_03.xlsx, Anlagespiegel!L135 · gedruckt '3,67'</t>
      </text>
    </comment>
    <comment ref="AF84" authorId="0" shapeId="0">
      <text>
        <t>Quelle: f02_asset_spiegel_03.xlsx, Anlagespiegel!K135 · leer gedruckt (= 0)</t>
      </text>
    </comment>
    <comment ref="AH84" authorId="0" shapeId="0">
      <text>
        <t>Quelle: f02_asset_spiegel_03.xlsx, Anlagespiegel!N135 · gedruckt '3,67'</t>
      </text>
    </comment>
    <comment ref="AI84" authorId="0" shapeId="0">
      <text>
        <t>Quelle: f02_asset_spiegel_03.xlsx, Anlagespiegel!O135 · gedruckt '78,14'</t>
      </text>
    </comment>
    <comment ref="AJ84" authorId="0" shapeId="0">
      <text>
        <t>Quelle: f02_asset_spiegel_03.xlsx, Anlagespiegel!M135 · gedruckt '0,00'</t>
      </text>
    </comment>
    <comment ref="W85" authorId="0" shapeId="0">
      <text>
        <t>Quelle: f02_asset_spiegel_03.xlsx, Anlagespiegel!F136 · gedruckt '2.798,65'</t>
      </text>
    </comment>
    <comment ref="X85" authorId="0" shapeId="0">
      <text>
        <t>Quelle: f02_asset_spiegel_03.xlsx, Anlagespiegel!G136 · leer gedruckt (= 0)</t>
      </text>
    </comment>
    <comment ref="Y85" authorId="0" shapeId="0">
      <text>
        <t>Quelle: f02_asset_spiegel_03.xlsx, Anlagespiegel!I136 · leer gedruckt (= 0)</t>
      </text>
    </comment>
    <comment ref="Z85" authorId="0" shapeId="0">
      <text>
        <t>Quelle: f02_asset_spiegel_03.xlsx, Anlagespiegel!J136 · leer gedruckt (= 0)</t>
      </text>
    </comment>
    <comment ref="AC85" authorId="0" shapeId="0">
      <text>
        <t>Quelle: f02_asset_spiegel_03.xlsx, Anlagespiegel!L136 · gedruckt '0,00'</t>
      </text>
    </comment>
    <comment ref="AF85" authorId="0" shapeId="0">
      <text>
        <t>Quelle: f02_asset_spiegel_03.xlsx, Anlagespiegel!K136 · leer gedruckt (= 0)</t>
      </text>
    </comment>
    <comment ref="AH85" authorId="0" shapeId="0">
      <text>
        <t>Quelle: f02_asset_spiegel_03.xlsx, Anlagespiegel!N136 · gedruckt '2.797,65'</t>
      </text>
    </comment>
    <comment ref="AI85" authorId="0" shapeId="0">
      <text>
        <t>Quelle: f02_asset_spiegel_03.xlsx, Anlagespiegel!O136 · gedruckt '1,00'</t>
      </text>
    </comment>
    <comment ref="AJ85" authorId="0" shapeId="0">
      <text>
        <t>Quelle: f02_asset_spiegel_03.xlsx, Anlagespiegel!M136 · gedruckt '1,00'</t>
      </text>
    </comment>
    <comment ref="W86" authorId="0" shapeId="0">
      <text>
        <t>Quelle: f02_asset_spiegel_03.xlsx, Anlagespiegel!F137 · gedruckt '2.409,86'</t>
      </text>
    </comment>
    <comment ref="X86" authorId="0" shapeId="0">
      <text>
        <t>Quelle: f02_asset_spiegel_03.xlsx, Anlagespiegel!G137 · leer gedruckt (= 0)</t>
      </text>
    </comment>
    <comment ref="Y86" authorId="0" shapeId="0">
      <text>
        <t>Quelle: f02_asset_spiegel_03.xlsx, Anlagespiegel!I137 · leer gedruckt (= 0)</t>
      </text>
    </comment>
    <comment ref="Z86" authorId="0" shapeId="0">
      <text>
        <t>Quelle: f02_asset_spiegel_03.xlsx, Anlagespiegel!J137 · leer gedruckt (= 0)</t>
      </text>
    </comment>
    <comment ref="AC86" authorId="0" shapeId="0">
      <text>
        <t>Quelle: f02_asset_spiegel_03.xlsx, Anlagespiegel!L137 · gedruckt '153,48'</t>
      </text>
    </comment>
    <comment ref="AF86" authorId="0" shapeId="0">
      <text>
        <t>Quelle: f02_asset_spiegel_03.xlsx, Anlagespiegel!K137 · leer gedruckt (= 0)</t>
      </text>
    </comment>
    <comment ref="AH86" authorId="0" shapeId="0">
      <text>
        <t>Quelle: f02_asset_spiegel_03.xlsx, Anlagespiegel!N137 · gedruckt '2.408,86'</t>
      </text>
    </comment>
    <comment ref="AI86" authorId="0" shapeId="0">
      <text>
        <t>Quelle: f02_asset_spiegel_03.xlsx, Anlagespiegel!O137 · gedruckt '1,00'</t>
      </text>
    </comment>
    <comment ref="AJ86" authorId="0" shapeId="0">
      <text>
        <t>Quelle: f02_asset_spiegel_03.xlsx, Anlagespiegel!M137 · gedruckt '154,48'</t>
      </text>
    </comment>
    <comment ref="W87" authorId="0" shapeId="0">
      <text>
        <t>Quelle: f02_asset_spiegel_03.xlsx, Anlagespiegel!F138 · gedruckt '21.067,23'</t>
      </text>
    </comment>
    <comment ref="X87" authorId="0" shapeId="0">
      <text>
        <t>Quelle: f02_asset_spiegel_03.xlsx, Anlagespiegel!G138 · leer gedruckt (= 0)</t>
      </text>
    </comment>
    <comment ref="Y87" authorId="0" shapeId="0">
      <text>
        <t>Quelle: f02_asset_spiegel_03.xlsx, Anlagespiegel!I138 · leer gedruckt (= 0)</t>
      </text>
    </comment>
    <comment ref="Z87" authorId="0" shapeId="0">
      <text>
        <t>Quelle: f02_asset_spiegel_03.xlsx, Anlagespiegel!J138 · leer gedruckt (= 0)</t>
      </text>
    </comment>
    <comment ref="AC87" authorId="0" shapeId="0">
      <text>
        <t>Quelle: f02_asset_spiegel_03.xlsx, Anlagespiegel!L138 · gedruckt '1.620,55'</t>
      </text>
    </comment>
    <comment ref="AF87" authorId="0" shapeId="0">
      <text>
        <t>Quelle: f02_asset_spiegel_03.xlsx, Anlagespiegel!K138 · leer gedruckt (= 0)</t>
      </text>
    </comment>
    <comment ref="AH87" authorId="0" shapeId="0">
      <text>
        <t>Quelle: f02_asset_spiegel_03.xlsx, Anlagespiegel!N138 · gedruckt '17.961,16'</t>
      </text>
    </comment>
    <comment ref="AI87" authorId="0" shapeId="0">
      <text>
        <t>Quelle: f02_asset_spiegel_03.xlsx, Anlagespiegel!O138 · gedruckt '3.106,07'</t>
      </text>
    </comment>
    <comment ref="AJ87" authorId="0" shapeId="0">
      <text>
        <t>Quelle: f02_asset_spiegel_03.xlsx, Anlagespiegel!M138 · gedruckt '4.726,62'</t>
      </text>
    </comment>
    <comment ref="W88" authorId="0" shapeId="0">
      <text>
        <t>Quelle: f02_asset_spiegel_03.xlsx, Anlagespiegel!F139 · gedruckt '5.763,61'</t>
      </text>
    </comment>
    <comment ref="X88" authorId="0" shapeId="0">
      <text>
        <t>Quelle: f02_asset_spiegel_03.xlsx, Anlagespiegel!G139 · leer gedruckt (= 0)</t>
      </text>
    </comment>
    <comment ref="Y88" authorId="0" shapeId="0">
      <text>
        <t>Quelle: f02_asset_spiegel_03.xlsx, Anlagespiegel!I139 · leer gedruckt (= 0)</t>
      </text>
    </comment>
    <comment ref="Z88" authorId="0" shapeId="0">
      <text>
        <t>Quelle: f02_asset_spiegel_03.xlsx, Anlagespiegel!J139 · leer gedruckt (= 0)</t>
      </text>
    </comment>
    <comment ref="AC88" authorId="0" shapeId="0">
      <text>
        <t>Quelle: f02_asset_spiegel_03.xlsx, Anlagespiegel!L139 · gedruckt '443,35'</t>
      </text>
    </comment>
    <comment ref="AF88" authorId="0" shapeId="0">
      <text>
        <t>Quelle: f02_asset_spiegel_03.xlsx, Anlagespiegel!K139 · leer gedruckt (= 0)</t>
      </text>
    </comment>
    <comment ref="AH88" authorId="0" shapeId="0">
      <text>
        <t>Quelle: f02_asset_spiegel_03.xlsx, Anlagespiegel!N139 · gedruckt '2.918,75'</t>
      </text>
    </comment>
    <comment ref="AI88" authorId="0" shapeId="0">
      <text>
        <t>Quelle: f02_asset_spiegel_03.xlsx, Anlagespiegel!O139 · gedruckt '2.844,86'</t>
      </text>
    </comment>
    <comment ref="AJ88" authorId="0" shapeId="0">
      <text>
        <t>Quelle: f02_asset_spiegel_03.xlsx, Anlagespiegel!M139 · gedruckt '3.288,21'</t>
      </text>
    </comment>
    <comment ref="W89" authorId="0" shapeId="0">
      <text>
        <t>Quelle: f02_asset_spiegel_03.xlsx, Anlagespiegel!F140 · gedruckt '590,00'</t>
      </text>
    </comment>
    <comment ref="X89" authorId="0" shapeId="0">
      <text>
        <t>Quelle: f02_asset_spiegel_03.xlsx, Anlagespiegel!G140 · leer gedruckt (= 0)</t>
      </text>
    </comment>
    <comment ref="Y89" authorId="0" shapeId="0">
      <text>
        <t>Quelle: f02_asset_spiegel_03.xlsx, Anlagespiegel!I140 · leer gedruckt (= 0)</t>
      </text>
    </comment>
    <comment ref="Z89" authorId="0" shapeId="0">
      <text>
        <t>Quelle: f02_asset_spiegel_03.xlsx, Anlagespiegel!J140 · leer gedruckt (= 0)</t>
      </text>
    </comment>
    <comment ref="AC89" authorId="0" shapeId="0">
      <text>
        <t>Quelle: f02_asset_spiegel_03.xlsx, Anlagespiegel!L140 · gedruckt '45,39'</t>
      </text>
    </comment>
    <comment ref="AF89" authorId="0" shapeId="0">
      <text>
        <t>Quelle: f02_asset_spiegel_03.xlsx, Anlagespiegel!K140 · leer gedruckt (= 0)</t>
      </text>
    </comment>
    <comment ref="AH89" authorId="0" shapeId="0">
      <text>
        <t>Quelle: f02_asset_spiegel_03.xlsx, Anlagespiegel!N140 · gedruckt '139,94'</t>
      </text>
    </comment>
    <comment ref="AI89" authorId="0" shapeId="0">
      <text>
        <t>Quelle: f02_asset_spiegel_03.xlsx, Anlagespiegel!O140 · gedruckt '450,06'</t>
      </text>
    </comment>
    <comment ref="AJ89" authorId="0" shapeId="0">
      <text>
        <t>Quelle: f02_asset_spiegel_03.xlsx, Anlagespiegel!M140 · gedruckt '495,45'</t>
      </text>
    </comment>
    <comment ref="W90" authorId="0" shapeId="0">
      <text>
        <t>Quelle: f02_asset_spiegel_03.xlsx, Anlagespiegel!F141 · gedruckt '0,00'</t>
      </text>
    </comment>
    <comment ref="X90" authorId="0" shapeId="0">
      <text>
        <t>Quelle: f02_asset_spiegel_03.xlsx, Anlagespiegel!G141 · gedruckt '78,70'</t>
      </text>
    </comment>
    <comment ref="Y90" authorId="0" shapeId="0">
      <text>
        <t>Quelle: f02_asset_spiegel_03.xlsx, Anlagespiegel!I141 · leer gedruckt (= 0)</t>
      </text>
    </comment>
    <comment ref="Z90" authorId="0" shapeId="0">
      <text>
        <t>Quelle: f02_asset_spiegel_03.xlsx, Anlagespiegel!J141 · leer gedruckt (= 0)</t>
      </text>
    </comment>
    <comment ref="AC90" authorId="0" shapeId="0">
      <text>
        <t>Quelle: f02_asset_spiegel_03.xlsx, Anlagespiegel!L141 · gedruckt '2,52'</t>
      </text>
    </comment>
    <comment ref="AF90" authorId="0" shapeId="0">
      <text>
        <t>Quelle: f02_asset_spiegel_03.xlsx, Anlagespiegel!K141 · leer gedruckt (= 0)</t>
      </text>
    </comment>
    <comment ref="AH90" authorId="0" shapeId="0">
      <text>
        <t>Quelle: f02_asset_spiegel_03.xlsx, Anlagespiegel!N141 · gedruckt '2,52'</t>
      </text>
    </comment>
    <comment ref="AI90" authorId="0" shapeId="0">
      <text>
        <t>Quelle: f02_asset_spiegel_03.xlsx, Anlagespiegel!O141 · gedruckt '76,18'</t>
      </text>
    </comment>
    <comment ref="AJ90" authorId="0" shapeId="0">
      <text>
        <t>Quelle: f02_asset_spiegel_03.xlsx, Anlagespiegel!M141 · gedruckt '0,00'</t>
      </text>
    </comment>
    <comment ref="W91" authorId="0" shapeId="0">
      <text>
        <t>Quelle: f02_asset_spiegel_03.xlsx, Anlagespiegel!F142 · gedruckt '11.503,00'</t>
      </text>
    </comment>
    <comment ref="X91" authorId="0" shapeId="0">
      <text>
        <t>Quelle: f02_asset_spiegel_03.xlsx, Anlagespiegel!G142 · leer gedruckt (= 0)</t>
      </text>
    </comment>
    <comment ref="Y91" authorId="0" shapeId="0">
      <text>
        <t>Quelle: f02_asset_spiegel_03.xlsx, Anlagespiegel!I142 · leer gedruckt (= 0)</t>
      </text>
    </comment>
    <comment ref="Z91" authorId="0" shapeId="0">
      <text>
        <t>Quelle: f02_asset_spiegel_03.xlsx, Anlagespiegel!J142 · leer gedruckt (= 0)</t>
      </text>
    </comment>
    <comment ref="AC91" authorId="0" shapeId="0">
      <text>
        <t>Quelle: f02_asset_spiegel_03.xlsx, Anlagespiegel!L142 · gedruckt '884,85'</t>
      </text>
    </comment>
    <comment ref="AF91" authorId="0" shapeId="0">
      <text>
        <t>Quelle: f02_asset_spiegel_03.xlsx, Anlagespiegel!K142 · leer gedruckt (= 0)</t>
      </text>
    </comment>
    <comment ref="AH91" authorId="0" shapeId="0">
      <text>
        <t>Quelle: f02_asset_spiegel_03.xlsx, Anlagespiegel!N142 · gedruckt '2.138,38'</t>
      </text>
    </comment>
    <comment ref="AI91" authorId="0" shapeId="0">
      <text>
        <t>Quelle: f02_asset_spiegel_03.xlsx, Anlagespiegel!O142 · gedruckt '9.364,62'</t>
      </text>
    </comment>
    <comment ref="AJ91" authorId="0" shapeId="0">
      <text>
        <t>Quelle: f02_asset_spiegel_03.xlsx, Anlagespiegel!M142 · gedruckt '10.249,47'</t>
      </text>
    </comment>
    <comment ref="W92" authorId="0" shapeId="0">
      <text>
        <t>Quelle: f02_asset_spiegel_03.xlsx, Anlagespiegel!F147 · gedruckt '2.206,00'</t>
      </text>
    </comment>
    <comment ref="X92" authorId="0" shapeId="0">
      <text>
        <t>Quelle: f02_asset_spiegel_03.xlsx, Anlagespiegel!G147 · leer gedruckt (= 0)</t>
      </text>
    </comment>
    <comment ref="Y92" authorId="0" shapeId="0">
      <text>
        <t>Quelle: f02_asset_spiegel_03.xlsx, Anlagespiegel!I147 · leer gedruckt (= 0)</t>
      </text>
    </comment>
    <comment ref="Z92" authorId="0" shapeId="0">
      <text>
        <t>Quelle: f02_asset_spiegel_03.xlsx, Anlagespiegel!J147 · leer gedruckt (= 0)</t>
      </text>
    </comment>
    <comment ref="AC92" authorId="0" shapeId="0">
      <text>
        <t>Quelle: f02_asset_spiegel_03.xlsx, Anlagespiegel!L147 · gedruckt '0,00'</t>
      </text>
    </comment>
    <comment ref="AF92" authorId="0" shapeId="0">
      <text>
        <t>Quelle: f02_asset_spiegel_03.xlsx, Anlagespiegel!K147 · leer gedruckt (= 0)</t>
      </text>
    </comment>
    <comment ref="AH92" authorId="0" shapeId="0">
      <text>
        <t>Quelle: f02_asset_spiegel_03.xlsx, Anlagespiegel!N147 · gedruckt '2.205,00'</t>
      </text>
    </comment>
    <comment ref="AI92" authorId="0" shapeId="0">
      <text>
        <t>Quelle: f02_asset_spiegel_03.xlsx, Anlagespiegel!O147 · gedruckt '1,00'</t>
      </text>
    </comment>
    <comment ref="AJ92" authorId="0" shapeId="0">
      <text>
        <t>Quelle: f02_asset_spiegel_03.xlsx, Anlagespiegel!M147 · gedruckt '1,00'</t>
      </text>
    </comment>
    <comment ref="W93" authorId="0" shapeId="0">
      <text>
        <t>Quelle: f02_asset_spiegel_03.xlsx, Anlagespiegel!F148 · gedruckt '26.957,00'</t>
      </text>
    </comment>
    <comment ref="X93" authorId="0" shapeId="0">
      <text>
        <t>Quelle: f02_asset_spiegel_03.xlsx, Anlagespiegel!G148 · leer gedruckt (= 0)</t>
      </text>
    </comment>
    <comment ref="Y93" authorId="0" shapeId="0">
      <text>
        <t>Quelle: f02_asset_spiegel_03.xlsx, Anlagespiegel!I148 · leer gedruckt (= 0)</t>
      </text>
    </comment>
    <comment ref="Z93" authorId="0" shapeId="0">
      <text>
        <t>Quelle: f02_asset_spiegel_03.xlsx, Anlagespiegel!J148 · leer gedruckt (= 0)</t>
      </text>
    </comment>
    <comment ref="AC93" authorId="0" shapeId="0">
      <text>
        <t>Quelle: f02_asset_spiegel_03.xlsx, Anlagespiegel!L148 · gedruckt '0,00'</t>
      </text>
    </comment>
    <comment ref="AF93" authorId="0" shapeId="0">
      <text>
        <t>Quelle: f02_asset_spiegel_03.xlsx, Anlagespiegel!K148 · leer gedruckt (= 0)</t>
      </text>
    </comment>
    <comment ref="AH93" authorId="0" shapeId="0">
      <text>
        <t>Quelle: f02_asset_spiegel_03.xlsx, Anlagespiegel!N148 · gedruckt '26.956,00'</t>
      </text>
    </comment>
    <comment ref="AI93" authorId="0" shapeId="0">
      <text>
        <t>Quelle: f02_asset_spiegel_03.xlsx, Anlagespiegel!O148 · gedruckt '1,00'</t>
      </text>
    </comment>
    <comment ref="AJ93" authorId="0" shapeId="0">
      <text>
        <t>Quelle: f02_asset_spiegel_03.xlsx, Anlagespiegel!M148 · gedruckt '1,00'</t>
      </text>
    </comment>
    <comment ref="W94" authorId="0" shapeId="0">
      <text>
        <t>Quelle: f02_asset_spiegel_03.xlsx, Anlagespiegel!F149 · gedruckt '26.569,69'</t>
      </text>
    </comment>
    <comment ref="X94" authorId="0" shapeId="0">
      <text>
        <t>Quelle: f02_asset_spiegel_03.xlsx, Anlagespiegel!G149 · leer gedruckt (= 0)</t>
      </text>
    </comment>
    <comment ref="Y94" authorId="0" shapeId="0">
      <text>
        <t>Quelle: f02_asset_spiegel_03.xlsx, Anlagespiegel!I149 · leer gedruckt (= 0)</t>
      </text>
    </comment>
    <comment ref="Z94" authorId="0" shapeId="0">
      <text>
        <t>Quelle: f02_asset_spiegel_03.xlsx, Anlagespiegel!J149 · leer gedruckt (= 0)</t>
      </text>
    </comment>
    <comment ref="AC94" authorId="0" shapeId="0">
      <text>
        <t>Quelle: f02_asset_spiegel_03.xlsx, Anlagespiegel!L149 · gedruckt '8.856,56'</t>
      </text>
    </comment>
    <comment ref="AF94" authorId="0" shapeId="0">
      <text>
        <t>Quelle: f02_asset_spiegel_03.xlsx, Anlagespiegel!K149 · leer gedruckt (= 0)</t>
      </text>
    </comment>
    <comment ref="AH94" authorId="0" shapeId="0">
      <text>
        <t>Quelle: f02_asset_spiegel_03.xlsx, Anlagespiegel!N149 · gedruckt '11.070,70'</t>
      </text>
    </comment>
    <comment ref="AI94" authorId="0" shapeId="0">
      <text>
        <t>Quelle: f02_asset_spiegel_03.xlsx, Anlagespiegel!O149 · gedruckt '15.498,99'</t>
      </text>
    </comment>
    <comment ref="AJ94" authorId="0" shapeId="0">
      <text>
        <t>Quelle: f02_asset_spiegel_03.xlsx, Anlagespiegel!M149 · gedruckt '24.355,55'</t>
      </text>
    </comment>
    <comment ref="W95" authorId="0" shapeId="0">
      <text>
        <t>Quelle: f02_asset_spiegel_03.xlsx, Anlagespiegel!F150 · gedruckt '0,00'</t>
      </text>
    </comment>
    <comment ref="X95" authorId="0" shapeId="0">
      <text>
        <t>Quelle: f02_asset_spiegel_03.xlsx, Anlagespiegel!G150 · gedruckt '1.202,00'</t>
      </text>
    </comment>
    <comment ref="Y95" authorId="0" shapeId="0">
      <text>
        <t>Quelle: f02_asset_spiegel_03.xlsx, Anlagespiegel!I150 · leer gedruckt (= 0)</t>
      </text>
    </comment>
    <comment ref="Z95" authorId="0" shapeId="0">
      <text>
        <t>Quelle: f02_asset_spiegel_03.xlsx, Anlagespiegel!J150 · leer gedruckt (= 0)</t>
      </text>
    </comment>
    <comment ref="AC95" authorId="0" shapeId="0">
      <text>
        <t>Quelle: f02_asset_spiegel_03.xlsx, Anlagespiegel!L150 · gedruckt '333,89'</t>
      </text>
    </comment>
    <comment ref="AF95" authorId="0" shapeId="0">
      <text>
        <t>Quelle: f02_asset_spiegel_03.xlsx, Anlagespiegel!K150 · leer gedruckt (= 0)</t>
      </text>
    </comment>
    <comment ref="AH95" authorId="0" shapeId="0">
      <text>
        <t>Quelle: f02_asset_spiegel_03.xlsx, Anlagespiegel!N150 · gedruckt '333,89'</t>
      </text>
    </comment>
    <comment ref="AI95" authorId="0" shapeId="0">
      <text>
        <t>Quelle: f02_asset_spiegel_03.xlsx, Anlagespiegel!O150 · gedruckt '868,11'</t>
      </text>
    </comment>
    <comment ref="AJ95" authorId="0" shapeId="0">
      <text>
        <t>Quelle: f02_asset_spiegel_03.xlsx, Anlagespiegel!M150 · gedruckt '0,00'</t>
      </text>
    </comment>
    <comment ref="W96" authorId="0" shapeId="0">
      <text>
        <t>Quelle: f02_asset_spiegel_03.xlsx, Anlagespiegel!F156 · gedruckt '635,00'</t>
      </text>
    </comment>
    <comment ref="X96" authorId="0" shapeId="0">
      <text>
        <t>Quelle: f02_asset_spiegel_03.xlsx, Anlagespiegel!G156 · leer gedruckt (= 0)</t>
      </text>
    </comment>
    <comment ref="Y96" authorId="0" shapeId="0">
      <text>
        <t>Quelle: f02_asset_spiegel_03.xlsx, Anlagespiegel!I156 · leer gedruckt (= 0)</t>
      </text>
    </comment>
    <comment ref="Z96" authorId="0" shapeId="0">
      <text>
        <t>Quelle: f02_asset_spiegel_03.xlsx, Anlagespiegel!J156 · leer gedruckt (= 0)</t>
      </text>
    </comment>
    <comment ref="AC96" authorId="0" shapeId="0">
      <text>
        <t>Quelle: f02_asset_spiegel_03.xlsx, Anlagespiegel!L156 · gedruckt '0,00'</t>
      </text>
    </comment>
    <comment ref="AF96" authorId="0" shapeId="0">
      <text>
        <t>Quelle: f02_asset_spiegel_03.xlsx, Anlagespiegel!K156 · leer gedruckt (= 0)</t>
      </text>
    </comment>
    <comment ref="AH96" authorId="0" shapeId="0">
      <text>
        <t>Quelle: f02_asset_spiegel_03.xlsx, Anlagespiegel!N156 · gedruckt '635,00'</t>
      </text>
    </comment>
    <comment ref="AI96" authorId="0" shapeId="0">
      <text>
        <t>Quelle: f02_asset_spiegel_03.xlsx, Anlagespiegel!O156 · gedruckt '0,00'</t>
      </text>
    </comment>
    <comment ref="AJ96" authorId="0" shapeId="0">
      <text>
        <t>Quelle: f02_asset_spiegel_03.xlsx, Anlagespiegel!M156 · gedruckt '0,00'</t>
      </text>
    </comment>
    <comment ref="W97" authorId="0" shapeId="0">
      <text>
        <t>Quelle: f02_asset_spiegel_03.xlsx, Anlagespiegel!F157 · gedruckt '254,89'</t>
      </text>
    </comment>
    <comment ref="X97" authorId="0" shapeId="0">
      <text>
        <t>Quelle: f02_asset_spiegel_03.xlsx, Anlagespiegel!G157 · leer gedruckt (= 0)</t>
      </text>
    </comment>
    <comment ref="Y97" authorId="0" shapeId="0">
      <text>
        <t>Quelle: f02_asset_spiegel_03.xlsx, Anlagespiegel!I157 · leer gedruckt (= 0)</t>
      </text>
    </comment>
    <comment ref="Z97" authorId="0" shapeId="0">
      <text>
        <t>Quelle: f02_asset_spiegel_03.xlsx, Anlagespiegel!J157 · leer gedruckt (= 0)</t>
      </text>
    </comment>
    <comment ref="AC97" authorId="0" shapeId="0">
      <text>
        <t>Quelle: f02_asset_spiegel_03.xlsx, Anlagespiegel!L157 · gedruckt '0,00'</t>
      </text>
    </comment>
    <comment ref="AF97" authorId="0" shapeId="0">
      <text>
        <t>Quelle: f02_asset_spiegel_03.xlsx, Anlagespiegel!K157 · leer gedruckt (= 0)</t>
      </text>
    </comment>
    <comment ref="AH97" authorId="0" shapeId="0">
      <text>
        <t>Quelle: f02_asset_spiegel_03.xlsx, Anlagespiegel!N157 · gedruckt '254,89'</t>
      </text>
    </comment>
    <comment ref="AI97" authorId="0" shapeId="0">
      <text>
        <t>Quelle: f02_asset_spiegel_03.xlsx, Anlagespiegel!O157 · gedruckt '0,00'</t>
      </text>
    </comment>
    <comment ref="AJ97" authorId="0" shapeId="0">
      <text>
        <t>Quelle: f02_asset_spiegel_03.xlsx, Anlagespiegel!M157 · gedruckt '0,00'</t>
      </text>
    </comment>
    <comment ref="W98" authorId="0" shapeId="0">
      <text>
        <t>Quelle: f02_asset_spiegel_03.xlsx, Anlagespiegel!F158 · gedruckt '625,87'</t>
      </text>
    </comment>
    <comment ref="X98" authorId="0" shapeId="0">
      <text>
        <t>Quelle: f02_asset_spiegel_03.xlsx, Anlagespiegel!G158 · leer gedruckt (= 0)</t>
      </text>
    </comment>
    <comment ref="Y98" authorId="0" shapeId="0">
      <text>
        <t>Quelle: f02_asset_spiegel_03.xlsx, Anlagespiegel!I158 · leer gedruckt (= 0)</t>
      </text>
    </comment>
    <comment ref="Z98" authorId="0" shapeId="0">
      <text>
        <t>Quelle: f02_asset_spiegel_03.xlsx, Anlagespiegel!J158 · leer gedruckt (= 0)</t>
      </text>
    </comment>
    <comment ref="AC98" authorId="0" shapeId="0">
      <text>
        <t>Quelle: f02_asset_spiegel_03.xlsx, Anlagespiegel!L158 · gedruckt '0,00'</t>
      </text>
    </comment>
    <comment ref="AF98" authorId="0" shapeId="0">
      <text>
        <t>Quelle: f02_asset_spiegel_03.xlsx, Anlagespiegel!K158 · leer gedruckt (= 0)</t>
      </text>
    </comment>
    <comment ref="AH98" authorId="0" shapeId="0">
      <text>
        <t>Quelle: f02_asset_spiegel_03.xlsx, Anlagespiegel!N158 · gedruckt '625,87'</t>
      </text>
    </comment>
    <comment ref="AI98" authorId="0" shapeId="0">
      <text>
        <t>Quelle: f02_asset_spiegel_03.xlsx, Anlagespiegel!O158 · gedruckt '0,00'</t>
      </text>
    </comment>
    <comment ref="AJ98" authorId="0" shapeId="0">
      <text>
        <t>Quelle: f02_asset_spiegel_03.xlsx, Anlagespiegel!M158 · gedruckt '0,00'</t>
      </text>
    </comment>
    <comment ref="W99" authorId="0" shapeId="0">
      <text>
        <t>Quelle: f02_asset_spiegel_03.xlsx, Anlagespiegel!F159 · gedruckt '0,00'</t>
      </text>
    </comment>
    <comment ref="X99" authorId="0" shapeId="0">
      <text>
        <t>Quelle: f02_asset_spiegel_03.xlsx, Anlagespiegel!G159 · gedruckt '377,00'</t>
      </text>
    </comment>
    <comment ref="Y99" authorId="0" shapeId="0">
      <text>
        <t>Quelle: f02_asset_spiegel_03.xlsx, Anlagespiegel!I159 · leer gedruckt (= 0)</t>
      </text>
    </comment>
    <comment ref="Z99" authorId="0" shapeId="0">
      <text>
        <t>Quelle: f02_asset_spiegel_03.xlsx, Anlagespiegel!J159 · leer gedruckt (= 0)</t>
      </text>
    </comment>
    <comment ref="AC99" authorId="0" shapeId="0">
      <text>
        <t>Quelle: f02_asset_spiegel_03.xlsx, Anlagespiegel!L159 · gedruckt '377,00'</t>
      </text>
    </comment>
    <comment ref="AF99" authorId="0" shapeId="0">
      <text>
        <t>Quelle: f02_asset_spiegel_03.xlsx, Anlagespiegel!K159 · leer gedruckt (= 0)</t>
      </text>
    </comment>
    <comment ref="AH99" authorId="0" shapeId="0">
      <text>
        <t>Quelle: f02_asset_spiegel_03.xlsx, Anlagespiegel!N159 · gedruckt '377,00'</t>
      </text>
    </comment>
    <comment ref="AI99" authorId="0" shapeId="0">
      <text>
        <t>Quelle: f02_asset_spiegel_03.xlsx, Anlagespiegel!O159 · gedruckt '0,00'</t>
      </text>
    </comment>
    <comment ref="AJ99" authorId="0" shapeId="0">
      <text>
        <t>Quelle: f02_asset_spiegel_03.xlsx, Anlagespiegel!M159 · gedruckt '0,00'</t>
      </text>
    </comment>
    <comment ref="W100" authorId="0" shapeId="0">
      <text>
        <t>Quelle: f02_asset_spiegel_03.xlsx, Anlagespiegel!F160 · gedruckt '0,00'</t>
      </text>
    </comment>
    <comment ref="X100" authorId="0" shapeId="0">
      <text>
        <t>Quelle: f02_asset_spiegel_03.xlsx, Anlagespiegel!G160 · gedruckt '321,00'</t>
      </text>
    </comment>
    <comment ref="Y100" authorId="0" shapeId="0">
      <text>
        <t>Quelle: f02_asset_spiegel_03.xlsx, Anlagespiegel!I160 · leer gedruckt (= 0)</t>
      </text>
    </comment>
    <comment ref="Z100" authorId="0" shapeId="0">
      <text>
        <t>Quelle: f02_asset_spiegel_03.xlsx, Anlagespiegel!J160 · leer gedruckt (= 0)</t>
      </text>
    </comment>
    <comment ref="AC100" authorId="0" shapeId="0">
      <text>
        <t>Quelle: f02_asset_spiegel_03.xlsx, Anlagespiegel!L160 · gedruckt '321,00'</t>
      </text>
    </comment>
    <comment ref="AF100" authorId="0" shapeId="0">
      <text>
        <t>Quelle: f02_asset_spiegel_03.xlsx, Anlagespiegel!K160 · leer gedruckt (= 0)</t>
      </text>
    </comment>
    <comment ref="AH100" authorId="0" shapeId="0">
      <text>
        <t>Quelle: f02_asset_spiegel_03.xlsx, Anlagespiegel!N160 · gedruckt '321,00'</t>
      </text>
    </comment>
    <comment ref="AI100" authorId="0" shapeId="0">
      <text>
        <t>Quelle: f02_asset_spiegel_03.xlsx, Anlagespiegel!O160 · gedruckt '0,00'</t>
      </text>
    </comment>
    <comment ref="AJ100" authorId="0" shapeId="0">
      <text>
        <t>Quelle: f02_asset_spiegel_03.xlsx, Anlagespiegel!M160 · gedruckt '0,00'</t>
      </text>
    </comment>
    <comment ref="W101" authorId="0" shapeId="0">
      <text>
        <t>Quelle: f02_asset_spiegel_03.xlsx, Anlagespiegel!F161 · gedruckt '0,00'</t>
      </text>
    </comment>
    <comment ref="X101" authorId="0" shapeId="0">
      <text>
        <t>Quelle: f02_asset_spiegel_03.xlsx, Anlagespiegel!G161 · gedruckt '283,15'</t>
      </text>
    </comment>
    <comment ref="Y101" authorId="0" shapeId="0">
      <text>
        <t>Quelle: f02_asset_spiegel_03.xlsx, Anlagespiegel!I161 · leer gedruckt (= 0)</t>
      </text>
    </comment>
    <comment ref="Z101" authorId="0" shapeId="0">
      <text>
        <t>Quelle: f02_asset_spiegel_03.xlsx, Anlagespiegel!J161 · leer gedruckt (= 0)</t>
      </text>
    </comment>
    <comment ref="AC101" authorId="0" shapeId="0">
      <text>
        <t>Quelle: f02_asset_spiegel_03.xlsx, Anlagespiegel!L161 · gedruckt '283,15'</t>
      </text>
    </comment>
    <comment ref="AF101" authorId="0" shapeId="0">
      <text>
        <t>Quelle: f02_asset_spiegel_03.xlsx, Anlagespiegel!K161 · leer gedruckt (= 0)</t>
      </text>
    </comment>
    <comment ref="AH101" authorId="0" shapeId="0">
      <text>
        <t>Quelle: f02_asset_spiegel_03.xlsx, Anlagespiegel!N161 · gedruckt '283,15'</t>
      </text>
    </comment>
    <comment ref="AI101" authorId="0" shapeId="0">
      <text>
        <t>Quelle: f02_asset_spiegel_03.xlsx, Anlagespiegel!O161 · gedruckt '0,00'</t>
      </text>
    </comment>
    <comment ref="AJ101" authorId="0" shapeId="0">
      <text>
        <t>Quelle: f02_asset_spiegel_03.xlsx, Anlagespiegel!M161 · gedruckt '0,00'</t>
      </text>
    </comment>
    <comment ref="W102" authorId="0" shapeId="0">
      <text>
        <t>Quelle: f02_asset_spiegel_03.xlsx, Anlagespiegel!F162 · gedruckt '0,00'</t>
      </text>
    </comment>
    <comment ref="X102" authorId="0" shapeId="0">
      <text>
        <t>Quelle: f02_asset_spiegel_03.xlsx, Anlagespiegel!G162 · gedruckt '535,00'</t>
      </text>
    </comment>
    <comment ref="Y102" authorId="0" shapeId="0">
      <text>
        <t>Quelle: f02_asset_spiegel_03.xlsx, Anlagespiegel!I162 · leer gedruckt (= 0)</t>
      </text>
    </comment>
    <comment ref="Z102" authorId="0" shapeId="0">
      <text>
        <t>Quelle: f02_asset_spiegel_03.xlsx, Anlagespiegel!J162 · leer gedruckt (= 0)</t>
      </text>
    </comment>
    <comment ref="AC102" authorId="0" shapeId="0">
      <text>
        <t>Quelle: f02_asset_spiegel_03.xlsx, Anlagespiegel!L162 · gedruckt '535,00'</t>
      </text>
    </comment>
    <comment ref="AF102" authorId="0" shapeId="0">
      <text>
        <t>Quelle: f02_asset_spiegel_03.xlsx, Anlagespiegel!K162 · leer gedruckt (= 0)</t>
      </text>
    </comment>
    <comment ref="AH102" authorId="0" shapeId="0">
      <text>
        <t>Quelle: f02_asset_spiegel_03.xlsx, Anlagespiegel!N162 · gedruckt '535,00'</t>
      </text>
    </comment>
    <comment ref="AI102" authorId="0" shapeId="0">
      <text>
        <t>Quelle: f02_asset_spiegel_03.xlsx, Anlagespiegel!O162 · gedruckt '0,00'</t>
      </text>
    </comment>
    <comment ref="AJ102" authorId="0" shapeId="0">
      <text>
        <t>Quelle: f02_asset_spiegel_03.xlsx, Anlagespiegel!M162 · gedruckt '0,00'</t>
      </text>
    </comment>
    <comment ref="W103" authorId="0" shapeId="0">
      <text>
        <t>Quelle: f02_asset_spiegel_03.xlsx, Anlagespiegel!F163 · gedruckt '0,00'</t>
      </text>
    </comment>
    <comment ref="X103" authorId="0" shapeId="0">
      <text>
        <t>Quelle: f02_asset_spiegel_03.xlsx, Anlagespiegel!G163 · gedruckt '319,32'</t>
      </text>
    </comment>
    <comment ref="Y103" authorId="0" shapeId="0">
      <text>
        <t>Quelle: f02_asset_spiegel_03.xlsx, Anlagespiegel!I163 · leer gedruckt (= 0)</t>
      </text>
    </comment>
    <comment ref="Z103" authorId="0" shapeId="0">
      <text>
        <t>Quelle: f02_asset_spiegel_03.xlsx, Anlagespiegel!J163 · leer gedruckt (= 0)</t>
      </text>
    </comment>
    <comment ref="AC103" authorId="0" shapeId="0">
      <text>
        <t>Quelle: f02_asset_spiegel_03.xlsx, Anlagespiegel!L163 · gedruckt '319,32'</t>
      </text>
    </comment>
    <comment ref="AF103" authorId="0" shapeId="0">
      <text>
        <t>Quelle: f02_asset_spiegel_03.xlsx, Anlagespiegel!K163 · leer gedruckt (= 0)</t>
      </text>
    </comment>
    <comment ref="AH103" authorId="0" shapeId="0">
      <text>
        <t>Quelle: f02_asset_spiegel_03.xlsx, Anlagespiegel!N163 · gedruckt '319,32'</t>
      </text>
    </comment>
    <comment ref="AI103" authorId="0" shapeId="0">
      <text>
        <t>Quelle: f02_asset_spiegel_03.xlsx, Anlagespiegel!O163 · gedruckt '0,00'</t>
      </text>
    </comment>
    <comment ref="AJ103" authorId="0" shapeId="0">
      <text>
        <t>Quelle: f02_asset_spiegel_03.xlsx, Anlagespiegel!M163 · gedruckt '0,00'</t>
      </text>
    </comment>
    <comment ref="W104" authorId="0" shapeId="0">
      <text>
        <t>Quelle: f02_asset_spiegel_03.xlsx, Anlagespiegel!F164 · gedruckt '0,00'</t>
      </text>
    </comment>
    <comment ref="X104" authorId="0" shapeId="0">
      <text>
        <t>Quelle: f02_asset_spiegel_03.xlsx, Anlagespiegel!G164 · gedruckt '480,56'</t>
      </text>
    </comment>
    <comment ref="Y104" authorId="0" shapeId="0">
      <text>
        <t>Quelle: f02_asset_spiegel_03.xlsx, Anlagespiegel!I164 · leer gedruckt (= 0)</t>
      </text>
    </comment>
    <comment ref="Z104" authorId="0" shapeId="0">
      <text>
        <t>Quelle: f02_asset_spiegel_03.xlsx, Anlagespiegel!J164 · leer gedruckt (= 0)</t>
      </text>
    </comment>
    <comment ref="AC104" authorId="0" shapeId="0">
      <text>
        <t>Quelle: f02_asset_spiegel_03.xlsx, Anlagespiegel!L164 · gedruckt '480,56'</t>
      </text>
    </comment>
    <comment ref="AF104" authorId="0" shapeId="0">
      <text>
        <t>Quelle: f02_asset_spiegel_03.xlsx, Anlagespiegel!K164 · leer gedruckt (= 0)</t>
      </text>
    </comment>
    <comment ref="AH104" authorId="0" shapeId="0">
      <text>
        <t>Quelle: f02_asset_spiegel_03.xlsx, Anlagespiegel!N164 · gedruckt '480,56'</t>
      </text>
    </comment>
    <comment ref="AI104" authorId="0" shapeId="0">
      <text>
        <t>Quelle: f02_asset_spiegel_03.xlsx, Anlagespiegel!O164 · gedruckt '0,00'</t>
      </text>
    </comment>
    <comment ref="AJ104" authorId="0" shapeId="0">
      <text>
        <t>Quelle: f02_asset_spiegel_03.xlsx, Anlagespiegel!M164 · gedruckt '0,00'</t>
      </text>
    </comment>
    <comment ref="W105" authorId="0" shapeId="0">
      <text>
        <t>Quelle: f02_asset_spiegel_03.xlsx, Anlagespiegel!F169 · gedruckt '229.055,00'</t>
      </text>
    </comment>
    <comment ref="X105" authorId="0" shapeId="0">
      <text>
        <t>Quelle: f02_asset_spiegel_03.xlsx, Anlagespiegel!G169 · gedruckt '43.049,31'</t>
      </text>
    </comment>
    <comment ref="Y105" authorId="0" shapeId="0">
      <text>
        <t>Quelle: f02_asset_spiegel_03.xlsx, Anlagespiegel!I169 · leer gedruckt (= 0)</t>
      </text>
    </comment>
    <comment ref="Z105" authorId="0" shapeId="0">
      <text>
        <t>Quelle: f02_asset_spiegel_03.xlsx, Anlagespiegel!J169 · gedruckt '-272.104,31'</t>
      </text>
    </comment>
    <comment ref="AC105" authorId="0" shapeId="0">
      <text>
        <t>Quelle: f02_asset_spiegel_03.xlsx, Anlagespiegel!L169 · gedruckt '0,00'</t>
      </text>
    </comment>
    <comment ref="AF105" authorId="0" shapeId="0">
      <text>
        <t>Quelle: f02_asset_spiegel_03.xlsx, Anlagespiegel!K169 · leer gedruckt (= 0)</t>
      </text>
    </comment>
    <comment ref="AH105" authorId="0" shapeId="0">
      <text>
        <t>Quelle: f02_asset_spiegel_03.xlsx, Anlagespiegel!N169 · gedruckt '0,00'</t>
      </text>
    </comment>
    <comment ref="AI105" authorId="0" shapeId="0">
      <text>
        <t>Quelle: f02_asset_spiegel_03.xlsx, Anlagespiegel!O169 · gedruckt '0,00'</t>
      </text>
    </comment>
    <comment ref="AJ105" authorId="0" shapeId="0">
      <text>
        <t>Quelle: f02_asset_spiegel_03.xlsx, Anlagespiegel!M169 · gedruckt '229.055,00'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2"/>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0027</t>
        </is>
      </c>
      <c r="C8" s="19" t="inlineStr">
        <is>
          <t>EDV-Software</t>
        </is>
      </c>
      <c r="D8" s="79" t="n">
        <v>428116.86</v>
      </c>
      <c r="E8" s="79" t="n">
        <v>6843.42</v>
      </c>
      <c r="F8" s="79" t="n">
        <v>0</v>
      </c>
      <c r="G8" s="79" t="n">
        <v>0</v>
      </c>
      <c r="H8" s="79" t="n"/>
      <c r="I8" s="79">
        <f>D8+E8-F8+G8</f>
        <v/>
      </c>
      <c r="J8" s="79" t="n"/>
      <c r="K8" s="79" t="n"/>
      <c r="L8" s="79" t="n">
        <v>23697.49</v>
      </c>
      <c r="M8" s="80" t="n"/>
      <c r="N8" s="79" t="n"/>
      <c r="O8" s="79" t="n">
        <v>0</v>
      </c>
      <c r="P8" s="79" t="n"/>
      <c r="Q8" s="79" t="n"/>
      <c r="R8" s="79" t="n">
        <v>344887.82</v>
      </c>
      <c r="S8" s="79" t="n">
        <v>90072.46000000001</v>
      </c>
      <c r="T8" s="79" t="n">
        <v>106926.53</v>
      </c>
      <c r="U8" s="79" t="n"/>
      <c r="V8" t="inlineStr">
        <is>
          <t>Anlagenklasse</t>
        </is>
      </c>
    </row>
    <row r="9">
      <c r="B9" s="18" t="n"/>
      <c r="C9" s="19" t="inlineStr">
        <is>
          <t>EDV-Software</t>
        </is>
      </c>
      <c r="D9" s="79" t="n">
        <v>428116.86</v>
      </c>
      <c r="E9" s="79" t="n">
        <v>6843.42</v>
      </c>
      <c r="F9" s="79" t="n">
        <v>0</v>
      </c>
      <c r="G9" s="79" t="n">
        <v>0</v>
      </c>
      <c r="H9" s="79" t="n"/>
      <c r="I9" s="79">
        <f>D9+E9-F9+G9</f>
        <v/>
      </c>
      <c r="J9" s="79" t="n"/>
      <c r="K9" s="79" t="n"/>
      <c r="L9" s="79" t="n">
        <v>23697.49</v>
      </c>
      <c r="M9" s="80" t="n"/>
      <c r="N9" s="79" t="n"/>
      <c r="O9" s="79" t="n">
        <v>0</v>
      </c>
      <c r="P9" s="79" t="n"/>
      <c r="Q9" s="79" t="n"/>
      <c r="R9" s="79" t="n">
        <v>344887.82</v>
      </c>
      <c r="S9" s="79" t="n">
        <v>90072.46000000001</v>
      </c>
      <c r="T9" s="79" t="n">
        <v>106926.53</v>
      </c>
      <c r="U9" s="79" t="n"/>
      <c r="V9" t="inlineStr">
        <is>
          <t>Zwischensumme Bilanzposition</t>
        </is>
      </c>
    </row>
    <row r="10">
      <c r="B10" s="18" t="n"/>
      <c r="C10" s="19" t="inlineStr">
        <is>
          <t>Immaterielle Vermögensgegenstände</t>
        </is>
      </c>
      <c r="D10" s="79" t="n">
        <v>428116.86</v>
      </c>
      <c r="E10" s="79" t="n">
        <v>6843.42</v>
      </c>
      <c r="F10" s="79" t="n">
        <v>0</v>
      </c>
      <c r="G10" s="79" t="n">
        <v>0</v>
      </c>
      <c r="H10" s="79" t="n"/>
      <c r="I10" s="79">
        <f>D10+E10-F10+G10</f>
        <v/>
      </c>
      <c r="J10" s="79" t="n"/>
      <c r="K10" s="79" t="n"/>
      <c r="L10" s="79" t="n">
        <v>23697.49</v>
      </c>
      <c r="M10" s="80" t="n"/>
      <c r="N10" s="79" t="n"/>
      <c r="O10" s="79" t="n">
        <v>0</v>
      </c>
      <c r="P10" s="79" t="n"/>
      <c r="Q10" s="79" t="n"/>
      <c r="R10" s="79" t="n">
        <v>344887.82</v>
      </c>
      <c r="S10" s="79" t="n">
        <v>90072.46000000001</v>
      </c>
      <c r="T10" s="79" t="n">
        <v>106926.53</v>
      </c>
      <c r="U10" s="79" t="n"/>
      <c r="V10" t="inlineStr">
        <is>
          <t>Zwischensumme Bilanzposition</t>
        </is>
      </c>
    </row>
    <row r="11">
      <c r="B11" s="18" t="inlineStr">
        <is>
          <t>0085</t>
        </is>
      </c>
      <c r="C11" s="19" t="inlineStr">
        <is>
          <t>Grund und Boden</t>
        </is>
      </c>
      <c r="D11" s="79" t="n">
        <v>57853.61</v>
      </c>
      <c r="E11" s="79" t="n">
        <v>0</v>
      </c>
      <c r="F11" s="79" t="n">
        <v>0</v>
      </c>
      <c r="G11" s="79" t="n">
        <v>0</v>
      </c>
      <c r="H11" s="79" t="n"/>
      <c r="I11" s="79">
        <f>D11+E11-F11+G11</f>
        <v/>
      </c>
      <c r="J11" s="79" t="n"/>
      <c r="K11" s="79" t="n"/>
      <c r="L11" s="79" t="n">
        <v>0</v>
      </c>
      <c r="M11" s="80" t="n"/>
      <c r="N11" s="79" t="n"/>
      <c r="O11" s="79" t="n">
        <v>0</v>
      </c>
      <c r="P11" s="79" t="n"/>
      <c r="Q11" s="79" t="n"/>
      <c r="R11" s="79" t="n">
        <v>0</v>
      </c>
      <c r="S11" s="79" t="n">
        <v>57853.61</v>
      </c>
      <c r="T11" s="79" t="n">
        <v>57853.61</v>
      </c>
      <c r="U11" s="79" t="n"/>
      <c r="V11" t="inlineStr">
        <is>
          <t>Anlagenklasse</t>
        </is>
      </c>
    </row>
    <row r="12">
      <c r="B12" s="18" t="n"/>
      <c r="C12" s="19" t="inlineStr">
        <is>
          <t>Grund und Boden</t>
        </is>
      </c>
      <c r="D12" s="79" t="n">
        <v>57853.61</v>
      </c>
      <c r="E12" s="79" t="n">
        <v>0</v>
      </c>
      <c r="F12" s="79" t="n">
        <v>0</v>
      </c>
      <c r="G12" s="79" t="n">
        <v>0</v>
      </c>
      <c r="H12" s="79" t="n"/>
      <c r="I12" s="79">
        <f>D12+E12-F12+G12</f>
        <v/>
      </c>
      <c r="J12" s="79" t="n"/>
      <c r="K12" s="79" t="n"/>
      <c r="L12" s="79" t="n">
        <v>0</v>
      </c>
      <c r="M12" s="80" t="n"/>
      <c r="N12" s="79" t="n"/>
      <c r="O12" s="79" t="n">
        <v>0</v>
      </c>
      <c r="P12" s="79" t="n"/>
      <c r="Q12" s="79" t="n"/>
      <c r="R12" s="79" t="n">
        <v>0</v>
      </c>
      <c r="S12" s="79" t="n">
        <v>57853.61</v>
      </c>
      <c r="T12" s="79" t="n">
        <v>57853.61</v>
      </c>
      <c r="U12" s="79" t="n"/>
      <c r="V12" t="inlineStr">
        <is>
          <t>Zwischensumme Bilanzposition</t>
        </is>
      </c>
    </row>
    <row r="13">
      <c r="B13" s="18" t="n"/>
      <c r="C13" s="19" t="inlineStr">
        <is>
          <t>Grund und Boden</t>
        </is>
      </c>
      <c r="D13" s="79" t="n">
        <v>57853.61</v>
      </c>
      <c r="E13" s="79" t="n">
        <v>0</v>
      </c>
      <c r="F13" s="79" t="n">
        <v>0</v>
      </c>
      <c r="G13" s="79" t="n">
        <v>0</v>
      </c>
      <c r="H13" s="79" t="n"/>
      <c r="I13" s="79">
        <f>D13+E13-F13+G13</f>
        <v/>
      </c>
      <c r="J13" s="79" t="n"/>
      <c r="K13" s="79" t="n"/>
      <c r="L13" s="79" t="n">
        <v>0</v>
      </c>
      <c r="M13" s="80" t="n"/>
      <c r="N13" s="79" t="n"/>
      <c r="O13" s="79" t="n">
        <v>0</v>
      </c>
      <c r="P13" s="79" t="n"/>
      <c r="Q13" s="79" t="n"/>
      <c r="R13" s="79" t="n">
        <v>0</v>
      </c>
      <c r="S13" s="79" t="n">
        <v>57853.61</v>
      </c>
      <c r="T13" s="79" t="n">
        <v>57853.61</v>
      </c>
      <c r="U13" s="79" t="n"/>
      <c r="V13" t="inlineStr">
        <is>
          <t>Zwischensumme Bilanzposition</t>
        </is>
      </c>
    </row>
    <row r="14">
      <c r="B14" s="18" t="inlineStr">
        <is>
          <t>0100</t>
        </is>
      </c>
      <c r="C14" s="19" t="inlineStr">
        <is>
          <t>Fabrikbauten</t>
        </is>
      </c>
      <c r="D14" s="79" t="n">
        <v>8684481.609999999</v>
      </c>
      <c r="E14" s="79" t="n">
        <v>2602898.9</v>
      </c>
      <c r="F14" s="79" t="n">
        <v>0</v>
      </c>
      <c r="G14" s="79" t="n">
        <v>0</v>
      </c>
      <c r="H14" s="79" t="n"/>
      <c r="I14" s="79">
        <f>D14+E14-F14+G14</f>
        <v/>
      </c>
      <c r="J14" s="79" t="n"/>
      <c r="K14" s="79" t="n"/>
      <c r="L14" s="79" t="n">
        <v>284811.7</v>
      </c>
      <c r="M14" s="80" t="n"/>
      <c r="N14" s="79" t="n"/>
      <c r="O14" s="79" t="n">
        <v>0</v>
      </c>
      <c r="P14" s="79" t="n"/>
      <c r="Q14" s="79" t="n"/>
      <c r="R14" s="79" t="n">
        <v>1743148.88</v>
      </c>
      <c r="S14" s="79" t="n">
        <v>9544231.630000001</v>
      </c>
      <c r="T14" s="79" t="n">
        <v>7226144.43</v>
      </c>
      <c r="U14" s="79" t="n"/>
      <c r="V14" t="inlineStr">
        <is>
          <t>Anlagenklasse</t>
        </is>
      </c>
    </row>
    <row r="15">
      <c r="B15" s="18" t="n"/>
      <c r="C15" s="19" t="inlineStr">
        <is>
          <t>Fabrikbauten</t>
        </is>
      </c>
      <c r="D15" s="79" t="n">
        <v>8684481.609999999</v>
      </c>
      <c r="E15" s="79" t="n">
        <v>2602898.9</v>
      </c>
      <c r="F15" s="79" t="n">
        <v>0</v>
      </c>
      <c r="G15" s="79" t="n">
        <v>0</v>
      </c>
      <c r="H15" s="79" t="n"/>
      <c r="I15" s="79">
        <f>D15+E15-F15+G15</f>
        <v/>
      </c>
      <c r="J15" s="79" t="n"/>
      <c r="K15" s="79" t="n"/>
      <c r="L15" s="79" t="n">
        <v>284811.7</v>
      </c>
      <c r="M15" s="80" t="n"/>
      <c r="N15" s="79" t="n"/>
      <c r="O15" s="79" t="n">
        <v>0</v>
      </c>
      <c r="P15" s="79" t="n"/>
      <c r="Q15" s="79" t="n"/>
      <c r="R15" s="79" t="n">
        <v>1743148.88</v>
      </c>
      <c r="S15" s="79" t="n">
        <v>9544231.630000001</v>
      </c>
      <c r="T15" s="79" t="n">
        <v>7226144.43</v>
      </c>
      <c r="U15" s="79" t="n"/>
      <c r="V15" t="inlineStr">
        <is>
          <t>Zwischensumme Bilanzposition</t>
        </is>
      </c>
    </row>
    <row r="16">
      <c r="B16" s="18" t="n"/>
      <c r="C16" s="19" t="inlineStr">
        <is>
          <t>Betriebsgebäude</t>
        </is>
      </c>
      <c r="D16" s="79" t="n">
        <v>8684481.609999999</v>
      </c>
      <c r="E16" s="79" t="n">
        <v>2602898.9</v>
      </c>
      <c r="F16" s="79" t="n">
        <v>0</v>
      </c>
      <c r="G16" s="79" t="n">
        <v>0</v>
      </c>
      <c r="H16" s="79" t="n"/>
      <c r="I16" s="79">
        <f>D16+E16-F16+G16</f>
        <v/>
      </c>
      <c r="J16" s="79" t="n"/>
      <c r="K16" s="79" t="n"/>
      <c r="L16" s="79" t="n">
        <v>284811.7</v>
      </c>
      <c r="M16" s="80" t="n"/>
      <c r="N16" s="79" t="n"/>
      <c r="O16" s="79" t="n">
        <v>0</v>
      </c>
      <c r="P16" s="79" t="n"/>
      <c r="Q16" s="79" t="n"/>
      <c r="R16" s="79" t="n">
        <v>1743148.88</v>
      </c>
      <c r="S16" s="79" t="n">
        <v>9544231.630000001</v>
      </c>
      <c r="T16" s="79" t="n">
        <v>7226144.43</v>
      </c>
      <c r="U16" s="79" t="n"/>
      <c r="V16" t="inlineStr">
        <is>
          <t>Zwischensumme Bilanzposition</t>
        </is>
      </c>
    </row>
    <row r="17">
      <c r="B17" s="18" t="inlineStr">
        <is>
          <t>0210</t>
        </is>
      </c>
      <c r="C17" s="19" t="inlineStr">
        <is>
          <t>Maschinen</t>
        </is>
      </c>
      <c r="D17" s="79" t="n">
        <v>327285.83</v>
      </c>
      <c r="E17" s="79" t="n">
        <v>416863.03</v>
      </c>
      <c r="F17" s="79" t="n">
        <v>106495.83</v>
      </c>
      <c r="G17" s="79" t="n">
        <v>272104.31</v>
      </c>
      <c r="H17" s="79" t="n"/>
      <c r="I17" s="79">
        <f>D17+E17-F17+G17</f>
        <v/>
      </c>
      <c r="J17" s="79" t="n"/>
      <c r="K17" s="79" t="n"/>
      <c r="L17" s="79" t="n">
        <v>34324.87</v>
      </c>
      <c r="M17" s="80" t="n"/>
      <c r="N17" s="79" t="n"/>
      <c r="O17" s="79" t="n">
        <v>0</v>
      </c>
      <c r="P17" s="79" t="n"/>
      <c r="Q17" s="79" t="n"/>
      <c r="R17" s="79" t="n">
        <v>255023.45</v>
      </c>
      <c r="S17" s="79" t="n">
        <v>654733.89</v>
      </c>
      <c r="T17" s="79" t="n">
        <v>92.42</v>
      </c>
      <c r="U17" s="79" t="n"/>
      <c r="V17" t="inlineStr">
        <is>
          <t>Anlagenklasse</t>
        </is>
      </c>
    </row>
    <row r="18">
      <c r="B18" s="18" t="n"/>
      <c r="C18" s="19" t="inlineStr">
        <is>
          <t>Maschinen</t>
        </is>
      </c>
      <c r="D18" s="79" t="n">
        <v>327285.83</v>
      </c>
      <c r="E18" s="79" t="n">
        <v>416863.03</v>
      </c>
      <c r="F18" s="79" t="n">
        <v>106495.83</v>
      </c>
      <c r="G18" s="79" t="n">
        <v>272104.31</v>
      </c>
      <c r="H18" s="79" t="n"/>
      <c r="I18" s="79">
        <f>D18+E18-F18+G18</f>
        <v/>
      </c>
      <c r="J18" s="79" t="n"/>
      <c r="K18" s="79" t="n"/>
      <c r="L18" s="79" t="n">
        <v>34324.87</v>
      </c>
      <c r="M18" s="80" t="n"/>
      <c r="N18" s="79" t="n"/>
      <c r="O18" s="79" t="n">
        <v>0</v>
      </c>
      <c r="P18" s="79" t="n"/>
      <c r="Q18" s="79" t="n"/>
      <c r="R18" s="79" t="n">
        <v>255023.45</v>
      </c>
      <c r="S18" s="79" t="n">
        <v>654733.89</v>
      </c>
      <c r="T18" s="79" t="n">
        <v>92.42</v>
      </c>
      <c r="U18" s="79" t="n"/>
      <c r="V18" t="inlineStr">
        <is>
          <t>Zwischensumme Bilanzposition</t>
        </is>
      </c>
    </row>
    <row r="19">
      <c r="B19" s="18" t="n"/>
      <c r="C19" s="19" t="inlineStr">
        <is>
          <t>Maschinenpark</t>
        </is>
      </c>
      <c r="D19" s="79" t="n">
        <v>327285.83</v>
      </c>
      <c r="E19" s="79" t="n">
        <v>416863.03</v>
      </c>
      <c r="F19" s="79" t="n">
        <v>106495.83</v>
      </c>
      <c r="G19" s="79" t="n">
        <v>272104.31</v>
      </c>
      <c r="H19" s="79" t="n"/>
      <c r="I19" s="79">
        <f>D19+E19-F19+G19</f>
        <v/>
      </c>
      <c r="J19" s="79" t="n"/>
      <c r="K19" s="79" t="n"/>
      <c r="L19" s="79" t="n">
        <v>34324.87</v>
      </c>
      <c r="M19" s="80" t="n"/>
      <c r="N19" s="79" t="n"/>
      <c r="O19" s="79" t="n">
        <v>0</v>
      </c>
      <c r="P19" s="79" t="n"/>
      <c r="Q19" s="79" t="n"/>
      <c r="R19" s="79" t="n">
        <v>255023.45</v>
      </c>
      <c r="S19" s="79" t="n">
        <v>654733.89</v>
      </c>
      <c r="T19" s="79" t="n">
        <v>92.42</v>
      </c>
      <c r="U19" s="79" t="n"/>
      <c r="V19" t="inlineStr">
        <is>
          <t>Zwischensumme Bilanzposition</t>
        </is>
      </c>
    </row>
    <row r="20">
      <c r="B20" s="18" t="inlineStr">
        <is>
          <t>0240</t>
        </is>
      </c>
      <c r="C20" s="19" t="inlineStr">
        <is>
          <t>Technische Anlagen</t>
        </is>
      </c>
      <c r="D20" s="79" t="n">
        <v>163773.82</v>
      </c>
      <c r="E20" s="79" t="n">
        <v>224744.32</v>
      </c>
      <c r="F20" s="79" t="n">
        <v>0</v>
      </c>
      <c r="G20" s="79" t="n">
        <v>0</v>
      </c>
      <c r="H20" s="79" t="n"/>
      <c r="I20" s="79">
        <f>D20+E20-F20+G20</f>
        <v/>
      </c>
      <c r="J20" s="79" t="n"/>
      <c r="K20" s="79" t="n"/>
      <c r="L20" s="79" t="n">
        <v>18092.64</v>
      </c>
      <c r="M20" s="80" t="n"/>
      <c r="N20" s="79" t="n"/>
      <c r="O20" s="79" t="n">
        <v>0</v>
      </c>
      <c r="P20" s="79" t="n"/>
      <c r="Q20" s="79" t="n"/>
      <c r="R20" s="79" t="n">
        <v>109699.5</v>
      </c>
      <c r="S20" s="79" t="n">
        <v>278818.64</v>
      </c>
      <c r="T20" s="79" t="n">
        <v>72166.96000000001</v>
      </c>
      <c r="U20" s="79" t="n"/>
      <c r="V20" t="inlineStr">
        <is>
          <t>Anlagenklasse</t>
        </is>
      </c>
    </row>
    <row r="21">
      <c r="B21" s="18" t="n"/>
      <c r="C21" s="19" t="inlineStr">
        <is>
          <t>Technische Anlagen Kto. 0240</t>
        </is>
      </c>
      <c r="D21" s="79" t="n">
        <v>163773.82</v>
      </c>
      <c r="E21" s="79" t="n">
        <v>224744.32</v>
      </c>
      <c r="F21" s="79" t="n">
        <v>0</v>
      </c>
      <c r="G21" s="79" t="n">
        <v>0</v>
      </c>
      <c r="H21" s="79" t="n"/>
      <c r="I21" s="79">
        <f>D21+E21-F21+G21</f>
        <v/>
      </c>
      <c r="J21" s="79" t="n"/>
      <c r="K21" s="79" t="n"/>
      <c r="L21" s="79" t="n">
        <v>18092.64</v>
      </c>
      <c r="M21" s="80" t="n"/>
      <c r="N21" s="79" t="n"/>
      <c r="O21" s="79" t="n">
        <v>0</v>
      </c>
      <c r="P21" s="79" t="n"/>
      <c r="Q21" s="79" t="n"/>
      <c r="R21" s="79" t="n">
        <v>109699.5</v>
      </c>
      <c r="S21" s="79" t="n">
        <v>278818.64</v>
      </c>
      <c r="T21" s="79" t="n">
        <v>72166.96000000001</v>
      </c>
      <c r="U21" s="79" t="n"/>
      <c r="V21" t="inlineStr">
        <is>
          <t>Zwischensumme Bilanzposition</t>
        </is>
      </c>
    </row>
    <row r="22">
      <c r="B22" s="18" t="n"/>
      <c r="C22" s="19" t="inlineStr">
        <is>
          <t>Betriebstechnik</t>
        </is>
      </c>
      <c r="D22" s="79" t="n">
        <v>163773.82</v>
      </c>
      <c r="E22" s="79" t="n">
        <v>224744.32</v>
      </c>
      <c r="F22" s="79" t="n">
        <v>0</v>
      </c>
      <c r="G22" s="79" t="n">
        <v>0</v>
      </c>
      <c r="H22" s="79" t="n"/>
      <c r="I22" s="79">
        <f>D22+E22-F22+G22</f>
        <v/>
      </c>
      <c r="J22" s="79" t="n"/>
      <c r="K22" s="79" t="n"/>
      <c r="L22" s="79" t="n">
        <v>18092.64</v>
      </c>
      <c r="M22" s="80" t="n"/>
      <c r="N22" s="79" t="n"/>
      <c r="O22" s="79" t="n">
        <v>0</v>
      </c>
      <c r="P22" s="79" t="n"/>
      <c r="Q22" s="79" t="n"/>
      <c r="R22" s="79" t="n">
        <v>109699.5</v>
      </c>
      <c r="S22" s="79" t="n">
        <v>278818.64</v>
      </c>
      <c r="T22" s="79" t="n">
        <v>72166.96000000001</v>
      </c>
      <c r="U22" s="79" t="n"/>
      <c r="V22" t="inlineStr">
        <is>
          <t>Zwischensumme Bilanzposition</t>
        </is>
      </c>
    </row>
    <row r="23">
      <c r="B23" s="18" t="inlineStr">
        <is>
          <t>0320</t>
        </is>
      </c>
      <c r="C23" s="19" t="inlineStr">
        <is>
          <t>Pkw</t>
        </is>
      </c>
      <c r="D23" s="79" t="n">
        <v>205664.33</v>
      </c>
      <c r="E23" s="79" t="n">
        <v>0</v>
      </c>
      <c r="F23" s="79" t="n">
        <v>0</v>
      </c>
      <c r="G23" s="79" t="n">
        <v>0</v>
      </c>
      <c r="H23" s="79" t="n"/>
      <c r="I23" s="79">
        <f>D23+E23-F23+G23</f>
        <v/>
      </c>
      <c r="J23" s="79" t="n"/>
      <c r="K23" s="79" t="n"/>
      <c r="L23" s="79" t="n">
        <v>14053.16</v>
      </c>
      <c r="M23" s="80" t="n"/>
      <c r="N23" s="79" t="n"/>
      <c r="O23" s="79" t="n">
        <v>0</v>
      </c>
      <c r="P23" s="79" t="n"/>
      <c r="Q23" s="79" t="n"/>
      <c r="R23" s="79" t="n">
        <v>155378.8</v>
      </c>
      <c r="S23" s="79" t="n">
        <v>50285.53</v>
      </c>
      <c r="T23" s="79" t="n">
        <v>64338.69</v>
      </c>
      <c r="U23" s="79" t="n"/>
      <c r="V23" t="inlineStr">
        <is>
          <t>Anlagenklasse</t>
        </is>
      </c>
    </row>
    <row r="24">
      <c r="B24" s="18" t="inlineStr">
        <is>
          <t>0350</t>
        </is>
      </c>
      <c r="C24" s="19" t="inlineStr">
        <is>
          <t>Lkw</t>
        </is>
      </c>
      <c r="D24" s="79" t="n">
        <v>895539.83</v>
      </c>
      <c r="E24" s="79" t="n">
        <v>86171</v>
      </c>
      <c r="F24" s="79" t="n">
        <v>0</v>
      </c>
      <c r="G24" s="79" t="n">
        <v>0</v>
      </c>
      <c r="H24" s="79" t="n"/>
      <c r="I24" s="79">
        <f>D24+E24-F24+G24</f>
        <v/>
      </c>
      <c r="J24" s="79" t="n"/>
      <c r="K24" s="79" t="n"/>
      <c r="L24" s="79" t="n">
        <v>63049.5</v>
      </c>
      <c r="M24" s="80" t="n"/>
      <c r="N24" s="79" t="n"/>
      <c r="O24" s="79" t="n">
        <v>0</v>
      </c>
      <c r="P24" s="79" t="n"/>
      <c r="Q24" s="79" t="n"/>
      <c r="R24" s="79" t="n">
        <v>634543.4</v>
      </c>
      <c r="S24" s="79" t="n">
        <v>347167.43</v>
      </c>
      <c r="T24" s="79" t="n">
        <v>324045.93</v>
      </c>
      <c r="U24" s="79" t="n"/>
      <c r="V24" t="inlineStr">
        <is>
          <t>Anlagenklasse</t>
        </is>
      </c>
    </row>
    <row r="25">
      <c r="B25" s="18" t="n"/>
      <c r="C25" s="19" t="inlineStr">
        <is>
          <t>Pkw</t>
        </is>
      </c>
      <c r="D25" s="79" t="n">
        <v>1101204.16</v>
      </c>
      <c r="E25" s="79" t="n">
        <v>86171</v>
      </c>
      <c r="F25" s="79" t="n">
        <v>0</v>
      </c>
      <c r="G25" s="79" t="n">
        <v>0</v>
      </c>
      <c r="H25" s="79" t="n"/>
      <c r="I25" s="79">
        <f>D25+E25-F25+G25</f>
        <v/>
      </c>
      <c r="J25" s="79" t="n"/>
      <c r="K25" s="79" t="n"/>
      <c r="L25" s="79" t="n">
        <v>77102.66</v>
      </c>
      <c r="M25" s="80" t="n"/>
      <c r="N25" s="79" t="n"/>
      <c r="O25" s="79" t="n">
        <v>0</v>
      </c>
      <c r="P25" s="79" t="n"/>
      <c r="Q25" s="79" t="n"/>
      <c r="R25" s="79" t="n">
        <v>789922.2</v>
      </c>
      <c r="S25" s="79" t="n">
        <v>397452.96</v>
      </c>
      <c r="T25" s="79" t="n">
        <v>388384.62</v>
      </c>
      <c r="U25" s="79" t="n"/>
      <c r="V25" t="inlineStr">
        <is>
          <t>Zwischensumme Bilanzposition</t>
        </is>
      </c>
    </row>
    <row r="26">
      <c r="B26" s="18" t="n"/>
      <c r="C26" s="19" t="inlineStr">
        <is>
          <t>Fuhrpark</t>
        </is>
      </c>
      <c r="D26" s="79" t="n">
        <v>1101204.16</v>
      </c>
      <c r="E26" s="79" t="n">
        <v>86171</v>
      </c>
      <c r="F26" s="79" t="n">
        <v>0</v>
      </c>
      <c r="G26" s="79" t="n">
        <v>0</v>
      </c>
      <c r="H26" s="79" t="n"/>
      <c r="I26" s="79">
        <f>D26+E26-F26+G26</f>
        <v/>
      </c>
      <c r="J26" s="79" t="n"/>
      <c r="K26" s="79" t="n"/>
      <c r="L26" s="79" t="n">
        <v>77102.66</v>
      </c>
      <c r="M26" s="80" t="n"/>
      <c r="N26" s="79" t="n"/>
      <c r="O26" s="79" t="n">
        <v>0</v>
      </c>
      <c r="P26" s="79" t="n"/>
      <c r="Q26" s="79" t="n"/>
      <c r="R26" s="79" t="n">
        <v>789922.2</v>
      </c>
      <c r="S26" s="79" t="n">
        <v>397452.96</v>
      </c>
      <c r="T26" s="79" t="n">
        <v>388384.62</v>
      </c>
      <c r="U26" s="79" t="n"/>
      <c r="V26" t="inlineStr">
        <is>
          <t>Zwischensumme Bilanzposition</t>
        </is>
      </c>
    </row>
    <row r="27">
      <c r="B27" s="18" t="inlineStr">
        <is>
          <t>0400</t>
        </is>
      </c>
      <c r="C27" s="19" t="inlineStr">
        <is>
          <t>Betriebsausstattung</t>
        </is>
      </c>
      <c r="D27" s="79" t="n">
        <v>98934.10000000001</v>
      </c>
      <c r="E27" s="79" t="n">
        <v>83131.77</v>
      </c>
      <c r="F27" s="79" t="n">
        <v>0</v>
      </c>
      <c r="G27" s="79" t="n">
        <v>0</v>
      </c>
      <c r="H27" s="79" t="n"/>
      <c r="I27" s="79">
        <f>D27+E27-F27+G27</f>
        <v/>
      </c>
      <c r="J27" s="79" t="n"/>
      <c r="K27" s="79" t="n"/>
      <c r="L27" s="79" t="n">
        <v>7291.21</v>
      </c>
      <c r="M27" s="80" t="n"/>
      <c r="N27" s="79" t="n"/>
      <c r="O27" s="79" t="n">
        <v>0</v>
      </c>
      <c r="P27" s="79" t="n"/>
      <c r="Q27" s="79" t="n"/>
      <c r="R27" s="79" t="n">
        <v>103797.24</v>
      </c>
      <c r="S27" s="79" t="n">
        <v>78268.63</v>
      </c>
      <c r="T27" s="79" t="n">
        <v>2428.07</v>
      </c>
      <c r="U27" s="79" t="n"/>
      <c r="V27" t="inlineStr">
        <is>
          <t>Anlagenklasse</t>
        </is>
      </c>
    </row>
    <row r="28">
      <c r="C28" t="inlineStr">
        <is>
          <t>Betriebsausstattung</t>
        </is>
      </c>
      <c r="D28" t="n">
        <v>98934.10000000001</v>
      </c>
      <c r="E28" t="n">
        <v>83131.77</v>
      </c>
      <c r="F28" t="n">
        <v>0</v>
      </c>
      <c r="G28" t="n">
        <v>0</v>
      </c>
      <c r="I28">
        <f>D28+E28-F28+G28</f>
        <v/>
      </c>
      <c r="L28" t="n">
        <v>7291.21</v>
      </c>
      <c r="O28" t="n">
        <v>0</v>
      </c>
      <c r="R28" t="n">
        <v>103797.24</v>
      </c>
      <c r="S28" t="n">
        <v>78268.63</v>
      </c>
      <c r="T28" t="n">
        <v>2428.07</v>
      </c>
      <c r="V28" t="inlineStr">
        <is>
          <t>Zwischensumme Bilanzposition</t>
        </is>
      </c>
    </row>
    <row r="29">
      <c r="C29" t="inlineStr">
        <is>
          <t>Werkstatt und Lager</t>
        </is>
      </c>
      <c r="D29" t="n">
        <v>98934.10000000001</v>
      </c>
      <c r="E29" t="n">
        <v>83131.77</v>
      </c>
      <c r="F29" t="n">
        <v>0</v>
      </c>
      <c r="G29" t="n">
        <v>0</v>
      </c>
      <c r="I29">
        <f>D29+E29-F29+G29</f>
        <v/>
      </c>
      <c r="L29" t="n">
        <v>7291.21</v>
      </c>
      <c r="O29" t="n">
        <v>0</v>
      </c>
      <c r="R29" t="n">
        <v>103797.24</v>
      </c>
      <c r="S29" t="n">
        <v>78268.63</v>
      </c>
      <c r="T29" t="n">
        <v>2428.07</v>
      </c>
      <c r="V29" t="inlineStr">
        <is>
          <t>Zwischensumme Bilanzposition</t>
        </is>
      </c>
    </row>
    <row r="30">
      <c r="B30" t="inlineStr">
        <is>
          <t>0420</t>
        </is>
      </c>
      <c r="C30" t="inlineStr">
        <is>
          <t>Büroeinrichtung</t>
        </is>
      </c>
      <c r="D30" t="n">
        <v>48823.63</v>
      </c>
      <c r="E30" t="n">
        <v>160.51</v>
      </c>
      <c r="F30" t="n">
        <v>0</v>
      </c>
      <c r="G30" t="n">
        <v>0</v>
      </c>
      <c r="I30">
        <f>D30+E30-F30+G30</f>
        <v/>
      </c>
      <c r="L30" t="n">
        <v>3153.81</v>
      </c>
      <c r="O30" t="n">
        <v>0</v>
      </c>
      <c r="R30" t="n">
        <v>33060.21</v>
      </c>
      <c r="S30" t="n">
        <v>15923.93</v>
      </c>
      <c r="T30" t="n">
        <v>18917.23</v>
      </c>
      <c r="V30" t="inlineStr">
        <is>
          <t>Anlagenklasse</t>
        </is>
      </c>
    </row>
    <row r="31">
      <c r="C31" t="inlineStr">
        <is>
          <t>Büroeinrichtung</t>
        </is>
      </c>
      <c r="D31" t="n">
        <v>48823.63</v>
      </c>
      <c r="E31" t="n">
        <v>160.51</v>
      </c>
      <c r="F31" t="n">
        <v>0</v>
      </c>
      <c r="G31" t="n">
        <v>0</v>
      </c>
      <c r="I31">
        <f>D31+E31-F31+G31</f>
        <v/>
      </c>
      <c r="L31" t="n">
        <v>3153.81</v>
      </c>
      <c r="O31" t="n">
        <v>0</v>
      </c>
      <c r="R31" t="n">
        <v>33060.21</v>
      </c>
      <c r="S31" t="n">
        <v>15923.93</v>
      </c>
      <c r="T31" t="n">
        <v>18917.23</v>
      </c>
      <c r="V31" t="inlineStr">
        <is>
          <t>Zwischensumme Bilanzposition</t>
        </is>
      </c>
    </row>
    <row r="32">
      <c r="B32" t="inlineStr">
        <is>
          <t>0490</t>
        </is>
      </c>
      <c r="C32" t="inlineStr">
        <is>
          <t>EDV-Hardware</t>
        </is>
      </c>
      <c r="D32" t="n">
        <v>55732.69</v>
      </c>
      <c r="E32" t="n">
        <v>1202</v>
      </c>
      <c r="F32" t="n">
        <v>0</v>
      </c>
      <c r="G32" t="n">
        <v>0</v>
      </c>
      <c r="I32">
        <f>D32+E32-F32+G32</f>
        <v/>
      </c>
      <c r="L32" t="n">
        <v>9190.450000000001</v>
      </c>
      <c r="O32" t="n">
        <v>0</v>
      </c>
      <c r="R32" t="n">
        <v>40565.59</v>
      </c>
      <c r="S32" t="n">
        <v>16369.1</v>
      </c>
      <c r="T32" t="n">
        <v>24357.55</v>
      </c>
      <c r="V32" t="inlineStr">
        <is>
          <t>Anlagenklasse</t>
        </is>
      </c>
    </row>
    <row r="33">
      <c r="C33" t="inlineStr">
        <is>
          <t>EDV-Hardware</t>
        </is>
      </c>
      <c r="D33" t="n">
        <v>55732.69</v>
      </c>
      <c r="E33" t="n">
        <v>1202</v>
      </c>
      <c r="F33" t="n">
        <v>0</v>
      </c>
      <c r="G33" t="n">
        <v>0</v>
      </c>
      <c r="I33">
        <f>D33+E33-F33+G33</f>
        <v/>
      </c>
      <c r="L33" t="n">
        <v>9190.450000000001</v>
      </c>
      <c r="O33" t="n">
        <v>0</v>
      </c>
      <c r="R33" t="n">
        <v>40565.59</v>
      </c>
      <c r="S33" t="n">
        <v>16369.1</v>
      </c>
      <c r="T33" t="n">
        <v>24357.55</v>
      </c>
      <c r="V33" t="inlineStr">
        <is>
          <t>Zwischensumme Bilanzposition</t>
        </is>
      </c>
    </row>
    <row r="34">
      <c r="C34" t="inlineStr">
        <is>
          <t>Büro und Verwaltung</t>
        </is>
      </c>
      <c r="D34" t="n">
        <v>104556.32</v>
      </c>
      <c r="E34" t="n">
        <v>1362.51</v>
      </c>
      <c r="F34" t="n">
        <v>0</v>
      </c>
      <c r="G34" t="n">
        <v>0</v>
      </c>
      <c r="I34">
        <f>D34+E34-F34+G34</f>
        <v/>
      </c>
      <c r="L34" t="n">
        <v>12344.26</v>
      </c>
      <c r="O34" t="n">
        <v>0</v>
      </c>
      <c r="R34" t="n">
        <v>73625.8</v>
      </c>
      <c r="S34" t="n">
        <v>32293.03</v>
      </c>
      <c r="T34" t="n">
        <v>43274.78</v>
      </c>
      <c r="V34" t="inlineStr">
        <is>
          <t>Zwischensumme Bilanzposition</t>
        </is>
      </c>
    </row>
    <row r="35">
      <c r="C35" t="inlineStr">
        <is>
          <t>GWG</t>
        </is>
      </c>
      <c r="D35" t="n">
        <v>1515.76</v>
      </c>
      <c r="E35" t="n">
        <v>2316.03</v>
      </c>
      <c r="F35" t="n">
        <v>0</v>
      </c>
      <c r="G35" t="n">
        <v>0</v>
      </c>
      <c r="I35">
        <f>D35+E35-F35+G35</f>
        <v/>
      </c>
      <c r="L35" t="n">
        <v>2316.03</v>
      </c>
      <c r="O35" t="n">
        <v>0</v>
      </c>
      <c r="R35" t="n">
        <v>3831.79</v>
      </c>
      <c r="S35" t="n">
        <v>0</v>
      </c>
      <c r="T35" t="n">
        <v>0</v>
      </c>
      <c r="V35" t="inlineStr">
        <is>
          <t>Anlagenklasse</t>
        </is>
      </c>
    </row>
    <row r="36">
      <c r="C36" t="inlineStr">
        <is>
          <t>Geringwertige Wirtschaftsgüter</t>
        </is>
      </c>
      <c r="D36" t="n">
        <v>1515.76</v>
      </c>
      <c r="E36" t="n">
        <v>2316.03</v>
      </c>
      <c r="F36" t="n">
        <v>0</v>
      </c>
      <c r="G36" t="n">
        <v>0</v>
      </c>
      <c r="I36">
        <f>D36+E36-F36+G36</f>
        <v/>
      </c>
      <c r="L36" t="n">
        <v>2316.03</v>
      </c>
      <c r="O36" t="n">
        <v>0</v>
      </c>
      <c r="R36" t="n">
        <v>3831.79</v>
      </c>
      <c r="S36" t="n">
        <v>0</v>
      </c>
      <c r="T36" t="n">
        <v>0</v>
      </c>
      <c r="V36" t="inlineStr">
        <is>
          <t>Zwischensumme Bilanzposition</t>
        </is>
      </c>
    </row>
    <row r="37">
      <c r="C37" t="inlineStr">
        <is>
          <t>Anlagen im Bau</t>
        </is>
      </c>
      <c r="D37" t="n">
        <v>229055</v>
      </c>
      <c r="E37" t="n">
        <v>43049.31</v>
      </c>
      <c r="F37" t="n">
        <v>0</v>
      </c>
      <c r="G37" t="n">
        <v>-272104.31</v>
      </c>
      <c r="I37">
        <f>D37+E37-F37+G37</f>
        <v/>
      </c>
      <c r="L37" t="n">
        <v>0</v>
      </c>
      <c r="O37" t="n">
        <v>0</v>
      </c>
      <c r="R37" t="n">
        <v>0</v>
      </c>
      <c r="S37" t="n">
        <v>0</v>
      </c>
      <c r="T37" t="n">
        <v>229055</v>
      </c>
      <c r="V37" t="inlineStr">
        <is>
          <t>Anlagenklasse</t>
        </is>
      </c>
      <c r="W37" t="inlineStr">
        <is>
          <t>Anlagen im Bau</t>
        </is>
      </c>
    </row>
    <row r="38">
      <c r="C38" t="inlineStr">
        <is>
          <t>Anlagen im Bau</t>
        </is>
      </c>
      <c r="D38" t="n">
        <v>229055</v>
      </c>
      <c r="E38" t="n">
        <v>43049.31</v>
      </c>
      <c r="F38" t="n">
        <v>0</v>
      </c>
      <c r="G38" t="n">
        <v>-272104.31</v>
      </c>
      <c r="I38">
        <f>D38+E38-F38+G38</f>
        <v/>
      </c>
      <c r="L38" t="n">
        <v>0</v>
      </c>
      <c r="O38" t="n">
        <v>0</v>
      </c>
      <c r="R38" t="n">
        <v>0</v>
      </c>
      <c r="S38" t="n">
        <v>0</v>
      </c>
      <c r="T38" t="n">
        <v>229055</v>
      </c>
      <c r="V38" t="inlineStr">
        <is>
          <t>Zwischensumme Bilanzposition</t>
        </is>
      </c>
      <c r="W38" t="inlineStr">
        <is>
          <t>Anlagen im Bau</t>
        </is>
      </c>
    </row>
    <row r="39">
      <c r="C39" s="4" t="inlineStr">
        <is>
          <t>Summe laut Mandant</t>
        </is>
      </c>
      <c r="D39" s="81" t="n"/>
      <c r="E39" s="81" t="n"/>
      <c r="F39" s="81" t="n"/>
      <c r="G39" s="81" t="n"/>
      <c r="H39" s="81" t="n"/>
      <c r="I39" s="81" t="n"/>
      <c r="J39" s="81" t="n"/>
      <c r="K39" s="81" t="n"/>
      <c r="L39" s="81" t="n"/>
      <c r="M39" s="81" t="n"/>
      <c r="N39" s="81" t="n"/>
      <c r="O39" s="81" t="n"/>
      <c r="P39" s="81" t="n"/>
      <c r="Q39" s="81" t="n"/>
      <c r="R39" s="81" t="n"/>
      <c r="S39" s="81" t="n"/>
      <c r="T39" s="81" t="n"/>
      <c r="U39" s="81" t="n"/>
    </row>
    <row r="40"/>
    <row r="41">
      <c r="C41" s="2" t="inlineStr">
        <is>
          <t>Zeilen und Beträge stammen aus dem übergebenen Anlagengitter. Jede übernommene Zelle verweist auf ihre Herkunft – auf Blatt und Zelle, bei PDF-Unterlagen auf die Seite.</t>
        </is>
      </c>
    </row>
    <row r="42">
      <c r="C42"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77</t>
        </is>
      </c>
      <c r="B2" s="33" t="inlineStr">
        <is>
          <t>CAD-Software Lizenz (gebraucht)</t>
        </is>
      </c>
      <c r="C2" s="33" t="inlineStr">
        <is>
          <t>EDV-Software</t>
        </is>
      </c>
      <c r="D2" s="33" t="n"/>
      <c r="E2" s="33" t="n"/>
      <c r="F2" s="33" t="n"/>
      <c r="G2" s="33" t="n"/>
      <c r="H2" s="33" t="inlineStr">
        <is>
          <t>0027</t>
        </is>
      </c>
      <c r="I2" s="33" t="n"/>
      <c r="J2" s="33" t="n"/>
      <c r="K2" s="34" t="n">
        <v>41260</v>
      </c>
      <c r="L2" s="34" t="n"/>
      <c r="M2" s="34" t="n"/>
      <c r="N2" s="82" t="n"/>
      <c r="O2" s="82" t="n"/>
      <c r="P2" s="33" t="inlineStr">
        <is>
          <t>linear</t>
        </is>
      </c>
      <c r="Q2" s="34" t="n"/>
      <c r="R2" s="83" t="n"/>
      <c r="S2" s="34" t="n"/>
      <c r="T2" s="33" t="n"/>
      <c r="U2" s="83" t="n"/>
      <c r="V2" s="33" t="n"/>
      <c r="W2" s="83" t="n">
        <v>1904</v>
      </c>
      <c r="X2" s="83" t="n">
        <v>0</v>
      </c>
      <c r="Y2" s="83" t="n">
        <v>0</v>
      </c>
      <c r="Z2" s="83" t="n">
        <v>0</v>
      </c>
      <c r="AA2" s="84">
        <f>IF(OR($A2="",COUNT(W2,X2,Z2,Y2)&lt;1),"",W2+X2+Z2-Y2)</f>
        <v/>
      </c>
      <c r="AB2" s="83" t="n"/>
      <c r="AC2" s="83" t="n">
        <v>0</v>
      </c>
      <c r="AD2" s="83" t="n"/>
      <c r="AE2" s="83" t="n"/>
      <c r="AF2" s="83" t="n">
        <v>0</v>
      </c>
      <c r="AG2" s="83" t="n"/>
      <c r="AH2" s="84" t="n">
        <v>1903</v>
      </c>
      <c r="AI2" s="84" t="n">
        <v>1</v>
      </c>
      <c r="AJ2" s="84" t="n">
        <v>1</v>
      </c>
      <c r="AK2" s="83" t="n"/>
      <c r="AL2" s="33" t="n"/>
      <c r="AM2" s="33" t="n"/>
      <c r="AN2" s="83" t="n"/>
      <c r="AO2" s="33" t="n"/>
      <c r="AP2" s="33" t="n"/>
      <c r="AQ2" s="33" t="n"/>
    </row>
    <row r="3">
      <c r="A3" s="33" t="inlineStr">
        <is>
          <t>83</t>
        </is>
      </c>
      <c r="B3" s="33" t="inlineStr">
        <is>
          <t>Finanzbuchhaltung Software Halle 5</t>
        </is>
      </c>
      <c r="C3" s="33" t="inlineStr">
        <is>
          <t>EDV-Software</t>
        </is>
      </c>
      <c r="D3" s="33" t="n"/>
      <c r="E3" s="33" t="n"/>
      <c r="F3" s="33" t="n"/>
      <c r="G3" s="33" t="n"/>
      <c r="H3" s="33" t="inlineStr">
        <is>
          <t>0027</t>
        </is>
      </c>
      <c r="I3" s="33" t="n"/>
      <c r="J3" s="33" t="n"/>
      <c r="K3" s="34" t="n">
        <v>41751</v>
      </c>
      <c r="L3" s="34" t="n"/>
      <c r="M3" s="34" t="n"/>
      <c r="N3" s="82" t="n"/>
      <c r="O3" s="82" t="n"/>
      <c r="P3" s="33" t="inlineStr">
        <is>
          <t>linear</t>
        </is>
      </c>
      <c r="Q3" s="34" t="n"/>
      <c r="R3" s="83" t="n"/>
      <c r="S3" s="34" t="n"/>
      <c r="T3" s="33" t="n"/>
      <c r="U3" s="83" t="n"/>
      <c r="V3" s="33" t="n"/>
      <c r="W3" s="83" t="n">
        <v>6313.78</v>
      </c>
      <c r="X3" s="83" t="n">
        <v>0</v>
      </c>
      <c r="Y3" s="83" t="n">
        <v>0</v>
      </c>
      <c r="Z3" s="83" t="n">
        <v>0</v>
      </c>
      <c r="AA3" s="84">
        <f>IF(OR($A3="",COUNT(W3,X3,Z3,Y3)&lt;1),"",W3+X3+Z3-Y3)</f>
        <v/>
      </c>
      <c r="AB3" s="83" t="n"/>
      <c r="AC3" s="83" t="n">
        <v>0</v>
      </c>
      <c r="AD3" s="83" t="n"/>
      <c r="AE3" s="83" t="n"/>
      <c r="AF3" s="83" t="n">
        <v>0</v>
      </c>
      <c r="AG3" s="83" t="n"/>
      <c r="AH3" s="84" t="n">
        <v>6312.78</v>
      </c>
      <c r="AI3" s="84" t="n">
        <v>1</v>
      </c>
      <c r="AJ3" s="84" t="n">
        <v>1</v>
      </c>
      <c r="AK3" s="83" t="n"/>
      <c r="AL3" s="33" t="n"/>
      <c r="AM3" s="33" t="n"/>
      <c r="AN3" s="83" t="n"/>
      <c r="AO3" s="33" t="n"/>
      <c r="AP3" s="33" t="n"/>
      <c r="AQ3" s="33" t="n"/>
    </row>
    <row r="4">
      <c r="A4" s="33" t="inlineStr">
        <is>
          <t>84</t>
        </is>
      </c>
      <c r="B4" s="33" t="inlineStr">
        <is>
          <t>CAD-Software Lizenz</t>
        </is>
      </c>
      <c r="C4" s="33" t="inlineStr">
        <is>
          <t>EDV-Software</t>
        </is>
      </c>
      <c r="D4" s="33" t="n"/>
      <c r="E4" s="33" t="n"/>
      <c r="F4" s="33" t="n"/>
      <c r="G4" s="33" t="n"/>
      <c r="H4" s="33" t="inlineStr">
        <is>
          <t>0027</t>
        </is>
      </c>
      <c r="I4" s="33" t="n"/>
      <c r="J4" s="33" t="n"/>
      <c r="K4" s="34" t="n">
        <v>41959</v>
      </c>
      <c r="L4" s="34" t="n"/>
      <c r="M4" s="34" t="n"/>
      <c r="N4" s="82" t="n"/>
      <c r="O4" s="82" t="n"/>
      <c r="P4" s="33" t="inlineStr">
        <is>
          <t>linear</t>
        </is>
      </c>
      <c r="Q4" s="34" t="n"/>
      <c r="R4" s="83" t="n"/>
      <c r="S4" s="34" t="n"/>
      <c r="T4" s="33" t="n"/>
      <c r="U4" s="83" t="n"/>
      <c r="V4" s="33" t="n"/>
      <c r="W4" s="83" t="n">
        <v>71456.25999999999</v>
      </c>
      <c r="X4" s="83" t="n">
        <v>0</v>
      </c>
      <c r="Y4" s="83" t="n">
        <v>0</v>
      </c>
      <c r="Z4" s="83" t="n">
        <v>0</v>
      </c>
      <c r="AA4" s="84">
        <f>IF(OR($A4="",COUNT(W4,X4,Z4,Y4)&lt;1),"",W4+X4+Z4-Y4)</f>
        <v/>
      </c>
      <c r="AB4" s="83" t="n"/>
      <c r="AC4" s="83" t="n">
        <v>0</v>
      </c>
      <c r="AD4" s="83" t="n"/>
      <c r="AE4" s="83" t="n"/>
      <c r="AF4" s="83" t="n">
        <v>0</v>
      </c>
      <c r="AG4" s="83" t="n"/>
      <c r="AH4" s="84" t="n">
        <v>71455.25999999999</v>
      </c>
      <c r="AI4" s="84" t="n">
        <v>1</v>
      </c>
      <c r="AJ4" s="84" t="n">
        <v>1</v>
      </c>
      <c r="AK4" s="83" t="n"/>
      <c r="AL4" s="33" t="n"/>
      <c r="AM4" s="33" t="n"/>
      <c r="AN4" s="83" t="n"/>
      <c r="AO4" s="33" t="n"/>
      <c r="AP4" s="33" t="n"/>
      <c r="AQ4" s="33" t="n"/>
    </row>
    <row r="5">
      <c r="A5" s="33" t="inlineStr">
        <is>
          <t>87</t>
        </is>
      </c>
      <c r="B5" s="33" t="inlineStr">
        <is>
          <t>Zeiterfassung Software</t>
        </is>
      </c>
      <c r="C5" s="33" t="inlineStr">
        <is>
          <t>EDV-Software</t>
        </is>
      </c>
      <c r="D5" s="33" t="n"/>
      <c r="E5" s="33" t="n"/>
      <c r="F5" s="33" t="n"/>
      <c r="G5" s="33" t="n"/>
      <c r="H5" s="33" t="inlineStr">
        <is>
          <t>0027</t>
        </is>
      </c>
      <c r="I5" s="33" t="n"/>
      <c r="J5" s="33" t="n"/>
      <c r="K5" s="34" t="n">
        <v>42090</v>
      </c>
      <c r="L5" s="34" t="n"/>
      <c r="M5" s="34" t="n"/>
      <c r="N5" s="82" t="n"/>
      <c r="O5" s="82" t="n"/>
      <c r="P5" s="33" t="inlineStr">
        <is>
          <t>linear</t>
        </is>
      </c>
      <c r="Q5" s="34" t="n"/>
      <c r="R5" s="83" t="n"/>
      <c r="S5" s="34" t="n"/>
      <c r="T5" s="33" t="n"/>
      <c r="U5" s="83" t="n"/>
      <c r="V5" s="33" t="n"/>
      <c r="W5" s="83" t="n">
        <v>110494.86</v>
      </c>
      <c r="X5" s="83" t="n">
        <v>0</v>
      </c>
      <c r="Y5" s="83" t="n">
        <v>0</v>
      </c>
      <c r="Z5" s="83" t="n">
        <v>0</v>
      </c>
      <c r="AA5" s="84">
        <f>IF(OR($A5="",COUNT(W5,X5,Z5,Y5)&lt;1),"",W5+X5+Z5-Y5)</f>
        <v/>
      </c>
      <c r="AB5" s="83" t="n"/>
      <c r="AC5" s="83" t="n">
        <v>0</v>
      </c>
      <c r="AD5" s="83" t="n"/>
      <c r="AE5" s="83" t="n"/>
      <c r="AF5" s="83" t="n">
        <v>0</v>
      </c>
      <c r="AG5" s="83" t="n"/>
      <c r="AH5" s="84" t="n">
        <v>110493.86</v>
      </c>
      <c r="AI5" s="84" t="n">
        <v>1</v>
      </c>
      <c r="AJ5" s="84" t="n">
        <v>1</v>
      </c>
      <c r="AK5" s="83" t="n"/>
      <c r="AL5" s="33" t="n"/>
      <c r="AM5" s="33" t="n"/>
      <c r="AN5" s="83" t="n"/>
      <c r="AO5" s="33" t="n"/>
      <c r="AP5" s="33" t="n"/>
      <c r="AQ5" s="33" t="n"/>
    </row>
    <row r="6">
      <c r="A6" s="33" t="inlineStr">
        <is>
          <t>90</t>
        </is>
      </c>
      <c r="B6" s="33" t="inlineStr">
        <is>
          <t>Warenwirtschaft Modul Lager</t>
        </is>
      </c>
      <c r="C6" s="33" t="inlineStr">
        <is>
          <t>EDV-Software</t>
        </is>
      </c>
      <c r="D6" s="33" t="n"/>
      <c r="E6" s="33" t="n"/>
      <c r="F6" s="33" t="n"/>
      <c r="G6" s="33" t="n"/>
      <c r="H6" s="33" t="inlineStr">
        <is>
          <t>0027</t>
        </is>
      </c>
      <c r="I6" s="33" t="n"/>
      <c r="J6" s="33" t="n"/>
      <c r="K6" s="34" t="n">
        <v>42317</v>
      </c>
      <c r="L6" s="34" t="n"/>
      <c r="M6" s="34" t="n"/>
      <c r="N6" s="82" t="n"/>
      <c r="O6" s="82" t="n"/>
      <c r="P6" s="33" t="inlineStr">
        <is>
          <t>linear</t>
        </is>
      </c>
      <c r="Q6" s="34" t="n"/>
      <c r="R6" s="83" t="n"/>
      <c r="S6" s="34" t="n"/>
      <c r="T6" s="33" t="n"/>
      <c r="U6" s="83" t="n"/>
      <c r="V6" s="33" t="n"/>
      <c r="W6" s="83" t="n">
        <v>2213.33</v>
      </c>
      <c r="X6" s="83" t="n">
        <v>0</v>
      </c>
      <c r="Y6" s="83" t="n">
        <v>0</v>
      </c>
      <c r="Z6" s="83" t="n">
        <v>0</v>
      </c>
      <c r="AA6" s="84">
        <f>IF(OR($A6="",COUNT(W6,X6,Z6,Y6)&lt;1),"",W6+X6+Z6-Y6)</f>
        <v/>
      </c>
      <c r="AB6" s="83" t="n"/>
      <c r="AC6" s="83" t="n">
        <v>0</v>
      </c>
      <c r="AD6" s="83" t="n"/>
      <c r="AE6" s="83" t="n"/>
      <c r="AF6" s="83" t="n">
        <v>0</v>
      </c>
      <c r="AG6" s="83" t="n"/>
      <c r="AH6" s="84" t="n">
        <v>2212.33</v>
      </c>
      <c r="AI6" s="84" t="n">
        <v>1</v>
      </c>
      <c r="AJ6" s="84" t="n">
        <v>1</v>
      </c>
      <c r="AK6" s="83" t="n"/>
      <c r="AL6" s="33" t="n"/>
      <c r="AM6" s="33" t="n"/>
      <c r="AN6" s="83" t="n"/>
      <c r="AO6" s="33" t="n"/>
      <c r="AP6" s="33" t="n"/>
      <c r="AQ6" s="33" t="n"/>
    </row>
    <row r="7">
      <c r="A7" s="33" t="inlineStr">
        <is>
          <t>93</t>
        </is>
      </c>
      <c r="B7" s="33" t="inlineStr">
        <is>
          <t>CAD-Software Lizenz</t>
        </is>
      </c>
      <c r="C7" s="33" t="inlineStr">
        <is>
          <t>EDV-Software</t>
        </is>
      </c>
      <c r="D7" s="33" t="n"/>
      <c r="E7" s="33" t="n"/>
      <c r="F7" s="33" t="n"/>
      <c r="G7" s="33" t="n"/>
      <c r="H7" s="33" t="inlineStr">
        <is>
          <t>0027</t>
        </is>
      </c>
      <c r="I7" s="33" t="n"/>
      <c r="J7" s="33" t="n"/>
      <c r="K7" s="34" t="n">
        <v>42746</v>
      </c>
      <c r="L7" s="34" t="n"/>
      <c r="M7" s="34" t="n"/>
      <c r="N7" s="82" t="n"/>
      <c r="O7" s="82" t="n"/>
      <c r="P7" s="33" t="inlineStr">
        <is>
          <t>linear</t>
        </is>
      </c>
      <c r="Q7" s="34" t="n"/>
      <c r="R7" s="83" t="n"/>
      <c r="S7" s="34" t="n"/>
      <c r="T7" s="33" t="n"/>
      <c r="U7" s="83" t="n"/>
      <c r="V7" s="33" t="n"/>
      <c r="W7" s="83" t="n">
        <v>1749.47</v>
      </c>
      <c r="X7" s="83" t="n">
        <v>0</v>
      </c>
      <c r="Y7" s="83" t="n">
        <v>0</v>
      </c>
      <c r="Z7" s="83" t="n">
        <v>0</v>
      </c>
      <c r="AA7" s="84">
        <f>IF(OR($A7="",COUNT(W7,X7,Z7,Y7)&lt;1),"",W7+X7+Z7-Y7)</f>
        <v/>
      </c>
      <c r="AB7" s="83" t="n"/>
      <c r="AC7" s="83" t="n">
        <v>0</v>
      </c>
      <c r="AD7" s="83" t="n"/>
      <c r="AE7" s="83" t="n"/>
      <c r="AF7" s="83" t="n">
        <v>0</v>
      </c>
      <c r="AG7" s="83" t="n"/>
      <c r="AH7" s="84" t="n">
        <v>1748.47</v>
      </c>
      <c r="AI7" s="84" t="n">
        <v>1</v>
      </c>
      <c r="AJ7" s="84" t="n">
        <v>1</v>
      </c>
      <c r="AK7" s="83" t="n"/>
      <c r="AL7" s="33" t="n"/>
      <c r="AM7" s="33" t="n"/>
      <c r="AN7" s="83" t="n"/>
      <c r="AO7" s="33" t="n"/>
      <c r="AP7" s="33" t="n"/>
      <c r="AQ7" s="33" t="n"/>
    </row>
    <row r="8">
      <c r="A8" s="33" t="inlineStr">
        <is>
          <t>100</t>
        </is>
      </c>
      <c r="B8" s="33" t="inlineStr">
        <is>
          <t>ERP-Lizenz Typ A198</t>
        </is>
      </c>
      <c r="C8" s="33" t="inlineStr">
        <is>
          <t>EDV-Software</t>
        </is>
      </c>
      <c r="D8" s="33" t="n"/>
      <c r="E8" s="33" t="n"/>
      <c r="F8" s="33" t="n"/>
      <c r="G8" s="33" t="n"/>
      <c r="H8" s="33" t="inlineStr">
        <is>
          <t>0027</t>
        </is>
      </c>
      <c r="I8" s="33" t="n"/>
      <c r="J8" s="33" t="n"/>
      <c r="K8" s="34" t="n">
        <v>43273</v>
      </c>
      <c r="L8" s="34" t="n"/>
      <c r="M8" s="34" t="n"/>
      <c r="N8" s="82" t="n"/>
      <c r="O8" s="82" t="n"/>
      <c r="P8" s="33" t="inlineStr">
        <is>
          <t>linear</t>
        </is>
      </c>
      <c r="Q8" s="34" t="n"/>
      <c r="R8" s="83" t="n"/>
      <c r="S8" s="34" t="n"/>
      <c r="T8" s="33" t="n"/>
      <c r="U8" s="83" t="n"/>
      <c r="V8" s="33" t="n"/>
      <c r="W8" s="83" t="n">
        <v>101815</v>
      </c>
      <c r="X8" s="83" t="n">
        <v>0</v>
      </c>
      <c r="Y8" s="83" t="n">
        <v>0</v>
      </c>
      <c r="Z8" s="83" t="n">
        <v>0</v>
      </c>
      <c r="AA8" s="84">
        <f>IF(OR($A8="",COUNT(W8,X8,Z8,Y8)&lt;1),"",W8+X8+Z8-Y8)</f>
        <v/>
      </c>
      <c r="AB8" s="83" t="n"/>
      <c r="AC8" s="83" t="n">
        <v>0</v>
      </c>
      <c r="AD8" s="83" t="n"/>
      <c r="AE8" s="83" t="n"/>
      <c r="AF8" s="83" t="n">
        <v>0</v>
      </c>
      <c r="AG8" s="83" t="n"/>
      <c r="AH8" s="84" t="n">
        <v>101814</v>
      </c>
      <c r="AI8" s="84" t="n">
        <v>1</v>
      </c>
      <c r="AJ8" s="84" t="n">
        <v>1</v>
      </c>
      <c r="AK8" s="83" t="n"/>
      <c r="AL8" s="33" t="n"/>
      <c r="AM8" s="33" t="n"/>
      <c r="AN8" s="83" t="n"/>
      <c r="AO8" s="33" t="n"/>
      <c r="AP8" s="33" t="n"/>
      <c r="AQ8" s="33" t="n"/>
    </row>
    <row r="9">
      <c r="A9" s="33" t="inlineStr">
        <is>
          <t>119</t>
        </is>
      </c>
      <c r="B9" s="33" t="inlineStr">
        <is>
          <t>ERP-Lizenz</t>
        </is>
      </c>
      <c r="C9" s="33" t="inlineStr">
        <is>
          <t>EDV-Software</t>
        </is>
      </c>
      <c r="D9" s="33" t="n"/>
      <c r="E9" s="33" t="n"/>
      <c r="F9" s="33" t="n"/>
      <c r="G9" s="33" t="n"/>
      <c r="H9" s="33" t="inlineStr">
        <is>
          <t>0027</t>
        </is>
      </c>
      <c r="I9" s="33" t="n"/>
      <c r="J9" s="33" t="n"/>
      <c r="K9" s="34" t="n">
        <v>43874</v>
      </c>
      <c r="L9" s="34" t="n"/>
      <c r="M9" s="34" t="n"/>
      <c r="N9" s="82" t="n"/>
      <c r="O9" s="82" t="n"/>
      <c r="P9" s="33" t="inlineStr">
        <is>
          <t>linear</t>
        </is>
      </c>
      <c r="Q9" s="34" t="n"/>
      <c r="R9" s="83" t="n"/>
      <c r="S9" s="34" t="n"/>
      <c r="T9" s="33" t="n"/>
      <c r="U9" s="83" t="n"/>
      <c r="V9" s="33" t="n"/>
      <c r="W9" s="83" t="n">
        <v>20388.77</v>
      </c>
      <c r="X9" s="83" t="n">
        <v>0</v>
      </c>
      <c r="Y9" s="83" t="n">
        <v>0</v>
      </c>
      <c r="Z9" s="83" t="n">
        <v>0</v>
      </c>
      <c r="AA9" s="84">
        <f>IF(OR($A9="",COUNT(W9,X9,Z9,Y9)&lt;1),"",W9+X9+Z9-Y9)</f>
        <v/>
      </c>
      <c r="AB9" s="83" t="n"/>
      <c r="AC9" s="83" t="n">
        <v>0</v>
      </c>
      <c r="AD9" s="83" t="n"/>
      <c r="AE9" s="83" t="n"/>
      <c r="AF9" s="83" t="n">
        <v>0</v>
      </c>
      <c r="AG9" s="83" t="n"/>
      <c r="AH9" s="84" t="n">
        <v>20387.77</v>
      </c>
      <c r="AI9" s="84" t="n">
        <v>1</v>
      </c>
      <c r="AJ9" s="84" t="n">
        <v>1</v>
      </c>
      <c r="AK9" s="83" t="n"/>
      <c r="AL9" s="33" t="n"/>
      <c r="AM9" s="33" t="n"/>
      <c r="AN9" s="83" t="n"/>
      <c r="AO9" s="33" t="n"/>
      <c r="AP9" s="33" t="n"/>
      <c r="AQ9" s="33" t="n"/>
    </row>
    <row r="10">
      <c r="A10" s="33" t="inlineStr">
        <is>
          <t>119a</t>
        </is>
      </c>
      <c r="B10" s="33" t="inlineStr">
        <is>
          <t>ERP-Lizenz Nachrüstung</t>
        </is>
      </c>
      <c r="C10" s="33" t="inlineStr">
        <is>
          <t>EDV-Software</t>
        </is>
      </c>
      <c r="D10" s="33" t="n"/>
      <c r="E10" s="33" t="n"/>
      <c r="F10" s="33" t="n"/>
      <c r="G10" s="33" t="n"/>
      <c r="H10" s="33" t="inlineStr">
        <is>
          <t>0027</t>
        </is>
      </c>
      <c r="I10" s="33" t="n"/>
      <c r="J10" s="33" t="n"/>
      <c r="K10" s="34" t="n">
        <v>44823</v>
      </c>
      <c r="L10" s="34" t="n"/>
      <c r="M10" s="34" t="n"/>
      <c r="N10" s="82" t="n"/>
      <c r="O10" s="82" t="n"/>
      <c r="P10" s="33" t="inlineStr">
        <is>
          <t>linear</t>
        </is>
      </c>
      <c r="Q10" s="34" t="n"/>
      <c r="R10" s="83" t="n"/>
      <c r="S10" s="34" t="n"/>
      <c r="T10" s="33" t="n"/>
      <c r="U10" s="83" t="n"/>
      <c r="V10" s="33" t="n"/>
      <c r="W10" s="83" t="n">
        <v>3941.39</v>
      </c>
      <c r="X10" s="83" t="n">
        <v>0</v>
      </c>
      <c r="Y10" s="83" t="n">
        <v>0</v>
      </c>
      <c r="Z10" s="83" t="n">
        <v>0</v>
      </c>
      <c r="AA10" s="84">
        <f>IF(OR($A10="",COUNT(W10,X10,Z10,Y10)&lt;1),"",W10+X10+Z10-Y10)</f>
        <v/>
      </c>
      <c r="AB10" s="83" t="n"/>
      <c r="AC10" s="83" t="n">
        <v>874.86</v>
      </c>
      <c r="AD10" s="83" t="n"/>
      <c r="AE10" s="83" t="n"/>
      <c r="AF10" s="83" t="n">
        <v>0</v>
      </c>
      <c r="AG10" s="83" t="n"/>
      <c r="AH10" s="84" t="n">
        <v>3940.39</v>
      </c>
      <c r="AI10" s="84" t="n">
        <v>1</v>
      </c>
      <c r="AJ10" s="84" t="n">
        <v>875.86</v>
      </c>
      <c r="AK10" s="83" t="n"/>
      <c r="AL10" s="33" t="n"/>
      <c r="AM10" s="33" t="n"/>
      <c r="AN10" s="83" t="n"/>
      <c r="AO10" s="33" t="n"/>
      <c r="AP10" s="33" t="n"/>
      <c r="AQ10" s="33" t="n"/>
    </row>
    <row r="11">
      <c r="A11" s="33" t="inlineStr">
        <is>
          <t>168</t>
        </is>
      </c>
      <c r="B11" s="33" t="inlineStr">
        <is>
          <t>Finanzbuchhaltung Software</t>
        </is>
      </c>
      <c r="C11" s="33" t="inlineStr">
        <is>
          <t>EDV-Software</t>
        </is>
      </c>
      <c r="D11" s="33" t="n"/>
      <c r="E11" s="33" t="n"/>
      <c r="F11" s="33" t="n"/>
      <c r="G11" s="33" t="n"/>
      <c r="H11" s="33" t="inlineStr">
        <is>
          <t>0027</t>
        </is>
      </c>
      <c r="I11" s="33" t="n"/>
      <c r="J11" s="33" t="n"/>
      <c r="K11" s="34" t="n">
        <v>45649</v>
      </c>
      <c r="L11" s="34" t="n"/>
      <c r="M11" s="34" t="n"/>
      <c r="N11" s="82" t="n"/>
      <c r="O11" s="82" t="n"/>
      <c r="P11" s="33" t="inlineStr">
        <is>
          <t>linear</t>
        </is>
      </c>
      <c r="Q11" s="34" t="n"/>
      <c r="R11" s="83" t="n"/>
      <c r="S11" s="34" t="n"/>
      <c r="T11" s="33" t="n"/>
      <c r="U11" s="83" t="n"/>
      <c r="V11" s="33" t="n"/>
      <c r="W11" s="83" t="n">
        <v>107840</v>
      </c>
      <c r="X11" s="83" t="n">
        <v>0</v>
      </c>
      <c r="Y11" s="83" t="n">
        <v>0</v>
      </c>
      <c r="Z11" s="83" t="n">
        <v>0</v>
      </c>
      <c r="AA11" s="84">
        <f>IF(OR($A11="",COUNT(W11,X11,Z11,Y11)&lt;1),"",W11+X11+Z11-Y11)</f>
        <v/>
      </c>
      <c r="AB11" s="83" t="n"/>
      <c r="AC11" s="83" t="n">
        <v>21568</v>
      </c>
      <c r="AD11" s="83" t="n"/>
      <c r="AE11" s="83" t="n"/>
      <c r="AF11" s="83" t="n">
        <v>0</v>
      </c>
      <c r="AG11" s="83" t="n"/>
      <c r="AH11" s="84" t="n">
        <v>23365.33</v>
      </c>
      <c r="AI11" s="84" t="n">
        <v>84474.67</v>
      </c>
      <c r="AJ11" s="84" t="n">
        <v>106042.67</v>
      </c>
      <c r="AK11" s="83" t="n"/>
      <c r="AL11" s="33" t="n"/>
      <c r="AM11" s="33" t="n"/>
      <c r="AN11" s="83" t="n"/>
      <c r="AO11" s="33" t="n"/>
      <c r="AP11" s="33" t="n"/>
      <c r="AQ11" s="33" t="n"/>
    </row>
    <row r="12">
      <c r="A12" s="33" t="inlineStr">
        <is>
          <t>170</t>
        </is>
      </c>
      <c r="B12" s="33" t="inlineStr">
        <is>
          <t>CAD-Software Lizenz Typ K224</t>
        </is>
      </c>
      <c r="C12" s="33" t="inlineStr">
        <is>
          <t>EDV-Software</t>
        </is>
      </c>
      <c r="D12" s="33" t="n"/>
      <c r="E12" s="33" t="n"/>
      <c r="F12" s="33" t="n"/>
      <c r="G12" s="33" t="n"/>
      <c r="H12" s="33" t="inlineStr">
        <is>
          <t>0027</t>
        </is>
      </c>
      <c r="I12" s="33" t="n"/>
      <c r="J12" s="33" t="n"/>
      <c r="K12" s="34" t="n">
        <v>45703</v>
      </c>
      <c r="L12" s="34" t="n"/>
      <c r="M12" s="34" t="n"/>
      <c r="N12" s="82" t="n"/>
      <c r="O12" s="82" t="n"/>
      <c r="P12" s="33" t="inlineStr">
        <is>
          <t>linear</t>
        </is>
      </c>
      <c r="Q12" s="34" t="n"/>
      <c r="R12" s="83" t="n"/>
      <c r="S12" s="34" t="n"/>
      <c r="T12" s="33" t="n"/>
      <c r="U12" s="83" t="n"/>
      <c r="V12" s="33" t="n"/>
      <c r="W12" s="83" t="n">
        <v>0</v>
      </c>
      <c r="X12" s="83" t="n">
        <v>6843.42</v>
      </c>
      <c r="Y12" s="83" t="n">
        <v>0</v>
      </c>
      <c r="Z12" s="83" t="n">
        <v>0</v>
      </c>
      <c r="AA12" s="84">
        <f>IF(OR($A12="",COUNT(W12,X12,Z12,Y12)&lt;1),"",W12+X12+Z12-Y12)</f>
        <v/>
      </c>
      <c r="AB12" s="83" t="n"/>
      <c r="AC12" s="83" t="n">
        <v>1254.63</v>
      </c>
      <c r="AD12" s="83" t="n"/>
      <c r="AE12" s="83" t="n"/>
      <c r="AF12" s="83" t="n">
        <v>0</v>
      </c>
      <c r="AG12" s="83" t="n"/>
      <c r="AH12" s="84" t="n">
        <v>1254.63</v>
      </c>
      <c r="AI12" s="84" t="n">
        <v>5588.79</v>
      </c>
      <c r="AJ12" s="84" t="n">
        <v>0</v>
      </c>
      <c r="AK12" s="83" t="n"/>
      <c r="AL12" s="33" t="n"/>
      <c r="AM12" s="33" t="n"/>
      <c r="AN12" s="83" t="n"/>
      <c r="AO12" s="33" t="n"/>
      <c r="AP12" s="33" t="n"/>
      <c r="AQ12" s="33" t="n"/>
    </row>
    <row r="13">
      <c r="A13" s="33" t="inlineStr">
        <is>
          <t>54</t>
        </is>
      </c>
      <c r="B13" s="33" t="inlineStr">
        <is>
          <t>Erweiterungsfläche</t>
        </is>
      </c>
      <c r="C13" s="33" t="inlineStr">
        <is>
          <t>Grund und Boden</t>
        </is>
      </c>
      <c r="D13" s="33" t="n"/>
      <c r="E13" s="33" t="n"/>
      <c r="F13" s="33" t="n"/>
      <c r="G13" s="33" t="n"/>
      <c r="H13" s="33" t="inlineStr">
        <is>
          <t>0085</t>
        </is>
      </c>
      <c r="I13" s="33" t="n"/>
      <c r="J13" s="33" t="n"/>
      <c r="K13" s="34" t="n">
        <v>40561</v>
      </c>
      <c r="L13" s="34" t="n"/>
      <c r="M13" s="34" t="n"/>
      <c r="N13" s="82" t="n"/>
      <c r="O13" s="82" t="n"/>
      <c r="P13" s="33" t="inlineStr">
        <is>
          <t>keine AfA</t>
        </is>
      </c>
      <c r="Q13" s="34" t="n"/>
      <c r="R13" s="83" t="n"/>
      <c r="S13" s="34" t="n"/>
      <c r="T13" s="33" t="n"/>
      <c r="U13" s="83" t="n"/>
      <c r="V13" s="33" t="n"/>
      <c r="W13" s="83" t="n">
        <v>57853.61</v>
      </c>
      <c r="X13" s="83" t="n">
        <v>0</v>
      </c>
      <c r="Y13" s="83" t="n">
        <v>0</v>
      </c>
      <c r="Z13" s="83" t="n">
        <v>0</v>
      </c>
      <c r="AA13" s="84">
        <f>IF(OR($A13="",COUNT(W13,X13,Z13,Y13)&lt;1),"",W13+X13+Z13-Y13)</f>
        <v/>
      </c>
      <c r="AB13" s="83" t="n"/>
      <c r="AC13" s="83" t="n">
        <v>0</v>
      </c>
      <c r="AD13" s="83" t="n"/>
      <c r="AE13" s="83" t="n"/>
      <c r="AF13" s="83" t="n">
        <v>0</v>
      </c>
      <c r="AG13" s="83" t="n"/>
      <c r="AH13" s="84" t="n">
        <v>0</v>
      </c>
      <c r="AI13" s="84" t="n">
        <v>57853.61</v>
      </c>
      <c r="AJ13" s="84" t="n">
        <v>57853.61</v>
      </c>
      <c r="AK13" s="83" t="n"/>
      <c r="AL13" s="33" t="n"/>
      <c r="AM13" s="33" t="n"/>
      <c r="AN13" s="83" t="n"/>
      <c r="AO13" s="33" t="n"/>
      <c r="AP13" s="33" t="n"/>
      <c r="AQ13" s="33" t="n"/>
    </row>
    <row r="14">
      <c r="A14" s="33" t="inlineStr">
        <is>
          <t>31</t>
        </is>
      </c>
      <c r="B14" s="33" t="inlineStr">
        <is>
          <t>Lagerhalle</t>
        </is>
      </c>
      <c r="C14" s="33" t="inlineStr">
        <is>
          <t>Fabrikbauten</t>
        </is>
      </c>
      <c r="D14" s="33" t="n"/>
      <c r="E14" s="33" t="n"/>
      <c r="F14" s="33" t="n"/>
      <c r="G14" s="33" t="n"/>
      <c r="H14" s="33" t="inlineStr">
        <is>
          <t>0100</t>
        </is>
      </c>
      <c r="I14" s="33" t="n"/>
      <c r="J14" s="33" t="n"/>
      <c r="K14" s="34" t="n">
        <v>33172</v>
      </c>
      <c r="L14" s="34" t="n"/>
      <c r="M14" s="34" t="n"/>
      <c r="N14" s="82" t="n"/>
      <c r="O14" s="82" t="n"/>
      <c r="P14" s="33" t="inlineStr">
        <is>
          <t>Gebäude-AfA</t>
        </is>
      </c>
      <c r="Q14" s="34" t="n"/>
      <c r="R14" s="83" t="n"/>
      <c r="S14" s="34" t="n"/>
      <c r="T14" s="33" t="n"/>
      <c r="U14" s="83" t="n"/>
      <c r="V14" s="33" t="n"/>
      <c r="W14" s="83" t="n">
        <v>217231</v>
      </c>
      <c r="X14" s="83" t="n">
        <v>0</v>
      </c>
      <c r="Y14" s="83" t="n">
        <v>0</v>
      </c>
      <c r="Z14" s="83" t="n">
        <v>0</v>
      </c>
      <c r="AA14" s="84">
        <f>IF(OR($A14="",COUNT(W14,X14,Z14,Y14)&lt;1),"",W14+X14+Z14-Y14)</f>
        <v/>
      </c>
      <c r="AB14" s="83" t="n"/>
      <c r="AC14" s="83" t="n">
        <v>0</v>
      </c>
      <c r="AD14" s="83" t="n"/>
      <c r="AE14" s="83" t="n"/>
      <c r="AF14" s="83" t="n">
        <v>0</v>
      </c>
      <c r="AG14" s="83" t="n"/>
      <c r="AH14" s="84" t="n">
        <v>217230</v>
      </c>
      <c r="AI14" s="84" t="n">
        <v>1</v>
      </c>
      <c r="AJ14" s="84" t="n">
        <v>1</v>
      </c>
      <c r="AK14" s="83" t="n"/>
      <c r="AL14" s="33" t="n"/>
      <c r="AM14" s="33" t="n"/>
      <c r="AN14" s="83" t="n"/>
      <c r="AO14" s="33" t="n"/>
      <c r="AP14" s="33" t="n"/>
      <c r="AQ14" s="33" t="n"/>
    </row>
    <row r="15">
      <c r="A15" s="33" t="inlineStr">
        <is>
          <t>31a</t>
        </is>
      </c>
      <c r="B15" s="33" t="inlineStr">
        <is>
          <t>Lagerhalle Erweiterung</t>
        </is>
      </c>
      <c r="C15" s="33" t="inlineStr">
        <is>
          <t>Fabrikbauten</t>
        </is>
      </c>
      <c r="D15" s="33" t="n"/>
      <c r="E15" s="33" t="n"/>
      <c r="F15" s="33" t="n"/>
      <c r="G15" s="33" t="n"/>
      <c r="H15" s="33" t="inlineStr">
        <is>
          <t>0100</t>
        </is>
      </c>
      <c r="I15" s="33" t="n"/>
      <c r="J15" s="33" t="n"/>
      <c r="K15" s="34" t="n">
        <v>36013</v>
      </c>
      <c r="L15" s="34" t="n"/>
      <c r="M15" s="34" t="n"/>
      <c r="N15" s="82" t="n"/>
      <c r="O15" s="82" t="n"/>
      <c r="P15" s="33" t="inlineStr">
        <is>
          <t>Gebäude-AfA</t>
        </is>
      </c>
      <c r="Q15" s="34" t="n"/>
      <c r="R15" s="83" t="n"/>
      <c r="S15" s="34" t="n"/>
      <c r="T15" s="33" t="n"/>
      <c r="U15" s="83" t="n"/>
      <c r="V15" s="33" t="n"/>
      <c r="W15" s="83" t="n">
        <v>56440.34</v>
      </c>
      <c r="X15" s="83" t="n">
        <v>0</v>
      </c>
      <c r="Y15" s="83" t="n">
        <v>0</v>
      </c>
      <c r="Z15" s="83" t="n">
        <v>0</v>
      </c>
      <c r="AA15" s="84">
        <f>IF(OR($A15="",COUNT(W15,X15,Z15,Y15)&lt;1),"",W15+X15+Z15-Y15)</f>
        <v/>
      </c>
      <c r="AB15" s="83" t="n"/>
      <c r="AC15" s="83" t="n">
        <v>1710.31</v>
      </c>
      <c r="AD15" s="83" t="n"/>
      <c r="AE15" s="83" t="n"/>
      <c r="AF15" s="83" t="n">
        <v>0</v>
      </c>
      <c r="AG15" s="83" t="n"/>
      <c r="AH15" s="84" t="n">
        <v>46891.09</v>
      </c>
      <c r="AI15" s="84" t="n">
        <v>9549.25</v>
      </c>
      <c r="AJ15" s="84" t="n">
        <v>11259.56</v>
      </c>
      <c r="AK15" s="83" t="n"/>
      <c r="AL15" s="33" t="n"/>
      <c r="AM15" s="33" t="n"/>
      <c r="AN15" s="83" t="n"/>
      <c r="AO15" s="33" t="n"/>
      <c r="AP15" s="33" t="n"/>
      <c r="AQ15" s="33" t="n"/>
    </row>
    <row r="16">
      <c r="A16" s="33" t="inlineStr">
        <is>
          <t>56</t>
        </is>
      </c>
      <c r="B16" s="33" t="inlineStr">
        <is>
          <t>Lagerhalle</t>
        </is>
      </c>
      <c r="C16" s="33" t="inlineStr">
        <is>
          <t>Fabrikbauten</t>
        </is>
      </c>
      <c r="D16" s="33" t="n"/>
      <c r="E16" s="33" t="n"/>
      <c r="F16" s="33" t="n"/>
      <c r="G16" s="33" t="n"/>
      <c r="H16" s="33" t="inlineStr">
        <is>
          <t>0100</t>
        </is>
      </c>
      <c r="I16" s="33" t="n"/>
      <c r="J16" s="33" t="n"/>
      <c r="K16" s="34" t="n">
        <v>40817</v>
      </c>
      <c r="L16" s="34" t="n"/>
      <c r="M16" s="34" t="n"/>
      <c r="N16" s="82" t="n"/>
      <c r="O16" s="82" t="n"/>
      <c r="P16" s="33" t="inlineStr">
        <is>
          <t>Gebäude-AfA</t>
        </is>
      </c>
      <c r="Q16" s="34" t="n"/>
      <c r="R16" s="83" t="n"/>
      <c r="S16" s="34" t="n"/>
      <c r="T16" s="33" t="n"/>
      <c r="U16" s="83" t="n"/>
      <c r="V16" s="33" t="n"/>
      <c r="W16" s="83" t="n">
        <v>1359040</v>
      </c>
      <c r="X16" s="83" t="n">
        <v>0</v>
      </c>
      <c r="Y16" s="83" t="n">
        <v>0</v>
      </c>
      <c r="Z16" s="83" t="n">
        <v>0</v>
      </c>
      <c r="AA16" s="84">
        <f>IF(OR($A16="",COUNT(W16,X16,Z16,Y16)&lt;1),"",W16+X16+Z16-Y16)</f>
        <v/>
      </c>
      <c r="AB16" s="83" t="n"/>
      <c r="AC16" s="83" t="n">
        <v>41183.03</v>
      </c>
      <c r="AD16" s="83" t="n"/>
      <c r="AE16" s="83" t="n"/>
      <c r="AF16" s="83" t="n">
        <v>0</v>
      </c>
      <c r="AG16" s="83" t="n"/>
      <c r="AH16" s="84" t="n">
        <v>586858.1800000001</v>
      </c>
      <c r="AI16" s="84" t="n">
        <v>772181.8199999999</v>
      </c>
      <c r="AJ16" s="84" t="n">
        <v>813364.85</v>
      </c>
      <c r="AK16" s="83" t="n"/>
      <c r="AL16" s="33" t="n"/>
      <c r="AM16" s="33" t="n"/>
      <c r="AN16" s="83" t="n"/>
      <c r="AO16" s="33" t="n"/>
      <c r="AP16" s="33" t="n"/>
      <c r="AQ16" s="33" t="n"/>
    </row>
    <row r="17">
      <c r="A17" s="33" t="inlineStr">
        <is>
          <t>56a</t>
        </is>
      </c>
      <c r="B17" s="33" t="inlineStr">
        <is>
          <t>Lagerhalle Erweiterung</t>
        </is>
      </c>
      <c r="C17" s="33" t="inlineStr">
        <is>
          <t>Fabrikbauten</t>
        </is>
      </c>
      <c r="D17" s="33" t="n"/>
      <c r="E17" s="33" t="n"/>
      <c r="F17" s="33" t="n"/>
      <c r="G17" s="33" t="n"/>
      <c r="H17" s="33" t="inlineStr">
        <is>
          <t>0100</t>
        </is>
      </c>
      <c r="I17" s="33" t="n"/>
      <c r="J17" s="33" t="n"/>
      <c r="K17" s="34" t="n">
        <v>44034</v>
      </c>
      <c r="L17" s="34" t="n"/>
      <c r="M17" s="34" t="n"/>
      <c r="N17" s="82" t="n"/>
      <c r="O17" s="82" t="n"/>
      <c r="P17" s="33" t="inlineStr">
        <is>
          <t>Gebäude-AfA</t>
        </is>
      </c>
      <c r="Q17" s="34" t="n"/>
      <c r="R17" s="83" t="n"/>
      <c r="S17" s="34" t="n"/>
      <c r="T17" s="33" t="n"/>
      <c r="U17" s="83" t="n"/>
      <c r="V17" s="33" t="n"/>
      <c r="W17" s="83" t="n">
        <v>350536.42</v>
      </c>
      <c r="X17" s="83" t="n">
        <v>0</v>
      </c>
      <c r="Y17" s="83" t="n">
        <v>0</v>
      </c>
      <c r="Z17" s="83" t="n">
        <v>0</v>
      </c>
      <c r="AA17" s="84">
        <f>IF(OR($A17="",COUNT(W17,X17,Z17,Y17)&lt;1),"",W17+X17+Z17-Y17)</f>
        <v/>
      </c>
      <c r="AB17" s="83" t="n"/>
      <c r="AC17" s="83" t="n">
        <v>10622.32</v>
      </c>
      <c r="AD17" s="83" t="n"/>
      <c r="AE17" s="83" t="n"/>
      <c r="AF17" s="83" t="n">
        <v>0</v>
      </c>
      <c r="AG17" s="83" t="n"/>
      <c r="AH17" s="84" t="n">
        <v>58422.74</v>
      </c>
      <c r="AI17" s="84" t="n">
        <v>292113.68</v>
      </c>
      <c r="AJ17" s="84" t="n">
        <v>302736</v>
      </c>
      <c r="AK17" s="83" t="n"/>
      <c r="AL17" s="33" t="n"/>
      <c r="AM17" s="33" t="n"/>
      <c r="AN17" s="83" t="n"/>
      <c r="AO17" s="33" t="n"/>
      <c r="AP17" s="33" t="n"/>
      <c r="AQ17" s="33" t="n"/>
    </row>
    <row r="18">
      <c r="A18" s="33" t="inlineStr">
        <is>
          <t>97</t>
        </is>
      </c>
      <c r="B18" s="33" t="inlineStr">
        <is>
          <t>Werkstattgebäude</t>
        </is>
      </c>
      <c r="C18" s="33" t="inlineStr">
        <is>
          <t>Fabrikbauten</t>
        </is>
      </c>
      <c r="D18" s="33" t="n"/>
      <c r="E18" s="33" t="n"/>
      <c r="F18" s="33" t="n"/>
      <c r="G18" s="33" t="n"/>
      <c r="H18" s="33" t="inlineStr">
        <is>
          <t>0100</t>
        </is>
      </c>
      <c r="I18" s="33" t="n"/>
      <c r="J18" s="33" t="n"/>
      <c r="K18" s="34" t="n">
        <v>43182</v>
      </c>
      <c r="L18" s="34" t="n"/>
      <c r="M18" s="34" t="n"/>
      <c r="N18" s="82" t="n"/>
      <c r="O18" s="82" t="n"/>
      <c r="P18" s="33" t="inlineStr">
        <is>
          <t>Gebäude-AfA</t>
        </is>
      </c>
      <c r="Q18" s="34" t="n"/>
      <c r="R18" s="83" t="n"/>
      <c r="S18" s="34" t="n"/>
      <c r="T18" s="33" t="n"/>
      <c r="U18" s="83" t="n"/>
      <c r="V18" s="33" t="n"/>
      <c r="W18" s="83" t="n">
        <v>678291.92</v>
      </c>
      <c r="X18" s="83" t="n">
        <v>0</v>
      </c>
      <c r="Y18" s="83" t="n">
        <v>0</v>
      </c>
      <c r="Z18" s="83" t="n">
        <v>0</v>
      </c>
      <c r="AA18" s="84">
        <f>IF(OR($A18="",COUNT(W18,X18,Z18,Y18)&lt;1),"",W18+X18+Z18-Y18)</f>
        <v/>
      </c>
      <c r="AB18" s="83" t="n"/>
      <c r="AC18" s="83" t="n">
        <v>20554.3</v>
      </c>
      <c r="AD18" s="83" t="n"/>
      <c r="AE18" s="83" t="n"/>
      <c r="AF18" s="83" t="n">
        <v>0</v>
      </c>
      <c r="AG18" s="83" t="n"/>
      <c r="AH18" s="84" t="n">
        <v>161008.69</v>
      </c>
      <c r="AI18" s="84" t="n">
        <v>517283.23</v>
      </c>
      <c r="AJ18" s="84" t="n">
        <v>537837.53</v>
      </c>
      <c r="AK18" s="83" t="n"/>
      <c r="AL18" s="33" t="n"/>
      <c r="AM18" s="33" t="n"/>
      <c r="AN18" s="83" t="n"/>
      <c r="AO18" s="33" t="n"/>
      <c r="AP18" s="33" t="n"/>
      <c r="AQ18" s="33" t="n"/>
    </row>
    <row r="19">
      <c r="A19" s="33" t="inlineStr">
        <is>
          <t>97a</t>
        </is>
      </c>
      <c r="B19" s="33" t="inlineStr">
        <is>
          <t>Werkstattgebäude Zusatzmodul</t>
        </is>
      </c>
      <c r="C19" s="33" t="inlineStr">
        <is>
          <t>Fabrikbauten</t>
        </is>
      </c>
      <c r="D19" s="33" t="n"/>
      <c r="E19" s="33" t="n"/>
      <c r="F19" s="33" t="n"/>
      <c r="G19" s="33" t="n"/>
      <c r="H19" s="33" t="inlineStr">
        <is>
          <t>0100</t>
        </is>
      </c>
      <c r="I19" s="33" t="n"/>
      <c r="J19" s="33" t="n"/>
      <c r="K19" s="34" t="n">
        <v>44355</v>
      </c>
      <c r="L19" s="34" t="n"/>
      <c r="M19" s="34" t="n"/>
      <c r="N19" s="82" t="n"/>
      <c r="O19" s="82" t="n"/>
      <c r="P19" s="33" t="inlineStr">
        <is>
          <t>Gebäude-AfA</t>
        </is>
      </c>
      <c r="Q19" s="34" t="n"/>
      <c r="R19" s="83" t="n"/>
      <c r="S19" s="34" t="n"/>
      <c r="T19" s="33" t="n"/>
      <c r="U19" s="83" t="n"/>
      <c r="V19" s="33" t="n"/>
      <c r="W19" s="83" t="n">
        <v>168570.19</v>
      </c>
      <c r="X19" s="83" t="n">
        <v>0</v>
      </c>
      <c r="Y19" s="83" t="n">
        <v>0</v>
      </c>
      <c r="Z19" s="83" t="n">
        <v>0</v>
      </c>
      <c r="AA19" s="84">
        <f>IF(OR($A19="",COUNT(W19,X19,Z19,Y19)&lt;1),"",W19+X19+Z19-Y19)</f>
        <v/>
      </c>
      <c r="AB19" s="83" t="n"/>
      <c r="AC19" s="83" t="n">
        <v>5108.19</v>
      </c>
      <c r="AD19" s="83" t="n"/>
      <c r="AE19" s="83" t="n"/>
      <c r="AF19" s="83" t="n">
        <v>0</v>
      </c>
      <c r="AG19" s="83" t="n"/>
      <c r="AH19" s="84" t="n">
        <v>23412.53</v>
      </c>
      <c r="AI19" s="84" t="n">
        <v>145157.66</v>
      </c>
      <c r="AJ19" s="84" t="n">
        <v>150265.85</v>
      </c>
      <c r="AK19" s="83" t="n"/>
      <c r="AL19" s="33" t="n"/>
      <c r="AM19" s="33" t="n"/>
      <c r="AN19" s="83" t="n"/>
      <c r="AO19" s="33" t="n"/>
      <c r="AP19" s="33" t="n"/>
      <c r="AQ19" s="33" t="n"/>
    </row>
    <row r="20">
      <c r="A20" s="33" t="inlineStr">
        <is>
          <t>108</t>
        </is>
      </c>
      <c r="B20" s="33" t="inlineStr">
        <is>
          <t>Anbau Sozialtrakt</t>
        </is>
      </c>
      <c r="C20" s="33" t="inlineStr">
        <is>
          <t>Fabrikbauten</t>
        </is>
      </c>
      <c r="D20" s="33" t="n"/>
      <c r="E20" s="33" t="n"/>
      <c r="F20" s="33" t="n"/>
      <c r="G20" s="33" t="n"/>
      <c r="H20" s="33" t="inlineStr">
        <is>
          <t>0100</t>
        </is>
      </c>
      <c r="I20" s="33" t="n"/>
      <c r="J20" s="33" t="n"/>
      <c r="K20" s="34" t="n">
        <v>43427</v>
      </c>
      <c r="L20" s="34" t="n"/>
      <c r="M20" s="34" t="n"/>
      <c r="N20" s="82" t="n"/>
      <c r="O20" s="82" t="n"/>
      <c r="P20" s="33" t="inlineStr">
        <is>
          <t>Gebäude-AfA</t>
        </is>
      </c>
      <c r="Q20" s="34" t="n"/>
      <c r="R20" s="83" t="n"/>
      <c r="S20" s="34" t="n"/>
      <c r="T20" s="33" t="n"/>
      <c r="U20" s="83" t="n"/>
      <c r="V20" s="33" t="n"/>
      <c r="W20" s="83" t="n">
        <v>641861</v>
      </c>
      <c r="X20" s="83" t="n">
        <v>0</v>
      </c>
      <c r="Y20" s="83" t="n">
        <v>0</v>
      </c>
      <c r="Z20" s="83" t="n">
        <v>0</v>
      </c>
      <c r="AA20" s="84">
        <f>IF(OR($A20="",COUNT(W20,X20,Z20,Y20)&lt;1),"",W20+X20+Z20-Y20)</f>
        <v/>
      </c>
      <c r="AB20" s="83" t="n"/>
      <c r="AC20" s="83" t="n">
        <v>19450.34</v>
      </c>
      <c r="AD20" s="83" t="n"/>
      <c r="AE20" s="83" t="n"/>
      <c r="AF20" s="83" t="n">
        <v>0</v>
      </c>
      <c r="AG20" s="83" t="n"/>
      <c r="AH20" s="84" t="n">
        <v>139394.06</v>
      </c>
      <c r="AI20" s="84" t="n">
        <v>502466.94</v>
      </c>
      <c r="AJ20" s="84" t="n">
        <v>521917.28</v>
      </c>
      <c r="AK20" s="83" t="n"/>
      <c r="AL20" s="33" t="n"/>
      <c r="AM20" s="33" t="n"/>
      <c r="AN20" s="83" t="n"/>
      <c r="AO20" s="33" t="n"/>
      <c r="AP20" s="33" t="n"/>
      <c r="AQ20" s="33" t="n"/>
    </row>
    <row r="21">
      <c r="A21" s="33" t="inlineStr">
        <is>
          <t>108a</t>
        </is>
      </c>
      <c r="B21" s="33" t="inlineStr">
        <is>
          <t>Anbau Sozialtrakt Nachrüstung</t>
        </is>
      </c>
      <c r="C21" s="33" t="inlineStr">
        <is>
          <t>Fabrikbauten</t>
        </is>
      </c>
      <c r="D21" s="33" t="n"/>
      <c r="E21" s="33" t="n"/>
      <c r="F21" s="33" t="n"/>
      <c r="G21" s="33" t="n"/>
      <c r="H21" s="33" t="inlineStr">
        <is>
          <t>0100</t>
        </is>
      </c>
      <c r="I21" s="33" t="n"/>
      <c r="J21" s="33" t="n"/>
      <c r="K21" s="34" t="n">
        <v>44105</v>
      </c>
      <c r="L21" s="34" t="n"/>
      <c r="M21" s="34" t="n"/>
      <c r="N21" s="82" t="n"/>
      <c r="O21" s="82" t="n"/>
      <c r="P21" s="33" t="inlineStr">
        <is>
          <t>Gebäude-AfA</t>
        </is>
      </c>
      <c r="Q21" s="34" t="n"/>
      <c r="R21" s="83" t="n"/>
      <c r="S21" s="34" t="n"/>
      <c r="T21" s="33" t="n"/>
      <c r="U21" s="83" t="n"/>
      <c r="V21" s="33" t="n"/>
      <c r="W21" s="83" t="n">
        <v>136128.79</v>
      </c>
      <c r="X21" s="83" t="n">
        <v>0</v>
      </c>
      <c r="Y21" s="83" t="n">
        <v>0</v>
      </c>
      <c r="Z21" s="83" t="n">
        <v>0</v>
      </c>
      <c r="AA21" s="84">
        <f>IF(OR($A21="",COUNT(W21,X21,Z21,Y21)&lt;1),"",W21+X21+Z21-Y21)</f>
        <v/>
      </c>
      <c r="AB21" s="83" t="n"/>
      <c r="AC21" s="83" t="n">
        <v>4125.11</v>
      </c>
      <c r="AD21" s="83" t="n"/>
      <c r="AE21" s="83" t="n"/>
      <c r="AF21" s="83" t="n">
        <v>0</v>
      </c>
      <c r="AG21" s="83" t="n"/>
      <c r="AH21" s="84" t="n">
        <v>21656.85</v>
      </c>
      <c r="AI21" s="84" t="n">
        <v>114471.94</v>
      </c>
      <c r="AJ21" s="84" t="n">
        <v>118597.05</v>
      </c>
      <c r="AK21" s="83" t="n"/>
      <c r="AL21" s="33" t="n"/>
      <c r="AM21" s="33" t="n"/>
      <c r="AN21" s="83" t="n"/>
      <c r="AO21" s="33" t="n"/>
      <c r="AP21" s="33" t="n"/>
      <c r="AQ21" s="33" t="n"/>
    </row>
    <row r="22">
      <c r="A22" s="33" t="inlineStr">
        <is>
          <t>112</t>
        </is>
      </c>
      <c r="B22" s="33" t="inlineStr">
        <is>
          <t>Anbau Sozialtrakt</t>
        </is>
      </c>
      <c r="C22" s="33" t="inlineStr">
        <is>
          <t>Fabrikbauten</t>
        </is>
      </c>
      <c r="D22" s="33" t="n"/>
      <c r="E22" s="33" t="n"/>
      <c r="F22" s="33" t="n"/>
      <c r="G22" s="33" t="n"/>
      <c r="H22" s="33" t="inlineStr">
        <is>
          <t>0100</t>
        </is>
      </c>
      <c r="I22" s="33" t="n"/>
      <c r="J22" s="33" t="n"/>
      <c r="K22" s="34" t="n">
        <v>43801</v>
      </c>
      <c r="L22" s="34" t="n"/>
      <c r="M22" s="34" t="n"/>
      <c r="N22" s="82" t="n"/>
      <c r="O22" s="82" t="n"/>
      <c r="P22" s="33" t="inlineStr">
        <is>
          <t>Gebäude-AfA</t>
        </is>
      </c>
      <c r="Q22" s="34" t="n"/>
      <c r="R22" s="83" t="n"/>
      <c r="S22" s="34" t="n"/>
      <c r="T22" s="33" t="n"/>
      <c r="U22" s="83" t="n"/>
      <c r="V22" s="33" t="n"/>
      <c r="W22" s="83" t="n">
        <v>482225</v>
      </c>
      <c r="X22" s="83" t="n">
        <v>0</v>
      </c>
      <c r="Y22" s="83" t="n">
        <v>0</v>
      </c>
      <c r="Z22" s="83" t="n">
        <v>0</v>
      </c>
      <c r="AA22" s="84">
        <f>IF(OR($A22="",COUNT(W22,X22,Z22,Y22)&lt;1),"",W22+X22+Z22-Y22)</f>
        <v/>
      </c>
      <c r="AB22" s="83" t="n"/>
      <c r="AC22" s="83" t="n">
        <v>14612.88</v>
      </c>
      <c r="AD22" s="83" t="n"/>
      <c r="AE22" s="83" t="n"/>
      <c r="AF22" s="83" t="n">
        <v>0</v>
      </c>
      <c r="AG22" s="83" t="n"/>
      <c r="AH22" s="84" t="n">
        <v>88895.00999999999</v>
      </c>
      <c r="AI22" s="84" t="n">
        <v>393329.99</v>
      </c>
      <c r="AJ22" s="84" t="n">
        <v>407942.87</v>
      </c>
      <c r="AK22" s="83" t="n"/>
      <c r="AL22" s="33" t="n"/>
      <c r="AM22" s="33" t="n"/>
      <c r="AN22" s="83" t="n"/>
      <c r="AO22" s="33" t="n"/>
      <c r="AP22" s="33" t="n"/>
      <c r="AQ22" s="33" t="n"/>
    </row>
    <row r="23">
      <c r="A23" s="33" t="inlineStr">
        <is>
          <t>125</t>
        </is>
      </c>
      <c r="B23" s="33" t="inlineStr">
        <is>
          <t>Werkstattgebäude</t>
        </is>
      </c>
      <c r="C23" s="33" t="inlineStr">
        <is>
          <t>Fabrikbauten</t>
        </is>
      </c>
      <c r="D23" s="33" t="n"/>
      <c r="E23" s="33" t="n"/>
      <c r="F23" s="33" t="n"/>
      <c r="G23" s="33" t="n"/>
      <c r="H23" s="33" t="inlineStr">
        <is>
          <t>0100</t>
        </is>
      </c>
      <c r="I23" s="33" t="n"/>
      <c r="J23" s="33" t="n"/>
      <c r="K23" s="34" t="n">
        <v>44463</v>
      </c>
      <c r="L23" s="34" t="n"/>
      <c r="M23" s="34" t="n"/>
      <c r="N23" s="82" t="n"/>
      <c r="O23" s="82" t="n"/>
      <c r="P23" s="33" t="inlineStr">
        <is>
          <t>Gebäude-AfA</t>
        </is>
      </c>
      <c r="Q23" s="34" t="n"/>
      <c r="R23" s="83" t="n"/>
      <c r="S23" s="34" t="n"/>
      <c r="T23" s="33" t="n"/>
      <c r="U23" s="83" t="n"/>
      <c r="V23" s="33" t="n"/>
      <c r="W23" s="83" t="n">
        <v>169147.56</v>
      </c>
      <c r="X23" s="83" t="n">
        <v>0</v>
      </c>
      <c r="Y23" s="83" t="n">
        <v>0</v>
      </c>
      <c r="Z23" s="83" t="n">
        <v>0</v>
      </c>
      <c r="AA23" s="84">
        <f>IF(OR($A23="",COUNT(W23,X23,Z23,Y23)&lt;1),"",W23+X23+Z23-Y23)</f>
        <v/>
      </c>
      <c r="AB23" s="83" t="n"/>
      <c r="AC23" s="83" t="n">
        <v>5125.69</v>
      </c>
      <c r="AD23" s="83" t="n"/>
      <c r="AE23" s="83" t="n"/>
      <c r="AF23" s="83" t="n">
        <v>0</v>
      </c>
      <c r="AG23" s="83" t="n"/>
      <c r="AH23" s="84" t="n">
        <v>22211.3</v>
      </c>
      <c r="AI23" s="84" t="n">
        <v>146936.26</v>
      </c>
      <c r="AJ23" s="84" t="n">
        <v>152061.95</v>
      </c>
      <c r="AK23" s="83" t="n"/>
      <c r="AL23" s="33" t="n"/>
      <c r="AM23" s="33" t="n"/>
      <c r="AN23" s="83" t="n"/>
      <c r="AO23" s="33" t="n"/>
      <c r="AP23" s="33" t="n"/>
      <c r="AQ23" s="33" t="n"/>
    </row>
    <row r="24">
      <c r="A24" s="33" t="inlineStr">
        <is>
          <t>125a</t>
        </is>
      </c>
      <c r="B24" s="33" t="inlineStr">
        <is>
          <t>Werkstattgebäude Zusatzmodul</t>
        </is>
      </c>
      <c r="C24" s="33" t="inlineStr">
        <is>
          <t>Fabrikbauten</t>
        </is>
      </c>
      <c r="D24" s="33" t="n"/>
      <c r="E24" s="33" t="n"/>
      <c r="F24" s="33" t="n"/>
      <c r="G24" s="33" t="n"/>
      <c r="H24" s="33" t="inlineStr">
        <is>
          <t>0100</t>
        </is>
      </c>
      <c r="I24" s="33" t="n"/>
      <c r="J24" s="33" t="n"/>
      <c r="K24" s="34" t="n">
        <v>45690</v>
      </c>
      <c r="L24" s="34" t="n"/>
      <c r="M24" s="34" t="n"/>
      <c r="N24" s="82" t="n"/>
      <c r="O24" s="82" t="n"/>
      <c r="P24" s="33" t="inlineStr">
        <is>
          <t>Gebäude-AfA</t>
        </is>
      </c>
      <c r="Q24" s="34" t="n"/>
      <c r="R24" s="83" t="n"/>
      <c r="S24" s="34" t="n"/>
      <c r="T24" s="33" t="n"/>
      <c r="U24" s="83" t="n"/>
      <c r="V24" s="33" t="n"/>
      <c r="W24" s="83" t="n">
        <v>0</v>
      </c>
      <c r="X24" s="83" t="n">
        <v>20831.62</v>
      </c>
      <c r="Y24" s="83" t="n">
        <v>0</v>
      </c>
      <c r="Z24" s="83" t="n">
        <v>0</v>
      </c>
      <c r="AA24" s="84">
        <f>IF(OR($A24="",COUNT(W24,X24,Z24,Y24)&lt;1),"",W24+X24+Z24-Y24)</f>
        <v/>
      </c>
      <c r="AB24" s="83" t="n"/>
      <c r="AC24" s="83" t="n">
        <v>578.66</v>
      </c>
      <c r="AD24" s="83" t="n"/>
      <c r="AE24" s="83" t="n"/>
      <c r="AF24" s="83" t="n">
        <v>0</v>
      </c>
      <c r="AG24" s="83" t="n"/>
      <c r="AH24" s="84" t="n">
        <v>578.66</v>
      </c>
      <c r="AI24" s="84" t="n">
        <v>20252.96</v>
      </c>
      <c r="AJ24" s="84" t="n">
        <v>0</v>
      </c>
      <c r="AK24" s="83" t="n"/>
      <c r="AL24" s="33" t="n"/>
      <c r="AM24" s="33" t="n"/>
      <c r="AN24" s="83" t="n"/>
      <c r="AO24" s="33" t="n"/>
      <c r="AP24" s="33" t="n"/>
      <c r="AQ24" s="33" t="n"/>
    </row>
    <row r="25">
      <c r="A25" s="33" t="inlineStr">
        <is>
          <t>127</t>
        </is>
      </c>
      <c r="B25" s="33" t="inlineStr">
        <is>
          <t>Lagerhalle</t>
        </is>
      </c>
      <c r="C25" s="33" t="inlineStr">
        <is>
          <t>Fabrikbauten</t>
        </is>
      </c>
      <c r="D25" s="33" t="n"/>
      <c r="E25" s="33" t="n"/>
      <c r="F25" s="33" t="n"/>
      <c r="G25" s="33" t="n"/>
      <c r="H25" s="33" t="inlineStr">
        <is>
          <t>0100</t>
        </is>
      </c>
      <c r="I25" s="33" t="n"/>
      <c r="J25" s="33" t="n"/>
      <c r="K25" s="34" t="n">
        <v>44615</v>
      </c>
      <c r="L25" s="34" t="n"/>
      <c r="M25" s="34" t="n"/>
      <c r="N25" s="82" t="n"/>
      <c r="O25" s="82" t="n"/>
      <c r="P25" s="33" t="inlineStr">
        <is>
          <t>Gebäude-AfA</t>
        </is>
      </c>
      <c r="Q25" s="34" t="n"/>
      <c r="R25" s="83" t="n"/>
      <c r="S25" s="34" t="n"/>
      <c r="T25" s="33" t="n"/>
      <c r="U25" s="83" t="n"/>
      <c r="V25" s="33" t="n"/>
      <c r="W25" s="83" t="n">
        <v>1328396</v>
      </c>
      <c r="X25" s="83" t="n">
        <v>0</v>
      </c>
      <c r="Y25" s="83" t="n">
        <v>0</v>
      </c>
      <c r="Z25" s="83" t="n">
        <v>0</v>
      </c>
      <c r="AA25" s="84">
        <f>IF(OR($A25="",COUNT(W25,X25,Z25,Y25)&lt;1),"",W25+X25+Z25-Y25)</f>
        <v/>
      </c>
      <c r="AB25" s="83" t="n"/>
      <c r="AC25" s="83" t="n">
        <v>40254.42</v>
      </c>
      <c r="AD25" s="83" t="n"/>
      <c r="AE25" s="83" t="n"/>
      <c r="AF25" s="83" t="n">
        <v>0</v>
      </c>
      <c r="AG25" s="83" t="n"/>
      <c r="AH25" s="84" t="n">
        <v>157663.16</v>
      </c>
      <c r="AI25" s="84" t="n">
        <v>1170732.84</v>
      </c>
      <c r="AJ25" s="84" t="n">
        <v>1210987.26</v>
      </c>
      <c r="AK25" s="83" t="n"/>
      <c r="AL25" s="33" t="n"/>
      <c r="AM25" s="33" t="n"/>
      <c r="AN25" s="83" t="n"/>
      <c r="AO25" s="33" t="n"/>
      <c r="AP25" s="33" t="n"/>
      <c r="AQ25" s="33" t="n"/>
    </row>
    <row r="26">
      <c r="A26" s="33" t="inlineStr">
        <is>
          <t>127a</t>
        </is>
      </c>
      <c r="B26" s="33" t="inlineStr">
        <is>
          <t>Lagerhalle Nachrüstung</t>
        </is>
      </c>
      <c r="C26" s="33" t="inlineStr">
        <is>
          <t>Fabrikbauten</t>
        </is>
      </c>
      <c r="D26" s="33" t="n"/>
      <c r="E26" s="33" t="n"/>
      <c r="F26" s="33" t="n"/>
      <c r="G26" s="33" t="n"/>
      <c r="H26" s="33" t="inlineStr">
        <is>
          <t>0100</t>
        </is>
      </c>
      <c r="I26" s="33" t="n"/>
      <c r="J26" s="33" t="n"/>
      <c r="K26" s="34" t="n">
        <v>45859</v>
      </c>
      <c r="L26" s="34" t="n"/>
      <c r="M26" s="34" t="n"/>
      <c r="N26" s="82" t="n"/>
      <c r="O26" s="82" t="n"/>
      <c r="P26" s="33" t="inlineStr">
        <is>
          <t>Gebäude-AfA</t>
        </is>
      </c>
      <c r="Q26" s="34" t="n"/>
      <c r="R26" s="83" t="n"/>
      <c r="S26" s="34" t="n"/>
      <c r="T26" s="33" t="n"/>
      <c r="U26" s="83" t="n"/>
      <c r="V26" s="33" t="n"/>
      <c r="W26" s="83" t="n">
        <v>0</v>
      </c>
      <c r="X26" s="83" t="n">
        <v>310502.81</v>
      </c>
      <c r="Y26" s="83" t="n">
        <v>0</v>
      </c>
      <c r="Z26" s="83" t="n">
        <v>0</v>
      </c>
      <c r="AA26" s="84">
        <f>IF(OR($A26="",COUNT(W26,X26,Z26,Y26)&lt;1),"",W26+X26+Z26-Y26)</f>
        <v/>
      </c>
      <c r="AB26" s="83" t="n"/>
      <c r="AC26" s="83" t="n">
        <v>4704.59</v>
      </c>
      <c r="AD26" s="83" t="n"/>
      <c r="AE26" s="83" t="n"/>
      <c r="AF26" s="83" t="n">
        <v>0</v>
      </c>
      <c r="AG26" s="83" t="n"/>
      <c r="AH26" s="84" t="n">
        <v>4704.59</v>
      </c>
      <c r="AI26" s="84" t="n">
        <v>305798.22</v>
      </c>
      <c r="AJ26" s="84" t="n">
        <v>0</v>
      </c>
      <c r="AK26" s="83" t="n"/>
      <c r="AL26" s="33" t="n"/>
      <c r="AM26" s="33" t="n"/>
      <c r="AN26" s="83" t="n"/>
      <c r="AO26" s="33" t="n"/>
      <c r="AP26" s="33" t="n"/>
      <c r="AQ26" s="33" t="n"/>
    </row>
    <row r="27">
      <c r="A27" s="33" t="inlineStr">
        <is>
          <t>128</t>
        </is>
      </c>
      <c r="B27" s="33" t="inlineStr">
        <is>
          <t>Werkstattgebäude</t>
        </is>
      </c>
      <c r="C27" s="33" t="inlineStr">
        <is>
          <t>Fabrikbauten</t>
        </is>
      </c>
      <c r="D27" s="33" t="n"/>
      <c r="E27" s="33" t="n"/>
      <c r="F27" s="33" t="n"/>
      <c r="G27" s="33" t="n"/>
      <c r="H27" s="33" t="inlineStr">
        <is>
          <t>0100</t>
        </is>
      </c>
      <c r="I27" s="33" t="n"/>
      <c r="J27" s="33" t="n"/>
      <c r="K27" s="34" t="n">
        <v>44742</v>
      </c>
      <c r="L27" s="34" t="n"/>
      <c r="M27" s="34" t="n"/>
      <c r="N27" s="82" t="n"/>
      <c r="O27" s="82" t="n"/>
      <c r="P27" s="33" t="inlineStr">
        <is>
          <t>Gebäude-AfA</t>
        </is>
      </c>
      <c r="Q27" s="34" t="n"/>
      <c r="R27" s="83" t="n"/>
      <c r="S27" s="34" t="n"/>
      <c r="T27" s="33" t="n"/>
      <c r="U27" s="83" t="n"/>
      <c r="V27" s="33" t="n"/>
      <c r="W27" s="83" t="n">
        <v>888586</v>
      </c>
      <c r="X27" s="83" t="n">
        <v>0</v>
      </c>
      <c r="Y27" s="83" t="n">
        <v>0</v>
      </c>
      <c r="Z27" s="83" t="n">
        <v>0</v>
      </c>
      <c r="AA27" s="84">
        <f>IF(OR($A27="",COUNT(W27,X27,Z27,Y27)&lt;1),"",W27+X27+Z27-Y27)</f>
        <v/>
      </c>
      <c r="AB27" s="83" t="n"/>
      <c r="AC27" s="83" t="n">
        <v>26926.84</v>
      </c>
      <c r="AD27" s="83" t="n"/>
      <c r="AE27" s="83" t="n"/>
      <c r="AF27" s="83" t="n">
        <v>0</v>
      </c>
      <c r="AG27" s="83" t="n"/>
      <c r="AH27" s="84" t="n">
        <v>96487.87</v>
      </c>
      <c r="AI27" s="84" t="n">
        <v>792098.13</v>
      </c>
      <c r="AJ27" s="84" t="n">
        <v>819024.97</v>
      </c>
      <c r="AK27" s="83" t="n"/>
      <c r="AL27" s="33" t="n"/>
      <c r="AM27" s="33" t="n"/>
      <c r="AN27" s="83" t="n"/>
      <c r="AO27" s="33" t="n"/>
      <c r="AP27" s="33" t="n"/>
      <c r="AQ27" s="33" t="n"/>
    </row>
    <row r="28">
      <c r="A28" s="33" t="inlineStr">
        <is>
          <t>154</t>
        </is>
      </c>
      <c r="B28" s="33" t="inlineStr">
        <is>
          <t>Anbau Sozialtrakt</t>
        </is>
      </c>
      <c r="C28" s="33" t="inlineStr">
        <is>
          <t>Fabrikbauten</t>
        </is>
      </c>
      <c r="D28" s="33" t="n"/>
      <c r="E28" s="33" t="n"/>
      <c r="F28" s="33" t="n"/>
      <c r="G28" s="33" t="n"/>
      <c r="H28" s="33" t="inlineStr">
        <is>
          <t>0100</t>
        </is>
      </c>
      <c r="I28" s="33" t="n"/>
      <c r="J28" s="33" t="n"/>
      <c r="K28" s="34" t="n">
        <v>45517</v>
      </c>
      <c r="L28" s="34" t="n"/>
      <c r="M28" s="34" t="n"/>
      <c r="N28" s="82" t="n"/>
      <c r="O28" s="82" t="n"/>
      <c r="P28" s="33" t="inlineStr">
        <is>
          <t>Gebäude-AfA</t>
        </is>
      </c>
      <c r="Q28" s="34" t="n"/>
      <c r="R28" s="83" t="n"/>
      <c r="S28" s="34" t="n"/>
      <c r="T28" s="33" t="n"/>
      <c r="U28" s="83" t="n"/>
      <c r="V28" s="33" t="n"/>
      <c r="W28" s="83" t="n">
        <v>2208027.39</v>
      </c>
      <c r="X28" s="83" t="n">
        <v>0</v>
      </c>
      <c r="Y28" s="83" t="n">
        <v>0</v>
      </c>
      <c r="Z28" s="83" t="n">
        <v>0</v>
      </c>
      <c r="AA28" s="84">
        <f>IF(OR($A28="",COUNT(W28,X28,Z28,Y28)&lt;1),"",W28+X28+Z28-Y28)</f>
        <v/>
      </c>
      <c r="AB28" s="83" t="n"/>
      <c r="AC28" s="83" t="n">
        <v>66909.92</v>
      </c>
      <c r="AD28" s="83" t="n"/>
      <c r="AE28" s="83" t="n"/>
      <c r="AF28" s="83" t="n">
        <v>0</v>
      </c>
      <c r="AG28" s="83" t="n"/>
      <c r="AH28" s="84" t="n">
        <v>94789.05</v>
      </c>
      <c r="AI28" s="84" t="n">
        <v>2113238.34</v>
      </c>
      <c r="AJ28" s="84" t="n">
        <v>2180148.26</v>
      </c>
      <c r="AK28" s="83" t="n"/>
      <c r="AL28" s="33" t="n"/>
      <c r="AM28" s="33" t="n"/>
      <c r="AN28" s="83" t="n"/>
      <c r="AO28" s="33" t="n"/>
      <c r="AP28" s="33" t="n"/>
      <c r="AQ28" s="33" t="n"/>
    </row>
    <row r="29">
      <c r="A29" s="33" t="inlineStr">
        <is>
          <t>216</t>
        </is>
      </c>
      <c r="B29" s="33" t="inlineStr">
        <is>
          <t>Produktionshalle</t>
        </is>
      </c>
      <c r="C29" s="33" t="inlineStr">
        <is>
          <t>Fabrikbauten</t>
        </is>
      </c>
      <c r="D29" s="33" t="n"/>
      <c r="E29" s="33" t="n"/>
      <c r="F29" s="33" t="n"/>
      <c r="G29" s="33" t="n"/>
      <c r="H29" s="33" t="inlineStr">
        <is>
          <t>0100</t>
        </is>
      </c>
      <c r="I29" s="33" t="n"/>
      <c r="J29" s="33" t="n"/>
      <c r="K29" s="34" t="n">
        <v>45914</v>
      </c>
      <c r="L29" s="34" t="n"/>
      <c r="M29" s="34" t="n"/>
      <c r="N29" s="82" t="n"/>
      <c r="O29" s="82" t="n"/>
      <c r="P29" s="33" t="inlineStr">
        <is>
          <t>Gebäude-AfA</t>
        </is>
      </c>
      <c r="Q29" s="34" t="n"/>
      <c r="R29" s="83" t="n"/>
      <c r="S29" s="34" t="n"/>
      <c r="T29" s="33" t="n"/>
      <c r="U29" s="83" t="n"/>
      <c r="V29" s="33" t="n"/>
      <c r="W29" s="83" t="n">
        <v>0</v>
      </c>
      <c r="X29" s="83" t="n">
        <v>2271564.47</v>
      </c>
      <c r="Y29" s="83" t="n">
        <v>0</v>
      </c>
      <c r="Z29" s="83" t="n">
        <v>0</v>
      </c>
      <c r="AA29" s="84">
        <f>IF(OR($A29="",COUNT(W29,X29,Z29,Y29)&lt;1),"",W29+X29+Z29-Y29)</f>
        <v/>
      </c>
      <c r="AB29" s="83" t="n"/>
      <c r="AC29" s="83" t="n">
        <v>22945.1</v>
      </c>
      <c r="AD29" s="83" t="n"/>
      <c r="AE29" s="83" t="n"/>
      <c r="AF29" s="83" t="n">
        <v>0</v>
      </c>
      <c r="AG29" s="83" t="n"/>
      <c r="AH29" s="84" t="n">
        <v>22945.1</v>
      </c>
      <c r="AI29" s="84" t="n">
        <v>2248619.37</v>
      </c>
      <c r="AJ29" s="84" t="n">
        <v>0</v>
      </c>
      <c r="AK29" s="83" t="n"/>
      <c r="AL29" s="33" t="n"/>
      <c r="AM29" s="33" t="n"/>
      <c r="AN29" s="83" t="n"/>
      <c r="AO29" s="33" t="n"/>
      <c r="AP29" s="33" t="n"/>
      <c r="AQ29" s="33" t="n"/>
    </row>
    <row r="30">
      <c r="A30" s="33" t="inlineStr">
        <is>
          <t>34</t>
        </is>
      </c>
      <c r="B30" s="33" t="inlineStr">
        <is>
          <t>Verpackungsmaschine</t>
        </is>
      </c>
      <c r="C30" s="33" t="inlineStr">
        <is>
          <t>Maschinen</t>
        </is>
      </c>
      <c r="D30" s="33" t="n"/>
      <c r="E30" s="33" t="n"/>
      <c r="F30" s="33" t="n"/>
      <c r="G30" s="33" t="n"/>
      <c r="H30" s="33" t="inlineStr">
        <is>
          <t>0210</t>
        </is>
      </c>
      <c r="I30" s="33" t="n"/>
      <c r="J30" s="33" t="n"/>
      <c r="K30" s="34" t="n">
        <v>39375</v>
      </c>
      <c r="L30" s="34" t="n"/>
      <c r="M30" s="34" t="n"/>
      <c r="N30" s="82" t="n"/>
      <c r="O30" s="82" t="n"/>
      <c r="P30" s="33" t="inlineStr">
        <is>
          <t>linear</t>
        </is>
      </c>
      <c r="Q30" s="34" t="n"/>
      <c r="R30" s="83" t="n"/>
      <c r="S30" s="34" t="n"/>
      <c r="T30" s="33" t="n"/>
      <c r="U30" s="83" t="n"/>
      <c r="V30" s="33" t="n"/>
      <c r="W30" s="83" t="n">
        <v>106495.83</v>
      </c>
      <c r="X30" s="83" t="n">
        <v>0</v>
      </c>
      <c r="Y30" s="83" t="n">
        <v>106495.83</v>
      </c>
      <c r="Z30" s="83" t="n">
        <v>0</v>
      </c>
      <c r="AA30" s="84">
        <f>IF(OR($A30="",COUNT(W30,X30,Z30,Y30)&lt;1),"",W30+X30+Z30-Y30)</f>
        <v/>
      </c>
      <c r="AB30" s="83" t="n"/>
      <c r="AC30" s="83" t="n">
        <v>0</v>
      </c>
      <c r="AD30" s="83" t="n"/>
      <c r="AE30" s="83" t="n"/>
      <c r="AF30" s="83" t="n">
        <v>0</v>
      </c>
      <c r="AG30" s="83" t="n"/>
      <c r="AH30" s="84" t="n">
        <v>0</v>
      </c>
      <c r="AI30" s="84" t="n">
        <v>0</v>
      </c>
      <c r="AJ30" s="84" t="n">
        <v>1</v>
      </c>
      <c r="AK30" s="83" t="n"/>
      <c r="AL30" s="33" t="n"/>
      <c r="AM30" s="33" t="n"/>
      <c r="AN30" s="83" t="n"/>
      <c r="AO30" s="33" t="n"/>
      <c r="AP30" s="33" t="n"/>
      <c r="AQ30" s="33" t="n"/>
    </row>
    <row r="31">
      <c r="A31" s="33" t="inlineStr">
        <is>
          <t>36</t>
        </is>
      </c>
      <c r="B31" s="33" t="inlineStr">
        <is>
          <t>3D-Koordinatenmessmaschine</t>
        </is>
      </c>
      <c r="C31" s="33" t="inlineStr">
        <is>
          <t>Maschinen</t>
        </is>
      </c>
      <c r="D31" s="33" t="n"/>
      <c r="E31" s="33" t="n"/>
      <c r="F31" s="33" t="n"/>
      <c r="G31" s="33" t="n"/>
      <c r="H31" s="33" t="inlineStr">
        <is>
          <t>0210</t>
        </is>
      </c>
      <c r="I31" s="33" t="n"/>
      <c r="J31" s="33" t="n"/>
      <c r="K31" s="34" t="n">
        <v>39748</v>
      </c>
      <c r="L31" s="34" t="n"/>
      <c r="M31" s="34" t="n"/>
      <c r="N31" s="82" t="n"/>
      <c r="O31" s="82" t="n"/>
      <c r="P31" s="33" t="inlineStr">
        <is>
          <t>linear</t>
        </is>
      </c>
      <c r="Q31" s="34" t="n"/>
      <c r="R31" s="83" t="n"/>
      <c r="S31" s="34" t="n"/>
      <c r="T31" s="33" t="n"/>
      <c r="U31" s="83" t="n"/>
      <c r="V31" s="33" t="n"/>
      <c r="W31" s="83" t="n">
        <v>8032</v>
      </c>
      <c r="X31" s="83" t="n">
        <v>0</v>
      </c>
      <c r="Y31" s="83" t="n">
        <v>0</v>
      </c>
      <c r="Z31" s="83" t="n">
        <v>0</v>
      </c>
      <c r="AA31" s="84">
        <f>IF(OR($A31="",COUNT(W31,X31,Z31,Y31)&lt;1),"",W31+X31+Z31-Y31)</f>
        <v/>
      </c>
      <c r="AB31" s="83" t="n"/>
      <c r="AC31" s="83" t="n">
        <v>0</v>
      </c>
      <c r="AD31" s="83" t="n"/>
      <c r="AE31" s="83" t="n"/>
      <c r="AF31" s="83" t="n">
        <v>0</v>
      </c>
      <c r="AG31" s="83" t="n"/>
      <c r="AH31" s="84" t="n">
        <v>8031</v>
      </c>
      <c r="AI31" s="84" t="n">
        <v>1</v>
      </c>
      <c r="AJ31" s="84" t="n">
        <v>1</v>
      </c>
      <c r="AK31" s="83" t="n"/>
      <c r="AL31" s="33" t="n"/>
      <c r="AM31" s="33" t="n"/>
      <c r="AN31" s="83" t="n"/>
      <c r="AO31" s="33" t="n"/>
      <c r="AP31" s="33" t="n"/>
      <c r="AQ31" s="33" t="n"/>
    </row>
    <row r="32">
      <c r="A32" s="33" t="inlineStr">
        <is>
          <t>36a</t>
        </is>
      </c>
      <c r="B32" s="33" t="inlineStr">
        <is>
          <t>3D-Koordinatenmessmaschine Nachrüstung</t>
        </is>
      </c>
      <c r="C32" s="33" t="inlineStr">
        <is>
          <t>Maschinen</t>
        </is>
      </c>
      <c r="D32" s="33" t="n"/>
      <c r="E32" s="33" t="n"/>
      <c r="F32" s="33" t="n"/>
      <c r="G32" s="33" t="n"/>
      <c r="H32" s="33" t="inlineStr">
        <is>
          <t>0210</t>
        </is>
      </c>
      <c r="I32" s="33" t="n"/>
      <c r="J32" s="33" t="n"/>
      <c r="K32" s="34" t="n">
        <v>41321</v>
      </c>
      <c r="L32" s="34" t="n"/>
      <c r="M32" s="34" t="n"/>
      <c r="N32" s="82" t="n"/>
      <c r="O32" s="82" t="n"/>
      <c r="P32" s="33" t="inlineStr">
        <is>
          <t>linear</t>
        </is>
      </c>
      <c r="Q32" s="34" t="n"/>
      <c r="R32" s="83" t="n"/>
      <c r="S32" s="34" t="n"/>
      <c r="T32" s="33" t="n"/>
      <c r="U32" s="83" t="n"/>
      <c r="V32" s="33" t="n"/>
      <c r="W32" s="83" t="n">
        <v>1073</v>
      </c>
      <c r="X32" s="83" t="n">
        <v>0</v>
      </c>
      <c r="Y32" s="83" t="n">
        <v>0</v>
      </c>
      <c r="Z32" s="83" t="n">
        <v>0</v>
      </c>
      <c r="AA32" s="84">
        <f>IF(OR($A32="",COUNT(W32,X32,Z32,Y32)&lt;1),"",W32+X32+Z32-Y32)</f>
        <v/>
      </c>
      <c r="AB32" s="83" t="n"/>
      <c r="AC32" s="83" t="n">
        <v>82.54000000000001</v>
      </c>
      <c r="AD32" s="83" t="n"/>
      <c r="AE32" s="83" t="n"/>
      <c r="AF32" s="83" t="n">
        <v>0</v>
      </c>
      <c r="AG32" s="83" t="n"/>
      <c r="AH32" s="84" t="n">
        <v>1066.12</v>
      </c>
      <c r="AI32" s="84" t="n">
        <v>6.88</v>
      </c>
      <c r="AJ32" s="84" t="n">
        <v>89.42</v>
      </c>
      <c r="AK32" s="83" t="n"/>
      <c r="AL32" s="33" t="n"/>
      <c r="AM32" s="33" t="n"/>
      <c r="AN32" s="83" t="n"/>
      <c r="AO32" s="33" t="n"/>
      <c r="AP32" s="33" t="n"/>
      <c r="AQ32" s="33" t="n"/>
    </row>
    <row r="33">
      <c r="A33" s="33" t="inlineStr">
        <is>
          <t>81</t>
        </is>
      </c>
      <c r="B33" s="33" t="inlineStr">
        <is>
          <t>Bandsäge Nr. 24</t>
        </is>
      </c>
      <c r="C33" s="33" t="inlineStr">
        <is>
          <t>Maschinen</t>
        </is>
      </c>
      <c r="D33" s="33" t="n"/>
      <c r="E33" s="33" t="n"/>
      <c r="F33" s="33" t="n"/>
      <c r="G33" s="33" t="n"/>
      <c r="H33" s="33" t="inlineStr">
        <is>
          <t>0210</t>
        </is>
      </c>
      <c r="I33" s="33" t="n"/>
      <c r="J33" s="33" t="n"/>
      <c r="K33" s="34" t="n">
        <v>41461</v>
      </c>
      <c r="L33" s="34" t="n"/>
      <c r="M33" s="34" t="n"/>
      <c r="N33" s="82" t="n"/>
      <c r="O33" s="82" t="n"/>
      <c r="P33" s="33" t="inlineStr">
        <is>
          <t>linear</t>
        </is>
      </c>
      <c r="Q33" s="34" t="n"/>
      <c r="R33" s="83" t="n"/>
      <c r="S33" s="34" t="n"/>
      <c r="T33" s="33" t="n"/>
      <c r="U33" s="83" t="n"/>
      <c r="V33" s="33" t="n"/>
      <c r="W33" s="83" t="n">
        <v>211685</v>
      </c>
      <c r="X33" s="83" t="n">
        <v>0</v>
      </c>
      <c r="Y33" s="83" t="n">
        <v>0</v>
      </c>
      <c r="Z33" s="83" t="n">
        <v>0</v>
      </c>
      <c r="AA33" s="84">
        <f>IF(OR($A33="",COUNT(W33,X33,Z33,Y33)&lt;1),"",W33+X33+Z33-Y33)</f>
        <v/>
      </c>
      <c r="AB33" s="83" t="n"/>
      <c r="AC33" s="83" t="n">
        <v>0</v>
      </c>
      <c r="AD33" s="83" t="n"/>
      <c r="AE33" s="83" t="n"/>
      <c r="AF33" s="83" t="n">
        <v>0</v>
      </c>
      <c r="AG33" s="83" t="n"/>
      <c r="AH33" s="84" t="n">
        <v>211684</v>
      </c>
      <c r="AI33" s="84" t="n">
        <v>1</v>
      </c>
      <c r="AJ33" s="84" t="n">
        <v>1</v>
      </c>
      <c r="AK33" s="83" t="n"/>
      <c r="AL33" s="33" t="n"/>
      <c r="AM33" s="33" t="n"/>
      <c r="AN33" s="83" t="n"/>
      <c r="AO33" s="33" t="n"/>
      <c r="AP33" s="33" t="n"/>
      <c r="AQ33" s="33" t="n"/>
    </row>
    <row r="34">
      <c r="A34" s="33" t="inlineStr">
        <is>
          <t>169</t>
        </is>
      </c>
      <c r="B34" s="33" t="inlineStr">
        <is>
          <t>Bandsäge Nr. 26</t>
        </is>
      </c>
      <c r="C34" s="33" t="inlineStr">
        <is>
          <t>Maschinen</t>
        </is>
      </c>
      <c r="D34" s="33" t="n"/>
      <c r="E34" s="33" t="n"/>
      <c r="F34" s="33" t="n"/>
      <c r="G34" s="33" t="n"/>
      <c r="H34" s="33" t="inlineStr">
        <is>
          <t>0210</t>
        </is>
      </c>
      <c r="I34" s="33" t="n"/>
      <c r="J34" s="33" t="n"/>
      <c r="K34" s="34" t="n">
        <v>45672</v>
      </c>
      <c r="L34" s="34" t="n"/>
      <c r="M34" s="34" t="n"/>
      <c r="N34" s="82" t="n"/>
      <c r="O34" s="82" t="n"/>
      <c r="P34" s="33" t="inlineStr">
        <is>
          <t>linear</t>
        </is>
      </c>
      <c r="Q34" s="34" t="n"/>
      <c r="R34" s="83" t="n"/>
      <c r="S34" s="34" t="n"/>
      <c r="T34" s="33" t="n"/>
      <c r="U34" s="83" t="n"/>
      <c r="V34" s="33" t="n"/>
      <c r="W34" s="83" t="n">
        <v>0</v>
      </c>
      <c r="X34" s="83" t="n">
        <v>31946</v>
      </c>
      <c r="Y34" s="83" t="n">
        <v>0</v>
      </c>
      <c r="Z34" s="83" t="n">
        <v>0</v>
      </c>
      <c r="AA34" s="84">
        <f>IF(OR($A34="",COUNT(W34,X34,Z34,Y34)&lt;1),"",W34+X34+Z34-Y34)</f>
        <v/>
      </c>
      <c r="AB34" s="83" t="n"/>
      <c r="AC34" s="83" t="n">
        <v>3993.25</v>
      </c>
      <c r="AD34" s="83" t="n"/>
      <c r="AE34" s="83" t="n"/>
      <c r="AF34" s="83" t="n">
        <v>0</v>
      </c>
      <c r="AG34" s="83" t="n"/>
      <c r="AH34" s="84" t="n">
        <v>3993.25</v>
      </c>
      <c r="AI34" s="84" t="n">
        <v>27952.75</v>
      </c>
      <c r="AJ34" s="84" t="n">
        <v>0</v>
      </c>
      <c r="AK34" s="83" t="n"/>
      <c r="AL34" s="33" t="n"/>
      <c r="AM34" s="33" t="n"/>
      <c r="AN34" s="83" t="n"/>
      <c r="AO34" s="33" t="n"/>
      <c r="AP34" s="33" t="n"/>
      <c r="AQ34" s="33" t="n"/>
    </row>
    <row r="35">
      <c r="A35" s="33" t="inlineStr">
        <is>
          <t>174</t>
        </is>
      </c>
      <c r="B35" s="33" t="inlineStr">
        <is>
          <t>Hydraulikpresse</t>
        </is>
      </c>
      <c r="C35" s="33" t="inlineStr">
        <is>
          <t>Maschinen</t>
        </is>
      </c>
      <c r="D35" s="33" t="n"/>
      <c r="E35" s="33" t="n"/>
      <c r="F35" s="33" t="n"/>
      <c r="G35" s="33" t="n"/>
      <c r="H35" s="33" t="inlineStr">
        <is>
          <t>0210</t>
        </is>
      </c>
      <c r="I35" s="33" t="n"/>
      <c r="J35" s="33" t="n"/>
      <c r="K35" s="34" t="n">
        <v>45741</v>
      </c>
      <c r="L35" s="34" t="n"/>
      <c r="M35" s="34" t="n"/>
      <c r="N35" s="82" t="n"/>
      <c r="O35" s="82" t="n"/>
      <c r="P35" s="33" t="inlineStr">
        <is>
          <t>linear</t>
        </is>
      </c>
      <c r="Q35" s="34" t="n"/>
      <c r="R35" s="83" t="n"/>
      <c r="S35" s="34" t="n"/>
      <c r="T35" s="33" t="n"/>
      <c r="U35" s="83" t="n"/>
      <c r="V35" s="33" t="n"/>
      <c r="W35" s="83" t="n">
        <v>0</v>
      </c>
      <c r="X35" s="83" t="n">
        <v>15559.23</v>
      </c>
      <c r="Y35" s="83" t="n">
        <v>0</v>
      </c>
      <c r="Z35" s="83" t="n">
        <v>0</v>
      </c>
      <c r="AA35" s="84">
        <f>IF(OR($A35="",COUNT(W35,X35,Z35,Y35)&lt;1),"",W35+X35+Z35-Y35)</f>
        <v/>
      </c>
      <c r="AB35" s="83" t="n"/>
      <c r="AC35" s="83" t="n">
        <v>1296.6</v>
      </c>
      <c r="AD35" s="83" t="n"/>
      <c r="AE35" s="83" t="n"/>
      <c r="AF35" s="83" t="n">
        <v>0</v>
      </c>
      <c r="AG35" s="83" t="n"/>
      <c r="AH35" s="84" t="n">
        <v>1296.6</v>
      </c>
      <c r="AI35" s="84" t="n">
        <v>14262.63</v>
      </c>
      <c r="AJ35" s="84" t="n">
        <v>0</v>
      </c>
      <c r="AK35" s="83" t="n"/>
      <c r="AL35" s="33" t="n"/>
      <c r="AM35" s="33" t="n"/>
      <c r="AN35" s="83" t="n"/>
      <c r="AO35" s="33" t="n"/>
      <c r="AP35" s="33" t="n"/>
      <c r="AQ35" s="33" t="n"/>
    </row>
    <row r="36">
      <c r="A36" s="33" t="inlineStr">
        <is>
          <t>175</t>
        </is>
      </c>
      <c r="B36" s="33" t="inlineStr">
        <is>
          <t>Bandsäge Typ B617</t>
        </is>
      </c>
      <c r="C36" s="33" t="inlineStr">
        <is>
          <t>Maschinen</t>
        </is>
      </c>
      <c r="D36" s="33" t="n"/>
      <c r="E36" s="33" t="n"/>
      <c r="F36" s="33" t="n"/>
      <c r="G36" s="33" t="n"/>
      <c r="H36" s="33" t="inlineStr">
        <is>
          <t>0210</t>
        </is>
      </c>
      <c r="I36" s="33" t="n"/>
      <c r="J36" s="33" t="n"/>
      <c r="K36" s="34" t="n">
        <v>45751</v>
      </c>
      <c r="L36" s="34" t="n"/>
      <c r="M36" s="34" t="n"/>
      <c r="N36" s="82" t="n"/>
      <c r="O36" s="82" t="n"/>
      <c r="P36" s="33" t="inlineStr">
        <is>
          <t>linear</t>
        </is>
      </c>
      <c r="Q36" s="34" t="n"/>
      <c r="R36" s="83" t="n"/>
      <c r="S36" s="34" t="n"/>
      <c r="T36" s="33" t="n"/>
      <c r="U36" s="83" t="n"/>
      <c r="V36" s="33" t="n"/>
      <c r="W36" s="83" t="n">
        <v>0</v>
      </c>
      <c r="X36" s="83" t="n">
        <v>0</v>
      </c>
      <c r="Y36" s="83" t="n">
        <v>0</v>
      </c>
      <c r="Z36" s="83" t="n">
        <v>272104.31</v>
      </c>
      <c r="AA36" s="84">
        <f>IF(OR($A36="",COUNT(W36,X36,Z36,Y36)&lt;1),"",W36+X36+Z36-Y36)</f>
        <v/>
      </c>
      <c r="AB36" s="83" t="n"/>
      <c r="AC36" s="83" t="n">
        <v>13605.22</v>
      </c>
      <c r="AD36" s="83" t="n"/>
      <c r="AE36" s="83" t="n"/>
      <c r="AF36" s="83" t="n">
        <v>0</v>
      </c>
      <c r="AG36" s="83" t="n"/>
      <c r="AH36" s="84" t="n">
        <v>13605.22</v>
      </c>
      <c r="AI36" s="84" t="n">
        <v>258499.09</v>
      </c>
      <c r="AJ36" s="84" t="n">
        <v>0</v>
      </c>
      <c r="AK36" s="83" t="n"/>
      <c r="AL36" s="33" t="n"/>
      <c r="AM36" s="33" t="n"/>
      <c r="AN36" s="83" t="n"/>
      <c r="AO36" s="33" t="n"/>
      <c r="AP36" s="33" t="n"/>
      <c r="AQ36" s="33" t="n"/>
    </row>
    <row r="37">
      <c r="A37" s="33" t="inlineStr">
        <is>
          <t>179</t>
        </is>
      </c>
      <c r="B37" s="33" t="inlineStr">
        <is>
          <t>Abkantpresse Typ R546</t>
        </is>
      </c>
      <c r="C37" s="33" t="inlineStr">
        <is>
          <t>Maschinen</t>
        </is>
      </c>
      <c r="D37" s="33" t="n"/>
      <c r="E37" s="33" t="n"/>
      <c r="F37" s="33" t="n"/>
      <c r="G37" s="33" t="n"/>
      <c r="H37" s="33" t="inlineStr">
        <is>
          <t>0210</t>
        </is>
      </c>
      <c r="I37" s="33" t="n"/>
      <c r="J37" s="33" t="n"/>
      <c r="K37" s="34" t="n">
        <v>45772</v>
      </c>
      <c r="L37" s="34" t="n"/>
      <c r="M37" s="34" t="n"/>
      <c r="N37" s="82" t="n"/>
      <c r="O37" s="82" t="n"/>
      <c r="P37" s="33" t="inlineStr">
        <is>
          <t>linear</t>
        </is>
      </c>
      <c r="Q37" s="34" t="n"/>
      <c r="R37" s="83" t="n"/>
      <c r="S37" s="34" t="n"/>
      <c r="T37" s="33" t="n"/>
      <c r="U37" s="83" t="n"/>
      <c r="V37" s="33" t="n"/>
      <c r="W37" s="83" t="n">
        <v>0</v>
      </c>
      <c r="X37" s="83" t="n">
        <v>27231</v>
      </c>
      <c r="Y37" s="83" t="n">
        <v>0</v>
      </c>
      <c r="Z37" s="83" t="n">
        <v>0</v>
      </c>
      <c r="AA37" s="84">
        <f>IF(OR($A37="",COUNT(W37,X37,Z37,Y37)&lt;1),"",W37+X37+Z37-Y37)</f>
        <v/>
      </c>
      <c r="AB37" s="83" t="n"/>
      <c r="AC37" s="83" t="n">
        <v>2042.33</v>
      </c>
      <c r="AD37" s="83" t="n"/>
      <c r="AE37" s="83" t="n"/>
      <c r="AF37" s="83" t="n">
        <v>0</v>
      </c>
      <c r="AG37" s="83" t="n"/>
      <c r="AH37" s="84" t="n">
        <v>2042.33</v>
      </c>
      <c r="AI37" s="84" t="n">
        <v>25188.67</v>
      </c>
      <c r="AJ37" s="84" t="n">
        <v>0</v>
      </c>
      <c r="AK37" s="83" t="n"/>
      <c r="AL37" s="33" t="n"/>
      <c r="AM37" s="33" t="n"/>
      <c r="AN37" s="83" t="n"/>
      <c r="AO37" s="33" t="n"/>
      <c r="AP37" s="33" t="n"/>
      <c r="AQ37" s="33" t="n"/>
    </row>
    <row r="38">
      <c r="A38" s="33" t="inlineStr">
        <is>
          <t>182</t>
        </is>
      </c>
      <c r="B38" s="33" t="inlineStr">
        <is>
          <t>Abkantpresse</t>
        </is>
      </c>
      <c r="C38" s="33" t="inlineStr">
        <is>
          <t>Maschinen</t>
        </is>
      </c>
      <c r="D38" s="33" t="n"/>
      <c r="E38" s="33" t="n"/>
      <c r="F38" s="33" t="n"/>
      <c r="G38" s="33" t="n"/>
      <c r="H38" s="33" t="inlineStr">
        <is>
          <t>0210</t>
        </is>
      </c>
      <c r="I38" s="33" t="n"/>
      <c r="J38" s="33" t="n"/>
      <c r="K38" s="34" t="n">
        <v>45810</v>
      </c>
      <c r="L38" s="34" t="n"/>
      <c r="M38" s="34" t="n"/>
      <c r="N38" s="82" t="n"/>
      <c r="O38" s="82" t="n"/>
      <c r="P38" s="33" t="inlineStr">
        <is>
          <t>linear</t>
        </is>
      </c>
      <c r="Q38" s="34" t="n"/>
      <c r="R38" s="83" t="n"/>
      <c r="S38" s="34" t="n"/>
      <c r="T38" s="33" t="n"/>
      <c r="U38" s="83" t="n"/>
      <c r="V38" s="33" t="n"/>
      <c r="W38" s="83" t="n">
        <v>0</v>
      </c>
      <c r="X38" s="83" t="n">
        <v>13920.8</v>
      </c>
      <c r="Y38" s="83" t="n">
        <v>0</v>
      </c>
      <c r="Z38" s="83" t="n">
        <v>0</v>
      </c>
      <c r="AA38" s="84">
        <f>IF(OR($A38="",COUNT(W38,X38,Z38,Y38)&lt;1),"",W38+X38+Z38-Y38)</f>
        <v/>
      </c>
      <c r="AB38" s="83" t="n"/>
      <c r="AC38" s="83" t="n">
        <v>541.36</v>
      </c>
      <c r="AD38" s="83" t="n"/>
      <c r="AE38" s="83" t="n"/>
      <c r="AF38" s="83" t="n">
        <v>0</v>
      </c>
      <c r="AG38" s="83" t="n"/>
      <c r="AH38" s="84" t="n">
        <v>541.36</v>
      </c>
      <c r="AI38" s="84" t="n">
        <v>13379.44</v>
      </c>
      <c r="AJ38" s="84" t="n">
        <v>0</v>
      </c>
      <c r="AK38" s="83" t="n"/>
      <c r="AL38" s="33" t="n"/>
      <c r="AM38" s="33" t="n"/>
      <c r="AN38" s="83" t="n"/>
      <c r="AO38" s="33" t="n"/>
      <c r="AP38" s="33" t="n"/>
      <c r="AQ38" s="33" t="n"/>
    </row>
    <row r="39">
      <c r="A39" s="33" t="inlineStr">
        <is>
          <t>189</t>
        </is>
      </c>
      <c r="B39" s="33" t="inlineStr">
        <is>
          <t>Spritzgießmaschine Typ X891</t>
        </is>
      </c>
      <c r="C39" s="33" t="inlineStr">
        <is>
          <t>Maschinen</t>
        </is>
      </c>
      <c r="D39" s="33" t="n"/>
      <c r="E39" s="33" t="n"/>
      <c r="F39" s="33" t="n"/>
      <c r="G39" s="33" t="n"/>
      <c r="H39" s="33" t="inlineStr">
        <is>
          <t>0210</t>
        </is>
      </c>
      <c r="I39" s="33" t="n"/>
      <c r="J39" s="33" t="n"/>
      <c r="K39" s="34" t="n">
        <v>45810</v>
      </c>
      <c r="L39" s="34" t="n"/>
      <c r="M39" s="34" t="n"/>
      <c r="N39" s="82" t="n"/>
      <c r="O39" s="82" t="n"/>
      <c r="P39" s="33" t="inlineStr">
        <is>
          <t>linear</t>
        </is>
      </c>
      <c r="Q39" s="34" t="n"/>
      <c r="R39" s="83" t="n"/>
      <c r="S39" s="34" t="n"/>
      <c r="T39" s="33" t="n"/>
      <c r="U39" s="83" t="n"/>
      <c r="V39" s="33" t="n"/>
      <c r="W39" s="83" t="n">
        <v>0</v>
      </c>
      <c r="X39" s="83" t="n">
        <v>328206</v>
      </c>
      <c r="Y39" s="83" t="n">
        <v>0</v>
      </c>
      <c r="Z39" s="83" t="n">
        <v>0</v>
      </c>
      <c r="AA39" s="84">
        <f>IF(OR($A39="",COUNT(W39,X39,Z39,Y39)&lt;1),"",W39+X39+Z39-Y39)</f>
        <v/>
      </c>
      <c r="AB39" s="83" t="n"/>
      <c r="AC39" s="83" t="n">
        <v>12763.57</v>
      </c>
      <c r="AD39" s="83" t="n"/>
      <c r="AE39" s="83" t="n"/>
      <c r="AF39" s="83" t="n">
        <v>0</v>
      </c>
      <c r="AG39" s="83" t="n"/>
      <c r="AH39" s="84" t="n">
        <v>12763.57</v>
      </c>
      <c r="AI39" s="84" t="n">
        <v>315442.43</v>
      </c>
      <c r="AJ39" s="84" t="n">
        <v>0</v>
      </c>
      <c r="AK39" s="83" t="n"/>
      <c r="AL39" s="33" t="n"/>
      <c r="AM39" s="33" t="n"/>
      <c r="AN39" s="83" t="n"/>
      <c r="AO39" s="33" t="n"/>
      <c r="AP39" s="33" t="n"/>
      <c r="AQ39" s="33" t="n"/>
    </row>
    <row r="40">
      <c r="A40" s="33" t="inlineStr">
        <is>
          <t>80</t>
        </is>
      </c>
      <c r="B40" s="33" t="inlineStr">
        <is>
          <t>Photovoltaikanlage Dach Nr. 33</t>
        </is>
      </c>
      <c r="C40" s="33" t="inlineStr">
        <is>
          <t>Technische Anlagen</t>
        </is>
      </c>
      <c r="D40" s="33" t="n"/>
      <c r="E40" s="33" t="n"/>
      <c r="F40" s="33" t="n"/>
      <c r="G40" s="33" t="n"/>
      <c r="H40" s="33" t="inlineStr">
        <is>
          <t>0240</t>
        </is>
      </c>
      <c r="I40" s="33" t="n"/>
      <c r="J40" s="33" t="n"/>
      <c r="K40" s="34" t="n">
        <v>41449</v>
      </c>
      <c r="L40" s="34" t="n"/>
      <c r="M40" s="34" t="n"/>
      <c r="N40" s="82" t="n"/>
      <c r="O40" s="82" t="n"/>
      <c r="P40" s="33" t="inlineStr">
        <is>
          <t>linear</t>
        </is>
      </c>
      <c r="Q40" s="34" t="n"/>
      <c r="R40" s="83" t="n"/>
      <c r="S40" s="34" t="n"/>
      <c r="T40" s="33" t="n"/>
      <c r="U40" s="83" t="n"/>
      <c r="V40" s="33" t="n"/>
      <c r="W40" s="83" t="n">
        <v>46761</v>
      </c>
      <c r="X40" s="83" t="n">
        <v>0</v>
      </c>
      <c r="Y40" s="83" t="n">
        <v>0</v>
      </c>
      <c r="Z40" s="83" t="n">
        <v>0</v>
      </c>
      <c r="AA40" s="84">
        <f>IF(OR($A40="",COUNT(W40,X40,Z40,Y40)&lt;1),"",W40+X40+Z40-Y40)</f>
        <v/>
      </c>
      <c r="AB40" s="83" t="n"/>
      <c r="AC40" s="83" t="n">
        <v>0</v>
      </c>
      <c r="AD40" s="83" t="n"/>
      <c r="AE40" s="83" t="n"/>
      <c r="AF40" s="83" t="n">
        <v>0</v>
      </c>
      <c r="AG40" s="83" t="n"/>
      <c r="AH40" s="84" t="n">
        <v>46760</v>
      </c>
      <c r="AI40" s="84" t="n">
        <v>1</v>
      </c>
      <c r="AJ40" s="84" t="n">
        <v>1</v>
      </c>
      <c r="AK40" s="83" t="n"/>
      <c r="AL40" s="33" t="n"/>
      <c r="AM40" s="33" t="n"/>
      <c r="AN40" s="83" t="n"/>
      <c r="AO40" s="33" t="n"/>
      <c r="AP40" s="33" t="n"/>
      <c r="AQ40" s="33" t="n"/>
    </row>
    <row r="41">
      <c r="A41" s="33" t="inlineStr">
        <is>
          <t>86</t>
        </is>
      </c>
      <c r="B41" s="33" t="inlineStr">
        <is>
          <t>Notstromaggregat (gebraucht)</t>
        </is>
      </c>
      <c r="C41" s="33" t="inlineStr">
        <is>
          <t>Technische Anlagen</t>
        </is>
      </c>
      <c r="D41" s="33" t="n"/>
      <c r="E41" s="33" t="n"/>
      <c r="F41" s="33" t="n"/>
      <c r="G41" s="33" t="n"/>
      <c r="H41" s="33" t="inlineStr">
        <is>
          <t>0240</t>
        </is>
      </c>
      <c r="I41" s="33" t="n"/>
      <c r="J41" s="33" t="n"/>
      <c r="K41" s="34" t="n">
        <v>42065</v>
      </c>
      <c r="L41" s="34" t="n"/>
      <c r="M41" s="34" t="n"/>
      <c r="N41" s="82" t="n"/>
      <c r="O41" s="82" t="n"/>
      <c r="P41" s="33" t="inlineStr">
        <is>
          <t>linear</t>
        </is>
      </c>
      <c r="Q41" s="34" t="n"/>
      <c r="R41" s="83" t="n"/>
      <c r="S41" s="34" t="n"/>
      <c r="T41" s="33" t="n"/>
      <c r="U41" s="83" t="n"/>
      <c r="V41" s="33" t="n"/>
      <c r="W41" s="83" t="n">
        <v>46960.71</v>
      </c>
      <c r="X41" s="83" t="n">
        <v>0</v>
      </c>
      <c r="Y41" s="83" t="n">
        <v>0</v>
      </c>
      <c r="Z41" s="83" t="n">
        <v>0</v>
      </c>
      <c r="AA41" s="84">
        <f>IF(OR($A41="",COUNT(W41,X41,Z41,Y41)&lt;1),"",W41+X41+Z41-Y41)</f>
        <v/>
      </c>
      <c r="AB41" s="83" t="n"/>
      <c r="AC41" s="83" t="n">
        <v>2348.03</v>
      </c>
      <c r="AD41" s="83" t="n"/>
      <c r="AE41" s="83" t="n"/>
      <c r="AF41" s="83" t="n">
        <v>0</v>
      </c>
      <c r="AG41" s="83" t="n"/>
      <c r="AH41" s="84" t="n">
        <v>25437.05</v>
      </c>
      <c r="AI41" s="84" t="n">
        <v>21523.66</v>
      </c>
      <c r="AJ41" s="84" t="n">
        <v>23871.69</v>
      </c>
      <c r="AK41" s="83" t="n"/>
      <c r="AL41" s="33" t="n"/>
      <c r="AM41" s="33" t="n"/>
      <c r="AN41" s="83" t="n"/>
      <c r="AO41" s="33" t="n"/>
      <c r="AP41" s="33" t="n"/>
      <c r="AQ41" s="33" t="n"/>
    </row>
    <row r="42">
      <c r="A42" s="33" t="inlineStr">
        <is>
          <t>94</t>
        </is>
      </c>
      <c r="B42" s="33" t="inlineStr">
        <is>
          <t>Absauganlage (gebraucht)</t>
        </is>
      </c>
      <c r="C42" s="33" t="inlineStr">
        <is>
          <t>Technische Anlagen</t>
        </is>
      </c>
      <c r="D42" s="33" t="n"/>
      <c r="E42" s="33" t="n"/>
      <c r="F42" s="33" t="n"/>
      <c r="G42" s="33" t="n"/>
      <c r="H42" s="33" t="inlineStr">
        <is>
          <t>0240</t>
        </is>
      </c>
      <c r="I42" s="33" t="n"/>
      <c r="J42" s="33" t="n"/>
      <c r="K42" s="34" t="n">
        <v>42974</v>
      </c>
      <c r="L42" s="34" t="n"/>
      <c r="M42" s="34" t="n"/>
      <c r="N42" s="82" t="n"/>
      <c r="O42" s="82" t="n"/>
      <c r="P42" s="33" t="inlineStr">
        <is>
          <t>linear</t>
        </is>
      </c>
      <c r="Q42" s="34" t="n"/>
      <c r="R42" s="83" t="n"/>
      <c r="S42" s="34" t="n"/>
      <c r="T42" s="33" t="n"/>
      <c r="U42" s="83" t="n"/>
      <c r="V42" s="33" t="n"/>
      <c r="W42" s="83" t="n">
        <v>18009.12</v>
      </c>
      <c r="X42" s="83" t="n">
        <v>0</v>
      </c>
      <c r="Y42" s="83" t="n">
        <v>0</v>
      </c>
      <c r="Z42" s="83" t="n">
        <v>0</v>
      </c>
      <c r="AA42" s="84">
        <f>IF(OR($A42="",COUNT(W42,X42,Z42,Y42)&lt;1),"",W42+X42+Z42-Y42)</f>
        <v/>
      </c>
      <c r="AB42" s="83" t="n"/>
      <c r="AC42" s="83" t="n">
        <v>1200.61</v>
      </c>
      <c r="AD42" s="83" t="n"/>
      <c r="AE42" s="83" t="n"/>
      <c r="AF42" s="83" t="n">
        <v>0</v>
      </c>
      <c r="AG42" s="83" t="n"/>
      <c r="AH42" s="84" t="n">
        <v>10105.12</v>
      </c>
      <c r="AI42" s="84" t="n">
        <v>7904</v>
      </c>
      <c r="AJ42" s="84" t="n">
        <v>9104.610000000001</v>
      </c>
      <c r="AK42" s="83" t="n"/>
      <c r="AL42" s="33" t="n"/>
      <c r="AM42" s="33" t="n"/>
      <c r="AN42" s="83" t="n"/>
      <c r="AO42" s="33" t="n"/>
      <c r="AP42" s="33" t="n"/>
      <c r="AQ42" s="33" t="n"/>
    </row>
    <row r="43">
      <c r="A43" s="33" t="inlineStr">
        <is>
          <t>107</t>
        </is>
      </c>
      <c r="B43" s="33" t="inlineStr">
        <is>
          <t>Druckluftnetz Halle 3</t>
        </is>
      </c>
      <c r="C43" s="33" t="inlineStr">
        <is>
          <t>Technische Anlagen</t>
        </is>
      </c>
      <c r="D43" s="33" t="n"/>
      <c r="E43" s="33" t="n"/>
      <c r="F43" s="33" t="n"/>
      <c r="G43" s="33" t="n"/>
      <c r="H43" s="33" t="inlineStr">
        <is>
          <t>0240</t>
        </is>
      </c>
      <c r="I43" s="33" t="n"/>
      <c r="J43" s="33" t="n"/>
      <c r="K43" s="34" t="n">
        <v>43413</v>
      </c>
      <c r="L43" s="34" t="n"/>
      <c r="M43" s="34" t="n"/>
      <c r="N43" s="82" t="n"/>
      <c r="O43" s="82" t="n"/>
      <c r="P43" s="33" t="inlineStr">
        <is>
          <t>linear</t>
        </is>
      </c>
      <c r="Q43" s="34" t="n"/>
      <c r="R43" s="83" t="n"/>
      <c r="S43" s="34" t="n"/>
      <c r="T43" s="33" t="n"/>
      <c r="U43" s="83" t="n"/>
      <c r="V43" s="33" t="n"/>
      <c r="W43" s="83" t="n">
        <v>15122.3</v>
      </c>
      <c r="X43" s="83" t="n">
        <v>0</v>
      </c>
      <c r="Y43" s="83" t="n">
        <v>0</v>
      </c>
      <c r="Z43" s="83" t="n">
        <v>0</v>
      </c>
      <c r="AA43" s="84">
        <f>IF(OR($A43="",COUNT(W43,X43,Z43,Y43)&lt;1),"",W43+X43+Z43-Y43)</f>
        <v/>
      </c>
      <c r="AB43" s="83" t="n"/>
      <c r="AC43" s="83" t="n">
        <v>756.11</v>
      </c>
      <c r="AD43" s="83" t="n"/>
      <c r="AE43" s="83" t="n"/>
      <c r="AF43" s="83" t="n">
        <v>0</v>
      </c>
      <c r="AG43" s="83" t="n"/>
      <c r="AH43" s="84" t="n">
        <v>5418.82</v>
      </c>
      <c r="AI43" s="84" t="n">
        <v>9703.48</v>
      </c>
      <c r="AJ43" s="84" t="n">
        <v>10459.59</v>
      </c>
      <c r="AK43" s="83" t="n"/>
      <c r="AL43" s="33" t="n"/>
      <c r="AM43" s="33" t="n"/>
      <c r="AN43" s="83" t="n"/>
      <c r="AO43" s="33" t="n"/>
      <c r="AP43" s="33" t="n"/>
      <c r="AQ43" s="33" t="n"/>
    </row>
    <row r="44">
      <c r="A44" s="33" t="inlineStr">
        <is>
          <t>107a</t>
        </is>
      </c>
      <c r="B44" s="33" t="inlineStr">
        <is>
          <t>Druckluftnetz Halle 3 Zusatzmodul</t>
        </is>
      </c>
      <c r="C44" s="33" t="inlineStr">
        <is>
          <t>Technische Anlagen</t>
        </is>
      </c>
      <c r="D44" s="33" t="n"/>
      <c r="E44" s="33" t="n"/>
      <c r="F44" s="33" t="n"/>
      <c r="G44" s="33" t="n"/>
      <c r="H44" s="33" t="inlineStr">
        <is>
          <t>0240</t>
        </is>
      </c>
      <c r="I44" s="33" t="n"/>
      <c r="J44" s="33" t="n"/>
      <c r="K44" s="34" t="n">
        <v>45409</v>
      </c>
      <c r="L44" s="34" t="n"/>
      <c r="M44" s="34" t="n"/>
      <c r="N44" s="82" t="n"/>
      <c r="O44" s="82" t="n"/>
      <c r="P44" s="33" t="inlineStr">
        <is>
          <t>linear</t>
        </is>
      </c>
      <c r="Q44" s="34" t="n"/>
      <c r="R44" s="83" t="n"/>
      <c r="S44" s="34" t="n"/>
      <c r="T44" s="33" t="n"/>
      <c r="U44" s="83" t="n"/>
      <c r="V44" s="33" t="n"/>
      <c r="W44" s="83" t="n">
        <v>3495.87</v>
      </c>
      <c r="X44" s="83" t="n">
        <v>0</v>
      </c>
      <c r="Y44" s="83" t="n">
        <v>0</v>
      </c>
      <c r="Z44" s="83" t="n">
        <v>0</v>
      </c>
      <c r="AA44" s="84">
        <f>IF(OR($A44="",COUNT(W44,X44,Z44,Y44)&lt;1),"",W44+X44+Z44-Y44)</f>
        <v/>
      </c>
      <c r="AB44" s="83" t="n"/>
      <c r="AC44" s="83" t="n">
        <v>174.79</v>
      </c>
      <c r="AD44" s="83" t="n"/>
      <c r="AE44" s="83" t="n"/>
      <c r="AF44" s="83" t="n">
        <v>0</v>
      </c>
      <c r="AG44" s="83" t="n"/>
      <c r="AH44" s="84" t="n">
        <v>305.89</v>
      </c>
      <c r="AI44" s="84" t="n">
        <v>3189.98</v>
      </c>
      <c r="AJ44" s="84" t="n">
        <v>3364.77</v>
      </c>
      <c r="AK44" s="83" t="n"/>
      <c r="AL44" s="33" t="n"/>
      <c r="AM44" s="33" t="n"/>
      <c r="AN44" s="83" t="n"/>
      <c r="AO44" s="33" t="n"/>
      <c r="AP44" s="33" t="n"/>
      <c r="AQ44" s="33" t="n"/>
    </row>
    <row r="45">
      <c r="A45" s="33" t="inlineStr">
        <is>
          <t>121</t>
        </is>
      </c>
      <c r="B45" s="33" t="inlineStr">
        <is>
          <t>Brückenkran 5t</t>
        </is>
      </c>
      <c r="C45" s="33" t="inlineStr">
        <is>
          <t>Technische Anlagen</t>
        </is>
      </c>
      <c r="D45" s="33" t="n"/>
      <c r="E45" s="33" t="n"/>
      <c r="F45" s="33" t="n"/>
      <c r="G45" s="33" t="n"/>
      <c r="H45" s="33" t="inlineStr">
        <is>
          <t>0240</t>
        </is>
      </c>
      <c r="I45" s="33" t="n"/>
      <c r="J45" s="33" t="n"/>
      <c r="K45" s="34" t="n">
        <v>44165</v>
      </c>
      <c r="L45" s="34" t="n"/>
      <c r="M45" s="34" t="n"/>
      <c r="N45" s="82" t="n"/>
      <c r="O45" s="82" t="n"/>
      <c r="P45" s="33" t="inlineStr">
        <is>
          <t>linear</t>
        </is>
      </c>
      <c r="Q45" s="34" t="n"/>
      <c r="R45" s="83" t="n"/>
      <c r="S45" s="34" t="n"/>
      <c r="T45" s="33" t="n"/>
      <c r="U45" s="83" t="n"/>
      <c r="V45" s="33" t="n"/>
      <c r="W45" s="83" t="n">
        <v>28296.3</v>
      </c>
      <c r="X45" s="83" t="n">
        <v>0</v>
      </c>
      <c r="Y45" s="83" t="n">
        <v>0</v>
      </c>
      <c r="Z45" s="83" t="n">
        <v>0</v>
      </c>
      <c r="AA45" s="84">
        <f>IF(OR($A45="",COUNT(W45,X45,Z45,Y45)&lt;1),"",W45+X45+Z45-Y45)</f>
        <v/>
      </c>
      <c r="AB45" s="83" t="n"/>
      <c r="AC45" s="83" t="n">
        <v>1886.42</v>
      </c>
      <c r="AD45" s="83" t="n"/>
      <c r="AE45" s="83" t="n"/>
      <c r="AF45" s="83" t="n">
        <v>0</v>
      </c>
      <c r="AG45" s="83" t="n"/>
      <c r="AH45" s="84" t="n">
        <v>9746.5</v>
      </c>
      <c r="AI45" s="84" t="n">
        <v>18549.8</v>
      </c>
      <c r="AJ45" s="84" t="n">
        <v>20436.22</v>
      </c>
      <c r="AK45" s="83" t="n"/>
      <c r="AL45" s="33" t="n"/>
      <c r="AM45" s="33" t="n"/>
      <c r="AN45" s="83" t="n"/>
      <c r="AO45" s="33" t="n"/>
      <c r="AP45" s="33" t="n"/>
      <c r="AQ45" s="33" t="n"/>
    </row>
    <row r="46">
      <c r="A46" s="33" t="inlineStr">
        <is>
          <t>121a</t>
        </is>
      </c>
      <c r="B46" s="33" t="inlineStr">
        <is>
          <t>Brückenkran 5t Erweiterung</t>
        </is>
      </c>
      <c r="C46" s="33" t="inlineStr">
        <is>
          <t>Technische Anlagen</t>
        </is>
      </c>
      <c r="D46" s="33" t="n"/>
      <c r="E46" s="33" t="n"/>
      <c r="F46" s="33" t="n"/>
      <c r="G46" s="33" t="n"/>
      <c r="H46" s="33" t="inlineStr">
        <is>
          <t>0240</t>
        </is>
      </c>
      <c r="I46" s="33" t="n"/>
      <c r="J46" s="33" t="n"/>
      <c r="K46" s="34" t="n">
        <v>45471</v>
      </c>
      <c r="L46" s="34" t="n"/>
      <c r="M46" s="34" t="n"/>
      <c r="N46" s="82" t="n"/>
      <c r="O46" s="82" t="n"/>
      <c r="P46" s="33" t="inlineStr">
        <is>
          <t>linear</t>
        </is>
      </c>
      <c r="Q46" s="34" t="n"/>
      <c r="R46" s="83" t="n"/>
      <c r="S46" s="34" t="n"/>
      <c r="T46" s="33" t="n"/>
      <c r="U46" s="83" t="n"/>
      <c r="V46" s="33" t="n"/>
      <c r="W46" s="83" t="n">
        <v>5128.52</v>
      </c>
      <c r="X46" s="83" t="n">
        <v>0</v>
      </c>
      <c r="Y46" s="83" t="n">
        <v>0</v>
      </c>
      <c r="Z46" s="83" t="n">
        <v>0</v>
      </c>
      <c r="AA46" s="84">
        <f>IF(OR($A46="",COUNT(W46,X46,Z46,Y46)&lt;1),"",W46+X46+Z46-Y46)</f>
        <v/>
      </c>
      <c r="AB46" s="83" t="n"/>
      <c r="AC46" s="83" t="n">
        <v>341.9</v>
      </c>
      <c r="AD46" s="83" t="n"/>
      <c r="AE46" s="83" t="n"/>
      <c r="AF46" s="83" t="n">
        <v>0</v>
      </c>
      <c r="AG46" s="83" t="n"/>
      <c r="AH46" s="84" t="n">
        <v>541.34</v>
      </c>
      <c r="AI46" s="84" t="n">
        <v>4587.18</v>
      </c>
      <c r="AJ46" s="84" t="n">
        <v>4929.08</v>
      </c>
      <c r="AK46" s="83" t="n"/>
      <c r="AL46" s="33" t="n"/>
      <c r="AM46" s="33" t="n"/>
      <c r="AN46" s="83" t="n"/>
      <c r="AO46" s="33" t="n"/>
      <c r="AP46" s="33" t="n"/>
      <c r="AQ46" s="33" t="n"/>
    </row>
    <row r="47">
      <c r="A47" s="33" t="inlineStr">
        <is>
          <t>171</t>
        </is>
      </c>
      <c r="B47" s="33" t="inlineStr">
        <is>
          <t>Kälteanlage Halle 1</t>
        </is>
      </c>
      <c r="C47" s="33" t="inlineStr">
        <is>
          <t>Technische Anlagen</t>
        </is>
      </c>
      <c r="D47" s="33" t="n"/>
      <c r="E47" s="33" t="n"/>
      <c r="F47" s="33" t="n"/>
      <c r="G47" s="33" t="n"/>
      <c r="H47" s="33" t="inlineStr">
        <is>
          <t>0240</t>
        </is>
      </c>
      <c r="I47" s="33" t="n"/>
      <c r="J47" s="33" t="n"/>
      <c r="K47" s="34" t="n">
        <v>45720</v>
      </c>
      <c r="L47" s="34" t="n"/>
      <c r="M47" s="34" t="n"/>
      <c r="N47" s="82" t="n"/>
      <c r="O47" s="82" t="n"/>
      <c r="P47" s="33" t="inlineStr">
        <is>
          <t>linear</t>
        </is>
      </c>
      <c r="Q47" s="34" t="n"/>
      <c r="R47" s="83" t="n"/>
      <c r="S47" s="34" t="n"/>
      <c r="T47" s="33" t="n"/>
      <c r="U47" s="83" t="n"/>
      <c r="V47" s="33" t="n"/>
      <c r="W47" s="83" t="n">
        <v>0</v>
      </c>
      <c r="X47" s="83" t="n">
        <v>184855.19</v>
      </c>
      <c r="Y47" s="83" t="n">
        <v>0</v>
      </c>
      <c r="Z47" s="83" t="n">
        <v>0</v>
      </c>
      <c r="AA47" s="84">
        <f>IF(OR($A47="",COUNT(W47,X47,Z47,Y47)&lt;1),"",W47+X47+Z47-Y47)</f>
        <v/>
      </c>
      <c r="AB47" s="83" t="n"/>
      <c r="AC47" s="83" t="n">
        <v>10269.73</v>
      </c>
      <c r="AD47" s="83" t="n"/>
      <c r="AE47" s="83" t="n"/>
      <c r="AF47" s="83" t="n">
        <v>0</v>
      </c>
      <c r="AG47" s="83" t="n"/>
      <c r="AH47" s="84" t="n">
        <v>10269.73</v>
      </c>
      <c r="AI47" s="84" t="n">
        <v>174585.46</v>
      </c>
      <c r="AJ47" s="84" t="n">
        <v>0</v>
      </c>
      <c r="AK47" s="83" t="n"/>
      <c r="AL47" s="33" t="n"/>
      <c r="AM47" s="33" t="n"/>
      <c r="AN47" s="83" t="n"/>
      <c r="AO47" s="33" t="n"/>
      <c r="AP47" s="33" t="n"/>
      <c r="AQ47" s="33" t="n"/>
    </row>
    <row r="48">
      <c r="A48" s="33" t="inlineStr">
        <is>
          <t>207</t>
        </is>
      </c>
      <c r="B48" s="33" t="inlineStr">
        <is>
          <t>Photovoltaikanlage Dach</t>
        </is>
      </c>
      <c r="C48" s="33" t="inlineStr">
        <is>
          <t>Technische Anlagen</t>
        </is>
      </c>
      <c r="D48" s="33" t="n"/>
      <c r="E48" s="33" t="n"/>
      <c r="F48" s="33" t="n"/>
      <c r="G48" s="33" t="n"/>
      <c r="H48" s="33" t="inlineStr">
        <is>
          <t>0240</t>
        </is>
      </c>
      <c r="I48" s="33" t="n"/>
      <c r="J48" s="33" t="n"/>
      <c r="K48" s="34" t="n">
        <v>45907</v>
      </c>
      <c r="L48" s="34" t="n"/>
      <c r="M48" s="34" t="n"/>
      <c r="N48" s="82" t="n"/>
      <c r="O48" s="82" t="n"/>
      <c r="P48" s="33" t="inlineStr">
        <is>
          <t>linear</t>
        </is>
      </c>
      <c r="Q48" s="34" t="n"/>
      <c r="R48" s="83" t="n"/>
      <c r="S48" s="34" t="n"/>
      <c r="T48" s="33" t="n"/>
      <c r="U48" s="83" t="n"/>
      <c r="V48" s="33" t="n"/>
      <c r="W48" s="83" t="n">
        <v>0</v>
      </c>
      <c r="X48" s="83" t="n">
        <v>20576</v>
      </c>
      <c r="Y48" s="83" t="n">
        <v>0</v>
      </c>
      <c r="Z48" s="83" t="n">
        <v>0</v>
      </c>
      <c r="AA48" s="84">
        <f>IF(OR($A48="",COUNT(W48,X48,Z48,Y48)&lt;1),"",W48+X48+Z48-Y48)</f>
        <v/>
      </c>
      <c r="AB48" s="83" t="n"/>
      <c r="AC48" s="83" t="n">
        <v>685.87</v>
      </c>
      <c r="AD48" s="83" t="n"/>
      <c r="AE48" s="83" t="n"/>
      <c r="AF48" s="83" t="n">
        <v>0</v>
      </c>
      <c r="AG48" s="83" t="n"/>
      <c r="AH48" s="84" t="n">
        <v>685.87</v>
      </c>
      <c r="AI48" s="84" t="n">
        <v>19890.13</v>
      </c>
      <c r="AJ48" s="84" t="n">
        <v>0</v>
      </c>
      <c r="AK48" s="83" t="n"/>
      <c r="AL48" s="33" t="n"/>
      <c r="AM48" s="33" t="n"/>
      <c r="AN48" s="83" t="n"/>
      <c r="AO48" s="33" t="n"/>
      <c r="AP48" s="33" t="n"/>
      <c r="AQ48" s="33" t="n"/>
    </row>
    <row r="49">
      <c r="A49" s="33" t="inlineStr">
        <is>
          <t>214</t>
        </is>
      </c>
      <c r="B49" s="33" t="inlineStr">
        <is>
          <t>Kälteanlage</t>
        </is>
      </c>
      <c r="C49" s="33" t="inlineStr">
        <is>
          <t>Technische Anlagen</t>
        </is>
      </c>
      <c r="D49" s="33" t="n"/>
      <c r="E49" s="33" t="n"/>
      <c r="F49" s="33" t="n"/>
      <c r="G49" s="33" t="n"/>
      <c r="H49" s="33" t="inlineStr">
        <is>
          <t>0240</t>
        </is>
      </c>
      <c r="I49" s="33" t="n"/>
      <c r="J49" s="33" t="n"/>
      <c r="K49" s="34" t="n">
        <v>45909</v>
      </c>
      <c r="L49" s="34" t="n"/>
      <c r="M49" s="34" t="n"/>
      <c r="N49" s="82" t="n"/>
      <c r="O49" s="82" t="n"/>
      <c r="P49" s="33" t="inlineStr">
        <is>
          <t>linear</t>
        </is>
      </c>
      <c r="Q49" s="34" t="n"/>
      <c r="R49" s="83" t="n"/>
      <c r="S49" s="34" t="n"/>
      <c r="T49" s="33" t="n"/>
      <c r="U49" s="83" t="n"/>
      <c r="V49" s="33" t="n"/>
      <c r="W49" s="83" t="n">
        <v>0</v>
      </c>
      <c r="X49" s="83" t="n">
        <v>19313.13</v>
      </c>
      <c r="Y49" s="83" t="n">
        <v>0</v>
      </c>
      <c r="Z49" s="83" t="n">
        <v>0</v>
      </c>
      <c r="AA49" s="84">
        <f>IF(OR($A49="",COUNT(W49,X49,Z49,Y49)&lt;1),"",W49+X49+Z49-Y49)</f>
        <v/>
      </c>
      <c r="AB49" s="83" t="n"/>
      <c r="AC49" s="83" t="n">
        <v>429.18</v>
      </c>
      <c r="AD49" s="83" t="n"/>
      <c r="AE49" s="83" t="n"/>
      <c r="AF49" s="83" t="n">
        <v>0</v>
      </c>
      <c r="AG49" s="83" t="n"/>
      <c r="AH49" s="84" t="n">
        <v>429.18</v>
      </c>
      <c r="AI49" s="84" t="n">
        <v>18883.95</v>
      </c>
      <c r="AJ49" s="84" t="n">
        <v>0</v>
      </c>
      <c r="AK49" s="83" t="n"/>
      <c r="AL49" s="33" t="n"/>
      <c r="AM49" s="33" t="n"/>
      <c r="AN49" s="83" t="n"/>
      <c r="AO49" s="33" t="n"/>
      <c r="AP49" s="33" t="n"/>
      <c r="AQ49" s="33" t="n"/>
    </row>
    <row r="50">
      <c r="A50" s="33" t="inlineStr">
        <is>
          <t>42</t>
        </is>
      </c>
      <c r="B50" s="33" t="inlineStr">
        <is>
          <t>Pkw Elektro Halle 3</t>
        </is>
      </c>
      <c r="C50" s="33" t="inlineStr">
        <is>
          <t>Pkw</t>
        </is>
      </c>
      <c r="D50" s="33" t="n"/>
      <c r="E50" s="33" t="n"/>
      <c r="F50" s="33" t="n"/>
      <c r="G50" s="33" t="n"/>
      <c r="H50" s="33" t="inlineStr">
        <is>
          <t>0320</t>
        </is>
      </c>
      <c r="I50" s="33" t="n"/>
      <c r="J50" s="33" t="n"/>
      <c r="K50" s="34" t="n">
        <v>40061</v>
      </c>
      <c r="L50" s="34" t="n"/>
      <c r="M50" s="34" t="n"/>
      <c r="N50" s="82" t="n"/>
      <c r="O50" s="82" t="n"/>
      <c r="P50" s="33" t="inlineStr">
        <is>
          <t>linear</t>
        </is>
      </c>
      <c r="Q50" s="34" t="n"/>
      <c r="R50" s="83" t="n"/>
      <c r="S50" s="34" t="n"/>
      <c r="T50" s="33" t="n"/>
      <c r="U50" s="83" t="n"/>
      <c r="V50" s="33" t="n"/>
      <c r="W50" s="83" t="n">
        <v>27109.25</v>
      </c>
      <c r="X50" s="83" t="n">
        <v>0</v>
      </c>
      <c r="Y50" s="83" t="n">
        <v>0</v>
      </c>
      <c r="Z50" s="83" t="n">
        <v>0</v>
      </c>
      <c r="AA50" s="84">
        <f>IF(OR($A50="",COUNT(W50,X50,Z50,Y50)&lt;1),"",W50+X50+Z50-Y50)</f>
        <v/>
      </c>
      <c r="AB50" s="83" t="n"/>
      <c r="AC50" s="83" t="n">
        <v>0</v>
      </c>
      <c r="AD50" s="83" t="n"/>
      <c r="AE50" s="83" t="n"/>
      <c r="AF50" s="83" t="n">
        <v>0</v>
      </c>
      <c r="AG50" s="83" t="n"/>
      <c r="AH50" s="84" t="n">
        <v>27108.25</v>
      </c>
      <c r="AI50" s="84" t="n">
        <v>1</v>
      </c>
      <c r="AJ50" s="84" t="n">
        <v>1</v>
      </c>
      <c r="AK50" s="83" t="n"/>
      <c r="AL50" s="33" t="n"/>
      <c r="AM50" s="33" t="n"/>
      <c r="AN50" s="83" t="n"/>
      <c r="AO50" s="33" t="n"/>
      <c r="AP50" s="33" t="n"/>
      <c r="AQ50" s="33" t="n"/>
    </row>
    <row r="51">
      <c r="A51" s="33" t="inlineStr">
        <is>
          <t>65</t>
        </is>
      </c>
      <c r="B51" s="33" t="inlineStr">
        <is>
          <t>Kleintransporter Halle 3</t>
        </is>
      </c>
      <c r="C51" s="33" t="inlineStr">
        <is>
          <t>Pkw</t>
        </is>
      </c>
      <c r="D51" s="33" t="n"/>
      <c r="E51" s="33" t="n"/>
      <c r="F51" s="33" t="n"/>
      <c r="G51" s="33" t="n"/>
      <c r="H51" s="33" t="inlineStr">
        <is>
          <t>0320</t>
        </is>
      </c>
      <c r="I51" s="33" t="n"/>
      <c r="J51" s="33" t="n"/>
      <c r="K51" s="34" t="n">
        <v>40960</v>
      </c>
      <c r="L51" s="34" t="n"/>
      <c r="M51" s="34" t="n"/>
      <c r="N51" s="82" t="n"/>
      <c r="O51" s="82" t="n"/>
      <c r="P51" s="33" t="inlineStr">
        <is>
          <t>linear</t>
        </is>
      </c>
      <c r="Q51" s="34" t="n"/>
      <c r="R51" s="83" t="n"/>
      <c r="S51" s="34" t="n"/>
      <c r="T51" s="33" t="n"/>
      <c r="U51" s="83" t="n"/>
      <c r="V51" s="33" t="n"/>
      <c r="W51" s="83" t="n">
        <v>35343</v>
      </c>
      <c r="X51" s="83" t="n">
        <v>0</v>
      </c>
      <c r="Y51" s="83" t="n">
        <v>0</v>
      </c>
      <c r="Z51" s="83" t="n">
        <v>0</v>
      </c>
      <c r="AA51" s="84">
        <f>IF(OR($A51="",COUNT(W51,X51,Z51,Y51)&lt;1),"",W51+X51+Z51-Y51)</f>
        <v/>
      </c>
      <c r="AB51" s="83" t="n"/>
      <c r="AC51" s="83" t="n">
        <v>0</v>
      </c>
      <c r="AD51" s="83" t="n"/>
      <c r="AE51" s="83" t="n"/>
      <c r="AF51" s="83" t="n">
        <v>0</v>
      </c>
      <c r="AG51" s="83" t="n"/>
      <c r="AH51" s="84" t="n">
        <v>35342</v>
      </c>
      <c r="AI51" s="84" t="n">
        <v>1</v>
      </c>
      <c r="AJ51" s="84" t="n">
        <v>1</v>
      </c>
      <c r="AK51" s="83" t="n"/>
      <c r="AL51" s="33" t="n"/>
      <c r="AM51" s="33" t="n"/>
      <c r="AN51" s="83" t="n"/>
      <c r="AO51" s="33" t="n"/>
      <c r="AP51" s="33" t="n"/>
      <c r="AQ51" s="33" t="n"/>
    </row>
    <row r="52">
      <c r="A52" s="33" t="inlineStr">
        <is>
          <t>65a</t>
        </is>
      </c>
      <c r="B52" s="33" t="inlineStr">
        <is>
          <t>Kleintransporter Halle 3 Zusatzmodul</t>
        </is>
      </c>
      <c r="C52" s="33" t="inlineStr">
        <is>
          <t>Pkw</t>
        </is>
      </c>
      <c r="D52" s="33" t="n"/>
      <c r="E52" s="33" t="n"/>
      <c r="F52" s="33" t="n"/>
      <c r="G52" s="33" t="n"/>
      <c r="H52" s="33" t="inlineStr">
        <is>
          <t>0320</t>
        </is>
      </c>
      <c r="I52" s="33" t="n"/>
      <c r="J52" s="33" t="n"/>
      <c r="K52" s="34" t="n">
        <v>42652</v>
      </c>
      <c r="L52" s="34" t="n"/>
      <c r="M52" s="34" t="n"/>
      <c r="N52" s="82" t="n"/>
      <c r="O52" s="82" t="n"/>
      <c r="P52" s="33" t="inlineStr">
        <is>
          <t>linear</t>
        </is>
      </c>
      <c r="Q52" s="34" t="n"/>
      <c r="R52" s="83" t="n"/>
      <c r="S52" s="34" t="n"/>
      <c r="T52" s="33" t="n"/>
      <c r="U52" s="83" t="n"/>
      <c r="V52" s="33" t="n"/>
      <c r="W52" s="83" t="n">
        <v>8207.469999999999</v>
      </c>
      <c r="X52" s="83" t="n">
        <v>0</v>
      </c>
      <c r="Y52" s="83" t="n">
        <v>0</v>
      </c>
      <c r="Z52" s="83" t="n">
        <v>0</v>
      </c>
      <c r="AA52" s="84">
        <f>IF(OR($A52="",COUNT(W52,X52,Z52,Y52)&lt;1),"",W52+X52+Z52-Y52)</f>
        <v/>
      </c>
      <c r="AB52" s="83" t="n"/>
      <c r="AC52" s="83" t="n">
        <v>0</v>
      </c>
      <c r="AD52" s="83" t="n"/>
      <c r="AE52" s="83" t="n"/>
      <c r="AF52" s="83" t="n">
        <v>0</v>
      </c>
      <c r="AG52" s="83" t="n"/>
      <c r="AH52" s="84" t="n">
        <v>8206.469999999999</v>
      </c>
      <c r="AI52" s="84" t="n">
        <v>1</v>
      </c>
      <c r="AJ52" s="84" t="n">
        <v>1</v>
      </c>
      <c r="AK52" s="83" t="n"/>
      <c r="AL52" s="33" t="n"/>
      <c r="AM52" s="33" t="n"/>
      <c r="AN52" s="83" t="n"/>
      <c r="AO52" s="33" t="n"/>
      <c r="AP52" s="33" t="n"/>
      <c r="AQ52" s="33" t="n"/>
    </row>
    <row r="53">
      <c r="A53" s="33" t="inlineStr">
        <is>
          <t>92</t>
        </is>
      </c>
      <c r="B53" s="33" t="inlineStr">
        <is>
          <t>Pkw Elektro</t>
        </is>
      </c>
      <c r="C53" s="33" t="inlineStr">
        <is>
          <t>Pkw</t>
        </is>
      </c>
      <c r="D53" s="33" t="n"/>
      <c r="E53" s="33" t="n"/>
      <c r="F53" s="33" t="n"/>
      <c r="G53" s="33" t="n"/>
      <c r="H53" s="33" t="inlineStr">
        <is>
          <t>0320</t>
        </is>
      </c>
      <c r="I53" s="33" t="n"/>
      <c r="J53" s="33" t="n"/>
      <c r="K53" s="34" t="n">
        <v>42735</v>
      </c>
      <c r="L53" s="34" t="n"/>
      <c r="M53" s="34" t="n"/>
      <c r="N53" s="82" t="n"/>
      <c r="O53" s="82" t="n"/>
      <c r="P53" s="33" t="inlineStr">
        <is>
          <t>linear</t>
        </is>
      </c>
      <c r="Q53" s="34" t="n"/>
      <c r="R53" s="83" t="n"/>
      <c r="S53" s="34" t="n"/>
      <c r="T53" s="33" t="n"/>
      <c r="U53" s="83" t="n"/>
      <c r="V53" s="33" t="n"/>
      <c r="W53" s="83" t="n">
        <v>24048.61</v>
      </c>
      <c r="X53" s="83" t="n">
        <v>0</v>
      </c>
      <c r="Y53" s="83" t="n">
        <v>0</v>
      </c>
      <c r="Z53" s="83" t="n">
        <v>0</v>
      </c>
      <c r="AA53" s="84">
        <f>IF(OR($A53="",COUNT(W53,X53,Z53,Y53)&lt;1),"",W53+X53+Z53-Y53)</f>
        <v/>
      </c>
      <c r="AB53" s="83" t="n"/>
      <c r="AC53" s="83" t="n">
        <v>0</v>
      </c>
      <c r="AD53" s="83" t="n"/>
      <c r="AE53" s="83" t="n"/>
      <c r="AF53" s="83" t="n">
        <v>0</v>
      </c>
      <c r="AG53" s="83" t="n"/>
      <c r="AH53" s="84" t="n">
        <v>24047.61</v>
      </c>
      <c r="AI53" s="84" t="n">
        <v>1</v>
      </c>
      <c r="AJ53" s="84" t="n">
        <v>1</v>
      </c>
      <c r="AK53" s="83" t="n"/>
      <c r="AL53" s="33" t="n"/>
      <c r="AM53" s="33" t="n"/>
      <c r="AN53" s="83" t="n"/>
      <c r="AO53" s="33" t="n"/>
      <c r="AP53" s="33" t="n"/>
      <c r="AQ53" s="33" t="n"/>
    </row>
    <row r="54">
      <c r="A54" s="33" t="inlineStr">
        <is>
          <t>99</t>
        </is>
      </c>
      <c r="B54" s="33" t="inlineStr">
        <is>
          <t>Pkw Kompaktklasse</t>
        </is>
      </c>
      <c r="C54" s="33" t="inlineStr">
        <is>
          <t>Pkw</t>
        </is>
      </c>
      <c r="D54" s="33" t="n"/>
      <c r="E54" s="33" t="n"/>
      <c r="F54" s="33" t="n"/>
      <c r="G54" s="33" t="n"/>
      <c r="H54" s="33" t="inlineStr">
        <is>
          <t>0320</t>
        </is>
      </c>
      <c r="I54" s="33" t="n"/>
      <c r="J54" s="33" t="n"/>
      <c r="K54" s="34" t="n">
        <v>43217</v>
      </c>
      <c r="L54" s="34" t="n"/>
      <c r="M54" s="34" t="n"/>
      <c r="N54" s="82" t="n"/>
      <c r="O54" s="82" t="n"/>
      <c r="P54" s="33" t="inlineStr">
        <is>
          <t>linear</t>
        </is>
      </c>
      <c r="Q54" s="34" t="n"/>
      <c r="R54" s="83" t="n"/>
      <c r="S54" s="34" t="n"/>
      <c r="T54" s="33" t="n"/>
      <c r="U54" s="83" t="n"/>
      <c r="V54" s="33" t="n"/>
      <c r="W54" s="83" t="n">
        <v>26637</v>
      </c>
      <c r="X54" s="83" t="n">
        <v>0</v>
      </c>
      <c r="Y54" s="83" t="n">
        <v>0</v>
      </c>
      <c r="Z54" s="83" t="n">
        <v>0</v>
      </c>
      <c r="AA54" s="84">
        <f>IF(OR($A54="",COUNT(W54,X54,Z54,Y54)&lt;1),"",W54+X54+Z54-Y54)</f>
        <v/>
      </c>
      <c r="AB54" s="83" t="n"/>
      <c r="AC54" s="83" t="n">
        <v>0</v>
      </c>
      <c r="AD54" s="83" t="n"/>
      <c r="AE54" s="83" t="n"/>
      <c r="AF54" s="83" t="n">
        <v>0</v>
      </c>
      <c r="AG54" s="83" t="n"/>
      <c r="AH54" s="84" t="n">
        <v>26636</v>
      </c>
      <c r="AI54" s="84" t="n">
        <v>1</v>
      </c>
      <c r="AJ54" s="84" t="n">
        <v>1</v>
      </c>
      <c r="AK54" s="83" t="n"/>
      <c r="AL54" s="33" t="n"/>
      <c r="AM54" s="33" t="n"/>
      <c r="AN54" s="83" t="n"/>
      <c r="AO54" s="33" t="n"/>
      <c r="AP54" s="33" t="n"/>
      <c r="AQ54" s="33" t="n"/>
    </row>
    <row r="55">
      <c r="A55" s="33" t="inlineStr">
        <is>
          <t>124</t>
        </is>
      </c>
      <c r="B55" s="33" t="inlineStr">
        <is>
          <t>Pkw Kompaktklasse Typ D263</t>
        </is>
      </c>
      <c r="C55" s="33" t="inlineStr">
        <is>
          <t>Pkw</t>
        </is>
      </c>
      <c r="D55" s="33" t="n"/>
      <c r="E55" s="33" t="n"/>
      <c r="F55" s="33" t="n"/>
      <c r="G55" s="33" t="n"/>
      <c r="H55" s="33" t="inlineStr">
        <is>
          <t>0320</t>
        </is>
      </c>
      <c r="I55" s="33" t="n"/>
      <c r="J55" s="33" t="n"/>
      <c r="K55" s="34" t="n">
        <v>44460</v>
      </c>
      <c r="L55" s="34" t="n"/>
      <c r="M55" s="34" t="n"/>
      <c r="N55" s="82" t="n"/>
      <c r="O55" s="82" t="n"/>
      <c r="P55" s="33" t="inlineStr">
        <is>
          <t>linear</t>
        </is>
      </c>
      <c r="Q55" s="34" t="n"/>
      <c r="R55" s="83" t="n"/>
      <c r="S55" s="34" t="n"/>
      <c r="T55" s="33" t="n"/>
      <c r="U55" s="83" t="n"/>
      <c r="V55" s="33" t="n"/>
      <c r="W55" s="83" t="n">
        <v>27442</v>
      </c>
      <c r="X55" s="83" t="n">
        <v>0</v>
      </c>
      <c r="Y55" s="83" t="n">
        <v>0</v>
      </c>
      <c r="Z55" s="83" t="n">
        <v>0</v>
      </c>
      <c r="AA55" s="84">
        <f>IF(OR($A55="",COUNT(W55,X55,Z55,Y55)&lt;1),"",W55+X55+Z55-Y55)</f>
        <v/>
      </c>
      <c r="AB55" s="83" t="n"/>
      <c r="AC55" s="83" t="n">
        <v>4573.66</v>
      </c>
      <c r="AD55" s="83" t="n"/>
      <c r="AE55" s="83" t="n"/>
      <c r="AF55" s="83" t="n">
        <v>0</v>
      </c>
      <c r="AG55" s="83" t="n"/>
      <c r="AH55" s="84" t="n">
        <v>19819.22</v>
      </c>
      <c r="AI55" s="84" t="n">
        <v>7622.78</v>
      </c>
      <c r="AJ55" s="84" t="n">
        <v>12196.44</v>
      </c>
      <c r="AK55" s="83" t="n"/>
      <c r="AL55" s="33" t="n"/>
      <c r="AM55" s="33" t="n"/>
      <c r="AN55" s="83" t="n"/>
      <c r="AO55" s="33" t="n"/>
      <c r="AP55" s="33" t="n"/>
      <c r="AQ55" s="33" t="n"/>
    </row>
    <row r="56">
      <c r="A56" s="33" t="inlineStr">
        <is>
          <t>153</t>
        </is>
      </c>
      <c r="B56" s="33" t="inlineStr">
        <is>
          <t>Pkw Elektro</t>
        </is>
      </c>
      <c r="C56" s="33" t="inlineStr">
        <is>
          <t>Pkw</t>
        </is>
      </c>
      <c r="D56" s="33" t="n"/>
      <c r="E56" s="33" t="n"/>
      <c r="F56" s="33" t="n"/>
      <c r="G56" s="33" t="n"/>
      <c r="H56" s="33" t="inlineStr">
        <is>
          <t>0320</t>
        </is>
      </c>
      <c r="I56" s="33" t="n"/>
      <c r="J56" s="33" t="n"/>
      <c r="K56" s="34" t="n">
        <v>45502</v>
      </c>
      <c r="L56" s="34" t="n"/>
      <c r="M56" s="34" t="n"/>
      <c r="N56" s="82" t="n"/>
      <c r="O56" s="82" t="n"/>
      <c r="P56" s="33" t="inlineStr">
        <is>
          <t>linear</t>
        </is>
      </c>
      <c r="Q56" s="34" t="n"/>
      <c r="R56" s="83" t="n"/>
      <c r="S56" s="34" t="n"/>
      <c r="T56" s="33" t="n"/>
      <c r="U56" s="83" t="n"/>
      <c r="V56" s="33" t="n"/>
      <c r="W56" s="83" t="n">
        <v>56877</v>
      </c>
      <c r="X56" s="83" t="n">
        <v>0</v>
      </c>
      <c r="Y56" s="83" t="n">
        <v>0</v>
      </c>
      <c r="Z56" s="83" t="n">
        <v>0</v>
      </c>
      <c r="AA56" s="84">
        <f>IF(OR($A56="",COUNT(W56,X56,Z56,Y56)&lt;1),"",W56+X56+Z56-Y56)</f>
        <v/>
      </c>
      <c r="AB56" s="83" t="n"/>
      <c r="AC56" s="83" t="n">
        <v>9479.5</v>
      </c>
      <c r="AD56" s="83" t="n"/>
      <c r="AE56" s="83" t="n"/>
      <c r="AF56" s="83" t="n">
        <v>0</v>
      </c>
      <c r="AG56" s="83" t="n"/>
      <c r="AH56" s="84" t="n">
        <v>14219.25</v>
      </c>
      <c r="AI56" s="84" t="n">
        <v>42657.75</v>
      </c>
      <c r="AJ56" s="84" t="n">
        <v>52137.25</v>
      </c>
      <c r="AK56" s="83" t="n"/>
      <c r="AL56" s="33" t="n"/>
      <c r="AM56" s="33" t="n"/>
      <c r="AN56" s="83" t="n"/>
      <c r="AO56" s="33" t="n"/>
      <c r="AP56" s="33" t="n"/>
      <c r="AQ56" s="33" t="n"/>
    </row>
    <row r="57">
      <c r="A57" s="33" t="inlineStr">
        <is>
          <t>35</t>
        </is>
      </c>
      <c r="B57" s="33" t="inlineStr">
        <is>
          <t>Lkw 7,5t Pritsche</t>
        </is>
      </c>
      <c r="C57" s="33" t="inlineStr">
        <is>
          <t>Lkw</t>
        </is>
      </c>
      <c r="D57" s="33" t="n"/>
      <c r="E57" s="33" t="n"/>
      <c r="F57" s="33" t="n"/>
      <c r="G57" s="33" t="n"/>
      <c r="H57" s="33" t="inlineStr">
        <is>
          <t>0350</t>
        </is>
      </c>
      <c r="I57" s="33" t="n"/>
      <c r="J57" s="33" t="n"/>
      <c r="K57" s="34" t="n">
        <v>39406</v>
      </c>
      <c r="L57" s="34" t="n"/>
      <c r="M57" s="34" t="n"/>
      <c r="N57" s="82" t="n"/>
      <c r="O57" s="82" t="n"/>
      <c r="P57" s="33" t="inlineStr">
        <is>
          <t>linear</t>
        </is>
      </c>
      <c r="Q57" s="34" t="n"/>
      <c r="R57" s="83" t="n"/>
      <c r="S57" s="34" t="n"/>
      <c r="T57" s="33" t="n"/>
      <c r="U57" s="83" t="n"/>
      <c r="V57" s="33" t="n"/>
      <c r="W57" s="83" t="n">
        <v>98506</v>
      </c>
      <c r="X57" s="83" t="n">
        <v>0</v>
      </c>
      <c r="Y57" s="83" t="n">
        <v>0</v>
      </c>
      <c r="Z57" s="83" t="n">
        <v>0</v>
      </c>
      <c r="AA57" s="84">
        <f>IF(OR($A57="",COUNT(W57,X57,Z57,Y57)&lt;1),"",W57+X57+Z57-Y57)</f>
        <v/>
      </c>
      <c r="AB57" s="83" t="n"/>
      <c r="AC57" s="83" t="n">
        <v>0</v>
      </c>
      <c r="AD57" s="83" t="n"/>
      <c r="AE57" s="83" t="n"/>
      <c r="AF57" s="83" t="n">
        <v>0</v>
      </c>
      <c r="AG57" s="83" t="n"/>
      <c r="AH57" s="84" t="n">
        <v>98505</v>
      </c>
      <c r="AI57" s="84" t="n">
        <v>1</v>
      </c>
      <c r="AJ57" s="84" t="n">
        <v>1</v>
      </c>
      <c r="AK57" s="83" t="n"/>
      <c r="AL57" s="33" t="n"/>
      <c r="AM57" s="33" t="n"/>
      <c r="AN57" s="83" t="n"/>
      <c r="AO57" s="33" t="n"/>
      <c r="AP57" s="33" t="n"/>
      <c r="AQ57" s="33" t="n"/>
    </row>
    <row r="58">
      <c r="A58" s="33" t="inlineStr">
        <is>
          <t>35a</t>
        </is>
      </c>
      <c r="B58" s="33" t="inlineStr">
        <is>
          <t>Lkw 7,5t Pritsche Zusatzmodul</t>
        </is>
      </c>
      <c r="C58" s="33" t="inlineStr">
        <is>
          <t>Lkw</t>
        </is>
      </c>
      <c r="D58" s="33" t="n"/>
      <c r="E58" s="33" t="n"/>
      <c r="F58" s="33" t="n"/>
      <c r="G58" s="33" t="n"/>
      <c r="H58" s="33" t="inlineStr">
        <is>
          <t>0350</t>
        </is>
      </c>
      <c r="I58" s="33" t="n"/>
      <c r="J58" s="33" t="n"/>
      <c r="K58" s="34" t="n">
        <v>39502</v>
      </c>
      <c r="L58" s="34" t="n"/>
      <c r="M58" s="34" t="n"/>
      <c r="N58" s="82" t="n"/>
      <c r="O58" s="82" t="n"/>
      <c r="P58" s="33" t="inlineStr">
        <is>
          <t>linear</t>
        </is>
      </c>
      <c r="Q58" s="34" t="n"/>
      <c r="R58" s="83" t="n"/>
      <c r="S58" s="34" t="n"/>
      <c r="T58" s="33" t="n"/>
      <c r="U58" s="83" t="n"/>
      <c r="V58" s="33" t="n"/>
      <c r="W58" s="83" t="n">
        <v>25360.16</v>
      </c>
      <c r="X58" s="83" t="n">
        <v>0</v>
      </c>
      <c r="Y58" s="83" t="n">
        <v>0</v>
      </c>
      <c r="Z58" s="83" t="n">
        <v>0</v>
      </c>
      <c r="AA58" s="84">
        <f>IF(OR($A58="",COUNT(W58,X58,Z58,Y58)&lt;1),"",W58+X58+Z58-Y58)</f>
        <v/>
      </c>
      <c r="AB58" s="83" t="n"/>
      <c r="AC58" s="83" t="n">
        <v>0</v>
      </c>
      <c r="AD58" s="83" t="n"/>
      <c r="AE58" s="83" t="n"/>
      <c r="AF58" s="83" t="n">
        <v>0</v>
      </c>
      <c r="AG58" s="83" t="n"/>
      <c r="AH58" s="84" t="n">
        <v>25359.16</v>
      </c>
      <c r="AI58" s="84" t="n">
        <v>1</v>
      </c>
      <c r="AJ58" s="84" t="n">
        <v>1</v>
      </c>
      <c r="AK58" s="83" t="n"/>
      <c r="AL58" s="33" t="n"/>
      <c r="AM58" s="33" t="n"/>
      <c r="AN58" s="83" t="n"/>
      <c r="AO58" s="33" t="n"/>
      <c r="AP58" s="33" t="n"/>
      <c r="AQ58" s="33" t="n"/>
    </row>
    <row r="59">
      <c r="A59" s="33" t="inlineStr">
        <is>
          <t>55</t>
        </is>
      </c>
      <c r="B59" s="33" t="inlineStr">
        <is>
          <t>Sattelzugmaschine</t>
        </is>
      </c>
      <c r="C59" s="33" t="inlineStr">
        <is>
          <t>Lkw</t>
        </is>
      </c>
      <c r="D59" s="33" t="n"/>
      <c r="E59" s="33" t="n"/>
      <c r="F59" s="33" t="n"/>
      <c r="G59" s="33" t="n"/>
      <c r="H59" s="33" t="inlineStr">
        <is>
          <t>0350</t>
        </is>
      </c>
      <c r="I59" s="33" t="n"/>
      <c r="J59" s="33" t="n"/>
      <c r="K59" s="34" t="n">
        <v>40578</v>
      </c>
      <c r="L59" s="34" t="n"/>
      <c r="M59" s="34" t="n"/>
      <c r="N59" s="82" t="n"/>
      <c r="O59" s="82" t="n"/>
      <c r="P59" s="33" t="inlineStr">
        <is>
          <t>linear</t>
        </is>
      </c>
      <c r="Q59" s="34" t="n"/>
      <c r="R59" s="83" t="n"/>
      <c r="S59" s="34" t="n"/>
      <c r="T59" s="33" t="n"/>
      <c r="U59" s="83" t="n"/>
      <c r="V59" s="33" t="n"/>
      <c r="W59" s="83" t="n">
        <v>156983.5</v>
      </c>
      <c r="X59" s="83" t="n">
        <v>0</v>
      </c>
      <c r="Y59" s="83" t="n">
        <v>0</v>
      </c>
      <c r="Z59" s="83" t="n">
        <v>0</v>
      </c>
      <c r="AA59" s="84">
        <f>IF(OR($A59="",COUNT(W59,X59,Z59,Y59)&lt;1),"",W59+X59+Z59-Y59)</f>
        <v/>
      </c>
      <c r="AB59" s="83" t="n"/>
      <c r="AC59" s="83" t="n">
        <v>0</v>
      </c>
      <c r="AD59" s="83" t="n"/>
      <c r="AE59" s="83" t="n"/>
      <c r="AF59" s="83" t="n">
        <v>0</v>
      </c>
      <c r="AG59" s="83" t="n"/>
      <c r="AH59" s="84" t="n">
        <v>156982.5</v>
      </c>
      <c r="AI59" s="84" t="n">
        <v>1</v>
      </c>
      <c r="AJ59" s="84" t="n">
        <v>1</v>
      </c>
      <c r="AK59" s="83" t="n"/>
      <c r="AL59" s="33" t="n"/>
      <c r="AM59" s="33" t="n"/>
      <c r="AN59" s="83" t="n"/>
      <c r="AO59" s="33" t="n"/>
      <c r="AP59" s="33" t="n"/>
      <c r="AQ59" s="33" t="n"/>
    </row>
    <row r="60">
      <c r="A60" s="33" t="inlineStr">
        <is>
          <t>76</t>
        </is>
      </c>
      <c r="B60" s="33" t="inlineStr">
        <is>
          <t>Lkw 7,5t Pritsche Halle 1</t>
        </is>
      </c>
      <c r="C60" s="33" t="inlineStr">
        <is>
          <t>Lkw</t>
        </is>
      </c>
      <c r="D60" s="33" t="n"/>
      <c r="E60" s="33" t="n"/>
      <c r="F60" s="33" t="n"/>
      <c r="G60" s="33" t="n"/>
      <c r="H60" s="33" t="inlineStr">
        <is>
          <t>0350</t>
        </is>
      </c>
      <c r="I60" s="33" t="n"/>
      <c r="J60" s="33" t="n"/>
      <c r="K60" s="34" t="n">
        <v>41257</v>
      </c>
      <c r="L60" s="34" t="n"/>
      <c r="M60" s="34" t="n"/>
      <c r="N60" s="82" t="n"/>
      <c r="O60" s="82" t="n"/>
      <c r="P60" s="33" t="inlineStr">
        <is>
          <t>linear</t>
        </is>
      </c>
      <c r="Q60" s="34" t="n"/>
      <c r="R60" s="83" t="n"/>
      <c r="S60" s="34" t="n"/>
      <c r="T60" s="33" t="n"/>
      <c r="U60" s="83" t="n"/>
      <c r="V60" s="33" t="n"/>
      <c r="W60" s="83" t="n">
        <v>33402.8</v>
      </c>
      <c r="X60" s="83" t="n">
        <v>0</v>
      </c>
      <c r="Y60" s="83" t="n">
        <v>0</v>
      </c>
      <c r="Z60" s="83" t="n">
        <v>0</v>
      </c>
      <c r="AA60" s="84">
        <f>IF(OR($A60="",COUNT(W60,X60,Z60,Y60)&lt;1),"",W60+X60+Z60-Y60)</f>
        <v/>
      </c>
      <c r="AB60" s="83" t="n"/>
      <c r="AC60" s="83" t="n">
        <v>0</v>
      </c>
      <c r="AD60" s="83" t="n"/>
      <c r="AE60" s="83" t="n"/>
      <c r="AF60" s="83" t="n">
        <v>0</v>
      </c>
      <c r="AG60" s="83" t="n"/>
      <c r="AH60" s="84" t="n">
        <v>33401.8</v>
      </c>
      <c r="AI60" s="84" t="n">
        <v>1</v>
      </c>
      <c r="AJ60" s="84" t="n">
        <v>1</v>
      </c>
      <c r="AK60" s="83" t="n"/>
      <c r="AL60" s="33" t="n"/>
      <c r="AM60" s="33" t="n"/>
      <c r="AN60" s="83" t="n"/>
      <c r="AO60" s="33" t="n"/>
      <c r="AP60" s="33" t="n"/>
      <c r="AQ60" s="33" t="n"/>
    </row>
    <row r="61">
      <c r="A61" s="33" t="inlineStr">
        <is>
          <t>91</t>
        </is>
      </c>
      <c r="B61" s="33" t="inlineStr">
        <is>
          <t>Lkw 7,5t Pritsche Typ R923</t>
        </is>
      </c>
      <c r="C61" s="33" t="inlineStr">
        <is>
          <t>Lkw</t>
        </is>
      </c>
      <c r="D61" s="33" t="n"/>
      <c r="E61" s="33" t="n"/>
      <c r="F61" s="33" t="n"/>
      <c r="G61" s="33" t="n"/>
      <c r="H61" s="33" t="inlineStr">
        <is>
          <t>0350</t>
        </is>
      </c>
      <c r="I61" s="33" t="n"/>
      <c r="J61" s="33" t="n"/>
      <c r="K61" s="34" t="n">
        <v>42663</v>
      </c>
      <c r="L61" s="34" t="n"/>
      <c r="M61" s="34" t="n"/>
      <c r="N61" s="82" t="n"/>
      <c r="O61" s="82" t="n"/>
      <c r="P61" s="33" t="inlineStr">
        <is>
          <t>linear</t>
        </is>
      </c>
      <c r="Q61" s="34" t="n"/>
      <c r="R61" s="83" t="n"/>
      <c r="S61" s="34" t="n"/>
      <c r="T61" s="33" t="n"/>
      <c r="U61" s="83" t="n"/>
      <c r="V61" s="33" t="n"/>
      <c r="W61" s="83" t="n">
        <v>141502</v>
      </c>
      <c r="X61" s="83" t="n">
        <v>0</v>
      </c>
      <c r="Y61" s="83" t="n">
        <v>0</v>
      </c>
      <c r="Z61" s="83" t="n">
        <v>0</v>
      </c>
      <c r="AA61" s="84">
        <f>IF(OR($A61="",COUNT(W61,X61,Z61,Y61)&lt;1),"",W61+X61+Z61-Y61)</f>
        <v/>
      </c>
      <c r="AB61" s="83" t="n"/>
      <c r="AC61" s="83" t="n">
        <v>11790.83</v>
      </c>
      <c r="AD61" s="83" t="n"/>
      <c r="AE61" s="83" t="n"/>
      <c r="AF61" s="83" t="n">
        <v>0</v>
      </c>
      <c r="AG61" s="83" t="n"/>
      <c r="AH61" s="84" t="n">
        <v>141501</v>
      </c>
      <c r="AI61" s="84" t="n">
        <v>1</v>
      </c>
      <c r="AJ61" s="84" t="n">
        <v>11791.83</v>
      </c>
      <c r="AK61" s="83" t="n"/>
      <c r="AL61" s="33" t="n"/>
      <c r="AM61" s="33" t="n"/>
      <c r="AN61" s="83" t="n"/>
      <c r="AO61" s="33" t="n"/>
      <c r="AP61" s="33" t="n"/>
      <c r="AQ61" s="33" t="n"/>
    </row>
    <row r="62">
      <c r="A62" s="33" t="inlineStr">
        <is>
          <t>109</t>
        </is>
      </c>
      <c r="B62" s="33" t="inlineStr">
        <is>
          <t>Kastenwagen Halle 5</t>
        </is>
      </c>
      <c r="C62" s="33" t="inlineStr">
        <is>
          <t>Lkw</t>
        </is>
      </c>
      <c r="D62" s="33" t="n"/>
      <c r="E62" s="33" t="n"/>
      <c r="F62" s="33" t="n"/>
      <c r="G62" s="33" t="n"/>
      <c r="H62" s="33" t="inlineStr">
        <is>
          <t>0350</t>
        </is>
      </c>
      <c r="I62" s="33" t="n"/>
      <c r="J62" s="33" t="n"/>
      <c r="K62" s="34" t="n">
        <v>43623</v>
      </c>
      <c r="L62" s="34" t="n"/>
      <c r="M62" s="34" t="n"/>
      <c r="N62" s="82" t="n"/>
      <c r="O62" s="82" t="n"/>
      <c r="P62" s="33" t="inlineStr">
        <is>
          <t>linear</t>
        </is>
      </c>
      <c r="Q62" s="34" t="n"/>
      <c r="R62" s="83" t="n"/>
      <c r="S62" s="34" t="n"/>
      <c r="T62" s="33" t="n"/>
      <c r="U62" s="83" t="n"/>
      <c r="V62" s="33" t="n"/>
      <c r="W62" s="83" t="n">
        <v>41019.66</v>
      </c>
      <c r="X62" s="83" t="n">
        <v>0</v>
      </c>
      <c r="Y62" s="83" t="n">
        <v>0</v>
      </c>
      <c r="Z62" s="83" t="n">
        <v>0</v>
      </c>
      <c r="AA62" s="84">
        <f>IF(OR($A62="",COUNT(W62,X62,Z62,Y62)&lt;1),"",W62+X62+Z62-Y62)</f>
        <v/>
      </c>
      <c r="AB62" s="83" t="n"/>
      <c r="AC62" s="83" t="n">
        <v>4557.74</v>
      </c>
      <c r="AD62" s="83" t="n"/>
      <c r="AE62" s="83" t="n"/>
      <c r="AF62" s="83" t="n">
        <v>0</v>
      </c>
      <c r="AG62" s="83" t="n"/>
      <c r="AH62" s="84" t="n">
        <v>30005.12</v>
      </c>
      <c r="AI62" s="84" t="n">
        <v>11014.54</v>
      </c>
      <c r="AJ62" s="84" t="n">
        <v>15572.28</v>
      </c>
      <c r="AK62" s="83" t="n"/>
      <c r="AL62" s="33" t="n"/>
      <c r="AM62" s="33" t="n"/>
      <c r="AN62" s="83" t="n"/>
      <c r="AO62" s="33" t="n"/>
      <c r="AP62" s="33" t="n"/>
      <c r="AQ62" s="33" t="n"/>
    </row>
    <row r="63">
      <c r="A63" s="33" t="inlineStr">
        <is>
          <t>123</t>
        </is>
      </c>
      <c r="B63" s="33" t="inlineStr">
        <is>
          <t>Sattelzugmaschine (gebraucht)</t>
        </is>
      </c>
      <c r="C63" s="33" t="inlineStr">
        <is>
          <t>Lkw</t>
        </is>
      </c>
      <c r="D63" s="33" t="n"/>
      <c r="E63" s="33" t="n"/>
      <c r="F63" s="33" t="n"/>
      <c r="G63" s="33" t="n"/>
      <c r="H63" s="33" t="inlineStr">
        <is>
          <t>0350</t>
        </is>
      </c>
      <c r="I63" s="33" t="n"/>
      <c r="J63" s="33" t="n"/>
      <c r="K63" s="34" t="n">
        <v>44264</v>
      </c>
      <c r="L63" s="34" t="n"/>
      <c r="M63" s="34" t="n"/>
      <c r="N63" s="82" t="n"/>
      <c r="O63" s="82" t="n"/>
      <c r="P63" s="33" t="inlineStr">
        <is>
          <t>linear</t>
        </is>
      </c>
      <c r="Q63" s="34" t="n"/>
      <c r="R63" s="83" t="n"/>
      <c r="S63" s="34" t="n"/>
      <c r="T63" s="33" t="n"/>
      <c r="U63" s="83" t="n"/>
      <c r="V63" s="33" t="n"/>
      <c r="W63" s="83" t="n">
        <v>150436</v>
      </c>
      <c r="X63" s="83" t="n">
        <v>0</v>
      </c>
      <c r="Y63" s="83" t="n">
        <v>0</v>
      </c>
      <c r="Z63" s="83" t="n">
        <v>0</v>
      </c>
      <c r="AA63" s="84">
        <f>IF(OR($A63="",COUNT(W63,X63,Z63,Y63)&lt;1),"",W63+X63+Z63-Y63)</f>
        <v/>
      </c>
      <c r="AB63" s="83" t="n"/>
      <c r="AC63" s="83" t="n">
        <v>16715.11</v>
      </c>
      <c r="AD63" s="83" t="n"/>
      <c r="AE63" s="83" t="n"/>
      <c r="AF63" s="83" t="n">
        <v>0</v>
      </c>
      <c r="AG63" s="83" t="n"/>
      <c r="AH63" s="84" t="n">
        <v>80789.7</v>
      </c>
      <c r="AI63" s="84" t="n">
        <v>69646.3</v>
      </c>
      <c r="AJ63" s="84" t="n">
        <v>86361.41</v>
      </c>
      <c r="AK63" s="83" t="n"/>
      <c r="AL63" s="33" t="n"/>
      <c r="AM63" s="33" t="n"/>
      <c r="AN63" s="83" t="n"/>
      <c r="AO63" s="33" t="n"/>
      <c r="AP63" s="33" t="n"/>
      <c r="AQ63" s="33" t="n"/>
    </row>
    <row r="64">
      <c r="A64" s="33" t="inlineStr">
        <is>
          <t>129</t>
        </is>
      </c>
      <c r="B64" s="33" t="inlineStr">
        <is>
          <t>Kastenwagen (gebraucht)</t>
        </is>
      </c>
      <c r="C64" s="33" t="inlineStr">
        <is>
          <t>Lkw</t>
        </is>
      </c>
      <c r="D64" s="33" t="n"/>
      <c r="E64" s="33" t="n"/>
      <c r="F64" s="33" t="n"/>
      <c r="G64" s="33" t="n"/>
      <c r="H64" s="33" t="inlineStr">
        <is>
          <t>0350</t>
        </is>
      </c>
      <c r="I64" s="33" t="n"/>
      <c r="J64" s="33" t="n"/>
      <c r="K64" s="34" t="n">
        <v>44783</v>
      </c>
      <c r="L64" s="34" t="n"/>
      <c r="M64" s="34" t="n"/>
      <c r="N64" s="82" t="n"/>
      <c r="O64" s="82" t="n"/>
      <c r="P64" s="33" t="inlineStr">
        <is>
          <t>linear</t>
        </is>
      </c>
      <c r="Q64" s="34" t="n"/>
      <c r="R64" s="83" t="n"/>
      <c r="S64" s="34" t="n"/>
      <c r="T64" s="33" t="n"/>
      <c r="U64" s="83" t="n"/>
      <c r="V64" s="33" t="n"/>
      <c r="W64" s="83" t="n">
        <v>32674.77</v>
      </c>
      <c r="X64" s="83" t="n">
        <v>0</v>
      </c>
      <c r="Y64" s="83" t="n">
        <v>0</v>
      </c>
      <c r="Z64" s="83" t="n">
        <v>0</v>
      </c>
      <c r="AA64" s="84">
        <f>IF(OR($A64="",COUNT(W64,X64,Z64,Y64)&lt;1),"",W64+X64+Z64-Y64)</f>
        <v/>
      </c>
      <c r="AB64" s="83" t="n"/>
      <c r="AC64" s="83" t="n">
        <v>3630.53</v>
      </c>
      <c r="AD64" s="83" t="n"/>
      <c r="AE64" s="83" t="n"/>
      <c r="AF64" s="83" t="n">
        <v>0</v>
      </c>
      <c r="AG64" s="83" t="n"/>
      <c r="AH64" s="84" t="n">
        <v>12404.31</v>
      </c>
      <c r="AI64" s="84" t="n">
        <v>20270.46</v>
      </c>
      <c r="AJ64" s="84" t="n">
        <v>23900.99</v>
      </c>
      <c r="AK64" s="83" t="n"/>
      <c r="AL64" s="33" t="n"/>
      <c r="AM64" s="33" t="n"/>
      <c r="AN64" s="83" t="n"/>
      <c r="AO64" s="33" t="n"/>
      <c r="AP64" s="33" t="n"/>
      <c r="AQ64" s="33" t="n"/>
    </row>
    <row r="65">
      <c r="A65" s="33" t="inlineStr">
        <is>
          <t>132</t>
        </is>
      </c>
      <c r="B65" s="33" t="inlineStr">
        <is>
          <t>Kastenwagen Nr. 4</t>
        </is>
      </c>
      <c r="C65" s="33" t="inlineStr">
        <is>
          <t>Lkw</t>
        </is>
      </c>
      <c r="D65" s="33" t="n"/>
      <c r="E65" s="33" t="n"/>
      <c r="F65" s="33" t="n"/>
      <c r="G65" s="33" t="n"/>
      <c r="H65" s="33" t="inlineStr">
        <is>
          <t>0350</t>
        </is>
      </c>
      <c r="I65" s="33" t="n"/>
      <c r="J65" s="33" t="n"/>
      <c r="K65" s="34" t="n">
        <v>45091</v>
      </c>
      <c r="L65" s="34" t="n"/>
      <c r="M65" s="34" t="n"/>
      <c r="N65" s="82" t="n"/>
      <c r="O65" s="82" t="n"/>
      <c r="P65" s="33" t="inlineStr">
        <is>
          <t>linear</t>
        </is>
      </c>
      <c r="Q65" s="34" t="n"/>
      <c r="R65" s="83" t="n"/>
      <c r="S65" s="34" t="n"/>
      <c r="T65" s="33" t="n"/>
      <c r="U65" s="83" t="n"/>
      <c r="V65" s="33" t="n"/>
      <c r="W65" s="83" t="n">
        <v>59058.94</v>
      </c>
      <c r="X65" s="83" t="n">
        <v>0</v>
      </c>
      <c r="Y65" s="83" t="n">
        <v>0</v>
      </c>
      <c r="Z65" s="83" t="n">
        <v>0</v>
      </c>
      <c r="AA65" s="84">
        <f>IF(OR($A65="",COUNT(W65,X65,Z65,Y65)&lt;1),"",W65+X65+Z65-Y65)</f>
        <v/>
      </c>
      <c r="AB65" s="83" t="n"/>
      <c r="AC65" s="83" t="n">
        <v>6562.1</v>
      </c>
      <c r="AD65" s="83" t="n"/>
      <c r="AE65" s="83" t="n"/>
      <c r="AF65" s="83" t="n">
        <v>0</v>
      </c>
      <c r="AG65" s="83" t="n"/>
      <c r="AH65" s="84" t="n">
        <v>16952.1</v>
      </c>
      <c r="AI65" s="84" t="n">
        <v>42106.84</v>
      </c>
      <c r="AJ65" s="84" t="n">
        <v>48668.94</v>
      </c>
      <c r="AK65" s="83" t="n"/>
      <c r="AL65" s="33" t="n"/>
      <c r="AM65" s="33" t="n"/>
      <c r="AN65" s="83" t="n"/>
      <c r="AO65" s="33" t="n"/>
      <c r="AP65" s="33" t="n"/>
      <c r="AQ65" s="33" t="n"/>
    </row>
    <row r="66">
      <c r="A66" s="33" t="inlineStr">
        <is>
          <t>136</t>
        </is>
      </c>
      <c r="B66" s="33" t="inlineStr">
        <is>
          <t>Kastenwagen Halle 1</t>
        </is>
      </c>
      <c r="C66" s="33" t="inlineStr">
        <is>
          <t>Lkw</t>
        </is>
      </c>
      <c r="D66" s="33" t="n"/>
      <c r="E66" s="33" t="n"/>
      <c r="F66" s="33" t="n"/>
      <c r="G66" s="33" t="n"/>
      <c r="H66" s="33" t="inlineStr">
        <is>
          <t>0350</t>
        </is>
      </c>
      <c r="I66" s="33" t="n"/>
      <c r="J66" s="33" t="n"/>
      <c r="K66" s="34" t="n">
        <v>45266</v>
      </c>
      <c r="L66" s="34" t="n"/>
      <c r="M66" s="34" t="n"/>
      <c r="N66" s="82" t="n"/>
      <c r="O66" s="82" t="n"/>
      <c r="P66" s="33" t="inlineStr">
        <is>
          <t>linear</t>
        </is>
      </c>
      <c r="Q66" s="34" t="n"/>
      <c r="R66" s="83" t="n"/>
      <c r="S66" s="34" t="n"/>
      <c r="T66" s="33" t="n"/>
      <c r="U66" s="83" t="n"/>
      <c r="V66" s="33" t="n"/>
      <c r="W66" s="83" t="n">
        <v>156596</v>
      </c>
      <c r="X66" s="83" t="n">
        <v>0</v>
      </c>
      <c r="Y66" s="83" t="n">
        <v>0</v>
      </c>
      <c r="Z66" s="83" t="n">
        <v>0</v>
      </c>
      <c r="AA66" s="84">
        <f>IF(OR($A66="",COUNT(W66,X66,Z66,Y66)&lt;1),"",W66+X66+Z66-Y66)</f>
        <v/>
      </c>
      <c r="AB66" s="83" t="n"/>
      <c r="AC66" s="83" t="n">
        <v>17399.55</v>
      </c>
      <c r="AD66" s="83" t="n"/>
      <c r="AE66" s="83" t="n"/>
      <c r="AF66" s="83" t="n">
        <v>0</v>
      </c>
      <c r="AG66" s="83" t="n"/>
      <c r="AH66" s="84" t="n">
        <v>36249.07</v>
      </c>
      <c r="AI66" s="84" t="n">
        <v>120346.93</v>
      </c>
      <c r="AJ66" s="84" t="n">
        <v>137746.48</v>
      </c>
      <c r="AK66" s="83" t="n"/>
      <c r="AL66" s="33" t="n"/>
      <c r="AM66" s="33" t="n"/>
      <c r="AN66" s="83" t="n"/>
      <c r="AO66" s="33" t="n"/>
      <c r="AP66" s="33" t="n"/>
      <c r="AQ66" s="33" t="n"/>
    </row>
    <row r="67">
      <c r="A67" s="33" t="inlineStr">
        <is>
          <t>221</t>
        </is>
      </c>
      <c r="B67" s="33" t="inlineStr">
        <is>
          <t>Sattelzugmaschine Nr. 2</t>
        </is>
      </c>
      <c r="C67" s="33" t="inlineStr">
        <is>
          <t>Lkw</t>
        </is>
      </c>
      <c r="D67" s="33" t="n"/>
      <c r="E67" s="33" t="n"/>
      <c r="F67" s="33" t="n"/>
      <c r="G67" s="33" t="n"/>
      <c r="H67" s="33" t="inlineStr">
        <is>
          <t>0350</t>
        </is>
      </c>
      <c r="I67" s="33" t="n"/>
      <c r="J67" s="33" t="n"/>
      <c r="K67" s="34" t="n">
        <v>45945</v>
      </c>
      <c r="L67" s="34" t="n"/>
      <c r="M67" s="34" t="n"/>
      <c r="N67" s="82" t="n"/>
      <c r="O67" s="82" t="n"/>
      <c r="P67" s="33" t="inlineStr">
        <is>
          <t>linear</t>
        </is>
      </c>
      <c r="Q67" s="34" t="n"/>
      <c r="R67" s="83" t="n"/>
      <c r="S67" s="34" t="n"/>
      <c r="T67" s="33" t="n"/>
      <c r="U67" s="83" t="n"/>
      <c r="V67" s="33" t="n"/>
      <c r="W67" s="83" t="n">
        <v>0</v>
      </c>
      <c r="X67" s="83" t="n">
        <v>86171</v>
      </c>
      <c r="Y67" s="83" t="n">
        <v>0</v>
      </c>
      <c r="Z67" s="83" t="n">
        <v>0</v>
      </c>
      <c r="AA67" s="84">
        <f>IF(OR($A67="",COUNT(W67,X67,Z67,Y67)&lt;1),"",W67+X67+Z67-Y67)</f>
        <v/>
      </c>
      <c r="AB67" s="83" t="n"/>
      <c r="AC67" s="83" t="n">
        <v>2393.64</v>
      </c>
      <c r="AD67" s="83" t="n"/>
      <c r="AE67" s="83" t="n"/>
      <c r="AF67" s="83" t="n">
        <v>0</v>
      </c>
      <c r="AG67" s="83" t="n"/>
      <c r="AH67" s="84" t="n">
        <v>2393.64</v>
      </c>
      <c r="AI67" s="84" t="n">
        <v>83777.36</v>
      </c>
      <c r="AJ67" s="84" t="n">
        <v>0</v>
      </c>
      <c r="AK67" s="83" t="n"/>
      <c r="AL67" s="33" t="n"/>
      <c r="AM67" s="33" t="n"/>
      <c r="AN67" s="83" t="n"/>
      <c r="AO67" s="33" t="n"/>
      <c r="AP67" s="33" t="n"/>
      <c r="AQ67" s="33" t="n"/>
    </row>
    <row r="68">
      <c r="A68" s="33" t="inlineStr">
        <is>
          <t>40</t>
        </is>
      </c>
      <c r="B68" s="33" t="inlineStr">
        <is>
          <t>Elektro-Hubwagen</t>
        </is>
      </c>
      <c r="C68" s="33" t="inlineStr">
        <is>
          <t>Betriebsausstattung</t>
        </is>
      </c>
      <c r="D68" s="33" t="n"/>
      <c r="E68" s="33" t="n"/>
      <c r="F68" s="33" t="n"/>
      <c r="G68" s="33" t="n"/>
      <c r="H68" s="33" t="inlineStr">
        <is>
          <t>0400</t>
        </is>
      </c>
      <c r="I68" s="33" t="n"/>
      <c r="J68" s="33" t="n"/>
      <c r="K68" s="34" t="n">
        <v>39891</v>
      </c>
      <c r="L68" s="34" t="n"/>
      <c r="M68" s="34" t="n"/>
      <c r="N68" s="82" t="n"/>
      <c r="O68" s="82" t="n"/>
      <c r="P68" s="33" t="inlineStr">
        <is>
          <t>linear</t>
        </is>
      </c>
      <c r="Q68" s="34" t="n"/>
      <c r="R68" s="83" t="n"/>
      <c r="S68" s="34" t="n"/>
      <c r="T68" s="33" t="n"/>
      <c r="U68" s="83" t="n"/>
      <c r="V68" s="33" t="n"/>
      <c r="W68" s="83" t="n">
        <v>879</v>
      </c>
      <c r="X68" s="83" t="n">
        <v>0</v>
      </c>
      <c r="Y68" s="83" t="n">
        <v>0</v>
      </c>
      <c r="Z68" s="83" t="n">
        <v>0</v>
      </c>
      <c r="AA68" s="84">
        <f>IF(OR($A68="",COUNT(W68,X68,Z68,Y68)&lt;1),"",W68+X68+Z68-Y68)</f>
        <v/>
      </c>
      <c r="AB68" s="83" t="n"/>
      <c r="AC68" s="83" t="n">
        <v>0</v>
      </c>
      <c r="AD68" s="83" t="n"/>
      <c r="AE68" s="83" t="n"/>
      <c r="AF68" s="83" t="n">
        <v>0</v>
      </c>
      <c r="AG68" s="83" t="n"/>
      <c r="AH68" s="84" t="n">
        <v>878</v>
      </c>
      <c r="AI68" s="84" t="n">
        <v>1</v>
      </c>
      <c r="AJ68" s="84" t="n">
        <v>1</v>
      </c>
      <c r="AK68" s="83" t="n"/>
      <c r="AL68" s="33" t="n"/>
      <c r="AM68" s="33" t="n"/>
      <c r="AN68" s="83" t="n"/>
      <c r="AO68" s="33" t="n"/>
      <c r="AP68" s="33" t="n"/>
      <c r="AQ68" s="33" t="n"/>
    </row>
    <row r="69">
      <c r="A69" s="33" t="inlineStr">
        <is>
          <t>40a</t>
        </is>
      </c>
      <c r="B69" s="33" t="inlineStr">
        <is>
          <t>Elektro-Hubwagen Zusatzmodul</t>
        </is>
      </c>
      <c r="C69" s="33" t="inlineStr">
        <is>
          <t>Betriebsausstattung</t>
        </is>
      </c>
      <c r="D69" s="33" t="n"/>
      <c r="E69" s="33" t="n"/>
      <c r="F69" s="33" t="n"/>
      <c r="G69" s="33" t="n"/>
      <c r="H69" s="33" t="inlineStr">
        <is>
          <t>0400</t>
        </is>
      </c>
      <c r="I69" s="33" t="n"/>
      <c r="J69" s="33" t="n"/>
      <c r="K69" s="34" t="n">
        <v>43379</v>
      </c>
      <c r="L69" s="34" t="n"/>
      <c r="M69" s="34" t="n"/>
      <c r="N69" s="82" t="n"/>
      <c r="O69" s="82" t="n"/>
      <c r="P69" s="33" t="inlineStr">
        <is>
          <t>linear</t>
        </is>
      </c>
      <c r="Q69" s="34" t="n"/>
      <c r="R69" s="83" t="n"/>
      <c r="S69" s="34" t="n"/>
      <c r="T69" s="33" t="n"/>
      <c r="U69" s="83" t="n"/>
      <c r="V69" s="33" t="n"/>
      <c r="W69" s="83" t="n">
        <v>166.09</v>
      </c>
      <c r="X69" s="83" t="n">
        <v>0</v>
      </c>
      <c r="Y69" s="83" t="n">
        <v>0</v>
      </c>
      <c r="Z69" s="83" t="n">
        <v>0</v>
      </c>
      <c r="AA69" s="84">
        <f>IF(OR($A69="",COUNT(W69,X69,Z69,Y69)&lt;1),"",W69+X69+Z69-Y69)</f>
        <v/>
      </c>
      <c r="AB69" s="83" t="n"/>
      <c r="AC69" s="83" t="n">
        <v>0</v>
      </c>
      <c r="AD69" s="83" t="n"/>
      <c r="AE69" s="83" t="n"/>
      <c r="AF69" s="83" t="n">
        <v>0</v>
      </c>
      <c r="AG69" s="83" t="n"/>
      <c r="AH69" s="84" t="n">
        <v>165.09</v>
      </c>
      <c r="AI69" s="84" t="n">
        <v>1</v>
      </c>
      <c r="AJ69" s="84" t="n">
        <v>1</v>
      </c>
      <c r="AK69" s="83" t="n"/>
      <c r="AL69" s="33" t="n"/>
      <c r="AM69" s="33" t="n"/>
      <c r="AN69" s="83" t="n"/>
      <c r="AO69" s="33" t="n"/>
      <c r="AP69" s="33" t="n"/>
      <c r="AQ69" s="33" t="n"/>
    </row>
    <row r="70">
      <c r="A70" s="33" t="inlineStr">
        <is>
          <t>52</t>
        </is>
      </c>
      <c r="B70" s="33" t="inlineStr">
        <is>
          <t>Palettenregal</t>
        </is>
      </c>
      <c r="C70" s="33" t="inlineStr">
        <is>
          <t>Betriebsausstattung</t>
        </is>
      </c>
      <c r="D70" s="33" t="n"/>
      <c r="E70" s="33" t="n"/>
      <c r="F70" s="33" t="n"/>
      <c r="G70" s="33" t="n"/>
      <c r="H70" s="33" t="inlineStr">
        <is>
          <t>0400</t>
        </is>
      </c>
      <c r="I70" s="33" t="n"/>
      <c r="J70" s="33" t="n"/>
      <c r="K70" s="34" t="n">
        <v>40292</v>
      </c>
      <c r="L70" s="34" t="n"/>
      <c r="M70" s="34" t="n"/>
      <c r="N70" s="82" t="n"/>
      <c r="O70" s="82" t="n"/>
      <c r="P70" s="33" t="inlineStr">
        <is>
          <t>linear</t>
        </is>
      </c>
      <c r="Q70" s="34" t="n"/>
      <c r="R70" s="83" t="n"/>
      <c r="S70" s="34" t="n"/>
      <c r="T70" s="33" t="n"/>
      <c r="U70" s="83" t="n"/>
      <c r="V70" s="33" t="n"/>
      <c r="W70" s="83" t="n">
        <v>3999</v>
      </c>
      <c r="X70" s="83" t="n">
        <v>0</v>
      </c>
      <c r="Y70" s="83" t="n">
        <v>0</v>
      </c>
      <c r="Z70" s="83" t="n">
        <v>0</v>
      </c>
      <c r="AA70" s="84">
        <f>IF(OR($A70="",COUNT(W70,X70,Z70,Y70)&lt;1),"",W70+X70+Z70-Y70)</f>
        <v/>
      </c>
      <c r="AB70" s="83" t="n"/>
      <c r="AC70" s="83" t="n">
        <v>0</v>
      </c>
      <c r="AD70" s="83" t="n"/>
      <c r="AE70" s="83" t="n"/>
      <c r="AF70" s="83" t="n">
        <v>0</v>
      </c>
      <c r="AG70" s="83" t="n"/>
      <c r="AH70" s="84" t="n">
        <v>3998</v>
      </c>
      <c r="AI70" s="84" t="n">
        <v>1</v>
      </c>
      <c r="AJ70" s="84" t="n">
        <v>1</v>
      </c>
      <c r="AK70" s="83" t="n"/>
      <c r="AL70" s="33" t="n"/>
      <c r="AM70" s="33" t="n"/>
      <c r="AN70" s="83" t="n"/>
      <c r="AO70" s="33" t="n"/>
      <c r="AP70" s="33" t="n"/>
      <c r="AQ70" s="33" t="n"/>
    </row>
    <row r="71">
      <c r="A71" s="33" t="inlineStr">
        <is>
          <t>53</t>
        </is>
      </c>
      <c r="B71" s="33" t="inlineStr">
        <is>
          <t>Elektro-Hubwagen (gebraucht)</t>
        </is>
      </c>
      <c r="C71" s="33" t="inlineStr">
        <is>
          <t>Betriebsausstattung</t>
        </is>
      </c>
      <c r="D71" s="33" t="n"/>
      <c r="E71" s="33" t="n"/>
      <c r="F71" s="33" t="n"/>
      <c r="G71" s="33" t="n"/>
      <c r="H71" s="33" t="inlineStr">
        <is>
          <t>0400</t>
        </is>
      </c>
      <c r="I71" s="33" t="n"/>
      <c r="J71" s="33" t="n"/>
      <c r="K71" s="34" t="n">
        <v>40505</v>
      </c>
      <c r="L71" s="34" t="n"/>
      <c r="M71" s="34" t="n"/>
      <c r="N71" s="82" t="n"/>
      <c r="O71" s="82" t="n"/>
      <c r="P71" s="33" t="inlineStr">
        <is>
          <t>linear</t>
        </is>
      </c>
      <c r="Q71" s="34" t="n"/>
      <c r="R71" s="83" t="n"/>
      <c r="S71" s="34" t="n"/>
      <c r="T71" s="33" t="n"/>
      <c r="U71" s="83" t="n"/>
      <c r="V71" s="33" t="n"/>
      <c r="W71" s="83" t="n">
        <v>3748</v>
      </c>
      <c r="X71" s="83" t="n">
        <v>0</v>
      </c>
      <c r="Y71" s="83" t="n">
        <v>0</v>
      </c>
      <c r="Z71" s="83" t="n">
        <v>0</v>
      </c>
      <c r="AA71" s="84">
        <f>IF(OR($A71="",COUNT(W71,X71,Z71,Y71)&lt;1),"",W71+X71+Z71-Y71)</f>
        <v/>
      </c>
      <c r="AB71" s="83" t="n"/>
      <c r="AC71" s="83" t="n">
        <v>0</v>
      </c>
      <c r="AD71" s="83" t="n"/>
      <c r="AE71" s="83" t="n"/>
      <c r="AF71" s="83" t="n">
        <v>0</v>
      </c>
      <c r="AG71" s="83" t="n"/>
      <c r="AH71" s="84" t="n">
        <v>3747</v>
      </c>
      <c r="AI71" s="84" t="n">
        <v>1</v>
      </c>
      <c r="AJ71" s="84" t="n">
        <v>1</v>
      </c>
      <c r="AK71" s="83" t="n"/>
      <c r="AL71" s="33" t="n"/>
      <c r="AM71" s="33" t="n"/>
      <c r="AN71" s="83" t="n"/>
      <c r="AO71" s="33" t="n"/>
      <c r="AP71" s="33" t="n"/>
      <c r="AQ71" s="33" t="n"/>
    </row>
    <row r="72">
      <c r="A72" s="33" t="inlineStr">
        <is>
          <t>66</t>
        </is>
      </c>
      <c r="B72" s="33" t="inlineStr">
        <is>
          <t>Elektro-Hubwagen Halle 3</t>
        </is>
      </c>
      <c r="C72" s="33" t="inlineStr">
        <is>
          <t>Betriebsausstattung</t>
        </is>
      </c>
      <c r="D72" s="33" t="n"/>
      <c r="E72" s="33" t="n"/>
      <c r="F72" s="33" t="n"/>
      <c r="G72" s="33" t="n"/>
      <c r="H72" s="33" t="inlineStr">
        <is>
          <t>0400</t>
        </is>
      </c>
      <c r="I72" s="33" t="n"/>
      <c r="J72" s="33" t="n"/>
      <c r="K72" s="34" t="n">
        <v>41194</v>
      </c>
      <c r="L72" s="34" t="n"/>
      <c r="M72" s="34" t="n"/>
      <c r="N72" s="82" t="n"/>
      <c r="O72" s="82" t="n"/>
      <c r="P72" s="33" t="inlineStr">
        <is>
          <t>linear</t>
        </is>
      </c>
      <c r="Q72" s="34" t="n"/>
      <c r="R72" s="83" t="n"/>
      <c r="S72" s="34" t="n"/>
      <c r="T72" s="33" t="n"/>
      <c r="U72" s="83" t="n"/>
      <c r="V72" s="33" t="n"/>
      <c r="W72" s="83" t="n">
        <v>3869</v>
      </c>
      <c r="X72" s="83" t="n">
        <v>0</v>
      </c>
      <c r="Y72" s="83" t="n">
        <v>0</v>
      </c>
      <c r="Z72" s="83" t="n">
        <v>0</v>
      </c>
      <c r="AA72" s="84">
        <f>IF(OR($A72="",COUNT(W72,X72,Z72,Y72)&lt;1),"",W72+X72+Z72-Y72)</f>
        <v/>
      </c>
      <c r="AB72" s="83" t="n"/>
      <c r="AC72" s="83" t="n">
        <v>0</v>
      </c>
      <c r="AD72" s="83" t="n"/>
      <c r="AE72" s="83" t="n"/>
      <c r="AF72" s="83" t="n">
        <v>0</v>
      </c>
      <c r="AG72" s="83" t="n"/>
      <c r="AH72" s="84" t="n">
        <v>3868</v>
      </c>
      <c r="AI72" s="84" t="n">
        <v>1</v>
      </c>
      <c r="AJ72" s="84" t="n">
        <v>1</v>
      </c>
      <c r="AK72" s="83" t="n"/>
      <c r="AL72" s="33" t="n"/>
      <c r="AM72" s="33" t="n"/>
      <c r="AN72" s="83" t="n"/>
      <c r="AO72" s="33" t="n"/>
      <c r="AP72" s="33" t="n"/>
      <c r="AQ72" s="33" t="n"/>
    </row>
    <row r="73">
      <c r="A73" s="33" t="inlineStr">
        <is>
          <t>98</t>
        </is>
      </c>
      <c r="B73" s="33" t="inlineStr">
        <is>
          <t>Palettenregal</t>
        </is>
      </c>
      <c r="C73" s="33" t="inlineStr">
        <is>
          <t>Betriebsausstattung</t>
        </is>
      </c>
      <c r="D73" s="33" t="n"/>
      <c r="E73" s="33" t="n"/>
      <c r="F73" s="33" t="n"/>
      <c r="G73" s="33" t="n"/>
      <c r="H73" s="33" t="inlineStr">
        <is>
          <t>0400</t>
        </is>
      </c>
      <c r="I73" s="33" t="n"/>
      <c r="J73" s="33" t="n"/>
      <c r="K73" s="34" t="n">
        <v>43191</v>
      </c>
      <c r="L73" s="34" t="n"/>
      <c r="M73" s="34" t="n"/>
      <c r="N73" s="82" t="n"/>
      <c r="O73" s="82" t="n"/>
      <c r="P73" s="33" t="inlineStr">
        <is>
          <t>linear</t>
        </is>
      </c>
      <c r="Q73" s="34" t="n"/>
      <c r="R73" s="83" t="n"/>
      <c r="S73" s="34" t="n"/>
      <c r="T73" s="33" t="n"/>
      <c r="U73" s="83" t="n"/>
      <c r="V73" s="33" t="n"/>
      <c r="W73" s="83" t="n">
        <v>52732</v>
      </c>
      <c r="X73" s="83" t="n">
        <v>0</v>
      </c>
      <c r="Y73" s="83" t="n">
        <v>0</v>
      </c>
      <c r="Z73" s="83" t="n">
        <v>0</v>
      </c>
      <c r="AA73" s="84">
        <f>IF(OR($A73="",COUNT(W73,X73,Z73,Y73)&lt;1),"",W73+X73+Z73-Y73)</f>
        <v/>
      </c>
      <c r="AB73" s="83" t="n"/>
      <c r="AC73" s="83" t="n">
        <v>0</v>
      </c>
      <c r="AD73" s="83" t="n"/>
      <c r="AE73" s="83" t="n"/>
      <c r="AF73" s="83" t="n">
        <v>0</v>
      </c>
      <c r="AG73" s="83" t="n"/>
      <c r="AH73" s="84" t="n">
        <v>52731</v>
      </c>
      <c r="AI73" s="84" t="n">
        <v>1</v>
      </c>
      <c r="AJ73" s="84" t="n">
        <v>1</v>
      </c>
      <c r="AK73" s="83" t="n"/>
      <c r="AL73" s="33" t="n"/>
      <c r="AM73" s="33" t="n"/>
      <c r="AN73" s="83" t="n"/>
      <c r="AO73" s="33" t="n"/>
      <c r="AP73" s="33" t="n"/>
      <c r="AQ73" s="33" t="n"/>
    </row>
    <row r="74">
      <c r="A74" s="33" t="inlineStr">
        <is>
          <t>102</t>
        </is>
      </c>
      <c r="B74" s="33" t="inlineStr">
        <is>
          <t>Werkbank Nr. 7</t>
        </is>
      </c>
      <c r="C74" s="33" t="inlineStr">
        <is>
          <t>Betriebsausstattung</t>
        </is>
      </c>
      <c r="D74" s="33" t="n"/>
      <c r="E74" s="33" t="n"/>
      <c r="F74" s="33" t="n"/>
      <c r="G74" s="33" t="n"/>
      <c r="H74" s="33" t="inlineStr">
        <is>
          <t>0400</t>
        </is>
      </c>
      <c r="I74" s="33" t="n"/>
      <c r="J74" s="33" t="n"/>
      <c r="K74" s="34" t="n">
        <v>43283</v>
      </c>
      <c r="L74" s="34" t="n"/>
      <c r="M74" s="34" t="n"/>
      <c r="N74" s="82" t="n"/>
      <c r="O74" s="82" t="n"/>
      <c r="P74" s="33" t="inlineStr">
        <is>
          <t>linear</t>
        </is>
      </c>
      <c r="Q74" s="34" t="n"/>
      <c r="R74" s="83" t="n"/>
      <c r="S74" s="34" t="n"/>
      <c r="T74" s="33" t="n"/>
      <c r="U74" s="83" t="n"/>
      <c r="V74" s="33" t="n"/>
      <c r="W74" s="83" t="n">
        <v>11796</v>
      </c>
      <c r="X74" s="83" t="n">
        <v>0</v>
      </c>
      <c r="Y74" s="83" t="n">
        <v>0</v>
      </c>
      <c r="Z74" s="83" t="n">
        <v>0</v>
      </c>
      <c r="AA74" s="84">
        <f>IF(OR($A74="",COUNT(W74,X74,Z74,Y74)&lt;1),"",W74+X74+Z74-Y74)</f>
        <v/>
      </c>
      <c r="AB74" s="83" t="n"/>
      <c r="AC74" s="83" t="n">
        <v>0</v>
      </c>
      <c r="AD74" s="83" t="n"/>
      <c r="AE74" s="83" t="n"/>
      <c r="AF74" s="83" t="n">
        <v>0</v>
      </c>
      <c r="AG74" s="83" t="n"/>
      <c r="AH74" s="84" t="n">
        <v>11795</v>
      </c>
      <c r="AI74" s="84" t="n">
        <v>1</v>
      </c>
      <c r="AJ74" s="84" t="n">
        <v>1</v>
      </c>
      <c r="AK74" s="83" t="n"/>
      <c r="AL74" s="33" t="n"/>
      <c r="AM74" s="33" t="n"/>
      <c r="AN74" s="83" t="n"/>
      <c r="AO74" s="33" t="n"/>
      <c r="AP74" s="33" t="n"/>
      <c r="AQ74" s="33" t="n"/>
    </row>
    <row r="75">
      <c r="A75" s="33" t="inlineStr">
        <is>
          <t>102a</t>
        </is>
      </c>
      <c r="B75" s="33" t="inlineStr">
        <is>
          <t>Werkbank Nr. 7 Erweiterung</t>
        </is>
      </c>
      <c r="C75" s="33" t="inlineStr">
        <is>
          <t>Betriebsausstattung</t>
        </is>
      </c>
      <c r="D75" s="33" t="n"/>
      <c r="E75" s="33" t="n"/>
      <c r="F75" s="33" t="n"/>
      <c r="G75" s="33" t="n"/>
      <c r="H75" s="33" t="inlineStr">
        <is>
          <t>0400</t>
        </is>
      </c>
      <c r="I75" s="33" t="n"/>
      <c r="J75" s="33" t="n"/>
      <c r="K75" s="34" t="n">
        <v>44220</v>
      </c>
      <c r="L75" s="34" t="n"/>
      <c r="M75" s="34" t="n"/>
      <c r="N75" s="82" t="n"/>
      <c r="O75" s="82" t="n"/>
      <c r="P75" s="33" t="inlineStr">
        <is>
          <t>linear</t>
        </is>
      </c>
      <c r="Q75" s="34" t="n"/>
      <c r="R75" s="83" t="n"/>
      <c r="S75" s="34" t="n"/>
      <c r="T75" s="33" t="n"/>
      <c r="U75" s="83" t="n"/>
      <c r="V75" s="33" t="n"/>
      <c r="W75" s="83" t="n">
        <v>3124.75</v>
      </c>
      <c r="X75" s="83" t="n">
        <v>0</v>
      </c>
      <c r="Y75" s="83" t="n">
        <v>0</v>
      </c>
      <c r="Z75" s="83" t="n">
        <v>0</v>
      </c>
      <c r="AA75" s="84">
        <f>IF(OR($A75="",COUNT(W75,X75,Z75,Y75)&lt;1),"",W75+X75+Z75-Y75)</f>
        <v/>
      </c>
      <c r="AB75" s="83" t="n"/>
      <c r="AC75" s="83" t="n">
        <v>623.95</v>
      </c>
      <c r="AD75" s="83" t="n"/>
      <c r="AE75" s="83" t="n"/>
      <c r="AF75" s="83" t="n">
        <v>0</v>
      </c>
      <c r="AG75" s="83" t="n"/>
      <c r="AH75" s="84" t="n">
        <v>3123.75</v>
      </c>
      <c r="AI75" s="84" t="n">
        <v>1</v>
      </c>
      <c r="AJ75" s="84" t="n">
        <v>624.95</v>
      </c>
      <c r="AK75" s="83" t="n"/>
      <c r="AL75" s="33" t="n"/>
      <c r="AM75" s="33" t="n"/>
      <c r="AN75" s="83" t="n"/>
      <c r="AO75" s="33" t="n"/>
      <c r="AP75" s="33" t="n"/>
      <c r="AQ75" s="33" t="n"/>
    </row>
    <row r="76">
      <c r="A76" s="33" t="inlineStr">
        <is>
          <t>115</t>
        </is>
      </c>
      <c r="B76" s="33" t="inlineStr">
        <is>
          <t>Werkbank</t>
        </is>
      </c>
      <c r="C76" s="33" t="inlineStr">
        <is>
          <t>Betriebsausstattung</t>
        </is>
      </c>
      <c r="D76" s="33" t="n"/>
      <c r="E76" s="33" t="n"/>
      <c r="F76" s="33" t="n"/>
      <c r="G76" s="33" t="n"/>
      <c r="H76" s="33" t="inlineStr">
        <is>
          <t>0400</t>
        </is>
      </c>
      <c r="I76" s="33" t="n"/>
      <c r="J76" s="33" t="n"/>
      <c r="K76" s="34" t="n">
        <v>43845</v>
      </c>
      <c r="L76" s="34" t="n"/>
      <c r="M76" s="34" t="n"/>
      <c r="N76" s="82" t="n"/>
      <c r="O76" s="82" t="n"/>
      <c r="P76" s="33" t="inlineStr">
        <is>
          <t>linear</t>
        </is>
      </c>
      <c r="Q76" s="34" t="n"/>
      <c r="R76" s="83" t="n"/>
      <c r="S76" s="34" t="n"/>
      <c r="T76" s="33" t="n"/>
      <c r="U76" s="83" t="n"/>
      <c r="V76" s="33" t="n"/>
      <c r="W76" s="83" t="n">
        <v>13833.26</v>
      </c>
      <c r="X76" s="83" t="n">
        <v>0</v>
      </c>
      <c r="Y76" s="83" t="n">
        <v>0</v>
      </c>
      <c r="Z76" s="83" t="n">
        <v>0</v>
      </c>
      <c r="AA76" s="84">
        <f>IF(OR($A76="",COUNT(W76,X76,Z76,Y76)&lt;1),"",W76+X76+Z76-Y76)</f>
        <v/>
      </c>
      <c r="AB76" s="83" t="n"/>
      <c r="AC76" s="83" t="n">
        <v>0</v>
      </c>
      <c r="AD76" s="83" t="n"/>
      <c r="AE76" s="83" t="n"/>
      <c r="AF76" s="83" t="n">
        <v>0</v>
      </c>
      <c r="AG76" s="83" t="n"/>
      <c r="AH76" s="84" t="n">
        <v>13832.26</v>
      </c>
      <c r="AI76" s="84" t="n">
        <v>1</v>
      </c>
      <c r="AJ76" s="84" t="n">
        <v>1</v>
      </c>
      <c r="AK76" s="83" t="n"/>
      <c r="AL76" s="33" t="n"/>
      <c r="AM76" s="33" t="n"/>
      <c r="AN76" s="83" t="n"/>
      <c r="AO76" s="33" t="n"/>
      <c r="AP76" s="33" t="n"/>
      <c r="AQ76" s="33" t="n"/>
    </row>
    <row r="77">
      <c r="A77" s="33" t="inlineStr">
        <is>
          <t>117</t>
        </is>
      </c>
      <c r="B77" s="33" t="inlineStr">
        <is>
          <t>Schweißgerät Typ T482</t>
        </is>
      </c>
      <c r="C77" s="33" t="inlineStr">
        <is>
          <t>Betriebsausstattung</t>
        </is>
      </c>
      <c r="D77" s="33" t="n"/>
      <c r="E77" s="33" t="n"/>
      <c r="F77" s="33" t="n"/>
      <c r="G77" s="33" t="n"/>
      <c r="H77" s="33" t="inlineStr">
        <is>
          <t>0400</t>
        </is>
      </c>
      <c r="I77" s="33" t="n"/>
      <c r="J77" s="33" t="n"/>
      <c r="K77" s="34" t="n">
        <v>43861</v>
      </c>
      <c r="L77" s="34" t="n"/>
      <c r="M77" s="34" t="n"/>
      <c r="N77" s="82" t="n"/>
      <c r="O77" s="82" t="n"/>
      <c r="P77" s="33" t="inlineStr">
        <is>
          <t>linear</t>
        </is>
      </c>
      <c r="Q77" s="34" t="n"/>
      <c r="R77" s="83" t="n"/>
      <c r="S77" s="34" t="n"/>
      <c r="T77" s="33" t="n"/>
      <c r="U77" s="83" t="n"/>
      <c r="V77" s="33" t="n"/>
      <c r="W77" s="83" t="n">
        <v>4787</v>
      </c>
      <c r="X77" s="83" t="n">
        <v>0</v>
      </c>
      <c r="Y77" s="83" t="n">
        <v>0</v>
      </c>
      <c r="Z77" s="83" t="n">
        <v>0</v>
      </c>
      <c r="AA77" s="84">
        <f>IF(OR($A77="",COUNT(W77,X77,Z77,Y77)&lt;1),"",W77+X77+Z77-Y77)</f>
        <v/>
      </c>
      <c r="AB77" s="83" t="n"/>
      <c r="AC77" s="83" t="n">
        <v>598.37</v>
      </c>
      <c r="AD77" s="83" t="n"/>
      <c r="AE77" s="83" t="n"/>
      <c r="AF77" s="83" t="n">
        <v>0</v>
      </c>
      <c r="AG77" s="83" t="n"/>
      <c r="AH77" s="84" t="n">
        <v>3590.25</v>
      </c>
      <c r="AI77" s="84" t="n">
        <v>1196.75</v>
      </c>
      <c r="AJ77" s="84" t="n">
        <v>1795.12</v>
      </c>
      <c r="AK77" s="83" t="n"/>
      <c r="AL77" s="33" t="n"/>
      <c r="AM77" s="33" t="n"/>
      <c r="AN77" s="83" t="n"/>
      <c r="AO77" s="33" t="n"/>
      <c r="AP77" s="33" t="n"/>
      <c r="AQ77" s="33" t="n"/>
    </row>
    <row r="78">
      <c r="A78" s="33" t="inlineStr">
        <is>
          <t>178</t>
        </is>
      </c>
      <c r="B78" s="33" t="inlineStr">
        <is>
          <t>Palettenregal</t>
        </is>
      </c>
      <c r="C78" s="33" t="inlineStr">
        <is>
          <t>Betriebsausstattung</t>
        </is>
      </c>
      <c r="D78" s="33" t="n"/>
      <c r="E78" s="33" t="n"/>
      <c r="F78" s="33" t="n"/>
      <c r="G78" s="33" t="n"/>
      <c r="H78" s="33" t="inlineStr">
        <is>
          <t>0400</t>
        </is>
      </c>
      <c r="I78" s="33" t="n"/>
      <c r="J78" s="33" t="n"/>
      <c r="K78" s="34" t="n">
        <v>45762</v>
      </c>
      <c r="L78" s="34" t="n"/>
      <c r="M78" s="34" t="n"/>
      <c r="N78" s="82" t="n"/>
      <c r="O78" s="82" t="n"/>
      <c r="P78" s="33" t="inlineStr">
        <is>
          <t>linear</t>
        </is>
      </c>
      <c r="Q78" s="34" t="n"/>
      <c r="R78" s="83" t="n"/>
      <c r="S78" s="34" t="n"/>
      <c r="T78" s="33" t="n"/>
      <c r="U78" s="83" t="n"/>
      <c r="V78" s="33" t="n"/>
      <c r="W78" s="83" t="n">
        <v>0</v>
      </c>
      <c r="X78" s="83" t="n">
        <v>8117</v>
      </c>
      <c r="Y78" s="83" t="n">
        <v>0</v>
      </c>
      <c r="Z78" s="83" t="n">
        <v>0</v>
      </c>
      <c r="AA78" s="84">
        <f>IF(OR($A78="",COUNT(W78,X78,Z78,Y78)&lt;1),"",W78+X78+Z78-Y78)</f>
        <v/>
      </c>
      <c r="AB78" s="83" t="n"/>
      <c r="AC78" s="83" t="n">
        <v>760.97</v>
      </c>
      <c r="AD78" s="83" t="n"/>
      <c r="AE78" s="83" t="n"/>
      <c r="AF78" s="83" t="n">
        <v>0</v>
      </c>
      <c r="AG78" s="83" t="n"/>
      <c r="AH78" s="84" t="n">
        <v>760.97</v>
      </c>
      <c r="AI78" s="84" t="n">
        <v>7356.03</v>
      </c>
      <c r="AJ78" s="84" t="n">
        <v>0</v>
      </c>
      <c r="AK78" s="83" t="n"/>
      <c r="AL78" s="33" t="n"/>
      <c r="AM78" s="33" t="n"/>
      <c r="AN78" s="83" t="n"/>
      <c r="AO78" s="33" t="n"/>
      <c r="AP78" s="33" t="n"/>
      <c r="AQ78" s="33" t="n"/>
    </row>
    <row r="79">
      <c r="A79" s="33" t="inlineStr">
        <is>
          <t>190</t>
        </is>
      </c>
      <c r="B79" s="33" t="inlineStr">
        <is>
          <t>Gabelstapler</t>
        </is>
      </c>
      <c r="C79" s="33" t="inlineStr">
        <is>
          <t>Betriebsausstattung</t>
        </is>
      </c>
      <c r="D79" s="33" t="n"/>
      <c r="E79" s="33" t="n"/>
      <c r="F79" s="33" t="n"/>
      <c r="G79" s="33" t="n"/>
      <c r="H79" s="33" t="inlineStr">
        <is>
          <t>0400</t>
        </is>
      </c>
      <c r="I79" s="33" t="n"/>
      <c r="J79" s="33" t="n"/>
      <c r="K79" s="34" t="n">
        <v>45855</v>
      </c>
      <c r="L79" s="34" t="n"/>
      <c r="M79" s="34" t="n"/>
      <c r="N79" s="82" t="n"/>
      <c r="O79" s="82" t="n"/>
      <c r="P79" s="33" t="inlineStr">
        <is>
          <t>linear</t>
        </is>
      </c>
      <c r="Q79" s="34" t="n"/>
      <c r="R79" s="83" t="n"/>
      <c r="S79" s="34" t="n"/>
      <c r="T79" s="33" t="n"/>
      <c r="U79" s="83" t="n"/>
      <c r="V79" s="33" t="n"/>
      <c r="W79" s="83" t="n">
        <v>0</v>
      </c>
      <c r="X79" s="83" t="n">
        <v>47845.6</v>
      </c>
      <c r="Y79" s="83" t="n">
        <v>0</v>
      </c>
      <c r="Z79" s="83" t="n">
        <v>0</v>
      </c>
      <c r="AA79" s="84">
        <f>IF(OR($A79="",COUNT(W79,X79,Z79,Y79)&lt;1),"",W79+X79+Z79-Y79)</f>
        <v/>
      </c>
      <c r="AB79" s="83" t="n"/>
      <c r="AC79" s="83" t="n">
        <v>4784.56</v>
      </c>
      <c r="AD79" s="83" t="n"/>
      <c r="AE79" s="83" t="n"/>
      <c r="AF79" s="83" t="n">
        <v>0</v>
      </c>
      <c r="AG79" s="83" t="n"/>
      <c r="AH79" s="84" t="n">
        <v>4784.56</v>
      </c>
      <c r="AI79" s="84" t="n">
        <v>43061.04</v>
      </c>
      <c r="AJ79" s="84" t="n">
        <v>0</v>
      </c>
      <c r="AK79" s="83" t="n"/>
      <c r="AL79" s="33" t="n"/>
      <c r="AM79" s="33" t="n"/>
      <c r="AN79" s="83" t="n"/>
      <c r="AO79" s="33" t="n"/>
      <c r="AP79" s="33" t="n"/>
      <c r="AQ79" s="33" t="n"/>
    </row>
    <row r="80">
      <c r="A80" s="33" t="inlineStr">
        <is>
          <t>197</t>
        </is>
      </c>
      <c r="B80" s="33" t="inlineStr">
        <is>
          <t>Palettenregal</t>
        </is>
      </c>
      <c r="C80" s="33" t="inlineStr">
        <is>
          <t>Betriebsausstattung</t>
        </is>
      </c>
      <c r="D80" s="33" t="n"/>
      <c r="E80" s="33" t="n"/>
      <c r="F80" s="33" t="n"/>
      <c r="G80" s="33" t="n"/>
      <c r="H80" s="33" t="inlineStr">
        <is>
          <t>0400</t>
        </is>
      </c>
      <c r="I80" s="33" t="n"/>
      <c r="J80" s="33" t="n"/>
      <c r="K80" s="34" t="n">
        <v>45863</v>
      </c>
      <c r="L80" s="34" t="n"/>
      <c r="M80" s="34" t="n"/>
      <c r="N80" s="82" t="n"/>
      <c r="O80" s="82" t="n"/>
      <c r="P80" s="33" t="inlineStr">
        <is>
          <t>linear</t>
        </is>
      </c>
      <c r="Q80" s="34" t="n"/>
      <c r="R80" s="83" t="n"/>
      <c r="S80" s="34" t="n"/>
      <c r="T80" s="33" t="n"/>
      <c r="U80" s="83" t="n"/>
      <c r="V80" s="33" t="n"/>
      <c r="W80" s="83" t="n">
        <v>0</v>
      </c>
      <c r="X80" s="83" t="n">
        <v>846.52</v>
      </c>
      <c r="Y80" s="83" t="n">
        <v>0</v>
      </c>
      <c r="Z80" s="83" t="n">
        <v>0</v>
      </c>
      <c r="AA80" s="84">
        <f>IF(OR($A80="",COUNT(W80,X80,Z80,Y80)&lt;1),"",W80+X80+Z80-Y80)</f>
        <v/>
      </c>
      <c r="AB80" s="83" t="n"/>
      <c r="AC80" s="83" t="n">
        <v>84.65000000000001</v>
      </c>
      <c r="AD80" s="83" t="n"/>
      <c r="AE80" s="83" t="n"/>
      <c r="AF80" s="83" t="n">
        <v>0</v>
      </c>
      <c r="AG80" s="83" t="n"/>
      <c r="AH80" s="84" t="n">
        <v>84.65000000000001</v>
      </c>
      <c r="AI80" s="84" t="n">
        <v>761.87</v>
      </c>
      <c r="AJ80" s="84" t="n">
        <v>0</v>
      </c>
      <c r="AK80" s="83" t="n"/>
      <c r="AL80" s="33" t="n"/>
      <c r="AM80" s="33" t="n"/>
      <c r="AN80" s="83" t="n"/>
      <c r="AO80" s="33" t="n"/>
      <c r="AP80" s="33" t="n"/>
      <c r="AQ80" s="33" t="n"/>
    </row>
    <row r="81">
      <c r="A81" s="33" t="inlineStr">
        <is>
          <t>228</t>
        </is>
      </c>
      <c r="B81" s="33" t="inlineStr">
        <is>
          <t>Elektro-Hubwagen</t>
        </is>
      </c>
      <c r="C81" s="33" t="inlineStr">
        <is>
          <t>Betriebsausstattung</t>
        </is>
      </c>
      <c r="D81" s="33" t="n"/>
      <c r="E81" s="33" t="n"/>
      <c r="F81" s="33" t="n"/>
      <c r="G81" s="33" t="n"/>
      <c r="H81" s="33" t="inlineStr">
        <is>
          <t>0400</t>
        </is>
      </c>
      <c r="I81" s="33" t="n"/>
      <c r="J81" s="33" t="n"/>
      <c r="K81" s="34" t="n">
        <v>45979</v>
      </c>
      <c r="L81" s="34" t="n"/>
      <c r="M81" s="34" t="n"/>
      <c r="N81" s="82" t="n"/>
      <c r="O81" s="82" t="n"/>
      <c r="P81" s="33" t="inlineStr">
        <is>
          <t>linear</t>
        </is>
      </c>
      <c r="Q81" s="34" t="n"/>
      <c r="R81" s="83" t="n"/>
      <c r="S81" s="34" t="n"/>
      <c r="T81" s="33" t="n"/>
      <c r="U81" s="83" t="n"/>
      <c r="V81" s="33" t="n"/>
      <c r="W81" s="83" t="n">
        <v>0</v>
      </c>
      <c r="X81" s="83" t="n">
        <v>26322.65</v>
      </c>
      <c r="Y81" s="83" t="n">
        <v>0</v>
      </c>
      <c r="Z81" s="83" t="n">
        <v>0</v>
      </c>
      <c r="AA81" s="84">
        <f>IF(OR($A81="",COUNT(W81,X81,Z81,Y81)&lt;1),"",W81+X81+Z81-Y81)</f>
        <v/>
      </c>
      <c r="AB81" s="83" t="n"/>
      <c r="AC81" s="83" t="n">
        <v>438.71</v>
      </c>
      <c r="AD81" s="83" t="n"/>
      <c r="AE81" s="83" t="n"/>
      <c r="AF81" s="83" t="n">
        <v>0</v>
      </c>
      <c r="AG81" s="83" t="n"/>
      <c r="AH81" s="84" t="n">
        <v>438.71</v>
      </c>
      <c r="AI81" s="84" t="n">
        <v>25883.94</v>
      </c>
      <c r="AJ81" s="84" t="n">
        <v>0</v>
      </c>
      <c r="AK81" s="83" t="n"/>
      <c r="AL81" s="33" t="n"/>
      <c r="AM81" s="33" t="n"/>
      <c r="AN81" s="83" t="n"/>
      <c r="AO81" s="33" t="n"/>
      <c r="AP81" s="33" t="n"/>
      <c r="AQ81" s="33" t="n"/>
    </row>
    <row r="82">
      <c r="A82" s="33" t="inlineStr">
        <is>
          <t>37</t>
        </is>
      </c>
      <c r="B82" s="33" t="inlineStr">
        <is>
          <t>Aktenschrank Halle 4</t>
        </is>
      </c>
      <c r="C82" s="33" t="inlineStr">
        <is>
          <t>Büroeinrichtung</t>
        </is>
      </c>
      <c r="D82" s="33" t="n"/>
      <c r="E82" s="33" t="n"/>
      <c r="F82" s="33" t="n"/>
      <c r="G82" s="33" t="n"/>
      <c r="H82" s="33" t="inlineStr">
        <is>
          <t>0420</t>
        </is>
      </c>
      <c r="I82" s="33" t="n"/>
      <c r="J82" s="33" t="n"/>
      <c r="K82" s="34" t="n">
        <v>39793</v>
      </c>
      <c r="L82" s="34" t="n"/>
      <c r="M82" s="34" t="n"/>
      <c r="N82" s="82" t="n"/>
      <c r="O82" s="82" t="n"/>
      <c r="P82" s="33" t="inlineStr">
        <is>
          <t>linear</t>
        </is>
      </c>
      <c r="Q82" s="34" t="n"/>
      <c r="R82" s="83" t="n"/>
      <c r="S82" s="34" t="n"/>
      <c r="T82" s="33" t="n"/>
      <c r="U82" s="83" t="n"/>
      <c r="V82" s="33" t="n"/>
      <c r="W82" s="83" t="n">
        <v>3853</v>
      </c>
      <c r="X82" s="83" t="n">
        <v>0</v>
      </c>
      <c r="Y82" s="83" t="n">
        <v>0</v>
      </c>
      <c r="Z82" s="83" t="n">
        <v>0</v>
      </c>
      <c r="AA82" s="84">
        <f>IF(OR($A82="",COUNT(W82,X82,Z82,Y82)&lt;1),"",W82+X82+Z82-Y82)</f>
        <v/>
      </c>
      <c r="AB82" s="83" t="n"/>
      <c r="AC82" s="83" t="n">
        <v>0</v>
      </c>
      <c r="AD82" s="83" t="n"/>
      <c r="AE82" s="83" t="n"/>
      <c r="AF82" s="83" t="n">
        <v>0</v>
      </c>
      <c r="AG82" s="83" t="n"/>
      <c r="AH82" s="84" t="n">
        <v>3852</v>
      </c>
      <c r="AI82" s="84" t="n">
        <v>1</v>
      </c>
      <c r="AJ82" s="84" t="n">
        <v>1</v>
      </c>
      <c r="AK82" s="83" t="n"/>
      <c r="AL82" s="33" t="n"/>
      <c r="AM82" s="33" t="n"/>
      <c r="AN82" s="83" t="n"/>
      <c r="AO82" s="33" t="n"/>
      <c r="AP82" s="33" t="n"/>
      <c r="AQ82" s="33" t="n"/>
    </row>
    <row r="83">
      <c r="A83" s="33" t="inlineStr">
        <is>
          <t>45</t>
        </is>
      </c>
      <c r="B83" s="33" t="inlineStr">
        <is>
          <t>Schreibtisch höhenverstellbar (gebraucht)</t>
        </is>
      </c>
      <c r="C83" s="33" t="inlineStr">
        <is>
          <t>Büroeinrichtung</t>
        </is>
      </c>
      <c r="D83" s="33" t="n"/>
      <c r="E83" s="33" t="n"/>
      <c r="F83" s="33" t="n"/>
      <c r="G83" s="33" t="n"/>
      <c r="H83" s="33" t="inlineStr">
        <is>
          <t>0420</t>
        </is>
      </c>
      <c r="I83" s="33" t="n"/>
      <c r="J83" s="33" t="n"/>
      <c r="K83" s="34" t="n">
        <v>40110</v>
      </c>
      <c r="L83" s="34" t="n"/>
      <c r="M83" s="34" t="n"/>
      <c r="N83" s="82" t="n"/>
      <c r="O83" s="82" t="n"/>
      <c r="P83" s="33" t="inlineStr">
        <is>
          <t>linear</t>
        </is>
      </c>
      <c r="Q83" s="34" t="n"/>
      <c r="R83" s="83" t="n"/>
      <c r="S83" s="34" t="n"/>
      <c r="T83" s="33" t="n"/>
      <c r="U83" s="83" t="n"/>
      <c r="V83" s="33" t="n"/>
      <c r="W83" s="83" t="n">
        <v>838.28</v>
      </c>
      <c r="X83" s="83" t="n">
        <v>0</v>
      </c>
      <c r="Y83" s="83" t="n">
        <v>0</v>
      </c>
      <c r="Z83" s="83" t="n">
        <v>0</v>
      </c>
      <c r="AA83" s="84">
        <f>IF(OR($A83="",COUNT(W83,X83,Z83,Y83)&lt;1),"",W83+X83+Z83-Y83)</f>
        <v/>
      </c>
      <c r="AB83" s="83" t="n"/>
      <c r="AC83" s="83" t="n">
        <v>0</v>
      </c>
      <c r="AD83" s="83" t="n"/>
      <c r="AE83" s="83" t="n"/>
      <c r="AF83" s="83" t="n">
        <v>0</v>
      </c>
      <c r="AG83" s="83" t="n"/>
      <c r="AH83" s="84" t="n">
        <v>837.28</v>
      </c>
      <c r="AI83" s="84" t="n">
        <v>1</v>
      </c>
      <c r="AJ83" s="84" t="n">
        <v>1</v>
      </c>
      <c r="AK83" s="83" t="n"/>
      <c r="AL83" s="33" t="n"/>
      <c r="AM83" s="33" t="n"/>
      <c r="AN83" s="83" t="n"/>
      <c r="AO83" s="33" t="n"/>
      <c r="AP83" s="33" t="n"/>
      <c r="AQ83" s="33" t="n"/>
    </row>
    <row r="84">
      <c r="A84" s="33" t="inlineStr">
        <is>
          <t>45a</t>
        </is>
      </c>
      <c r="B84" s="33" t="inlineStr">
        <is>
          <t>Schreibtisch höhenverstellbar (gebraucht) Nachrüstung</t>
        </is>
      </c>
      <c r="C84" s="33" t="inlineStr">
        <is>
          <t>Büroeinrichtung</t>
        </is>
      </c>
      <c r="D84" s="33" t="n"/>
      <c r="E84" s="33" t="n"/>
      <c r="F84" s="33" t="n"/>
      <c r="G84" s="33" t="n"/>
      <c r="H84" s="33" t="inlineStr">
        <is>
          <t>0420</t>
        </is>
      </c>
      <c r="I84" s="33" t="n"/>
      <c r="J84" s="33" t="n"/>
      <c r="K84" s="34" t="n">
        <v>45827</v>
      </c>
      <c r="L84" s="34" t="n"/>
      <c r="M84" s="34" t="n"/>
      <c r="N84" s="82" t="n"/>
      <c r="O84" s="82" t="n"/>
      <c r="P84" s="33" t="inlineStr">
        <is>
          <t>linear</t>
        </is>
      </c>
      <c r="Q84" s="34" t="n"/>
      <c r="R84" s="83" t="n"/>
      <c r="S84" s="34" t="n"/>
      <c r="T84" s="33" t="n"/>
      <c r="U84" s="83" t="n"/>
      <c r="V84" s="33" t="n"/>
      <c r="W84" s="83" t="n">
        <v>0</v>
      </c>
      <c r="X84" s="83" t="n">
        <v>81.81</v>
      </c>
      <c r="Y84" s="83" t="n">
        <v>0</v>
      </c>
      <c r="Z84" s="83" t="n">
        <v>0</v>
      </c>
      <c r="AA84" s="84">
        <f>IF(OR($A84="",COUNT(W84,X84,Z84,Y84)&lt;1),"",W84+X84+Z84-Y84)</f>
        <v/>
      </c>
      <c r="AB84" s="83" t="n"/>
      <c r="AC84" s="83" t="n">
        <v>3.67</v>
      </c>
      <c r="AD84" s="83" t="n"/>
      <c r="AE84" s="83" t="n"/>
      <c r="AF84" s="83" t="n">
        <v>0</v>
      </c>
      <c r="AG84" s="83" t="n"/>
      <c r="AH84" s="84" t="n">
        <v>3.67</v>
      </c>
      <c r="AI84" s="84" t="n">
        <v>78.14</v>
      </c>
      <c r="AJ84" s="84" t="n">
        <v>0</v>
      </c>
      <c r="AK84" s="83" t="n"/>
      <c r="AL84" s="33" t="n"/>
      <c r="AM84" s="33" t="n"/>
      <c r="AN84" s="83" t="n"/>
      <c r="AO84" s="33" t="n"/>
      <c r="AP84" s="33" t="n"/>
      <c r="AQ84" s="33" t="n"/>
    </row>
    <row r="85">
      <c r="A85" s="33" t="inlineStr">
        <is>
          <t>58</t>
        </is>
      </c>
      <c r="B85" s="33" t="inlineStr">
        <is>
          <t>Empfangstheke Halle 1</t>
        </is>
      </c>
      <c r="C85" s="33" t="inlineStr">
        <is>
          <t>Büroeinrichtung</t>
        </is>
      </c>
      <c r="D85" s="33" t="n"/>
      <c r="E85" s="33" t="n"/>
      <c r="F85" s="33" t="n"/>
      <c r="G85" s="33" t="n"/>
      <c r="H85" s="33" t="inlineStr">
        <is>
          <t>0420</t>
        </is>
      </c>
      <c r="I85" s="33" t="n"/>
      <c r="J85" s="33" t="n"/>
      <c r="K85" s="34" t="n">
        <v>40871</v>
      </c>
      <c r="L85" s="34" t="n"/>
      <c r="M85" s="34" t="n"/>
      <c r="N85" s="82" t="n"/>
      <c r="O85" s="82" t="n"/>
      <c r="P85" s="33" t="inlineStr">
        <is>
          <t>linear</t>
        </is>
      </c>
      <c r="Q85" s="34" t="n"/>
      <c r="R85" s="83" t="n"/>
      <c r="S85" s="34" t="n"/>
      <c r="T85" s="33" t="n"/>
      <c r="U85" s="83" t="n"/>
      <c r="V85" s="33" t="n"/>
      <c r="W85" s="83" t="n">
        <v>2798.65</v>
      </c>
      <c r="X85" s="83" t="n">
        <v>0</v>
      </c>
      <c r="Y85" s="83" t="n">
        <v>0</v>
      </c>
      <c r="Z85" s="83" t="n">
        <v>0</v>
      </c>
      <c r="AA85" s="84">
        <f>IF(OR($A85="",COUNT(W85,X85,Z85,Y85)&lt;1),"",W85+X85+Z85-Y85)</f>
        <v/>
      </c>
      <c r="AB85" s="83" t="n"/>
      <c r="AC85" s="83" t="n">
        <v>0</v>
      </c>
      <c r="AD85" s="83" t="n"/>
      <c r="AE85" s="83" t="n"/>
      <c r="AF85" s="83" t="n">
        <v>0</v>
      </c>
      <c r="AG85" s="83" t="n"/>
      <c r="AH85" s="84" t="n">
        <v>2797.65</v>
      </c>
      <c r="AI85" s="84" t="n">
        <v>1</v>
      </c>
      <c r="AJ85" s="84" t="n">
        <v>1</v>
      </c>
      <c r="AK85" s="83" t="n"/>
      <c r="AL85" s="33" t="n"/>
      <c r="AM85" s="33" t="n"/>
      <c r="AN85" s="83" t="n"/>
      <c r="AO85" s="33" t="n"/>
      <c r="AP85" s="33" t="n"/>
      <c r="AQ85" s="33" t="n"/>
    </row>
    <row r="86">
      <c r="A86" s="33" t="inlineStr">
        <is>
          <t>69</t>
        </is>
      </c>
      <c r="B86" s="33" t="inlineStr">
        <is>
          <t>Rollcontainer Halle 4</t>
        </is>
      </c>
      <c r="C86" s="33" t="inlineStr">
        <is>
          <t>Büroeinrichtung</t>
        </is>
      </c>
      <c r="D86" s="33" t="n"/>
      <c r="E86" s="33" t="n"/>
      <c r="F86" s="33" t="n"/>
      <c r="G86" s="33" t="n"/>
      <c r="H86" s="33" t="inlineStr">
        <is>
          <t>0420</t>
        </is>
      </c>
      <c r="I86" s="33" t="n"/>
      <c r="J86" s="33" t="n"/>
      <c r="K86" s="34" t="n">
        <v>41220</v>
      </c>
      <c r="L86" s="34" t="n"/>
      <c r="M86" s="34" t="n"/>
      <c r="N86" s="82" t="n"/>
      <c r="O86" s="82" t="n"/>
      <c r="P86" s="33" t="inlineStr">
        <is>
          <t>linear</t>
        </is>
      </c>
      <c r="Q86" s="34" t="n"/>
      <c r="R86" s="83" t="n"/>
      <c r="S86" s="34" t="n"/>
      <c r="T86" s="33" t="n"/>
      <c r="U86" s="83" t="n"/>
      <c r="V86" s="33" t="n"/>
      <c r="W86" s="83" t="n">
        <v>2409.86</v>
      </c>
      <c r="X86" s="83" t="n">
        <v>0</v>
      </c>
      <c r="Y86" s="83" t="n">
        <v>0</v>
      </c>
      <c r="Z86" s="83" t="n">
        <v>0</v>
      </c>
      <c r="AA86" s="84">
        <f>IF(OR($A86="",COUNT(W86,X86,Z86,Y86)&lt;1),"",W86+X86+Z86-Y86)</f>
        <v/>
      </c>
      <c r="AB86" s="83" t="n"/>
      <c r="AC86" s="83" t="n">
        <v>153.48</v>
      </c>
      <c r="AD86" s="83" t="n"/>
      <c r="AE86" s="83" t="n"/>
      <c r="AF86" s="83" t="n">
        <v>0</v>
      </c>
      <c r="AG86" s="83" t="n"/>
      <c r="AH86" s="84" t="n">
        <v>2408.86</v>
      </c>
      <c r="AI86" s="84" t="n">
        <v>1</v>
      </c>
      <c r="AJ86" s="84" t="n">
        <v>154.48</v>
      </c>
      <c r="AK86" s="83" t="n"/>
      <c r="AL86" s="33" t="n"/>
      <c r="AM86" s="33" t="n"/>
      <c r="AN86" s="83" t="n"/>
      <c r="AO86" s="33" t="n"/>
      <c r="AP86" s="33" t="n"/>
      <c r="AQ86" s="33" t="n"/>
    </row>
    <row r="87">
      <c r="A87" s="33" t="inlineStr">
        <is>
          <t>85</t>
        </is>
      </c>
      <c r="B87" s="33" t="inlineStr">
        <is>
          <t>Besprechungstisch</t>
        </is>
      </c>
      <c r="C87" s="33" t="inlineStr">
        <is>
          <t>Büroeinrichtung</t>
        </is>
      </c>
      <c r="D87" s="33" t="n"/>
      <c r="E87" s="33" t="n"/>
      <c r="F87" s="33" t="n"/>
      <c r="G87" s="33" t="n"/>
      <c r="H87" s="33" t="inlineStr">
        <is>
          <t>0420</t>
        </is>
      </c>
      <c r="I87" s="33" t="n"/>
      <c r="J87" s="33" t="n"/>
      <c r="K87" s="34" t="n">
        <v>41996</v>
      </c>
      <c r="L87" s="34" t="n"/>
      <c r="M87" s="34" t="n"/>
      <c r="N87" s="82" t="n"/>
      <c r="O87" s="82" t="n"/>
      <c r="P87" s="33" t="inlineStr">
        <is>
          <t>linear</t>
        </is>
      </c>
      <c r="Q87" s="34" t="n"/>
      <c r="R87" s="83" t="n"/>
      <c r="S87" s="34" t="n"/>
      <c r="T87" s="33" t="n"/>
      <c r="U87" s="83" t="n"/>
      <c r="V87" s="33" t="n"/>
      <c r="W87" s="83" t="n">
        <v>21067.23</v>
      </c>
      <c r="X87" s="83" t="n">
        <v>0</v>
      </c>
      <c r="Y87" s="83" t="n">
        <v>0</v>
      </c>
      <c r="Z87" s="83" t="n">
        <v>0</v>
      </c>
      <c r="AA87" s="84">
        <f>IF(OR($A87="",COUNT(W87,X87,Z87,Y87)&lt;1),"",W87+X87+Z87-Y87)</f>
        <v/>
      </c>
      <c r="AB87" s="83" t="n"/>
      <c r="AC87" s="83" t="n">
        <v>1620.55</v>
      </c>
      <c r="AD87" s="83" t="n"/>
      <c r="AE87" s="83" t="n"/>
      <c r="AF87" s="83" t="n">
        <v>0</v>
      </c>
      <c r="AG87" s="83" t="n"/>
      <c r="AH87" s="84" t="n">
        <v>17961.16</v>
      </c>
      <c r="AI87" s="84" t="n">
        <v>3106.07</v>
      </c>
      <c r="AJ87" s="84" t="n">
        <v>4726.62</v>
      </c>
      <c r="AK87" s="83" t="n"/>
      <c r="AL87" s="33" t="n"/>
      <c r="AM87" s="33" t="n"/>
      <c r="AN87" s="83" t="n"/>
      <c r="AO87" s="33" t="n"/>
      <c r="AP87" s="33" t="n"/>
      <c r="AQ87" s="33" t="n"/>
    </row>
    <row r="88">
      <c r="A88" s="33" t="inlineStr">
        <is>
          <t>110</t>
        </is>
      </c>
      <c r="B88" s="33" t="inlineStr">
        <is>
          <t>Regalsystem Archiv Halle 4</t>
        </is>
      </c>
      <c r="C88" s="33" t="inlineStr">
        <is>
          <t>Büroeinrichtung</t>
        </is>
      </c>
      <c r="D88" s="33" t="n"/>
      <c r="E88" s="33" t="n"/>
      <c r="F88" s="33" t="n"/>
      <c r="G88" s="33" t="n"/>
      <c r="H88" s="33" t="inlineStr">
        <is>
          <t>0420</t>
        </is>
      </c>
      <c r="I88" s="33" t="n"/>
      <c r="J88" s="33" t="n"/>
      <c r="K88" s="34" t="n">
        <v>43640</v>
      </c>
      <c r="L88" s="34" t="n"/>
      <c r="M88" s="34" t="n"/>
      <c r="N88" s="82" t="n"/>
      <c r="O88" s="82" t="n"/>
      <c r="P88" s="33" t="inlineStr">
        <is>
          <t>linear</t>
        </is>
      </c>
      <c r="Q88" s="34" t="n"/>
      <c r="R88" s="83" t="n"/>
      <c r="S88" s="34" t="n"/>
      <c r="T88" s="33" t="n"/>
      <c r="U88" s="83" t="n"/>
      <c r="V88" s="33" t="n"/>
      <c r="W88" s="83" t="n">
        <v>5763.61</v>
      </c>
      <c r="X88" s="83" t="n">
        <v>0</v>
      </c>
      <c r="Y88" s="83" t="n">
        <v>0</v>
      </c>
      <c r="Z88" s="83" t="n">
        <v>0</v>
      </c>
      <c r="AA88" s="84">
        <f>IF(OR($A88="",COUNT(W88,X88,Z88,Y88)&lt;1),"",W88+X88+Z88-Y88)</f>
        <v/>
      </c>
      <c r="AB88" s="83" t="n"/>
      <c r="AC88" s="83" t="n">
        <v>443.35</v>
      </c>
      <c r="AD88" s="83" t="n"/>
      <c r="AE88" s="83" t="n"/>
      <c r="AF88" s="83" t="n">
        <v>0</v>
      </c>
      <c r="AG88" s="83" t="n"/>
      <c r="AH88" s="84" t="n">
        <v>2918.75</v>
      </c>
      <c r="AI88" s="84" t="n">
        <v>2844.86</v>
      </c>
      <c r="AJ88" s="84" t="n">
        <v>3288.21</v>
      </c>
      <c r="AK88" s="83" t="n"/>
      <c r="AL88" s="33" t="n"/>
      <c r="AM88" s="33" t="n"/>
      <c r="AN88" s="83" t="n"/>
      <c r="AO88" s="33" t="n"/>
      <c r="AP88" s="33" t="n"/>
      <c r="AQ88" s="33" t="n"/>
    </row>
    <row r="89">
      <c r="A89" s="33" t="inlineStr">
        <is>
          <t>130</t>
        </is>
      </c>
      <c r="B89" s="33" t="inlineStr">
        <is>
          <t>Empfangstheke</t>
        </is>
      </c>
      <c r="C89" s="33" t="inlineStr">
        <is>
          <t>Büroeinrichtung</t>
        </is>
      </c>
      <c r="D89" s="33" t="n"/>
      <c r="E89" s="33" t="n"/>
      <c r="F89" s="33" t="n"/>
      <c r="G89" s="33" t="n"/>
      <c r="H89" s="33" t="inlineStr">
        <is>
          <t>0420</t>
        </is>
      </c>
      <c r="I89" s="33" t="n"/>
      <c r="J89" s="33" t="n"/>
      <c r="K89" s="34" t="n">
        <v>44901</v>
      </c>
      <c r="L89" s="34" t="n"/>
      <c r="M89" s="34" t="n"/>
      <c r="N89" s="82" t="n"/>
      <c r="O89" s="82" t="n"/>
      <c r="P89" s="33" t="inlineStr">
        <is>
          <t>linear</t>
        </is>
      </c>
      <c r="Q89" s="34" t="n"/>
      <c r="R89" s="83" t="n"/>
      <c r="S89" s="34" t="n"/>
      <c r="T89" s="33" t="n"/>
      <c r="U89" s="83" t="n"/>
      <c r="V89" s="33" t="n"/>
      <c r="W89" s="83" t="n">
        <v>590</v>
      </c>
      <c r="X89" s="83" t="n">
        <v>0</v>
      </c>
      <c r="Y89" s="83" t="n">
        <v>0</v>
      </c>
      <c r="Z89" s="83" t="n">
        <v>0</v>
      </c>
      <c r="AA89" s="84">
        <f>IF(OR($A89="",COUNT(W89,X89,Z89,Y89)&lt;1),"",W89+X89+Z89-Y89)</f>
        <v/>
      </c>
      <c r="AB89" s="83" t="n"/>
      <c r="AC89" s="83" t="n">
        <v>45.39</v>
      </c>
      <c r="AD89" s="83" t="n"/>
      <c r="AE89" s="83" t="n"/>
      <c r="AF89" s="83" t="n">
        <v>0</v>
      </c>
      <c r="AG89" s="83" t="n"/>
      <c r="AH89" s="84" t="n">
        <v>139.94</v>
      </c>
      <c r="AI89" s="84" t="n">
        <v>450.06</v>
      </c>
      <c r="AJ89" s="84" t="n">
        <v>495.45</v>
      </c>
      <c r="AK89" s="83" t="n"/>
      <c r="AL89" s="33" t="n"/>
      <c r="AM89" s="33" t="n"/>
      <c r="AN89" s="83" t="n"/>
      <c r="AO89" s="33" t="n"/>
      <c r="AP89" s="33" t="n"/>
      <c r="AQ89" s="33" t="n"/>
    </row>
    <row r="90">
      <c r="A90" s="33" t="inlineStr">
        <is>
          <t>130a</t>
        </is>
      </c>
      <c r="B90" s="33" t="inlineStr">
        <is>
          <t>Empfangstheke Nachrüstung</t>
        </is>
      </c>
      <c r="C90" s="33" t="inlineStr">
        <is>
          <t>Büroeinrichtung</t>
        </is>
      </c>
      <c r="D90" s="33" t="n"/>
      <c r="E90" s="33" t="n"/>
      <c r="F90" s="33" t="n"/>
      <c r="G90" s="33" t="n"/>
      <c r="H90" s="33" t="inlineStr">
        <is>
          <t>0420</t>
        </is>
      </c>
      <c r="I90" s="33" t="n"/>
      <c r="J90" s="33" t="n"/>
      <c r="K90" s="34" t="n">
        <v>45899</v>
      </c>
      <c r="L90" s="34" t="n"/>
      <c r="M90" s="34" t="n"/>
      <c r="N90" s="82" t="n"/>
      <c r="O90" s="82" t="n"/>
      <c r="P90" s="33" t="inlineStr">
        <is>
          <t>linear</t>
        </is>
      </c>
      <c r="Q90" s="34" t="n"/>
      <c r="R90" s="83" t="n"/>
      <c r="S90" s="34" t="n"/>
      <c r="T90" s="33" t="n"/>
      <c r="U90" s="83" t="n"/>
      <c r="V90" s="33" t="n"/>
      <c r="W90" s="83" t="n">
        <v>0</v>
      </c>
      <c r="X90" s="83" t="n">
        <v>78.7</v>
      </c>
      <c r="Y90" s="83" t="n">
        <v>0</v>
      </c>
      <c r="Z90" s="83" t="n">
        <v>0</v>
      </c>
      <c r="AA90" s="84">
        <f>IF(OR($A90="",COUNT(W90,X90,Z90,Y90)&lt;1),"",W90+X90+Z90-Y90)</f>
        <v/>
      </c>
      <c r="AB90" s="83" t="n"/>
      <c r="AC90" s="83" t="n">
        <v>2.52</v>
      </c>
      <c r="AD90" s="83" t="n"/>
      <c r="AE90" s="83" t="n"/>
      <c r="AF90" s="83" t="n">
        <v>0</v>
      </c>
      <c r="AG90" s="83" t="n"/>
      <c r="AH90" s="84" t="n">
        <v>2.52</v>
      </c>
      <c r="AI90" s="84" t="n">
        <v>76.18000000000001</v>
      </c>
      <c r="AJ90" s="84" t="n">
        <v>0</v>
      </c>
      <c r="AK90" s="83" t="n"/>
      <c r="AL90" s="33" t="n"/>
      <c r="AM90" s="33" t="n"/>
      <c r="AN90" s="83" t="n"/>
      <c r="AO90" s="33" t="n"/>
      <c r="AP90" s="33" t="n"/>
      <c r="AQ90" s="33" t="n"/>
    </row>
    <row r="91">
      <c r="A91" s="33" t="inlineStr">
        <is>
          <t>133</t>
        </is>
      </c>
      <c r="B91" s="33" t="inlineStr">
        <is>
          <t>Bürostuhl ergonomisch</t>
        </is>
      </c>
      <c r="C91" s="33" t="inlineStr">
        <is>
          <t>Büroeinrichtung</t>
        </is>
      </c>
      <c r="D91" s="33" t="n"/>
      <c r="E91" s="33" t="n"/>
      <c r="F91" s="33" t="n"/>
      <c r="G91" s="33" t="n"/>
      <c r="H91" s="33" t="inlineStr">
        <is>
          <t>0420</t>
        </is>
      </c>
      <c r="I91" s="33" t="n"/>
      <c r="J91" s="33" t="n"/>
      <c r="K91" s="34" t="n">
        <v>45165</v>
      </c>
      <c r="L91" s="34" t="n"/>
      <c r="M91" s="34" t="n"/>
      <c r="N91" s="82" t="n"/>
      <c r="O91" s="82" t="n"/>
      <c r="P91" s="33" t="inlineStr">
        <is>
          <t>linear</t>
        </is>
      </c>
      <c r="Q91" s="34" t="n"/>
      <c r="R91" s="83" t="n"/>
      <c r="S91" s="34" t="n"/>
      <c r="T91" s="33" t="n"/>
      <c r="U91" s="83" t="n"/>
      <c r="V91" s="33" t="n"/>
      <c r="W91" s="83" t="n">
        <v>11503</v>
      </c>
      <c r="X91" s="83" t="n">
        <v>0</v>
      </c>
      <c r="Y91" s="83" t="n">
        <v>0</v>
      </c>
      <c r="Z91" s="83" t="n">
        <v>0</v>
      </c>
      <c r="AA91" s="84">
        <f>IF(OR($A91="",COUNT(W91,X91,Z91,Y91)&lt;1),"",W91+X91+Z91-Y91)</f>
        <v/>
      </c>
      <c r="AB91" s="83" t="n"/>
      <c r="AC91" s="83" t="n">
        <v>884.85</v>
      </c>
      <c r="AD91" s="83" t="n"/>
      <c r="AE91" s="83" t="n"/>
      <c r="AF91" s="83" t="n">
        <v>0</v>
      </c>
      <c r="AG91" s="83" t="n"/>
      <c r="AH91" s="84" t="n">
        <v>2138.38</v>
      </c>
      <c r="AI91" s="84" t="n">
        <v>9364.620000000001</v>
      </c>
      <c r="AJ91" s="84" t="n">
        <v>10249.47</v>
      </c>
      <c r="AK91" s="83" t="n"/>
      <c r="AL91" s="33" t="n"/>
      <c r="AM91" s="33" t="n"/>
      <c r="AN91" s="83" t="n"/>
      <c r="AO91" s="33" t="n"/>
      <c r="AP91" s="33" t="n"/>
      <c r="AQ91" s="33" t="n"/>
    </row>
    <row r="92">
      <c r="A92" s="33" t="inlineStr">
        <is>
          <t>82</t>
        </is>
      </c>
      <c r="B92" s="33" t="inlineStr">
        <is>
          <t>Firewall-Appliance (gebraucht)</t>
        </is>
      </c>
      <c r="C92" s="33" t="inlineStr">
        <is>
          <t>EDV-Hardware</t>
        </is>
      </c>
      <c r="D92" s="33" t="n"/>
      <c r="E92" s="33" t="n"/>
      <c r="F92" s="33" t="n"/>
      <c r="G92" s="33" t="n"/>
      <c r="H92" s="33" t="inlineStr">
        <is>
          <t>0490</t>
        </is>
      </c>
      <c r="I92" s="33" t="n"/>
      <c r="J92" s="33" t="n"/>
      <c r="K92" s="34" t="n">
        <v>41525</v>
      </c>
      <c r="L92" s="34" t="n"/>
      <c r="M92" s="34" t="n"/>
      <c r="N92" s="82" t="n"/>
      <c r="O92" s="82" t="n"/>
      <c r="P92" s="33" t="inlineStr">
        <is>
          <t>linear</t>
        </is>
      </c>
      <c r="Q92" s="34" t="n"/>
      <c r="R92" s="83" t="n"/>
      <c r="S92" s="34" t="n"/>
      <c r="T92" s="33" t="n"/>
      <c r="U92" s="83" t="n"/>
      <c r="V92" s="33" t="n"/>
      <c r="W92" s="83" t="n">
        <v>2206</v>
      </c>
      <c r="X92" s="83" t="n">
        <v>0</v>
      </c>
      <c r="Y92" s="83" t="n">
        <v>0</v>
      </c>
      <c r="Z92" s="83" t="n">
        <v>0</v>
      </c>
      <c r="AA92" s="84">
        <f>IF(OR($A92="",COUNT(W92,X92,Z92,Y92)&lt;1),"",W92+X92+Z92-Y92)</f>
        <v/>
      </c>
      <c r="AB92" s="83" t="n"/>
      <c r="AC92" s="83" t="n">
        <v>0</v>
      </c>
      <c r="AD92" s="83" t="n"/>
      <c r="AE92" s="83" t="n"/>
      <c r="AF92" s="83" t="n">
        <v>0</v>
      </c>
      <c r="AG92" s="83" t="n"/>
      <c r="AH92" s="84" t="n">
        <v>2205</v>
      </c>
      <c r="AI92" s="84" t="n">
        <v>1</v>
      </c>
      <c r="AJ92" s="84" t="n">
        <v>1</v>
      </c>
      <c r="AK92" s="83" t="n"/>
      <c r="AL92" s="33" t="n"/>
      <c r="AM92" s="33" t="n"/>
      <c r="AN92" s="83" t="n"/>
      <c r="AO92" s="33" t="n"/>
      <c r="AP92" s="33" t="n"/>
      <c r="AQ92" s="33" t="n"/>
    </row>
    <row r="93">
      <c r="A93" s="33" t="inlineStr">
        <is>
          <t>104</t>
        </is>
      </c>
      <c r="B93" s="33" t="inlineStr">
        <is>
          <t>Notebook</t>
        </is>
      </c>
      <c r="C93" s="33" t="inlineStr">
        <is>
          <t>EDV-Hardware</t>
        </is>
      </c>
      <c r="D93" s="33" t="n"/>
      <c r="E93" s="33" t="n"/>
      <c r="F93" s="33" t="n"/>
      <c r="G93" s="33" t="n"/>
      <c r="H93" s="33" t="inlineStr">
        <is>
          <t>0490</t>
        </is>
      </c>
      <c r="I93" s="33" t="n"/>
      <c r="J93" s="33" t="n"/>
      <c r="K93" s="34" t="n">
        <v>43365</v>
      </c>
      <c r="L93" s="34" t="n"/>
      <c r="M93" s="34" t="n"/>
      <c r="N93" s="82" t="n"/>
      <c r="O93" s="82" t="n"/>
      <c r="P93" s="33" t="inlineStr">
        <is>
          <t>linear</t>
        </is>
      </c>
      <c r="Q93" s="34" t="n"/>
      <c r="R93" s="83" t="n"/>
      <c r="S93" s="34" t="n"/>
      <c r="T93" s="33" t="n"/>
      <c r="U93" s="83" t="n"/>
      <c r="V93" s="33" t="n"/>
      <c r="W93" s="83" t="n">
        <v>26957</v>
      </c>
      <c r="X93" s="83" t="n">
        <v>0</v>
      </c>
      <c r="Y93" s="83" t="n">
        <v>0</v>
      </c>
      <c r="Z93" s="83" t="n">
        <v>0</v>
      </c>
      <c r="AA93" s="84">
        <f>IF(OR($A93="",COUNT(W93,X93,Z93,Y93)&lt;1),"",W93+X93+Z93-Y93)</f>
        <v/>
      </c>
      <c r="AB93" s="83" t="n"/>
      <c r="AC93" s="83" t="n">
        <v>0</v>
      </c>
      <c r="AD93" s="83" t="n"/>
      <c r="AE93" s="83" t="n"/>
      <c r="AF93" s="83" t="n">
        <v>0</v>
      </c>
      <c r="AG93" s="83" t="n"/>
      <c r="AH93" s="84" t="n">
        <v>26956</v>
      </c>
      <c r="AI93" s="84" t="n">
        <v>1</v>
      </c>
      <c r="AJ93" s="84" t="n">
        <v>1</v>
      </c>
      <c r="AK93" s="83" t="n"/>
      <c r="AL93" s="33" t="n"/>
      <c r="AM93" s="33" t="n"/>
      <c r="AN93" s="83" t="n"/>
      <c r="AO93" s="33" t="n"/>
      <c r="AP93" s="33" t="n"/>
      <c r="AQ93" s="33" t="n"/>
    </row>
    <row r="94">
      <c r="A94" s="33" t="inlineStr">
        <is>
          <t>165</t>
        </is>
      </c>
      <c r="B94" s="33" t="inlineStr">
        <is>
          <t>Server 2HE Nr. 35</t>
        </is>
      </c>
      <c r="C94" s="33" t="inlineStr">
        <is>
          <t>EDV-Hardware</t>
        </is>
      </c>
      <c r="D94" s="33" t="n"/>
      <c r="E94" s="33" t="n"/>
      <c r="F94" s="33" t="n"/>
      <c r="G94" s="33" t="n"/>
      <c r="H94" s="33" t="inlineStr">
        <is>
          <t>0490</t>
        </is>
      </c>
      <c r="I94" s="33" t="n"/>
      <c r="J94" s="33" t="n"/>
      <c r="K94" s="34" t="n">
        <v>45573</v>
      </c>
      <c r="L94" s="34" t="n"/>
      <c r="M94" s="34" t="n"/>
      <c r="N94" s="82" t="n"/>
      <c r="O94" s="82" t="n"/>
      <c r="P94" s="33" t="inlineStr">
        <is>
          <t>linear</t>
        </is>
      </c>
      <c r="Q94" s="34" t="n"/>
      <c r="R94" s="83" t="n"/>
      <c r="S94" s="34" t="n"/>
      <c r="T94" s="33" t="n"/>
      <c r="U94" s="83" t="n"/>
      <c r="V94" s="33" t="n"/>
      <c r="W94" s="83" t="n">
        <v>26569.69</v>
      </c>
      <c r="X94" s="83" t="n">
        <v>0</v>
      </c>
      <c r="Y94" s="83" t="n">
        <v>0</v>
      </c>
      <c r="Z94" s="83" t="n">
        <v>0</v>
      </c>
      <c r="AA94" s="84">
        <f>IF(OR($A94="",COUNT(W94,X94,Z94,Y94)&lt;1),"",W94+X94+Z94-Y94)</f>
        <v/>
      </c>
      <c r="AB94" s="83" t="n"/>
      <c r="AC94" s="83" t="n">
        <v>8856.559999999999</v>
      </c>
      <c r="AD94" s="83" t="n"/>
      <c r="AE94" s="83" t="n"/>
      <c r="AF94" s="83" t="n">
        <v>0</v>
      </c>
      <c r="AG94" s="83" t="n"/>
      <c r="AH94" s="84" t="n">
        <v>11070.7</v>
      </c>
      <c r="AI94" s="84" t="n">
        <v>15498.99</v>
      </c>
      <c r="AJ94" s="84" t="n">
        <v>24355.55</v>
      </c>
      <c r="AK94" s="83" t="n"/>
      <c r="AL94" s="33" t="n"/>
      <c r="AM94" s="33" t="n"/>
      <c r="AN94" s="83" t="n"/>
      <c r="AO94" s="33" t="n"/>
      <c r="AP94" s="33" t="n"/>
      <c r="AQ94" s="33" t="n"/>
    </row>
    <row r="95">
      <c r="A95" s="33" t="inlineStr">
        <is>
          <t>173</t>
        </is>
      </c>
      <c r="B95" s="33" t="inlineStr">
        <is>
          <t>Serverschrank 42HE (gebraucht)</t>
        </is>
      </c>
      <c r="C95" s="33" t="inlineStr">
        <is>
          <t>EDV-Hardware</t>
        </is>
      </c>
      <c r="D95" s="33" t="n"/>
      <c r="E95" s="33" t="n"/>
      <c r="F95" s="33" t="n"/>
      <c r="G95" s="33" t="n"/>
      <c r="H95" s="33" t="inlineStr">
        <is>
          <t>0490</t>
        </is>
      </c>
      <c r="I95" s="33" t="n"/>
      <c r="J95" s="33" t="n"/>
      <c r="K95" s="34" t="n">
        <v>45728</v>
      </c>
      <c r="L95" s="34" t="n"/>
      <c r="M95" s="34" t="n"/>
      <c r="N95" s="82" t="n"/>
      <c r="O95" s="82" t="n"/>
      <c r="P95" s="33" t="inlineStr">
        <is>
          <t>linear</t>
        </is>
      </c>
      <c r="Q95" s="34" t="n"/>
      <c r="R95" s="83" t="n"/>
      <c r="S95" s="34" t="n"/>
      <c r="T95" s="33" t="n"/>
      <c r="U95" s="83" t="n"/>
      <c r="V95" s="33" t="n"/>
      <c r="W95" s="83" t="n">
        <v>0</v>
      </c>
      <c r="X95" s="83" t="n">
        <v>1202</v>
      </c>
      <c r="Y95" s="83" t="n">
        <v>0</v>
      </c>
      <c r="Z95" s="83" t="n">
        <v>0</v>
      </c>
      <c r="AA95" s="84">
        <f>IF(OR($A95="",COUNT(W95,X95,Z95,Y95)&lt;1),"",W95+X95+Z95-Y95)</f>
        <v/>
      </c>
      <c r="AB95" s="83" t="n"/>
      <c r="AC95" s="83" t="n">
        <v>333.89</v>
      </c>
      <c r="AD95" s="83" t="n"/>
      <c r="AE95" s="83" t="n"/>
      <c r="AF95" s="83" t="n">
        <v>0</v>
      </c>
      <c r="AG95" s="83" t="n"/>
      <c r="AH95" s="84" t="n">
        <v>333.89</v>
      </c>
      <c r="AI95" s="84" t="n">
        <v>868.11</v>
      </c>
      <c r="AJ95" s="84" t="n">
        <v>0</v>
      </c>
      <c r="AK95" s="83" t="n"/>
      <c r="AL95" s="33" t="n"/>
      <c r="AM95" s="33" t="n"/>
      <c r="AN95" s="83" t="n"/>
      <c r="AO95" s="33" t="n"/>
      <c r="AP95" s="33" t="n"/>
      <c r="AQ95" s="33" t="n"/>
    </row>
    <row r="96">
      <c r="A96" s="33" t="inlineStr">
        <is>
          <t>143</t>
        </is>
      </c>
      <c r="B96" s="33" t="inlineStr">
        <is>
          <t>Monitor 27 Zoll</t>
        </is>
      </c>
      <c r="C96" s="33" t="inlineStr">
        <is>
          <t>GWG</t>
        </is>
      </c>
      <c r="D96" s="33" t="n"/>
      <c r="E96" s="33" t="n"/>
      <c r="F96" s="33" t="n"/>
      <c r="G96" s="33" t="n"/>
      <c r="H96" s="33" t="n"/>
      <c r="I96" s="33" t="n"/>
      <c r="J96" s="33" t="n"/>
      <c r="K96" s="34" t="n">
        <v>45300</v>
      </c>
      <c r="L96" s="34" t="n"/>
      <c r="M96" s="34" t="n"/>
      <c r="N96" s="82" t="n"/>
      <c r="O96" s="82" t="n"/>
      <c r="P96" s="33" t="inlineStr">
        <is>
          <t>Sofortabschreibung</t>
        </is>
      </c>
      <c r="Q96" s="34" t="n"/>
      <c r="R96" s="83" t="n"/>
      <c r="S96" s="34" t="n"/>
      <c r="T96" s="33" t="n"/>
      <c r="U96" s="83" t="n"/>
      <c r="V96" s="33" t="n"/>
      <c r="W96" s="83" t="n">
        <v>635</v>
      </c>
      <c r="X96" s="83" t="n">
        <v>0</v>
      </c>
      <c r="Y96" s="83" t="n">
        <v>0</v>
      </c>
      <c r="Z96" s="83" t="n">
        <v>0</v>
      </c>
      <c r="AA96" s="84">
        <f>IF(OR($A96="",COUNT(W96,X96,Z96,Y96)&lt;1),"",W96+X96+Z96-Y96)</f>
        <v/>
      </c>
      <c r="AB96" s="83" t="n"/>
      <c r="AC96" s="83" t="n">
        <v>0</v>
      </c>
      <c r="AD96" s="83" t="n"/>
      <c r="AE96" s="83" t="n"/>
      <c r="AF96" s="83" t="n">
        <v>0</v>
      </c>
      <c r="AG96" s="83" t="n"/>
      <c r="AH96" s="84" t="n">
        <v>635</v>
      </c>
      <c r="AI96" s="84" t="n">
        <v>0</v>
      </c>
      <c r="AJ96" s="84" t="n">
        <v>0</v>
      </c>
      <c r="AK96" s="83" t="n"/>
      <c r="AL96" s="33" t="n"/>
      <c r="AM96" s="33" t="n"/>
      <c r="AN96" s="83" t="n"/>
      <c r="AO96" s="33" t="n"/>
      <c r="AP96" s="33" t="n"/>
      <c r="AQ96" s="33" t="n"/>
    </row>
    <row r="97">
      <c r="A97" s="33" t="inlineStr">
        <is>
          <t>161</t>
        </is>
      </c>
      <c r="B97" s="33" t="inlineStr">
        <is>
          <t>Werkzeugkoffer</t>
        </is>
      </c>
      <c r="C97" s="33" t="inlineStr">
        <is>
          <t>GWG</t>
        </is>
      </c>
      <c r="D97" s="33" t="n"/>
      <c r="E97" s="33" t="n"/>
      <c r="F97" s="33" t="n"/>
      <c r="G97" s="33" t="n"/>
      <c r="H97" s="33" t="n"/>
      <c r="I97" s="33" t="n"/>
      <c r="J97" s="33" t="n"/>
      <c r="K97" s="34" t="n">
        <v>45557</v>
      </c>
      <c r="L97" s="34" t="n"/>
      <c r="M97" s="34" t="n"/>
      <c r="N97" s="82" t="n"/>
      <c r="O97" s="82" t="n"/>
      <c r="P97" s="33" t="inlineStr">
        <is>
          <t>Sofortabschreibung</t>
        </is>
      </c>
      <c r="Q97" s="34" t="n"/>
      <c r="R97" s="83" t="n"/>
      <c r="S97" s="34" t="n"/>
      <c r="T97" s="33" t="n"/>
      <c r="U97" s="83" t="n"/>
      <c r="V97" s="33" t="n"/>
      <c r="W97" s="83" t="n">
        <v>254.89</v>
      </c>
      <c r="X97" s="83" t="n">
        <v>0</v>
      </c>
      <c r="Y97" s="83" t="n">
        <v>0</v>
      </c>
      <c r="Z97" s="83" t="n">
        <v>0</v>
      </c>
      <c r="AA97" s="84">
        <f>IF(OR($A97="",COUNT(W97,X97,Z97,Y97)&lt;1),"",W97+X97+Z97-Y97)</f>
        <v/>
      </c>
      <c r="AB97" s="83" t="n"/>
      <c r="AC97" s="83" t="n">
        <v>0</v>
      </c>
      <c r="AD97" s="83" t="n"/>
      <c r="AE97" s="83" t="n"/>
      <c r="AF97" s="83" t="n">
        <v>0</v>
      </c>
      <c r="AG97" s="83" t="n"/>
      <c r="AH97" s="84" t="n">
        <v>254.89</v>
      </c>
      <c r="AI97" s="84" t="n">
        <v>0</v>
      </c>
      <c r="AJ97" s="84" t="n">
        <v>0</v>
      </c>
      <c r="AK97" s="83" t="n"/>
      <c r="AL97" s="33" t="n"/>
      <c r="AM97" s="33" t="n"/>
      <c r="AN97" s="83" t="n"/>
      <c r="AO97" s="33" t="n"/>
      <c r="AP97" s="33" t="n"/>
      <c r="AQ97" s="33" t="n"/>
    </row>
    <row r="98">
      <c r="A98" s="33" t="inlineStr">
        <is>
          <t>164</t>
        </is>
      </c>
      <c r="B98" s="33" t="inlineStr">
        <is>
          <t>Werkzeugkoffer</t>
        </is>
      </c>
      <c r="C98" s="33" t="inlineStr">
        <is>
          <t>GWG</t>
        </is>
      </c>
      <c r="D98" s="33" t="n"/>
      <c r="E98" s="33" t="n"/>
      <c r="F98" s="33" t="n"/>
      <c r="G98" s="33" t="n"/>
      <c r="H98" s="33" t="n"/>
      <c r="I98" s="33" t="n"/>
      <c r="J98" s="33" t="n"/>
      <c r="K98" s="34" t="n">
        <v>45562</v>
      </c>
      <c r="L98" s="34" t="n"/>
      <c r="M98" s="34" t="n"/>
      <c r="N98" s="82" t="n"/>
      <c r="O98" s="82" t="n"/>
      <c r="P98" s="33" t="inlineStr">
        <is>
          <t>Sofortabschreibung</t>
        </is>
      </c>
      <c r="Q98" s="34" t="n"/>
      <c r="R98" s="83" t="n"/>
      <c r="S98" s="34" t="n"/>
      <c r="T98" s="33" t="n"/>
      <c r="U98" s="83" t="n"/>
      <c r="V98" s="33" t="n"/>
      <c r="W98" s="83" t="n">
        <v>625.87</v>
      </c>
      <c r="X98" s="83" t="n">
        <v>0</v>
      </c>
      <c r="Y98" s="83" t="n">
        <v>0</v>
      </c>
      <c r="Z98" s="83" t="n">
        <v>0</v>
      </c>
      <c r="AA98" s="84">
        <f>IF(OR($A98="",COUNT(W98,X98,Z98,Y98)&lt;1),"",W98+X98+Z98-Y98)</f>
        <v/>
      </c>
      <c r="AB98" s="83" t="n"/>
      <c r="AC98" s="83" t="n">
        <v>0</v>
      </c>
      <c r="AD98" s="83" t="n"/>
      <c r="AE98" s="83" t="n"/>
      <c r="AF98" s="83" t="n">
        <v>0</v>
      </c>
      <c r="AG98" s="83" t="n"/>
      <c r="AH98" s="84" t="n">
        <v>625.87</v>
      </c>
      <c r="AI98" s="84" t="n">
        <v>0</v>
      </c>
      <c r="AJ98" s="84" t="n">
        <v>0</v>
      </c>
      <c r="AK98" s="83" t="n"/>
      <c r="AL98" s="33" t="n"/>
      <c r="AM98" s="33" t="n"/>
      <c r="AN98" s="83" t="n"/>
      <c r="AO98" s="33" t="n"/>
      <c r="AP98" s="33" t="n"/>
      <c r="AQ98" s="33" t="n"/>
    </row>
    <row r="99">
      <c r="A99" s="33" t="inlineStr">
        <is>
          <t>180</t>
        </is>
      </c>
      <c r="B99" s="33" t="inlineStr">
        <is>
          <t>Aktenvernichter</t>
        </is>
      </c>
      <c r="C99" s="33" t="inlineStr">
        <is>
          <t>GWG</t>
        </is>
      </c>
      <c r="D99" s="33" t="n"/>
      <c r="E99" s="33" t="n"/>
      <c r="F99" s="33" t="n"/>
      <c r="G99" s="33" t="n"/>
      <c r="H99" s="33" t="n"/>
      <c r="I99" s="33" t="n"/>
      <c r="J99" s="33" t="n"/>
      <c r="K99" s="34" t="n">
        <v>45796</v>
      </c>
      <c r="L99" s="34" t="n"/>
      <c r="M99" s="34" t="n"/>
      <c r="N99" s="82" t="n"/>
      <c r="O99" s="82" t="n"/>
      <c r="P99" s="33" t="inlineStr">
        <is>
          <t>Sofortabschreibung</t>
        </is>
      </c>
      <c r="Q99" s="34" t="n"/>
      <c r="R99" s="83" t="n"/>
      <c r="S99" s="34" t="n"/>
      <c r="T99" s="33" t="n"/>
      <c r="U99" s="83" t="n"/>
      <c r="V99" s="33" t="n"/>
      <c r="W99" s="83" t="n">
        <v>0</v>
      </c>
      <c r="X99" s="83" t="n">
        <v>377</v>
      </c>
      <c r="Y99" s="83" t="n">
        <v>0</v>
      </c>
      <c r="Z99" s="83" t="n">
        <v>0</v>
      </c>
      <c r="AA99" s="84">
        <f>IF(OR($A99="",COUNT(W99,X99,Z99,Y99)&lt;1),"",W99+X99+Z99-Y99)</f>
        <v/>
      </c>
      <c r="AB99" s="83" t="n"/>
      <c r="AC99" s="83" t="n">
        <v>377</v>
      </c>
      <c r="AD99" s="83" t="n"/>
      <c r="AE99" s="83" t="n"/>
      <c r="AF99" s="83" t="n">
        <v>0</v>
      </c>
      <c r="AG99" s="83" t="n"/>
      <c r="AH99" s="84" t="n">
        <v>377</v>
      </c>
      <c r="AI99" s="84" t="n">
        <v>0</v>
      </c>
      <c r="AJ99" s="84" t="n">
        <v>0</v>
      </c>
      <c r="AK99" s="83" t="n"/>
      <c r="AL99" s="33" t="n"/>
      <c r="AM99" s="33" t="n"/>
      <c r="AN99" s="83" t="n"/>
      <c r="AO99" s="33" t="n"/>
      <c r="AP99" s="33" t="n"/>
      <c r="AQ99" s="33" t="n"/>
    </row>
    <row r="100">
      <c r="A100" s="33" t="inlineStr">
        <is>
          <t>181</t>
        </is>
      </c>
      <c r="B100" s="33" t="inlineStr">
        <is>
          <t>Aktenvernichter</t>
        </is>
      </c>
      <c r="C100" s="33" t="inlineStr">
        <is>
          <t>GWG</t>
        </is>
      </c>
      <c r="D100" s="33" t="n"/>
      <c r="E100" s="33" t="n"/>
      <c r="F100" s="33" t="n"/>
      <c r="G100" s="33" t="n"/>
      <c r="H100" s="33" t="n"/>
      <c r="I100" s="33" t="n"/>
      <c r="J100" s="33" t="n"/>
      <c r="K100" s="34" t="n">
        <v>45803</v>
      </c>
      <c r="L100" s="34" t="n"/>
      <c r="M100" s="34" t="n"/>
      <c r="N100" s="82" t="n"/>
      <c r="O100" s="82" t="n"/>
      <c r="P100" s="33" t="inlineStr">
        <is>
          <t>Sofortabschreibung</t>
        </is>
      </c>
      <c r="Q100" s="34" t="n"/>
      <c r="R100" s="83" t="n"/>
      <c r="S100" s="34" t="n"/>
      <c r="T100" s="33" t="n"/>
      <c r="U100" s="83" t="n"/>
      <c r="V100" s="33" t="n"/>
      <c r="W100" s="83" t="n">
        <v>0</v>
      </c>
      <c r="X100" s="83" t="n">
        <v>321</v>
      </c>
      <c r="Y100" s="83" t="n">
        <v>0</v>
      </c>
      <c r="Z100" s="83" t="n">
        <v>0</v>
      </c>
      <c r="AA100" s="84">
        <f>IF(OR($A100="",COUNT(W100,X100,Z100,Y100)&lt;1),"",W100+X100+Z100-Y100)</f>
        <v/>
      </c>
      <c r="AB100" s="83" t="n"/>
      <c r="AC100" s="83" t="n">
        <v>321</v>
      </c>
      <c r="AD100" s="83" t="n"/>
      <c r="AE100" s="83" t="n"/>
      <c r="AF100" s="83" t="n">
        <v>0</v>
      </c>
      <c r="AG100" s="83" t="n"/>
      <c r="AH100" s="84" t="n">
        <v>321</v>
      </c>
      <c r="AI100" s="84" t="n">
        <v>0</v>
      </c>
      <c r="AJ100" s="84" t="n">
        <v>0</v>
      </c>
      <c r="AK100" s="83" t="n"/>
      <c r="AL100" s="33" t="n"/>
      <c r="AM100" s="33" t="n"/>
      <c r="AN100" s="83" t="n"/>
      <c r="AO100" s="33" t="n"/>
      <c r="AP100" s="33" t="n"/>
      <c r="AQ100" s="33" t="n"/>
    </row>
    <row r="101">
      <c r="A101" s="33" t="inlineStr">
        <is>
          <t>204</t>
        </is>
      </c>
      <c r="B101" s="33" t="inlineStr">
        <is>
          <t>Bürostuhl</t>
        </is>
      </c>
      <c r="C101" s="33" t="inlineStr">
        <is>
          <t>GWG</t>
        </is>
      </c>
      <c r="D101" s="33" t="n"/>
      <c r="E101" s="33" t="n"/>
      <c r="F101" s="33" t="n"/>
      <c r="G101" s="33" t="n"/>
      <c r="H101" s="33" t="n"/>
      <c r="I101" s="33" t="n"/>
      <c r="J101" s="33" t="n"/>
      <c r="K101" s="34" t="n">
        <v>45870</v>
      </c>
      <c r="L101" s="34" t="n"/>
      <c r="M101" s="34" t="n"/>
      <c r="N101" s="82" t="n"/>
      <c r="O101" s="82" t="n"/>
      <c r="P101" s="33" t="inlineStr">
        <is>
          <t>Sofortabschreibung</t>
        </is>
      </c>
      <c r="Q101" s="34" t="n"/>
      <c r="R101" s="83" t="n"/>
      <c r="S101" s="34" t="n"/>
      <c r="T101" s="33" t="n"/>
      <c r="U101" s="83" t="n"/>
      <c r="V101" s="33" t="n"/>
      <c r="W101" s="83" t="n">
        <v>0</v>
      </c>
      <c r="X101" s="83" t="n">
        <v>283.15</v>
      </c>
      <c r="Y101" s="83" t="n">
        <v>0</v>
      </c>
      <c r="Z101" s="83" t="n">
        <v>0</v>
      </c>
      <c r="AA101" s="84">
        <f>IF(OR($A101="",COUNT(W101,X101,Z101,Y101)&lt;1),"",W101+X101+Z101-Y101)</f>
        <v/>
      </c>
      <c r="AB101" s="83" t="n"/>
      <c r="AC101" s="83" t="n">
        <v>283.15</v>
      </c>
      <c r="AD101" s="83" t="n"/>
      <c r="AE101" s="83" t="n"/>
      <c r="AF101" s="83" t="n">
        <v>0</v>
      </c>
      <c r="AG101" s="83" t="n"/>
      <c r="AH101" s="84" t="n">
        <v>283.15</v>
      </c>
      <c r="AI101" s="84" t="n">
        <v>0</v>
      </c>
      <c r="AJ101" s="84" t="n">
        <v>0</v>
      </c>
      <c r="AK101" s="83" t="n"/>
      <c r="AL101" s="33" t="n"/>
      <c r="AM101" s="33" t="n"/>
      <c r="AN101" s="83" t="n"/>
      <c r="AO101" s="33" t="n"/>
      <c r="AP101" s="33" t="n"/>
      <c r="AQ101" s="33" t="n"/>
    </row>
    <row r="102">
      <c r="A102" s="33" t="inlineStr">
        <is>
          <t>219</t>
        </is>
      </c>
      <c r="B102" s="33" t="inlineStr">
        <is>
          <t>Werkzeugkoffer</t>
        </is>
      </c>
      <c r="C102" s="33" t="inlineStr">
        <is>
          <t>GWG</t>
        </is>
      </c>
      <c r="D102" s="33" t="n"/>
      <c r="E102" s="33" t="n"/>
      <c r="F102" s="33" t="n"/>
      <c r="G102" s="33" t="n"/>
      <c r="H102" s="33" t="n"/>
      <c r="I102" s="33" t="n"/>
      <c r="J102" s="33" t="n"/>
      <c r="K102" s="34" t="n">
        <v>45922</v>
      </c>
      <c r="L102" s="34" t="n"/>
      <c r="M102" s="34" t="n"/>
      <c r="N102" s="82" t="n"/>
      <c r="O102" s="82" t="n"/>
      <c r="P102" s="33" t="inlineStr">
        <is>
          <t>Sofortabschreibung</t>
        </is>
      </c>
      <c r="Q102" s="34" t="n"/>
      <c r="R102" s="83" t="n"/>
      <c r="S102" s="34" t="n"/>
      <c r="T102" s="33" t="n"/>
      <c r="U102" s="83" t="n"/>
      <c r="V102" s="33" t="n"/>
      <c r="W102" s="83" t="n">
        <v>0</v>
      </c>
      <c r="X102" s="83" t="n">
        <v>535</v>
      </c>
      <c r="Y102" s="83" t="n">
        <v>0</v>
      </c>
      <c r="Z102" s="83" t="n">
        <v>0</v>
      </c>
      <c r="AA102" s="84">
        <f>IF(OR($A102="",COUNT(W102,X102,Z102,Y102)&lt;1),"",W102+X102+Z102-Y102)</f>
        <v/>
      </c>
      <c r="AB102" s="83" t="n"/>
      <c r="AC102" s="83" t="n">
        <v>535</v>
      </c>
      <c r="AD102" s="83" t="n"/>
      <c r="AE102" s="83" t="n"/>
      <c r="AF102" s="83" t="n">
        <v>0</v>
      </c>
      <c r="AG102" s="83" t="n"/>
      <c r="AH102" s="84" t="n">
        <v>535</v>
      </c>
      <c r="AI102" s="84" t="n">
        <v>0</v>
      </c>
      <c r="AJ102" s="84" t="n">
        <v>0</v>
      </c>
      <c r="AK102" s="83" t="n"/>
      <c r="AL102" s="33" t="n"/>
      <c r="AM102" s="33" t="n"/>
      <c r="AN102" s="83" t="n"/>
      <c r="AO102" s="33" t="n"/>
      <c r="AP102" s="33" t="n"/>
      <c r="AQ102" s="33" t="n"/>
    </row>
    <row r="103">
      <c r="A103" s="33" t="inlineStr">
        <is>
          <t>220</t>
        </is>
      </c>
      <c r="B103" s="33" t="inlineStr">
        <is>
          <t>Kaffeevollautomat</t>
        </is>
      </c>
      <c r="C103" s="33" t="inlineStr">
        <is>
          <t>GWG</t>
        </is>
      </c>
      <c r="D103" s="33" t="n"/>
      <c r="E103" s="33" t="n"/>
      <c r="F103" s="33" t="n"/>
      <c r="G103" s="33" t="n"/>
      <c r="H103" s="33" t="n"/>
      <c r="I103" s="33" t="n"/>
      <c r="J103" s="33" t="n"/>
      <c r="K103" s="34" t="n">
        <v>45923</v>
      </c>
      <c r="L103" s="34" t="n"/>
      <c r="M103" s="34" t="n"/>
      <c r="N103" s="82" t="n"/>
      <c r="O103" s="82" t="n"/>
      <c r="P103" s="33" t="inlineStr">
        <is>
          <t>Sofortabschreibung</t>
        </is>
      </c>
      <c r="Q103" s="34" t="n"/>
      <c r="R103" s="83" t="n"/>
      <c r="S103" s="34" t="n"/>
      <c r="T103" s="33" t="n"/>
      <c r="U103" s="83" t="n"/>
      <c r="V103" s="33" t="n"/>
      <c r="W103" s="83" t="n">
        <v>0</v>
      </c>
      <c r="X103" s="83" t="n">
        <v>319.32</v>
      </c>
      <c r="Y103" s="83" t="n">
        <v>0</v>
      </c>
      <c r="Z103" s="83" t="n">
        <v>0</v>
      </c>
      <c r="AA103" s="84">
        <f>IF(OR($A103="",COUNT(W103,X103,Z103,Y103)&lt;1),"",W103+X103+Z103-Y103)</f>
        <v/>
      </c>
      <c r="AB103" s="83" t="n"/>
      <c r="AC103" s="83" t="n">
        <v>319.32</v>
      </c>
      <c r="AD103" s="83" t="n"/>
      <c r="AE103" s="83" t="n"/>
      <c r="AF103" s="83" t="n">
        <v>0</v>
      </c>
      <c r="AG103" s="83" t="n"/>
      <c r="AH103" s="84" t="n">
        <v>319.32</v>
      </c>
      <c r="AI103" s="84" t="n">
        <v>0</v>
      </c>
      <c r="AJ103" s="84" t="n">
        <v>0</v>
      </c>
      <c r="AK103" s="83" t="n"/>
      <c r="AL103" s="33" t="n"/>
      <c r="AM103" s="33" t="n"/>
      <c r="AN103" s="83" t="n"/>
      <c r="AO103" s="33" t="n"/>
      <c r="AP103" s="33" t="n"/>
      <c r="AQ103" s="33" t="n"/>
    </row>
    <row r="104">
      <c r="A104" s="33" t="inlineStr">
        <is>
          <t>230</t>
        </is>
      </c>
      <c r="B104" s="33" t="inlineStr">
        <is>
          <t>Tablet</t>
        </is>
      </c>
      <c r="C104" s="33" t="inlineStr">
        <is>
          <t>GWG</t>
        </is>
      </c>
      <c r="D104" s="33" t="n"/>
      <c r="E104" s="33" t="n"/>
      <c r="F104" s="33" t="n"/>
      <c r="G104" s="33" t="n"/>
      <c r="H104" s="33" t="n"/>
      <c r="I104" s="33" t="n"/>
      <c r="J104" s="33" t="n"/>
      <c r="K104" s="34" t="n">
        <v>45998</v>
      </c>
      <c r="L104" s="34" t="n"/>
      <c r="M104" s="34" t="n"/>
      <c r="N104" s="82" t="n"/>
      <c r="O104" s="82" t="n"/>
      <c r="P104" s="33" t="inlineStr">
        <is>
          <t>Sofortabschreibung</t>
        </is>
      </c>
      <c r="Q104" s="34" t="n"/>
      <c r="R104" s="83" t="n"/>
      <c r="S104" s="34" t="n"/>
      <c r="T104" s="33" t="n"/>
      <c r="U104" s="83" t="n"/>
      <c r="V104" s="33" t="n"/>
      <c r="W104" s="83" t="n">
        <v>0</v>
      </c>
      <c r="X104" s="83" t="n">
        <v>480.56</v>
      </c>
      <c r="Y104" s="83" t="n">
        <v>0</v>
      </c>
      <c r="Z104" s="83" t="n">
        <v>0</v>
      </c>
      <c r="AA104" s="84">
        <f>IF(OR($A104="",COUNT(W104,X104,Z104,Y104)&lt;1),"",W104+X104+Z104-Y104)</f>
        <v/>
      </c>
      <c r="AB104" s="83" t="n"/>
      <c r="AC104" s="83" t="n">
        <v>480.56</v>
      </c>
      <c r="AD104" s="83" t="n"/>
      <c r="AE104" s="83" t="n"/>
      <c r="AF104" s="83" t="n">
        <v>0</v>
      </c>
      <c r="AG104" s="83" t="n"/>
      <c r="AH104" s="84" t="n">
        <v>480.56</v>
      </c>
      <c r="AI104" s="84" t="n">
        <v>0</v>
      </c>
      <c r="AJ104" s="84" t="n">
        <v>0</v>
      </c>
      <c r="AK104" s="83" t="n"/>
      <c r="AL104" s="33" t="n"/>
      <c r="AM104" s="33" t="n"/>
      <c r="AN104" s="83" t="n"/>
      <c r="AO104" s="33" t="n"/>
      <c r="AP104" s="33" t="n"/>
      <c r="AQ104" s="33" t="n"/>
    </row>
    <row r="105">
      <c r="A105" s="33" t="inlineStr">
        <is>
          <t>150</t>
        </is>
      </c>
      <c r="B105" s="33" t="inlineStr">
        <is>
          <t>AiB Bandsäge Typ B617</t>
        </is>
      </c>
      <c r="C105" s="33" t="inlineStr">
        <is>
          <t>Anlagen im Bau</t>
        </is>
      </c>
      <c r="D105" s="33" t="n"/>
      <c r="E105" s="33" t="inlineStr">
        <is>
          <t>A.II.4</t>
        </is>
      </c>
      <c r="F105" s="33" t="n"/>
      <c r="G105" s="33" t="n"/>
      <c r="H105" s="33" t="n"/>
      <c r="I105" s="33" t="n"/>
      <c r="J105" s="33" t="n"/>
      <c r="K105" s="34" t="n">
        <v>45428</v>
      </c>
      <c r="L105" s="34" t="n"/>
      <c r="M105" s="34" t="n"/>
      <c r="N105" s="82" t="n"/>
      <c r="O105" s="82" t="n"/>
      <c r="P105" s="33" t="inlineStr">
        <is>
          <t>keine AfA</t>
        </is>
      </c>
      <c r="Q105" s="34" t="n"/>
      <c r="R105" s="83" t="n"/>
      <c r="S105" s="34" t="n"/>
      <c r="T105" s="33" t="n"/>
      <c r="U105" s="83" t="n"/>
      <c r="V105" s="33" t="n"/>
      <c r="W105" s="83" t="n">
        <v>229055</v>
      </c>
      <c r="X105" s="83" t="n">
        <v>43049.31</v>
      </c>
      <c r="Y105" s="83" t="n">
        <v>0</v>
      </c>
      <c r="Z105" s="83" t="n">
        <v>-272104.31</v>
      </c>
      <c r="AA105" s="84">
        <f>IF(OR($A105="",COUNT(W105,X105,Z105,Y105)&lt;1),"",W105+X105+Z105-Y105)</f>
        <v/>
      </c>
      <c r="AB105" s="83" t="n"/>
      <c r="AC105" s="83" t="n">
        <v>0</v>
      </c>
      <c r="AD105" s="83" t="n"/>
      <c r="AE105" s="83" t="n"/>
      <c r="AF105" s="83" t="n">
        <v>0</v>
      </c>
      <c r="AG105" s="83" t="n"/>
      <c r="AH105" s="84" t="n">
        <v>0</v>
      </c>
      <c r="AI105" s="84" t="n">
        <v>0</v>
      </c>
      <c r="AJ105" s="84" t="n">
        <v>229055</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2026-10-18T13:21:33Z</dcterms:modified>
</cp:coreProperties>
</file>