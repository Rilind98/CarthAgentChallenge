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omments/comment1.xml><?xml version="1.0" encoding="utf-8"?>
<comments xmlns="http://schemas.openxmlformats.org/spreadsheetml/2006/main">
  <authors>
    <author>Datenübernahme</author>
  </authors>
  <commentList>
    <comment ref="E8" authorId="0" shapeId="0">
      <text>
        <t>Quelle: f01_net_spiegel_02.pdf, Seite 1, Box [317.8, 189.45, 348.94, 196.45] · gedruckt '65.566,60'</t>
      </text>
    </comment>
    <comment ref="G8" authorId="0" shapeId="0">
      <text>
        <t>Quelle: f01_net_spiegel_02.pdf, Seite 1, Box [503.32, 189.45, 516.94, 196.45] · gedruckt '0,00'</t>
      </text>
    </comment>
    <comment ref="L8" authorId="0" shapeId="0">
      <text>
        <t>Quelle: f01_net_spiegel_02.pdf, Seite 1, Box [597.8, 189.45, 628.94, 196.45] · gedruckt '21.781,69'</t>
      </text>
    </comment>
    <comment ref="O8" authorId="0" shapeId="0">
      <text>
        <t>Quelle: f01_net_spiegel_02.pdf, Seite 1, Box [559.32, 189.45, 572.94, 196.45] · gedruckt '0,00'</t>
      </text>
    </comment>
    <comment ref="R8" authorId="0" shapeId="0">
      <text>
        <t>Quelle: f01_net_spiegel_02.pdf, Seite 1, Box [705.91, 189.45, 740.94, 196.45] · gedruckt '101.701,04'</t>
      </text>
    </comment>
    <comment ref="S8" authorId="0" shapeId="0">
      <text>
        <t>Quelle: f01_net_spiegel_02.pdf, Seite 1, Box [765.8, 189.45, 796.94, 196.45] · gedruckt '49.993,33'</t>
      </text>
    </comment>
    <comment ref="T8" authorId="0" shapeId="0">
      <text>
        <t>Quelle: f01_net_spiegel_02.pdf, Seite 1, Box [265.7, 189.45, 292.94, 196.45] · gedruckt '6.208,42'</t>
      </text>
    </comment>
    <comment ref="E9" authorId="0" shapeId="0">
      <text>
        <t>Quelle: f01_net_spiegel_02.pdf, Seite 1, Box [317.8, 208.35, 348.94, 215.35] · gedruckt '65.566,60'</t>
      </text>
    </comment>
    <comment ref="G9" authorId="0" shapeId="0">
      <text>
        <t>Quelle: f01_net_spiegel_02.pdf, Seite 1, Box [503.32, 208.35, 516.94, 215.35] · gedruckt '0,00'</t>
      </text>
    </comment>
    <comment ref="L9" authorId="0" shapeId="0">
      <text>
        <t>Quelle: f01_net_spiegel_02.pdf, Seite 1, Box [597.8, 208.35, 628.94, 215.35] · gedruckt '21.781,69'</t>
      </text>
    </comment>
    <comment ref="O9" authorId="0" shapeId="0">
      <text>
        <t>Quelle: f01_net_spiegel_02.pdf, Seite 1, Box [559.32, 208.35, 572.94, 215.35] · gedruckt '0,00'</t>
      </text>
    </comment>
    <comment ref="R9" authorId="0" shapeId="0">
      <text>
        <t>Quelle: f01_net_spiegel_02.pdf, Seite 1, Box [705.91, 208.35, 740.94, 215.35] · gedruckt '101.701,04'</t>
      </text>
    </comment>
    <comment ref="S9" authorId="0" shapeId="0">
      <text>
        <t>Quelle: f01_net_spiegel_02.pdf, Seite 1, Box [765.8, 208.35, 796.94, 215.35] · gedruckt '49.993,33'</t>
      </text>
    </comment>
    <comment ref="T9" authorId="0" shapeId="0">
      <text>
        <t>Quelle: f01_net_spiegel_02.pdf, Seite 1, Box [265.7, 208.35, 292.94, 215.35] · gedruckt '6.208,42'</t>
      </text>
    </comment>
    <comment ref="E10" authorId="0" shapeId="0">
      <text>
        <t>Quelle: f01_net_spiegel_02.pdf, Seite 1, Box [317.8, 227.25, 348.94, 234.25] · gedruckt '65.566,60'</t>
      </text>
    </comment>
    <comment ref="G10" authorId="0" shapeId="0">
      <text>
        <t>Quelle: f01_net_spiegel_02.pdf, Seite 1, Box [503.32, 227.25, 516.94, 234.25] · gedruckt '0,00'</t>
      </text>
    </comment>
    <comment ref="L10" authorId="0" shapeId="0">
      <text>
        <t>Quelle: f01_net_spiegel_02.pdf, Seite 1, Box [597.8, 227.25, 628.94, 234.25] · gedruckt '21.781,69'</t>
      </text>
    </comment>
    <comment ref="O10" authorId="0" shapeId="0">
      <text>
        <t>Quelle: f01_net_spiegel_02.pdf, Seite 1, Box [559.32, 227.25, 572.94, 234.25] · gedruckt '0,00'</t>
      </text>
    </comment>
    <comment ref="R10" authorId="0" shapeId="0">
      <text>
        <t>Quelle: f01_net_spiegel_02.pdf, Seite 1, Box [705.91, 227.25, 740.94, 234.25] · gedruckt '101.701,04'</t>
      </text>
    </comment>
    <comment ref="S10" authorId="0" shapeId="0">
      <text>
        <t>Quelle: f01_net_spiegel_02.pdf, Seite 1, Box [765.8, 227.25, 796.94, 234.25] · gedruckt '49.993,33'</t>
      </text>
    </comment>
    <comment ref="T10" authorId="0" shapeId="0">
      <text>
        <t>Quelle: f01_net_spiegel_02.pdf, Seite 1, Box [265.7, 227.25, 292.94, 234.25] · gedruckt '6.208,42'</t>
      </text>
    </comment>
    <comment ref="E11" authorId="0" shapeId="0">
      <text>
        <t>Quelle: f01_net_spiegel_02.pdf, Seite 1, Box [335.32, 293.4, 348.94, 300.4] · gedruckt '0,00'</t>
      </text>
    </comment>
    <comment ref="G11" authorId="0" shapeId="0">
      <text>
        <t>Quelle: f01_net_spiegel_02.pdf, Seite 1, Box [503.32, 293.4, 516.94, 300.4] · gedruckt '0,00'</t>
      </text>
    </comment>
    <comment ref="L11" authorId="0" shapeId="0">
      <text>
        <t>Quelle: f01_net_spiegel_02.pdf, Seite 1, Box [615.32, 293.4, 628.94, 300.4] · gedruckt '0,00'</t>
      </text>
    </comment>
    <comment ref="O11" authorId="0" shapeId="0">
      <text>
        <t>Quelle: f01_net_spiegel_02.pdf, Seite 1, Box [559.32, 293.4, 572.94, 300.4] · gedruckt '0,00'</t>
      </text>
    </comment>
    <comment ref="R11" authorId="0" shapeId="0">
      <text>
        <t>Quelle: f01_net_spiegel_02.pdf, Seite 1, Box [727.32, 293.4, 740.94, 300.4] · gedruckt '0,00'</t>
      </text>
    </comment>
    <comment ref="S11" authorId="0" shapeId="0">
      <text>
        <t>Quelle: f01_net_spiegel_02.pdf, Seite 1, Box [761.91, 293.4, 796.94, 300.4] · gedruckt '722.643,16'</t>
      </text>
    </comment>
    <comment ref="T11" authorId="0" shapeId="0">
      <text>
        <t>Quelle: f01_net_spiegel_02.pdf, Seite 1, Box [257.91, 293.4, 292.94, 300.4] · gedruckt '722.643,16'</t>
      </text>
    </comment>
    <comment ref="E12" authorId="0" shapeId="0">
      <text>
        <t>Quelle: f01_net_spiegel_02.pdf, Seite 1, Box [335.32, 312.3, 348.94, 319.3] · gedruckt '0,00'</t>
      </text>
    </comment>
    <comment ref="G12" authorId="0" shapeId="0">
      <text>
        <t>Quelle: f01_net_spiegel_02.pdf, Seite 1, Box [503.32, 312.3, 516.94, 319.3] · gedruckt '0,00'</t>
      </text>
    </comment>
    <comment ref="L12" authorId="0" shapeId="0">
      <text>
        <t>Quelle: f01_net_spiegel_02.pdf, Seite 1, Box [615.32, 312.3, 628.94, 319.3] · gedruckt '0,00'</t>
      </text>
    </comment>
    <comment ref="O12" authorId="0" shapeId="0">
      <text>
        <t>Quelle: f01_net_spiegel_02.pdf, Seite 1, Box [559.32, 312.3, 572.94, 319.3] · gedruckt '0,00'</t>
      </text>
    </comment>
    <comment ref="R12" authorId="0" shapeId="0">
      <text>
        <t>Quelle: f01_net_spiegel_02.pdf, Seite 1, Box [727.32, 312.3, 740.94, 319.3] · gedruckt '0,00'</t>
      </text>
    </comment>
    <comment ref="S12" authorId="0" shapeId="0">
      <text>
        <t>Quelle: f01_net_spiegel_02.pdf, Seite 1, Box [761.91, 312.3, 796.94, 319.3] · gedruckt '722.643,16'</t>
      </text>
    </comment>
    <comment ref="T12" authorId="0" shapeId="0">
      <text>
        <t>Quelle: f01_net_spiegel_02.pdf, Seite 1, Box [257.91, 312.3, 292.94, 319.3] · gedruckt '722.643,16'</t>
      </text>
    </comment>
    <comment ref="E13" authorId="0" shapeId="0">
      <text>
        <t>Quelle: f01_net_spiegel_02.pdf, Seite 1, Box [335.32, 331.2, 348.94, 338.2] · gedruckt '0,00'</t>
      </text>
    </comment>
    <comment ref="G13" authorId="0" shapeId="0">
      <text>
        <t>Quelle: f01_net_spiegel_02.pdf, Seite 1, Box [503.32, 331.2, 516.94, 338.2] · gedruckt '0,00'</t>
      </text>
    </comment>
    <comment ref="L13" authorId="0" shapeId="0">
      <text>
        <t>Quelle: f01_net_spiegel_02.pdf, Seite 1, Box [615.32, 331.2, 628.94, 338.2] · gedruckt '0,00'</t>
      </text>
    </comment>
    <comment ref="O13" authorId="0" shapeId="0">
      <text>
        <t>Quelle: f01_net_spiegel_02.pdf, Seite 1, Box [559.32, 331.2, 572.94, 338.2] · gedruckt '0,00'</t>
      </text>
    </comment>
    <comment ref="R13" authorId="0" shapeId="0">
      <text>
        <t>Quelle: f01_net_spiegel_02.pdf, Seite 1, Box [727.32, 331.2, 740.94, 338.2] · gedruckt '0,00'</t>
      </text>
    </comment>
    <comment ref="S13" authorId="0" shapeId="0">
      <text>
        <t>Quelle: f01_net_spiegel_02.pdf, Seite 1, Box [761.91, 331.2, 796.94, 338.2] · gedruckt '722.643,16'</t>
      </text>
    </comment>
    <comment ref="T13" authorId="0" shapeId="0">
      <text>
        <t>Quelle: f01_net_spiegel_02.pdf, Seite 1, Box [257.91, 331.2, 292.94, 338.2] · gedruckt '722.643,16'</t>
      </text>
    </comment>
    <comment ref="E14" authorId="0" shapeId="0">
      <text>
        <t>Quelle: f01_net_spiegel_02.pdf, Seite 1, Box [308.07, 397.35, 348.94, 404.35] · gedruckt '2.841.989,20'</t>
      </text>
    </comment>
    <comment ref="G14" authorId="0" shapeId="0">
      <text>
        <t>Quelle: f01_net_spiegel_02.pdf, Seite 1, Box [503.32, 397.35, 516.94, 404.35] · gedruckt '0,00'</t>
      </text>
    </comment>
    <comment ref="L14" authorId="0" shapeId="0">
      <text>
        <t>Quelle: f01_net_spiegel_02.pdf, Seite 1, Box [593.91, 397.35, 628.94, 404.35] · gedruckt '197.684,71'</t>
      </text>
    </comment>
    <comment ref="O14" authorId="0" shapeId="0">
      <text>
        <t>Quelle: f01_net_spiegel_02.pdf, Seite 1, Box [559.32, 397.35, 572.94, 404.35] · gedruckt '0,00'</t>
      </text>
    </comment>
    <comment ref="R14" authorId="0" shapeId="0">
      <text>
        <t>Quelle: f01_net_spiegel_02.pdf, Seite 1, Box [700.07, 397.35, 740.94, 404.35] · gedruckt '1.335.868,04'</t>
      </text>
    </comment>
    <comment ref="S14" authorId="0" shapeId="0">
      <text>
        <t>Quelle: f01_net_spiegel_02.pdf, Seite 1, Box [756.07, 397.35, 796.94, 404.35] · gedruckt '6.757.900,76'</t>
      </text>
    </comment>
    <comment ref="T14" authorId="0" shapeId="0">
      <text>
        <t>Quelle: f01_net_spiegel_02.pdf, Seite 1, Box [252.07, 397.35, 292.94, 404.35] · gedruckt '4.113.596,27'</t>
      </text>
    </comment>
    <comment ref="E15" authorId="0" shapeId="0">
      <text>
        <t>Quelle: f01_net_spiegel_02.pdf, Seite 1, Box [308.07, 425.7, 348.94, 432.7] · gedruckt '2.841.989,20'</t>
      </text>
    </comment>
    <comment ref="G15" authorId="0" shapeId="0">
      <text>
        <t>Quelle: f01_net_spiegel_02.pdf, Seite 1, Box [503.32, 425.7, 516.94, 432.7] · gedruckt '0,00'</t>
      </text>
    </comment>
    <comment ref="L15" authorId="0" shapeId="0">
      <text>
        <t>Quelle: f01_net_spiegel_02.pdf, Seite 1, Box [593.91, 425.7, 628.94, 432.7] · gedruckt '197.684,71'</t>
      </text>
    </comment>
    <comment ref="O15" authorId="0" shapeId="0">
      <text>
        <t>Quelle: f01_net_spiegel_02.pdf, Seite 1, Box [559.32, 425.7, 572.94, 432.7] · gedruckt '0,00'</t>
      </text>
    </comment>
    <comment ref="R15" authorId="0" shapeId="0">
      <text>
        <t>Quelle: f01_net_spiegel_02.pdf, Seite 1, Box [700.07, 425.7, 740.94, 432.7] · gedruckt '1.335.868,04'</t>
      </text>
    </comment>
    <comment ref="S15" authorId="0" shapeId="0">
      <text>
        <t>Quelle: f01_net_spiegel_02.pdf, Seite 1, Box [756.07, 425.7, 796.94, 432.7] · gedruckt '6.757.900,76'</t>
      </text>
    </comment>
    <comment ref="T15" authorId="0" shapeId="0">
      <text>
        <t>Quelle: f01_net_spiegel_02.pdf, Seite 1, Box [252.07, 425.7, 292.94, 432.7] · gedruckt '4.113.596,27'</t>
      </text>
    </comment>
    <comment ref="E16" authorId="0" shapeId="0">
      <text>
        <t>Quelle: f01_net_spiegel_02.pdf, Seite 1, Box [308.07, 444.6, 348.94, 451.6] · gedruckt '2.841.989,20'</t>
      </text>
    </comment>
    <comment ref="G16" authorId="0" shapeId="0">
      <text>
        <t>Quelle: f01_net_spiegel_02.pdf, Seite 1, Box [503.32, 444.6, 516.94, 451.6] · gedruckt '0,00'</t>
      </text>
    </comment>
    <comment ref="L16" authorId="0" shapeId="0">
      <text>
        <t>Quelle: f01_net_spiegel_02.pdf, Seite 1, Box [593.91, 444.6, 628.94, 451.6] · gedruckt '197.684,71'</t>
      </text>
    </comment>
    <comment ref="O16" authorId="0" shapeId="0">
      <text>
        <t>Quelle: f01_net_spiegel_02.pdf, Seite 1, Box [559.32, 444.6, 572.94, 451.6] · gedruckt '0,00'</t>
      </text>
    </comment>
    <comment ref="R16" authorId="0" shapeId="0">
      <text>
        <t>Quelle: f01_net_spiegel_02.pdf, Seite 1, Box [700.07, 444.6, 740.94, 451.6] · gedruckt '1.335.868,04'</t>
      </text>
    </comment>
    <comment ref="S16" authorId="0" shapeId="0">
      <text>
        <t>Quelle: f01_net_spiegel_02.pdf, Seite 1, Box [756.07, 444.6, 796.94, 451.6] · gedruckt '6.757.900,76'</t>
      </text>
    </comment>
    <comment ref="T16" authorId="0" shapeId="0">
      <text>
        <t>Quelle: f01_net_spiegel_02.pdf, Seite 1, Box [252.07, 444.6, 292.94, 451.6] · gedruckt '4.113.596,27'</t>
      </text>
    </comment>
    <comment ref="E17" authorId="0" shapeId="0">
      <text>
        <t>Quelle: f01_net_spiegel_02.pdf, Seite 1, Box [313.91, 510.75, 348.94, 517.75] · gedruckt '714.604,59'</t>
      </text>
    </comment>
    <comment ref="G17" authorId="0" shapeId="0">
      <text>
        <t>Quelle: f01_net_spiegel_02.pdf, Seite 1, Box [481.91, 510.75, 516.94, 517.75] · gedruckt '404.636,01'</t>
      </text>
    </comment>
    <comment ref="L17" authorId="0" shapeId="0">
      <text>
        <t>Quelle: f01_net_spiegel_02.pdf, Seite 1, Box [593.91, 510.75, 628.94, 517.75] · gedruckt '146.504,03'</t>
      </text>
    </comment>
    <comment ref="O17" authorId="0" shapeId="0">
      <text>
        <t>Quelle: f01_net_spiegel_02.pdf, Seite 1, Box [559.32, 510.75, 572.94, 517.75] · gedruckt '0,00'</t>
      </text>
    </comment>
    <comment ref="R17" authorId="0" shapeId="0">
      <text>
        <t>Quelle: f01_net_spiegel_02.pdf, Seite 1, Box [705.91, 510.75, 740.94, 517.75] · gedruckt '621.800,39'</t>
      </text>
    </comment>
    <comment ref="S17" authorId="0" shapeId="0">
      <text>
        <t>Quelle: f01_net_spiegel_02.pdf, Seite 1, Box [756.07, 510.75, 796.94, 517.75] · gedruckt '1.483.263,63'</t>
      </text>
    </comment>
    <comment ref="T17" authorId="0" shapeId="0">
      <text>
        <t>Quelle: f01_net_spiegel_02.pdf, Seite 1, Box [257.91, 510.75, 292.94, 517.75] · gedruckt '510.527,06'</t>
      </text>
    </comment>
    <comment ref="E18" authorId="0" shapeId="0">
      <text>
        <t>Quelle: f01_net_spiegel_02.pdf, Seite 1, Box [313.91, 529.65, 348.94, 536.65] · gedruckt '714.604,59'</t>
      </text>
    </comment>
    <comment ref="G18" authorId="0" shapeId="0">
      <text>
        <t>Quelle: f01_net_spiegel_02.pdf, Seite 1, Box [481.91, 529.65, 516.94, 536.65] · gedruckt '404.636,01'</t>
      </text>
    </comment>
    <comment ref="L18" authorId="0" shapeId="0">
      <text>
        <t>Quelle: f01_net_spiegel_02.pdf, Seite 1, Box [593.91, 529.65, 628.94, 536.65] · gedruckt '146.504,03'</t>
      </text>
    </comment>
    <comment ref="O18" authorId="0" shapeId="0">
      <text>
        <t>Quelle: f01_net_spiegel_02.pdf, Seite 1, Box [559.32, 529.65, 572.94, 536.65] · gedruckt '0,00'</t>
      </text>
    </comment>
    <comment ref="R18" authorId="0" shapeId="0">
      <text>
        <t>Quelle: f01_net_spiegel_02.pdf, Seite 1, Box [705.91, 529.65, 740.94, 536.65] · gedruckt '621.800,39'</t>
      </text>
    </comment>
    <comment ref="S18" authorId="0" shapeId="0">
      <text>
        <t>Quelle: f01_net_spiegel_02.pdf, Seite 1, Box [756.07, 529.65, 796.94, 536.65] · gedruckt '1.483.263,63'</t>
      </text>
    </comment>
    <comment ref="T18" authorId="0" shapeId="0">
      <text>
        <t>Quelle: f01_net_spiegel_02.pdf, Seite 1, Box [257.91, 529.65, 292.94, 536.65] · gedruckt '510.527,06'</t>
      </text>
    </comment>
    <comment ref="E19" authorId="0" shapeId="0">
      <text>
        <t>Quelle: f01_net_spiegel_02.pdf, Seite 2, Box [313.91, 161.1, 348.94, 168.1] · gedruckt '714.604,59'</t>
      </text>
    </comment>
    <comment ref="G19" authorId="0" shapeId="0">
      <text>
        <t>Quelle: f01_net_spiegel_02.pdf, Seite 2, Box [481.91, 161.1, 516.94, 168.1] · gedruckt '404.636,01'</t>
      </text>
    </comment>
    <comment ref="L19" authorId="0" shapeId="0">
      <text>
        <t>Quelle: f01_net_spiegel_02.pdf, Seite 2, Box [593.91, 161.1, 628.94, 168.1] · gedruckt '146.504,03'</t>
      </text>
    </comment>
    <comment ref="O19" authorId="0" shapeId="0">
      <text>
        <t>Quelle: f01_net_spiegel_02.pdf, Seite 2, Box [559.32, 161.1, 572.94, 168.1] · gedruckt '0,00'</t>
      </text>
    </comment>
    <comment ref="R19" authorId="0" shapeId="0">
      <text>
        <t>Quelle: f01_net_spiegel_02.pdf, Seite 2, Box [705.91, 161.1, 740.94, 168.1] · gedruckt '621.800,39'</t>
      </text>
    </comment>
    <comment ref="S19" authorId="0" shapeId="0">
      <text>
        <t>Quelle: f01_net_spiegel_02.pdf, Seite 2, Box [756.07, 161.1, 796.94, 168.1] · gedruckt '1.483.263,63'</t>
      </text>
    </comment>
    <comment ref="T19" authorId="0" shapeId="0">
      <text>
        <t>Quelle: f01_net_spiegel_02.pdf, Seite 2, Box [257.91, 161.1, 292.94, 168.1] · gedruckt '510.527,06'</t>
      </text>
    </comment>
    <comment ref="E20" authorId="0" shapeId="0">
      <text>
        <t>Quelle: f01_net_spiegel_02.pdf, Seite 2, Box [313.91, 227.25, 348.94, 234.25] · gedruckt '328.841,03'</t>
      </text>
    </comment>
    <comment ref="G20" authorId="0" shapeId="0">
      <text>
        <t>Quelle: f01_net_spiegel_02.pdf, Seite 2, Box [503.32, 227.25, 516.94, 234.25] · gedruckt '0,00'</t>
      </text>
    </comment>
    <comment ref="L20" authorId="0" shapeId="0">
      <text>
        <t>Quelle: f01_net_spiegel_02.pdf, Seite 2, Box [597.8, 227.25, 628.94, 234.25] · gedruckt '33.284,78'</t>
      </text>
    </comment>
    <comment ref="O20" authorId="0" shapeId="0">
      <text>
        <t>Quelle: f01_net_spiegel_02.pdf, Seite 2, Box [559.32, 227.25, 572.94, 234.25] · gedruckt '0,00'</t>
      </text>
    </comment>
    <comment ref="R20" authorId="0" shapeId="0">
      <text>
        <t>Quelle: f01_net_spiegel_02.pdf, Seite 2, Box [705.91, 227.25, 740.94, 234.25] · gedruckt '224.616,97'</t>
      </text>
    </comment>
    <comment ref="S20" authorId="0" shapeId="0">
      <text>
        <t>Quelle: f01_net_spiegel_02.pdf, Seite 2, Box [761.91, 227.25, 796.94, 234.25] · gedruckt '556.687,09'</t>
      </text>
    </comment>
    <comment ref="T20" authorId="0" shapeId="0">
      <text>
        <t>Quelle: f01_net_spiegel_02.pdf, Seite 2, Box [257.91, 227.25, 292.94, 234.25] · gedruckt '261.130,84'</t>
      </text>
    </comment>
    <comment ref="E21" authorId="0" shapeId="0">
      <text>
        <t>Quelle: f01_net_spiegel_02.pdf, Seite 2, Box [313.91, 246.15, 348.94, 253.15] · gedruckt '328.841,03'</t>
      </text>
    </comment>
    <comment ref="G21" authorId="0" shapeId="0">
      <text>
        <t>Quelle: f01_net_spiegel_02.pdf, Seite 2, Box [503.32, 246.15, 516.94, 253.15] · gedruckt '0,00'</t>
      </text>
    </comment>
    <comment ref="L21" authorId="0" shapeId="0">
      <text>
        <t>Quelle: f01_net_spiegel_02.pdf, Seite 2, Box [597.8, 246.15, 628.94, 253.15] · gedruckt '33.284,78'</t>
      </text>
    </comment>
    <comment ref="O21" authorId="0" shapeId="0">
      <text>
        <t>Quelle: f01_net_spiegel_02.pdf, Seite 2, Box [559.32, 246.15, 572.94, 253.15] · gedruckt '0,00'</t>
      </text>
    </comment>
    <comment ref="R21" authorId="0" shapeId="0">
      <text>
        <t>Quelle: f01_net_spiegel_02.pdf, Seite 2, Box [705.91, 246.15, 740.94, 253.15] · gedruckt '224.616,97'</t>
      </text>
    </comment>
    <comment ref="S21" authorId="0" shapeId="0">
      <text>
        <t>Quelle: f01_net_spiegel_02.pdf, Seite 2, Box [761.91, 246.15, 796.94, 253.15] · gedruckt '556.687,09'</t>
      </text>
    </comment>
    <comment ref="T21" authorId="0" shapeId="0">
      <text>
        <t>Quelle: f01_net_spiegel_02.pdf, Seite 2, Box [257.91, 246.15, 292.94, 253.15] · gedruckt '261.130,84'</t>
      </text>
    </comment>
    <comment ref="E22" authorId="0" shapeId="0">
      <text>
        <t>Quelle: f01_net_spiegel_02.pdf, Seite 2, Box [313.91, 265.05, 348.94, 272.05] · gedruckt '328.841,03'</t>
      </text>
    </comment>
    <comment ref="G22" authorId="0" shapeId="0">
      <text>
        <t>Quelle: f01_net_spiegel_02.pdf, Seite 2, Box [503.32, 265.05, 516.94, 272.05] · gedruckt '0,00'</t>
      </text>
    </comment>
    <comment ref="L22" authorId="0" shapeId="0">
      <text>
        <t>Quelle: f01_net_spiegel_02.pdf, Seite 2, Box [597.8, 265.05, 628.94, 272.05] · gedruckt '33.284,78'</t>
      </text>
    </comment>
    <comment ref="O22" authorId="0" shapeId="0">
      <text>
        <t>Quelle: f01_net_spiegel_02.pdf, Seite 2, Box [559.32, 265.05, 572.94, 272.05] · gedruckt '0,00'</t>
      </text>
    </comment>
    <comment ref="R22" authorId="0" shapeId="0">
      <text>
        <t>Quelle: f01_net_spiegel_02.pdf, Seite 2, Box [705.91, 265.05, 740.94, 272.05] · gedruckt '224.616,97'</t>
      </text>
    </comment>
    <comment ref="S22" authorId="0" shapeId="0">
      <text>
        <t>Quelle: f01_net_spiegel_02.pdf, Seite 2, Box [761.91, 265.05, 796.94, 272.05] · gedruckt '556.687,09'</t>
      </text>
    </comment>
    <comment ref="T22" authorId="0" shapeId="0">
      <text>
        <t>Quelle: f01_net_spiegel_02.pdf, Seite 2, Box [257.91, 265.05, 292.94, 272.05] · gedruckt '261.130,84'</t>
      </text>
    </comment>
    <comment ref="E23" authorId="0" shapeId="0">
      <text>
        <t>Quelle: f01_net_spiegel_02.pdf, Seite 2, Box [313.91, 331.2, 348.94, 338.2] · gedruckt '136.969,96'</t>
      </text>
    </comment>
    <comment ref="G23" authorId="0" shapeId="0">
      <text>
        <t>Quelle: f01_net_spiegel_02.pdf, Seite 2, Box [503.32, 331.2, 516.94, 338.2] · gedruckt '0,00'</t>
      </text>
    </comment>
    <comment ref="L23" authorId="0" shapeId="0">
      <text>
        <t>Quelle: f01_net_spiegel_02.pdf, Seite 2, Box [597.8, 331.2, 628.94, 338.2] · gedruckt '18.385,73'</t>
      </text>
    </comment>
    <comment ref="O23" authorId="0" shapeId="0">
      <text>
        <t>Quelle: f01_net_spiegel_02.pdf, Seite 2, Box [559.32, 331.2, 572.94, 338.2] · gedruckt '0,00'</t>
      </text>
    </comment>
    <comment ref="R23" authorId="0" shapeId="0">
      <text>
        <t>Quelle: f01_net_spiegel_02.pdf, Seite 2, Box [705.91, 331.2, 740.94, 338.2] · gedruckt '124.296,66'</t>
      </text>
    </comment>
    <comment ref="S23" authorId="0" shapeId="0">
      <text>
        <t>Quelle: f01_net_spiegel_02.pdf, Seite 2, Box [761.91, 331.2, 796.94, 338.2] · gedruckt '162.818,35'</t>
      </text>
    </comment>
    <comment ref="T23" authorId="0" shapeId="0">
      <text>
        <t>Quelle: f01_net_spiegel_02.pdf, Seite 2, Box [261.8, 331.2, 292.94, 338.2] · gedruckt '44.234,12'</t>
      </text>
    </comment>
    <comment ref="E24" authorId="0" shapeId="0">
      <text>
        <t>Quelle: f01_net_spiegel_02.pdf, Seite 2, Box [317.8, 359.55, 348.94, 366.55] · gedruckt '49.667,00'</t>
      </text>
    </comment>
    <comment ref="G24" authorId="0" shapeId="0">
      <text>
        <t>Quelle: f01_net_spiegel_02.pdf, Seite 2, Box [503.32, 359.55, 516.94, 366.55] · gedruckt '0,00'</t>
      </text>
    </comment>
    <comment ref="L24" authorId="0" shapeId="0">
      <text>
        <t>Quelle: f01_net_spiegel_02.pdf, Seite 2, Box [597.8, 359.55, 628.94, 366.55] · gedruckt '74.112,17'</t>
      </text>
    </comment>
    <comment ref="O24" authorId="0" shapeId="0">
      <text>
        <t>Quelle: f01_net_spiegel_02.pdf, Seite 2, Box [559.32, 359.55, 572.94, 366.55] · gedruckt '0,00'</t>
      </text>
    </comment>
    <comment ref="R24" authorId="0" shapeId="0">
      <text>
        <t>Quelle: f01_net_spiegel_02.pdf, Seite 2, Box [705.91, 359.55, 740.94, 366.55] · gedruckt '642.359,43'</t>
      </text>
    </comment>
    <comment ref="S24" authorId="0" shapeId="0">
      <text>
        <t>Quelle: f01_net_spiegel_02.pdf, Seite 2, Box [761.91, 359.55, 796.94, 366.55] · gedruckt '319.231,27'</t>
      </text>
    </comment>
    <comment ref="T24" authorId="0" shapeId="0">
      <text>
        <t>Quelle: f01_net_spiegel_02.pdf, Seite 2, Box [257.91, 359.55, 292.94, 366.55] · gedruckt '343.676,44'</t>
      </text>
    </comment>
    <comment ref="E25" authorId="0" shapeId="0">
      <text>
        <t>Quelle: f01_net_spiegel_02.pdf, Seite 2, Box [313.91, 378.45, 348.94, 385.45] · gedruckt '186.636,96'</t>
      </text>
    </comment>
    <comment ref="G25" authorId="0" shapeId="0">
      <text>
        <t>Quelle: f01_net_spiegel_02.pdf, Seite 2, Box [503.32, 378.45, 516.94, 385.45] · gedruckt '0,00'</t>
      </text>
    </comment>
    <comment ref="L25" authorId="0" shapeId="0">
      <text>
        <t>Quelle: f01_net_spiegel_02.pdf, Seite 2, Box [597.8, 378.45, 628.94, 385.45] · gedruckt '92.497,90'</t>
      </text>
    </comment>
    <comment ref="O25" authorId="0" shapeId="0">
      <text>
        <t>Quelle: f01_net_spiegel_02.pdf, Seite 2, Box [559.32, 378.45, 572.94, 385.45] · gedruckt '0,00'</t>
      </text>
    </comment>
    <comment ref="R25" authorId="0" shapeId="0">
      <text>
        <t>Quelle: f01_net_spiegel_02.pdf, Seite 2, Box [705.91, 378.45, 740.94, 385.45] · gedruckt '766.656,09'</t>
      </text>
    </comment>
    <comment ref="S25" authorId="0" shapeId="0">
      <text>
        <t>Quelle: f01_net_spiegel_02.pdf, Seite 2, Box [761.91, 378.45, 796.94, 385.45] · gedruckt '482.049,62'</t>
      </text>
    </comment>
    <comment ref="T25" authorId="0" shapeId="0">
      <text>
        <t>Quelle: f01_net_spiegel_02.pdf, Seite 2, Box [257.91, 378.45, 292.94, 385.45] · gedruckt '387.910,56'</t>
      </text>
    </comment>
    <comment ref="E26" authorId="0" shapeId="0">
      <text>
        <t>Quelle: f01_net_spiegel_02.pdf, Seite 2, Box [313.91, 397.35, 348.94, 404.35] · gedruckt '186.636,96'</t>
      </text>
    </comment>
    <comment ref="G26" authorId="0" shapeId="0">
      <text>
        <t>Quelle: f01_net_spiegel_02.pdf, Seite 2, Box [503.32, 397.35, 516.94, 404.35] · gedruckt '0,00'</t>
      </text>
    </comment>
    <comment ref="L26" authorId="0" shapeId="0">
      <text>
        <t>Quelle: f01_net_spiegel_02.pdf, Seite 2, Box [597.8, 397.35, 628.94, 404.35] · gedruckt '92.497,91'</t>
      </text>
    </comment>
    <comment ref="O26" authorId="0" shapeId="0">
      <text>
        <t>Quelle: f01_net_spiegel_02.pdf, Seite 2, Box [559.32, 397.35, 572.94, 404.35] · gedruckt '0,00'</t>
      </text>
    </comment>
    <comment ref="R26" authorId="0" shapeId="0">
      <text>
        <t>Quelle: f01_net_spiegel_02.pdf, Seite 2, Box [705.91, 397.35, 740.94, 404.35] · gedruckt '766.656,09'</t>
      </text>
    </comment>
    <comment ref="S26" authorId="0" shapeId="0">
      <text>
        <t>Quelle: f01_net_spiegel_02.pdf, Seite 2, Box [761.91, 397.35, 796.94, 404.35] · gedruckt '482.049,62'</t>
      </text>
    </comment>
    <comment ref="T26" authorId="0" shapeId="0">
      <text>
        <t>Quelle: f01_net_spiegel_02.pdf, Seite 2, Box [257.91, 397.35, 292.94, 404.35] · gedruckt '387.910,56'</t>
      </text>
    </comment>
    <comment ref="E27" authorId="0" shapeId="0">
      <text>
        <t>Quelle: f01_net_spiegel_02.pdf, Seite 2, Box [321.7, 463.5, 348.94, 470.5] · gedruckt '1.441,00'</t>
      </text>
    </comment>
    <comment ref="G27" authorId="0" shapeId="0">
      <text>
        <t>Quelle: f01_net_spiegel_02.pdf, Seite 2, Box [503.32, 463.5, 516.94, 470.5] · gedruckt '0,00'</t>
      </text>
    </comment>
    <comment ref="L27" authorId="0" shapeId="0">
      <text>
        <t>Quelle: f01_net_spiegel_02.pdf, Seite 2, Box [601.7, 463.5, 628.94, 470.5] · gedruckt '7.892,18'</t>
      </text>
    </comment>
    <comment ref="O27" authorId="0" shapeId="0">
      <text>
        <t>Quelle: f01_net_spiegel_02.pdf, Seite 2, Box [559.32, 463.5, 572.94, 470.5] · gedruckt '0,00'</t>
      </text>
    </comment>
    <comment ref="R27" authorId="0" shapeId="0">
      <text>
        <t>Quelle: f01_net_spiegel_02.pdf, Seite 2, Box [709.8, 463.5, 740.94, 470.5] · gedruckt '78.254,78'</t>
      </text>
    </comment>
    <comment ref="S27" authorId="0" shapeId="0">
      <text>
        <t>Quelle: f01_net_spiegel_02.pdf, Seite 2, Box [765.8, 463.5, 796.94, 470.5] · gedruckt '15.039,22'</t>
      </text>
    </comment>
    <comment ref="T27" authorId="0" shapeId="0">
      <text>
        <t>Quelle: f01_net_spiegel_02.pdf, Seite 2, Box [261.8, 463.5, 292.94, 470.5] · gedruckt '24.106,70'</t>
      </text>
    </comment>
    <comment ref="E28" authorId="0" shapeId="0">
      <text>
        <t>Quelle: f01_net_spiegel_02.pdf, Seite 2, Box [321.7, 482.4, 348.94, 489.4] · gedruckt '1.441,00'</t>
      </text>
    </comment>
    <comment ref="G28" authorId="0" shapeId="0">
      <text>
        <t>Quelle: f01_net_spiegel_02.pdf, Seite 2, Box [503.32, 482.4, 516.94, 489.4] · gedruckt '0,00'</t>
      </text>
    </comment>
    <comment ref="L28" authorId="0" shapeId="0">
      <text>
        <t>Quelle: f01_net_spiegel_02.pdf, Seite 2, Box [601.7, 482.4, 628.94, 489.4] · gedruckt '7.892,18'</t>
      </text>
    </comment>
    <comment ref="O28" authorId="0" shapeId="0">
      <text>
        <t>Quelle: f01_net_spiegel_02.pdf, Seite 2, Box [559.32, 482.4, 572.94, 489.4] · gedruckt '0,00'</t>
      </text>
    </comment>
    <comment ref="R28" authorId="0" shapeId="0">
      <text>
        <t>Quelle: f01_net_spiegel_02.pdf, Seite 2, Box [709.8, 482.4, 740.94, 489.4] · gedruckt '78.254,78'</t>
      </text>
    </comment>
    <comment ref="S28" authorId="0" shapeId="0">
      <text>
        <t>Quelle: f01_net_spiegel_02.pdf, Seite 2, Box [765.8, 482.4, 796.94, 489.4] · gedruckt '15.039,22'</t>
      </text>
    </comment>
    <comment ref="T28" authorId="0" shapeId="0">
      <text>
        <t>Quelle: f01_net_spiegel_02.pdf, Seite 2, Box [261.8, 482.4, 292.94, 489.4] · gedruckt '24.106,70'</t>
      </text>
    </comment>
    <comment ref="E29" authorId="0" shapeId="0">
      <text>
        <t>Quelle: f01_net_spiegel_02.pdf, Seite 2, Box [321.7, 501.3, 348.94, 508.3] · gedruckt '1.441,00'</t>
      </text>
    </comment>
    <comment ref="G29" authorId="0" shapeId="0">
      <text>
        <t>Quelle: f01_net_spiegel_02.pdf, Seite 2, Box [503.32, 501.3, 516.94, 508.3] · gedruckt '0,00'</t>
      </text>
    </comment>
    <comment ref="L29" authorId="0" shapeId="0">
      <text>
        <t>Quelle: f01_net_spiegel_02.pdf, Seite 2, Box [601.7, 501.3, 628.94, 508.3] · gedruckt '7.892,18'</t>
      </text>
    </comment>
    <comment ref="O29" authorId="0" shapeId="0">
      <text>
        <t>Quelle: f01_net_spiegel_02.pdf, Seite 2, Box [559.32, 501.3, 572.94, 508.3] · gedruckt '0,00'</t>
      </text>
    </comment>
    <comment ref="R29" authorId="0" shapeId="0">
      <text>
        <t>Quelle: f01_net_spiegel_02.pdf, Seite 2, Box [709.8, 501.3, 740.94, 508.3] · gedruckt '78.254,78'</t>
      </text>
    </comment>
    <comment ref="S29" authorId="0" shapeId="0">
      <text>
        <t>Quelle: f01_net_spiegel_02.pdf, Seite 2, Box [765.8, 501.3, 796.94, 508.3] · gedruckt '15.039,22'</t>
      </text>
    </comment>
    <comment ref="T29" authorId="0" shapeId="0">
      <text>
        <t>Quelle: f01_net_spiegel_02.pdf, Seite 2, Box [261.8, 501.3, 292.94, 508.3] · gedruckt '24.106,70'</t>
      </text>
    </comment>
    <comment ref="E30" authorId="0" shapeId="0">
      <text>
        <t>Quelle: f01_net_spiegel_02.pdf, Seite 3, Box [321.7, 180.0, 348.94, 187.0] · gedruckt '1.459,00'</t>
      </text>
    </comment>
    <comment ref="G30" authorId="0" shapeId="0">
      <text>
        <t>Quelle: f01_net_spiegel_02.pdf, Seite 3, Box [503.32, 180.0, 516.94, 187.0] · gedruckt '0,00'</t>
      </text>
    </comment>
    <comment ref="L30" authorId="0" shapeId="0">
      <text>
        <t>Quelle: f01_net_spiegel_02.pdf, Seite 3, Box [601.7, 180.0, 628.94, 187.0] · gedruckt '4.472,41'</t>
      </text>
    </comment>
    <comment ref="O30" authorId="0" shapeId="0">
      <text>
        <t>Quelle: f01_net_spiegel_02.pdf, Seite 3, Box [559.32, 180.0, 572.94, 187.0] · gedruckt '0,00'</t>
      </text>
    </comment>
    <comment ref="R30" authorId="0" shapeId="0">
      <text>
        <t>Quelle: f01_net_spiegel_02.pdf, Seite 3, Box [709.8, 180.0, 740.94, 187.0] · gedruckt '44.295,27'</t>
      </text>
    </comment>
    <comment ref="S30" authorId="0" shapeId="0">
      <text>
        <t>Quelle: f01_net_spiegel_02.pdf, Seite 3, Box [765.8, 180.0, 796.94, 187.0] · gedruckt '27.322,41'</t>
      </text>
    </comment>
    <comment ref="T30" authorId="0" shapeId="0">
      <text>
        <t>Quelle: f01_net_spiegel_02.pdf, Seite 3, Box [261.8, 180.0, 292.94, 187.0] · gedruckt '32.246,85'</t>
      </text>
    </comment>
    <comment ref="E31" authorId="0" shapeId="0">
      <text>
        <t>Quelle: f01_net_spiegel_02.pdf, Seite 3, Box [321.7, 198.9, 348.94, 205.9] · gedruckt '1.459,00'</t>
      </text>
    </comment>
    <comment ref="G31" authorId="0" shapeId="0">
      <text>
        <t>Quelle: f01_net_spiegel_02.pdf, Seite 3, Box [503.32, 198.9, 516.94, 205.9] · gedruckt '0,00'</t>
      </text>
    </comment>
    <comment ref="L31" authorId="0" shapeId="0">
      <text>
        <t>Quelle: f01_net_spiegel_02.pdf, Seite 3, Box [601.7, 198.9, 628.94, 205.9] · gedruckt '4.472,41'</t>
      </text>
    </comment>
    <comment ref="O31" authorId="0" shapeId="0">
      <text>
        <t>Quelle: f01_net_spiegel_02.pdf, Seite 3, Box [559.32, 198.9, 572.94, 205.9] · gedruckt '0,00'</t>
      </text>
    </comment>
    <comment ref="R31" authorId="0" shapeId="0">
      <text>
        <t>Quelle: f01_net_spiegel_02.pdf, Seite 3, Box [709.8, 198.9, 740.94, 205.9] · gedruckt '44.295,27'</t>
      </text>
    </comment>
    <comment ref="S31" authorId="0" shapeId="0">
      <text>
        <t>Quelle: f01_net_spiegel_02.pdf, Seite 3, Box [765.8, 198.9, 796.94, 205.9] · gedruckt '27.322,41'</t>
      </text>
    </comment>
    <comment ref="T31" authorId="0" shapeId="0">
      <text>
        <t>Quelle: f01_net_spiegel_02.pdf, Seite 3, Box [261.8, 198.9, 292.94, 205.9] · gedruckt '32.246,85'</t>
      </text>
    </comment>
    <comment ref="E32" authorId="0" shapeId="0">
      <text>
        <t>Quelle: f01_net_spiegel_02.pdf, Seite 3, Box [321.7, 236.7, 348.94, 243.7] · gedruckt '1.906,30'</t>
      </text>
    </comment>
    <comment ref="G32" authorId="0" shapeId="0">
      <text>
        <t>Quelle: f01_net_spiegel_02.pdf, Seite 3, Box [503.32, 236.7, 516.94, 243.7] · gedruckt '0,00'</t>
      </text>
    </comment>
    <comment ref="L32" authorId="0" shapeId="0">
      <text>
        <t>Quelle: f01_net_spiegel_02.pdf, Seite 3, Box [611.43, 236.7, 628.94, 243.7] · gedruckt '95,32'</t>
      </text>
    </comment>
    <comment ref="O32" authorId="0" shapeId="0">
      <text>
        <t>Quelle: f01_net_spiegel_02.pdf, Seite 3, Box [559.32, 236.7, 572.94, 243.7] · gedruckt '0,00'</t>
      </text>
    </comment>
    <comment ref="R32" authorId="0" shapeId="0">
      <text>
        <t>Quelle: f01_net_spiegel_02.pdf, Seite 3, Box [709.8, 236.7, 740.94, 243.7] · gedruckt '35.454,07'</t>
      </text>
    </comment>
    <comment ref="S32" authorId="0" shapeId="0">
      <text>
        <t>Quelle: f01_net_spiegel_02.pdf, Seite 3, Box [769.7, 236.7, 796.94, 243.7] · gedruckt '1.817,98'</t>
      </text>
    </comment>
    <comment ref="T32" authorId="0" shapeId="0">
      <text>
        <t>Quelle: f01_net_spiegel_02.pdf, Seite 3, Box [279.32, 236.7, 292.94, 243.7] · gedruckt '7,00'</t>
      </text>
    </comment>
    <comment ref="E33" authorId="0" shapeId="0">
      <text>
        <t>Quelle: f01_net_spiegel_02.pdf, Seite 3, Box [321.7, 255.6, 348.94, 262.6] · gedruckt '1.906,30'</t>
      </text>
    </comment>
    <comment ref="G33" authorId="0" shapeId="0">
      <text>
        <t>Quelle: f01_net_spiegel_02.pdf, Seite 3, Box [503.32, 255.6, 516.94, 262.6] · gedruckt '0,00'</t>
      </text>
    </comment>
    <comment ref="L33" authorId="0" shapeId="0">
      <text>
        <t>Quelle: f01_net_spiegel_02.pdf, Seite 3, Box [611.43, 255.6, 628.94, 262.6] · gedruckt '95,32'</t>
      </text>
    </comment>
    <comment ref="O33" authorId="0" shapeId="0">
      <text>
        <t>Quelle: f01_net_spiegel_02.pdf, Seite 3, Box [559.32, 255.6, 572.94, 262.6] · gedruckt '0,00'</t>
      </text>
    </comment>
    <comment ref="R33" authorId="0" shapeId="0">
      <text>
        <t>Quelle: f01_net_spiegel_02.pdf, Seite 3, Box [709.8, 255.6, 740.94, 262.6] · gedruckt '35.454,07'</t>
      </text>
    </comment>
    <comment ref="S33" authorId="0" shapeId="0">
      <text>
        <t>Quelle: f01_net_spiegel_02.pdf, Seite 3, Box [769.7, 255.6, 796.94, 262.6] · gedruckt '1.817,98'</t>
      </text>
    </comment>
    <comment ref="T33" authorId="0" shapeId="0">
      <text>
        <t>Quelle: f01_net_spiegel_02.pdf, Seite 3, Box [279.32, 255.6, 292.94, 262.6] · gedruckt '7,00'</t>
      </text>
    </comment>
    <comment ref="E34" authorId="0" shapeId="0">
      <text>
        <t>Quelle: f01_net_spiegel_02.pdf, Seite 3, Box [321.7, 274.5, 348.94, 281.5] · gedruckt '3.365,30'</t>
      </text>
    </comment>
    <comment ref="G34" authorId="0" shapeId="0">
      <text>
        <t>Quelle: f01_net_spiegel_02.pdf, Seite 3, Box [503.32, 274.5, 516.94, 281.5] · gedruckt '0,00'</t>
      </text>
    </comment>
    <comment ref="L34" authorId="0" shapeId="0">
      <text>
        <t>Quelle: f01_net_spiegel_02.pdf, Seite 3, Box [601.7, 274.5, 628.94, 281.5] · gedruckt '4.567,73'</t>
      </text>
    </comment>
    <comment ref="O34" authorId="0" shapeId="0">
      <text>
        <t>Quelle: f01_net_spiegel_02.pdf, Seite 3, Box [559.32, 274.5, 572.94, 281.5] · gedruckt '0,00'</t>
      </text>
    </comment>
    <comment ref="R34" authorId="0" shapeId="0">
      <text>
        <t>Quelle: f01_net_spiegel_02.pdf, Seite 3, Box [709.8, 274.5, 740.94, 281.5] · gedruckt '79.749,34'</t>
      </text>
    </comment>
    <comment ref="S34" authorId="0" shapeId="0">
      <text>
        <t>Quelle: f01_net_spiegel_02.pdf, Seite 3, Box [765.8, 274.5, 796.94, 281.5] · gedruckt '29.140,39'</t>
      </text>
    </comment>
    <comment ref="T34" authorId="0" shapeId="0">
      <text>
        <t>Quelle: f01_net_spiegel_02.pdf, Seite 3, Box [261.8, 274.5, 292.94, 281.5] · gedruckt '32.253,85'</t>
      </text>
    </comment>
    <comment ref="E35" authorId="0" shapeId="0">
      <text>
        <t>Quelle: f01_net_spiegel_02.pdf, Seite 3, Box [321.7, 340.65, 348.94, 347.65] · gedruckt '1.893,10'</t>
      </text>
    </comment>
    <comment ref="G35" authorId="0" shapeId="0">
      <text>
        <t>Quelle: f01_net_spiegel_02.pdf, Seite 3, Box [503.32, 340.65, 516.94, 347.65] · gedruckt '0,00'</t>
      </text>
    </comment>
    <comment ref="L35" authorId="0" shapeId="0">
      <text>
        <t>Quelle: f01_net_spiegel_02.pdf, Seite 3, Box [601.7, 340.65, 628.94, 347.65] · gedruckt '1.893,10'</t>
      </text>
    </comment>
    <comment ref="O35" authorId="0" shapeId="0">
      <text>
        <t>Quelle: f01_net_spiegel_02.pdf, Seite 3, Box [559.32, 340.65, 572.94, 347.65] · gedruckt '0,00'</t>
      </text>
    </comment>
    <comment ref="R35" authorId="0" shapeId="0">
      <text>
        <t>Quelle: f01_net_spiegel_02.pdf, Seite 3, Box [713.7, 340.65, 740.94, 347.65] · gedruckt '3.550,16'</t>
      </text>
    </comment>
    <comment ref="S35" authorId="0" shapeId="0">
      <text>
        <t>Quelle: f01_net_spiegel_02.pdf, Seite 3, Box [783.32, 340.65, 796.94, 347.65] · gedruckt '0,00'</t>
      </text>
    </comment>
    <comment ref="T35" authorId="0" shapeId="0">
      <text>
        <t>Quelle: f01_net_spiegel_02.pdf, Seite 3, Box [279.32, 340.65, 292.94, 347.65] · gedruckt '0,00'</t>
      </text>
    </comment>
    <comment ref="E36" authorId="0" shapeId="0">
      <text>
        <t>Quelle: f01_net_spiegel_02.pdf, Seite 3, Box [321.7, 369.0, 348.94, 376.0] · gedruckt '1.893,10'</t>
      </text>
    </comment>
    <comment ref="G36" authorId="0" shapeId="0">
      <text>
        <t>Quelle: f01_net_spiegel_02.pdf, Seite 3, Box [503.32, 369.0, 516.94, 376.0] · gedruckt '0,00'</t>
      </text>
    </comment>
    <comment ref="L36" authorId="0" shapeId="0">
      <text>
        <t>Quelle: f01_net_spiegel_02.pdf, Seite 3, Box [601.7, 369.0, 628.94, 376.0] · gedruckt '1.893,10'</t>
      </text>
    </comment>
    <comment ref="O36" authorId="0" shapeId="0">
      <text>
        <t>Quelle: f01_net_spiegel_02.pdf, Seite 3, Box [559.32, 369.0, 572.94, 376.0] · gedruckt '0,00'</t>
      </text>
    </comment>
    <comment ref="R36" authorId="0" shapeId="0">
      <text>
        <t>Quelle: f01_net_spiegel_02.pdf, Seite 3, Box [713.7, 369.0, 740.94, 376.0] · gedruckt '3.550,16'</t>
      </text>
    </comment>
    <comment ref="S36" authorId="0" shapeId="0">
      <text>
        <t>Quelle: f01_net_spiegel_02.pdf, Seite 3, Box [783.32, 369.0, 796.94, 376.0] · gedruckt '0,00'</t>
      </text>
    </comment>
    <comment ref="T36" authorId="0" shapeId="0">
      <text>
        <t>Quelle: f01_net_spiegel_02.pdf, Seite 3, Box [279.32, 369.0, 292.94, 376.0] · gedruckt '0,00'</t>
      </text>
    </comment>
    <comment ref="E37" authorId="0" shapeId="0">
      <text>
        <t>Quelle: f01_net_spiegel_02.pdf, Seite 3, Box [321.7, 387.9, 348.94, 394.9] · gedruckt '1.893,08'</t>
      </text>
    </comment>
    <comment ref="G37" authorId="0" shapeId="0">
      <text>
        <t>Quelle: f01_net_spiegel_02.pdf, Seite 3, Box [503.32, 387.9, 516.94, 394.9] · gedruckt '0,00'</t>
      </text>
    </comment>
    <comment ref="L37" authorId="0" shapeId="0">
      <text>
        <t>Quelle: f01_net_spiegel_02.pdf, Seite 3, Box [601.7, 387.9, 628.94, 394.9] · gedruckt '1.893,10'</t>
      </text>
    </comment>
    <comment ref="O37" authorId="0" shapeId="0">
      <text>
        <t>Quelle: f01_net_spiegel_02.pdf, Seite 3, Box [559.32, 387.9, 572.94, 394.9] · gedruckt '0,00'</t>
      </text>
    </comment>
    <comment ref="R37" authorId="0" shapeId="0">
      <text>
        <t>Quelle: f01_net_spiegel_02.pdf, Seite 3, Box [713.7, 387.9, 740.94, 394.9] · gedruckt '3.550,16'</t>
      </text>
    </comment>
    <comment ref="S37" authorId="0" shapeId="0">
      <text>
        <t>Quelle: f01_net_spiegel_02.pdf, Seite 3, Box [783.32, 387.9, 796.94, 394.9] · gedruckt '0,00'</t>
      </text>
    </comment>
    <comment ref="T37" authorId="0" shapeId="0">
      <text>
        <t>Quelle: f01_net_spiegel_02.pdf, Seite 3, Box [279.32, 387.9, 292.94, 394.9] · gedruckt '0,00'</t>
      </text>
    </comment>
    <comment ref="E38" authorId="0" shapeId="0">
      <text>
        <t>Quelle: f01_net_spiegel_02.pdf, Seite 3, Box [313.91, 454.05, 348.94, 461.05] · gedruckt '257.524,93'</t>
      </text>
    </comment>
    <comment ref="G38" authorId="0" shapeId="0">
      <text>
        <t>Quelle: f01_net_spiegel_02.pdf, Seite 3, Box [479.58, 454.05, 516.94, 461.05] · gedruckt '-404.636,01'</t>
      </text>
    </comment>
    <comment ref="L38" authorId="0" shapeId="0">
      <text>
        <t>Quelle: f01_net_spiegel_02.pdf, Seite 3, Box [615.32, 454.05, 628.94, 461.05] · gedruckt '0,00'</t>
      </text>
    </comment>
    <comment ref="O38" authorId="0" shapeId="0">
      <text>
        <t>Quelle: f01_net_spiegel_02.pdf, Seite 3, Box [559.32, 454.05, 572.94, 461.05] · gedruckt '0,00'</t>
      </text>
    </comment>
    <comment ref="R38" authorId="0" shapeId="0">
      <text>
        <t>Quelle: f01_net_spiegel_02.pdf, Seite 3, Box [727.32, 454.05, 740.94, 461.05] · gedruckt '0,00'</t>
      </text>
    </comment>
    <comment ref="S38" authorId="0" shapeId="0">
      <text>
        <t>Quelle: f01_net_spiegel_02.pdf, Seite 3, Box [783.32, 454.05, 796.94, 461.05] · gedruckt '0,00'</t>
      </text>
    </comment>
    <comment ref="T38" authorId="0" shapeId="0">
      <text>
        <t>Quelle: f01_net_spiegel_02.pdf, Seite 3, Box [257.91, 454.05, 292.94, 461.05] · gedruckt '147.111,08'</t>
      </text>
    </comment>
    <comment ref="E39" authorId="0" shapeId="0">
      <text>
        <t>Quelle: f01_net_spiegel_02.pdf, Seite 3, Box [313.91, 472.95, 348.94, 479.95] · gedruckt '257.524,93'</t>
      </text>
    </comment>
    <comment ref="G39" authorId="0" shapeId="0">
      <text>
        <t>Quelle: f01_net_spiegel_02.pdf, Seite 3, Box [479.58, 472.95, 516.94, 479.95] · gedruckt '-404.636,01'</t>
      </text>
    </comment>
    <comment ref="L39" authorId="0" shapeId="0">
      <text>
        <t>Quelle: f01_net_spiegel_02.pdf, Seite 3, Box [615.32, 472.95, 628.94, 479.95] · gedruckt '0,00'</t>
      </text>
    </comment>
    <comment ref="O39" authorId="0" shapeId="0">
      <text>
        <t>Quelle: f01_net_spiegel_02.pdf, Seite 3, Box [559.32, 472.95, 572.94, 479.95] · gedruckt '0,00'</t>
      </text>
    </comment>
    <comment ref="R39" authorId="0" shapeId="0">
      <text>
        <t>Quelle: f01_net_spiegel_02.pdf, Seite 3, Box [727.32, 472.95, 740.94, 479.95] · gedruckt '0,00'</t>
      </text>
    </comment>
    <comment ref="S39" authorId="0" shapeId="0">
      <text>
        <t>Quelle: f01_net_spiegel_02.pdf, Seite 3, Box [783.32, 472.95, 796.94, 479.95] · gedruckt '0,00'</t>
      </text>
    </comment>
    <comment ref="T39" authorId="0" shapeId="0">
      <text>
        <t>Quelle: f01_net_spiegel_02.pdf, Seite 3, Box [257.91, 472.95, 292.94, 479.95] · gedruckt '147.111,08'</t>
      </text>
    </comment>
    <comment ref="E40" authorId="0" shapeId="0">
      <text>
        <t>Quelle: f01_net_spiegel_02.pdf, Seite 3, Box [313.91, 491.85, 348.94, 498.85] · gedruckt '257.524,92'</t>
      </text>
    </comment>
    <comment ref="G40" authorId="0" shapeId="0">
      <text>
        <t>Quelle: f01_net_spiegel_02.pdf, Seite 3, Box [479.58, 491.85, 516.94, 498.85] · gedruckt '-404.636,01'</t>
      </text>
    </comment>
    <comment ref="L40" authorId="0" shapeId="0">
      <text>
        <t>Quelle: f01_net_spiegel_02.pdf, Seite 3, Box [615.32, 491.85, 628.94, 498.85] · gedruckt '0,00'</t>
      </text>
    </comment>
    <comment ref="O40" authorId="0" shapeId="0">
      <text>
        <t>Quelle: f01_net_spiegel_02.pdf, Seite 3, Box [559.32, 491.85, 572.94, 498.85] · gedruckt '0,00'</t>
      </text>
    </comment>
    <comment ref="R40" authorId="0" shapeId="0">
      <text>
        <t>Quelle: f01_net_spiegel_02.pdf, Seite 3, Box [727.32, 491.85, 740.94, 498.85] · gedruckt '0,00'</t>
      </text>
    </comment>
    <comment ref="S40" authorId="0" shapeId="0">
      <text>
        <t>Quelle: f01_net_spiegel_02.pdf, Seite 3, Box [783.32, 491.85, 796.94, 498.85] · gedruckt '0,00'</t>
      </text>
    </comment>
    <comment ref="T40" authorId="0" shapeId="0">
      <text>
        <t>Quelle: f01_net_spiegel_02.pdf, Seite 3, Box [257.91, 491.85, 292.94, 498.85] · gedruckt '147.111,08'</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Gitter nach Anlagenklasse</t>
        </is>
      </c>
      <c r="B4" t="inlineStr">
        <is>
          <t>F</t>
        </is>
      </c>
      <c r="C4" t="inlineStr">
        <is>
          <t>Abgang nur zum Restbuchwert gedruckt (Nettodarstellung): Bruttodarstellung nach § 284 Abs. 3 HGB nachfordern.</t>
        </is>
      </c>
      <c r="D4" t="inlineStr">
        <is>
          <t>offen (Datenübernahme)</t>
        </is>
      </c>
    </row>
    <row r="5">
      <c r="A5" t="inlineStr">
        <is>
          <t>Gitter nach Anlagenklasse</t>
        </is>
      </c>
      <c r="B5" t="inlineStr">
        <is>
          <t>C26</t>
        </is>
      </c>
      <c r="C5" t="inlineStr">
        <is>
          <t>Summe 'Fuhrpark' weicht von ihren Zeilen ab (afa_gj): wie gedruckt übernommen.</t>
        </is>
      </c>
      <c r="D5" t="inlineStr">
        <is>
          <t>offen (Datenübernahme)</t>
        </is>
      </c>
    </row>
    <row r="6">
      <c r="A6" t="inlineStr">
        <is>
          <t>Gitter nach Anlagenklasse</t>
        </is>
      </c>
      <c r="B6" t="inlineStr">
        <is>
          <t>C37</t>
        </is>
      </c>
      <c r="C6" t="inlineStr">
        <is>
          <t>Summe 'Geringwertige Wirtschaftsgüter' weicht von ihren Zeilen ab (zugang): wie gedruckt übernommen.</t>
        </is>
      </c>
      <c r="D6" t="inlineStr">
        <is>
          <t>offen (Datenübernahme)</t>
        </is>
      </c>
    </row>
    <row r="7">
      <c r="A7" t="inlineStr">
        <is>
          <t>Gitter nach Anlagenklasse</t>
        </is>
      </c>
      <c r="B7" t="inlineStr">
        <is>
          <t>C40</t>
        </is>
      </c>
      <c r="C7" t="inlineStr">
        <is>
          <t>Summe 'Anlagen im Bau' weicht von ihren Zeilen ab (zugang): wie gedruckt übernommen.</t>
        </is>
      </c>
      <c r="D7" t="inlineStr">
        <is>
          <t>offen (Datenübernahme)</t>
        </is>
      </c>
    </row>
    <row r="8">
      <c r="A8" t="inlineStr">
        <is>
          <t>—</t>
        </is>
      </c>
      <c r="B8" t="inlineStr">
        <is>
          <t>f01_net_spiegel_02.pdf</t>
        </is>
      </c>
      <c r="C8" t="inlineStr">
        <is>
          <t>Erkannt: wrapped_description – 3 description(s) continue on the next line</t>
        </is>
      </c>
      <c r="D8" t="inlineStr">
        <is>
          <t>offen (Datenübernahme)</t>
        </is>
      </c>
    </row>
    <row r="9">
      <c r="A9" t="inlineStr">
        <is>
          <t>—</t>
        </is>
      </c>
      <c r="B9" t="inlineStr">
        <is>
          <t>f01_net_spiegel_02.pdf</t>
        </is>
      </c>
      <c r="C9" t="inlineStr">
        <is>
          <t>Erkannt: non_tying_subtotal – 3 printed total value(s) differ from the sum of their rows</t>
        </is>
      </c>
      <c r="D9" t="inlineStr">
        <is>
          <t>offen (Datenübernahme)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44"/>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A8" t="inlineStr">
        <is>
          <t>A.I</t>
        </is>
      </c>
      <c r="B8" s="18" t="inlineStr">
        <is>
          <t>0027</t>
        </is>
      </c>
      <c r="C8" s="19" t="inlineStr">
        <is>
          <t>EDV-Software</t>
        </is>
      </c>
      <c r="D8" s="79" t="n"/>
      <c r="E8" s="79" t="n">
        <v>65566.60000000001</v>
      </c>
      <c r="F8" s="79" t="n"/>
      <c r="G8" s="79" t="n">
        <v>0</v>
      </c>
      <c r="H8" s="79" t="n"/>
      <c r="I8" s="79" t="n"/>
      <c r="J8" s="79" t="n"/>
      <c r="K8" s="79" t="n"/>
      <c r="L8" s="79" t="n">
        <v>21781.69</v>
      </c>
      <c r="M8" s="80" t="n"/>
      <c r="N8" s="79" t="n"/>
      <c r="O8" s="79" t="n">
        <v>0</v>
      </c>
      <c r="P8" s="79" t="n"/>
      <c r="Q8" s="79" t="n"/>
      <c r="R8" s="79" t="n">
        <v>101701.04</v>
      </c>
      <c r="S8" s="79" t="n">
        <v>49993.33</v>
      </c>
      <c r="T8" s="79" t="n">
        <v>6208.42</v>
      </c>
      <c r="U8" s="79" t="n"/>
      <c r="V8" t="inlineStr">
        <is>
          <t>Anlagenklasse</t>
        </is>
      </c>
      <c r="W8" t="inlineStr">
        <is>
          <t>0. Immaterielle Vermögensgegenstände</t>
        </is>
      </c>
    </row>
    <row r="9">
      <c r="B9" s="18" t="n"/>
      <c r="C9" s="19" t="inlineStr">
        <is>
          <t>EDV-Software</t>
        </is>
      </c>
      <c r="D9" s="79" t="n"/>
      <c r="E9" s="79" t="n">
        <v>65566.60000000001</v>
      </c>
      <c r="F9" s="79" t="n"/>
      <c r="G9" s="79" t="n">
        <v>0</v>
      </c>
      <c r="H9" s="79" t="n"/>
      <c r="I9" s="79" t="n"/>
      <c r="J9" s="79" t="n"/>
      <c r="K9" s="79" t="n"/>
      <c r="L9" s="79" t="n">
        <v>21781.69</v>
      </c>
      <c r="M9" s="80" t="n"/>
      <c r="N9" s="79" t="n"/>
      <c r="O9" s="79" t="n">
        <v>0</v>
      </c>
      <c r="P9" s="79" t="n"/>
      <c r="Q9" s="79" t="n"/>
      <c r="R9" s="79" t="n">
        <v>101701.04</v>
      </c>
      <c r="S9" s="79" t="n">
        <v>49993.33</v>
      </c>
      <c r="T9" s="79" t="n">
        <v>6208.42</v>
      </c>
      <c r="U9" s="79" t="n"/>
      <c r="V9" t="inlineStr">
        <is>
          <t>Zwischensumme Bilanzposition</t>
        </is>
      </c>
      <c r="W9" t="inlineStr">
        <is>
          <t>0. Immaterielle Vermögensgegenstände</t>
        </is>
      </c>
    </row>
    <row r="10">
      <c r="B10" s="18" t="n"/>
      <c r="C10" s="19" t="inlineStr">
        <is>
          <t>Immaterielle Vermögensgegenstände</t>
        </is>
      </c>
      <c r="D10" s="79" t="n"/>
      <c r="E10" s="79" t="n">
        <v>65566.60000000001</v>
      </c>
      <c r="F10" s="79" t="n"/>
      <c r="G10" s="79" t="n">
        <v>0</v>
      </c>
      <c r="H10" s="79" t="n"/>
      <c r="I10" s="79" t="n"/>
      <c r="J10" s="79" t="n"/>
      <c r="K10" s="79" t="n"/>
      <c r="L10" s="79" t="n">
        <v>21781.69</v>
      </c>
      <c r="M10" s="80" t="n"/>
      <c r="N10" s="79" t="n"/>
      <c r="O10" s="79" t="n">
        <v>0</v>
      </c>
      <c r="P10" s="79" t="n"/>
      <c r="Q10" s="79" t="n"/>
      <c r="R10" s="79" t="n">
        <v>101701.04</v>
      </c>
      <c r="S10" s="79" t="n">
        <v>49993.33</v>
      </c>
      <c r="T10" s="79" t="n">
        <v>6208.42</v>
      </c>
      <c r="U10" s="79" t="n"/>
      <c r="V10" t="inlineStr">
        <is>
          <t>Zwischensumme Bilanzposition</t>
        </is>
      </c>
      <c r="W10" t="inlineStr">
        <is>
          <t>0. Immaterielle Vermögensgegenstände</t>
        </is>
      </c>
    </row>
    <row r="11">
      <c r="B11" s="18" t="inlineStr">
        <is>
          <t>0085</t>
        </is>
      </c>
      <c r="C11" s="19" t="inlineStr">
        <is>
          <t>Grund und Boden</t>
        </is>
      </c>
      <c r="D11" s="79" t="n"/>
      <c r="E11" s="79" t="n">
        <v>0</v>
      </c>
      <c r="F11" s="79" t="n"/>
      <c r="G11" s="79" t="n">
        <v>0</v>
      </c>
      <c r="H11" s="79" t="n"/>
      <c r="I11" s="79" t="n"/>
      <c r="J11" s="79" t="n"/>
      <c r="K11" s="79" t="n"/>
      <c r="L11" s="79" t="n">
        <v>0</v>
      </c>
      <c r="M11" s="80" t="n"/>
      <c r="N11" s="79" t="n"/>
      <c r="O11" s="79" t="n">
        <v>0</v>
      </c>
      <c r="P11" s="79" t="n"/>
      <c r="Q11" s="79" t="n"/>
      <c r="R11" s="79" t="n">
        <v>0</v>
      </c>
      <c r="S11" s="79" t="n">
        <v>722643.16</v>
      </c>
      <c r="T11" s="79" t="n">
        <v>722643.16</v>
      </c>
      <c r="U11" s="79" t="n"/>
      <c r="V11" t="inlineStr">
        <is>
          <t>Anlagenklasse</t>
        </is>
      </c>
    </row>
    <row r="12">
      <c r="B12" s="18" t="n"/>
      <c r="C12" s="19" t="inlineStr">
        <is>
          <t>Grund und Boden</t>
        </is>
      </c>
      <c r="D12" s="79" t="n"/>
      <c r="E12" s="79" t="n">
        <v>0</v>
      </c>
      <c r="F12" s="79" t="n"/>
      <c r="G12" s="79" t="n">
        <v>0</v>
      </c>
      <c r="H12" s="79" t="n"/>
      <c r="I12" s="79" t="n"/>
      <c r="J12" s="79" t="n"/>
      <c r="K12" s="79" t="n"/>
      <c r="L12" s="79" t="n">
        <v>0</v>
      </c>
      <c r="M12" s="80" t="n"/>
      <c r="N12" s="79" t="n"/>
      <c r="O12" s="79" t="n">
        <v>0</v>
      </c>
      <c r="P12" s="79" t="n"/>
      <c r="Q12" s="79" t="n"/>
      <c r="R12" s="79" t="n">
        <v>0</v>
      </c>
      <c r="S12" s="79" t="n">
        <v>722643.16</v>
      </c>
      <c r="T12" s="79" t="n">
        <v>722643.16</v>
      </c>
      <c r="U12" s="79" t="n"/>
      <c r="V12" t="inlineStr">
        <is>
          <t>Zwischensumme Bilanzposition</t>
        </is>
      </c>
    </row>
    <row r="13">
      <c r="B13" s="18" t="n"/>
      <c r="C13" s="19" t="inlineStr">
        <is>
          <t>Grund und Boden</t>
        </is>
      </c>
      <c r="D13" s="79" t="n"/>
      <c r="E13" s="79" t="n">
        <v>0</v>
      </c>
      <c r="F13" s="79" t="n"/>
      <c r="G13" s="79" t="n">
        <v>0</v>
      </c>
      <c r="H13" s="79" t="n"/>
      <c r="I13" s="79" t="n"/>
      <c r="J13" s="79" t="n"/>
      <c r="K13" s="79" t="n"/>
      <c r="L13" s="79" t="n">
        <v>0</v>
      </c>
      <c r="M13" s="80" t="n"/>
      <c r="N13" s="79" t="n"/>
      <c r="O13" s="79" t="n">
        <v>0</v>
      </c>
      <c r="P13" s="79" t="n"/>
      <c r="Q13" s="79" t="n"/>
      <c r="R13" s="79" t="n">
        <v>0</v>
      </c>
      <c r="S13" s="79" t="n">
        <v>722643.16</v>
      </c>
      <c r="T13" s="79" t="n">
        <v>722643.16</v>
      </c>
      <c r="U13" s="79" t="n"/>
      <c r="V13" t="inlineStr">
        <is>
          <t>Zwischensumme Bilanzposition</t>
        </is>
      </c>
    </row>
    <row r="14">
      <c r="B14" s="18" t="inlineStr">
        <is>
          <t>0100</t>
        </is>
      </c>
      <c r="C14" s="19" t="inlineStr">
        <is>
          <t>Fabrikbauten</t>
        </is>
      </c>
      <c r="D14" s="79" t="n"/>
      <c r="E14" s="79" t="n">
        <v>2841989.2</v>
      </c>
      <c r="F14" s="79" t="n"/>
      <c r="G14" s="79" t="n">
        <v>0</v>
      </c>
      <c r="H14" s="79" t="n"/>
      <c r="I14" s="79" t="n"/>
      <c r="J14" s="79" t="n"/>
      <c r="K14" s="79" t="n"/>
      <c r="L14" s="79" t="n">
        <v>197684.71</v>
      </c>
      <c r="M14" s="80" t="n"/>
      <c r="N14" s="79" t="n"/>
      <c r="O14" s="79" t="n">
        <v>0</v>
      </c>
      <c r="P14" s="79" t="n"/>
      <c r="Q14" s="79" t="n"/>
      <c r="R14" s="79" t="n">
        <v>1335868.04</v>
      </c>
      <c r="S14" s="79" t="n">
        <v>6757900.76</v>
      </c>
      <c r="T14" s="79" t="n">
        <v>4113596.27</v>
      </c>
      <c r="U14" s="79" t="n"/>
      <c r="V14" t="inlineStr">
        <is>
          <t>Anlagenklasse</t>
        </is>
      </c>
    </row>
    <row r="15">
      <c r="B15" s="18" t="n"/>
      <c r="C15" s="19" t="inlineStr">
        <is>
          <t>Fabrikbauten</t>
        </is>
      </c>
      <c r="D15" s="79" t="n"/>
      <c r="E15" s="79" t="n">
        <v>2841989.2</v>
      </c>
      <c r="F15" s="79" t="n"/>
      <c r="G15" s="79" t="n">
        <v>0</v>
      </c>
      <c r="H15" s="79" t="n"/>
      <c r="I15" s="79" t="n"/>
      <c r="J15" s="79" t="n"/>
      <c r="K15" s="79" t="n"/>
      <c r="L15" s="79" t="n">
        <v>197684.71</v>
      </c>
      <c r="M15" s="80" t="n"/>
      <c r="N15" s="79" t="n"/>
      <c r="O15" s="79" t="n">
        <v>0</v>
      </c>
      <c r="P15" s="79" t="n"/>
      <c r="Q15" s="79" t="n"/>
      <c r="R15" s="79" t="n">
        <v>1335868.04</v>
      </c>
      <c r="S15" s="79" t="n">
        <v>6757900.76</v>
      </c>
      <c r="T15" s="79" t="n">
        <v>4113596.27</v>
      </c>
      <c r="U15" s="79" t="n"/>
      <c r="V15" t="inlineStr">
        <is>
          <t>Zwischensumme Bilanzposition</t>
        </is>
      </c>
    </row>
    <row r="16">
      <c r="B16" s="18" t="n"/>
      <c r="C16" s="19" t="inlineStr">
        <is>
          <t>Betriebsgebäude</t>
        </is>
      </c>
      <c r="D16" s="79" t="n"/>
      <c r="E16" s="79" t="n">
        <v>2841989.2</v>
      </c>
      <c r="F16" s="79" t="n"/>
      <c r="G16" s="79" t="n">
        <v>0</v>
      </c>
      <c r="H16" s="79" t="n"/>
      <c r="I16" s="79" t="n"/>
      <c r="J16" s="79" t="n"/>
      <c r="K16" s="79" t="n"/>
      <c r="L16" s="79" t="n">
        <v>197684.71</v>
      </c>
      <c r="M16" s="80" t="n"/>
      <c r="N16" s="79" t="n"/>
      <c r="O16" s="79" t="n">
        <v>0</v>
      </c>
      <c r="P16" s="79" t="n"/>
      <c r="Q16" s="79" t="n"/>
      <c r="R16" s="79" t="n">
        <v>1335868.04</v>
      </c>
      <c r="S16" s="79" t="n">
        <v>6757900.76</v>
      </c>
      <c r="T16" s="79" t="n">
        <v>4113596.27</v>
      </c>
      <c r="U16" s="79" t="n"/>
      <c r="V16" t="inlineStr">
        <is>
          <t>Zwischensumme Bilanzposition</t>
        </is>
      </c>
    </row>
    <row r="17">
      <c r="B17" s="18" t="inlineStr">
        <is>
          <t>0210</t>
        </is>
      </c>
      <c r="C17" s="19" t="inlineStr">
        <is>
          <t>Maschinen</t>
        </is>
      </c>
      <c r="D17" s="79" t="n"/>
      <c r="E17" s="79" t="n">
        <v>714604.59</v>
      </c>
      <c r="F17" s="79" t="n"/>
      <c r="G17" s="79" t="n">
        <v>404636.01</v>
      </c>
      <c r="H17" s="79" t="n"/>
      <c r="I17" s="79" t="n"/>
      <c r="J17" s="79" t="n"/>
      <c r="K17" s="79" t="n"/>
      <c r="L17" s="79" t="n">
        <v>146504.03</v>
      </c>
      <c r="M17" s="80" t="n"/>
      <c r="N17" s="79" t="n"/>
      <c r="O17" s="79" t="n">
        <v>0</v>
      </c>
      <c r="P17" s="79" t="n"/>
      <c r="Q17" s="79" t="n"/>
      <c r="R17" s="79" t="n">
        <v>621800.39</v>
      </c>
      <c r="S17" s="79" t="n">
        <v>1483263.63</v>
      </c>
      <c r="T17" s="79" t="n">
        <v>510527.06</v>
      </c>
      <c r="U17" s="79" t="n"/>
      <c r="V17" t="inlineStr">
        <is>
          <t>Anlagenklasse</t>
        </is>
      </c>
    </row>
    <row r="18">
      <c r="B18" s="18" t="n"/>
      <c r="C18" s="19" t="inlineStr">
        <is>
          <t>Maschinen</t>
        </is>
      </c>
      <c r="D18" s="79" t="n"/>
      <c r="E18" s="79" t="n">
        <v>714604.59</v>
      </c>
      <c r="F18" s="79" t="n"/>
      <c r="G18" s="79" t="n">
        <v>404636.01</v>
      </c>
      <c r="H18" s="79" t="n"/>
      <c r="I18" s="79" t="n"/>
      <c r="J18" s="79" t="n"/>
      <c r="K18" s="79" t="n"/>
      <c r="L18" s="79" t="n">
        <v>146504.03</v>
      </c>
      <c r="M18" s="80" t="n"/>
      <c r="N18" s="79" t="n"/>
      <c r="O18" s="79" t="n">
        <v>0</v>
      </c>
      <c r="P18" s="79" t="n"/>
      <c r="Q18" s="79" t="n"/>
      <c r="R18" s="79" t="n">
        <v>621800.39</v>
      </c>
      <c r="S18" s="79" t="n">
        <v>1483263.63</v>
      </c>
      <c r="T18" s="79" t="n">
        <v>510527.06</v>
      </c>
      <c r="U18" s="79" t="n"/>
      <c r="V18" t="inlineStr">
        <is>
          <t>Zwischensumme Bilanzposition</t>
        </is>
      </c>
    </row>
    <row r="19">
      <c r="B19" s="18" t="n"/>
      <c r="C19" s="19" t="inlineStr">
        <is>
          <t>Maschinenpark</t>
        </is>
      </c>
      <c r="D19" s="79" t="n"/>
      <c r="E19" s="79" t="n">
        <v>714604.59</v>
      </c>
      <c r="F19" s="79" t="n"/>
      <c r="G19" s="79" t="n">
        <v>404636.01</v>
      </c>
      <c r="H19" s="79" t="n"/>
      <c r="I19" s="79" t="n"/>
      <c r="J19" s="79" t="n"/>
      <c r="K19" s="79" t="n"/>
      <c r="L19" s="79" t="n">
        <v>146504.03</v>
      </c>
      <c r="M19" s="80" t="n"/>
      <c r="N19" s="79" t="n"/>
      <c r="O19" s="79" t="n">
        <v>0</v>
      </c>
      <c r="P19" s="79" t="n"/>
      <c r="Q19" s="79" t="n"/>
      <c r="R19" s="79" t="n">
        <v>621800.39</v>
      </c>
      <c r="S19" s="79" t="n">
        <v>1483263.63</v>
      </c>
      <c r="T19" s="79" t="n">
        <v>510527.06</v>
      </c>
      <c r="U19" s="79" t="n"/>
      <c r="V19" t="inlineStr">
        <is>
          <t>Zwischensumme Bilanzposition</t>
        </is>
      </c>
    </row>
    <row r="20">
      <c r="B20" s="18" t="inlineStr">
        <is>
          <t>0240</t>
        </is>
      </c>
      <c r="C20" s="19" t="inlineStr">
        <is>
          <t>Technische Anlagen</t>
        </is>
      </c>
      <c r="D20" s="79" t="n"/>
      <c r="E20" s="79" t="n">
        <v>328841.03</v>
      </c>
      <c r="F20" s="79" t="n"/>
      <c r="G20" s="79" t="n">
        <v>0</v>
      </c>
      <c r="H20" s="79" t="n"/>
      <c r="I20" s="79" t="n"/>
      <c r="J20" s="79" t="n"/>
      <c r="K20" s="79" t="n"/>
      <c r="L20" s="79" t="n">
        <v>33284.78</v>
      </c>
      <c r="M20" s="80" t="n"/>
      <c r="N20" s="79" t="n"/>
      <c r="O20" s="79" t="n">
        <v>0</v>
      </c>
      <c r="P20" s="79" t="n"/>
      <c r="Q20" s="79" t="n"/>
      <c r="R20" s="79" t="n">
        <v>224616.97</v>
      </c>
      <c r="S20" s="79" t="n">
        <v>556687.09</v>
      </c>
      <c r="T20" s="79" t="n">
        <v>261130.84</v>
      </c>
      <c r="U20" s="79" t="n"/>
      <c r="V20" t="inlineStr">
        <is>
          <t>Anlagenklasse</t>
        </is>
      </c>
    </row>
    <row r="21">
      <c r="B21" s="18" t="n"/>
      <c r="C21" s="19" t="inlineStr">
        <is>
          <t>Technische Anlagen Kto. 0240</t>
        </is>
      </c>
      <c r="D21" s="79" t="n"/>
      <c r="E21" s="79" t="n">
        <v>328841.03</v>
      </c>
      <c r="F21" s="79" t="n"/>
      <c r="G21" s="79" t="n">
        <v>0</v>
      </c>
      <c r="H21" s="79" t="n"/>
      <c r="I21" s="79" t="n"/>
      <c r="J21" s="79" t="n"/>
      <c r="K21" s="79" t="n"/>
      <c r="L21" s="79" t="n">
        <v>33284.78</v>
      </c>
      <c r="M21" s="80" t="n"/>
      <c r="N21" s="79" t="n"/>
      <c r="O21" s="79" t="n">
        <v>0</v>
      </c>
      <c r="P21" s="79" t="n"/>
      <c r="Q21" s="79" t="n"/>
      <c r="R21" s="79" t="n">
        <v>224616.97</v>
      </c>
      <c r="S21" s="79" t="n">
        <v>556687.09</v>
      </c>
      <c r="T21" s="79" t="n">
        <v>261130.84</v>
      </c>
      <c r="U21" s="79" t="n"/>
      <c r="V21" t="inlineStr">
        <is>
          <t>Zwischensumme Bilanzposition</t>
        </is>
      </c>
    </row>
    <row r="22">
      <c r="B22" s="18" t="n"/>
      <c r="C22" s="19" t="inlineStr">
        <is>
          <t>Betriebstechnik</t>
        </is>
      </c>
      <c r="D22" s="79" t="n"/>
      <c r="E22" s="79" t="n">
        <v>328841.03</v>
      </c>
      <c r="F22" s="79" t="n"/>
      <c r="G22" s="79" t="n">
        <v>0</v>
      </c>
      <c r="H22" s="79" t="n"/>
      <c r="I22" s="79" t="n"/>
      <c r="J22" s="79" t="n"/>
      <c r="K22" s="79" t="n"/>
      <c r="L22" s="79" t="n">
        <v>33284.78</v>
      </c>
      <c r="M22" s="80" t="n"/>
      <c r="N22" s="79" t="n"/>
      <c r="O22" s="79" t="n">
        <v>0</v>
      </c>
      <c r="P22" s="79" t="n"/>
      <c r="Q22" s="79" t="n"/>
      <c r="R22" s="79" t="n">
        <v>224616.97</v>
      </c>
      <c r="S22" s="79" t="n">
        <v>556687.09</v>
      </c>
      <c r="T22" s="79" t="n">
        <v>261130.84</v>
      </c>
      <c r="U22" s="79" t="n"/>
      <c r="V22" t="inlineStr">
        <is>
          <t>Zwischensumme Bilanzposition</t>
        </is>
      </c>
    </row>
    <row r="23">
      <c r="B23" s="18" t="inlineStr">
        <is>
          <t>0320</t>
        </is>
      </c>
      <c r="C23" s="19" t="inlineStr">
        <is>
          <t>Pkw</t>
        </is>
      </c>
      <c r="D23" s="79" t="n"/>
      <c r="E23" s="79" t="n">
        <v>136969.96</v>
      </c>
      <c r="F23" s="79" t="n"/>
      <c r="G23" s="79" t="n">
        <v>0</v>
      </c>
      <c r="H23" s="79" t="n"/>
      <c r="I23" s="79" t="n"/>
      <c r="J23" s="79" t="n"/>
      <c r="K23" s="79" t="n"/>
      <c r="L23" s="79" t="n">
        <v>18385.73</v>
      </c>
      <c r="M23" s="80" t="n"/>
      <c r="N23" s="79" t="n"/>
      <c r="O23" s="79" t="n">
        <v>0</v>
      </c>
      <c r="P23" s="79" t="n"/>
      <c r="Q23" s="79" t="n"/>
      <c r="R23" s="79" t="n">
        <v>124296.66</v>
      </c>
      <c r="S23" s="79" t="n">
        <v>162818.35</v>
      </c>
      <c r="T23" s="79" t="n">
        <v>44234.12</v>
      </c>
      <c r="U23" s="79" t="n"/>
      <c r="V23" t="inlineStr">
        <is>
          <t>Anlagenklasse</t>
        </is>
      </c>
    </row>
    <row r="24">
      <c r="B24" s="18" t="inlineStr">
        <is>
          <t>0350</t>
        </is>
      </c>
      <c r="C24" s="19" t="inlineStr">
        <is>
          <t>Lkw</t>
        </is>
      </c>
      <c r="D24" s="79" t="n"/>
      <c r="E24" s="79" t="n">
        <v>49667</v>
      </c>
      <c r="F24" s="79" t="n"/>
      <c r="G24" s="79" t="n">
        <v>0</v>
      </c>
      <c r="H24" s="79" t="n"/>
      <c r="I24" s="79" t="n"/>
      <c r="J24" s="79" t="n"/>
      <c r="K24" s="79" t="n"/>
      <c r="L24" s="79" t="n">
        <v>74112.17</v>
      </c>
      <c r="M24" s="80" t="n"/>
      <c r="N24" s="79" t="n"/>
      <c r="O24" s="79" t="n">
        <v>0</v>
      </c>
      <c r="P24" s="79" t="n"/>
      <c r="Q24" s="79" t="n"/>
      <c r="R24" s="79" t="n">
        <v>642359.4300000001</v>
      </c>
      <c r="S24" s="79" t="n">
        <v>319231.27</v>
      </c>
      <c r="T24" s="79" t="n">
        <v>343676.44</v>
      </c>
      <c r="U24" s="79" t="n"/>
      <c r="V24" t="inlineStr">
        <is>
          <t>Anlagenklasse</t>
        </is>
      </c>
    </row>
    <row r="25">
      <c r="B25" s="18" t="n"/>
      <c r="C25" s="19" t="inlineStr">
        <is>
          <t>Pkw</t>
        </is>
      </c>
      <c r="D25" s="79" t="n"/>
      <c r="E25" s="79" t="n">
        <v>186636.96</v>
      </c>
      <c r="F25" s="79" t="n"/>
      <c r="G25" s="79" t="n">
        <v>0</v>
      </c>
      <c r="H25" s="79" t="n"/>
      <c r="I25" s="79" t="n"/>
      <c r="J25" s="79" t="n"/>
      <c r="K25" s="79" t="n"/>
      <c r="L25" s="79" t="n">
        <v>92497.89999999999</v>
      </c>
      <c r="M25" s="80" t="n"/>
      <c r="N25" s="79" t="n"/>
      <c r="O25" s="79" t="n">
        <v>0</v>
      </c>
      <c r="P25" s="79" t="n"/>
      <c r="Q25" s="79" t="n"/>
      <c r="R25" s="79" t="n">
        <v>766656.09</v>
      </c>
      <c r="S25" s="79" t="n">
        <v>482049.62</v>
      </c>
      <c r="T25" s="79" t="n">
        <v>387910.56</v>
      </c>
      <c r="U25" s="79" t="n"/>
      <c r="V25" t="inlineStr">
        <is>
          <t>Zwischensumme Bilanzposition</t>
        </is>
      </c>
    </row>
    <row r="26">
      <c r="B26" s="18" t="n"/>
      <c r="C26" s="19" t="inlineStr">
        <is>
          <t>Fuhrpark</t>
        </is>
      </c>
      <c r="D26" s="79" t="n"/>
      <c r="E26" s="79" t="n">
        <v>186636.96</v>
      </c>
      <c r="F26" s="79" t="n"/>
      <c r="G26" s="79" t="n">
        <v>0</v>
      </c>
      <c r="H26" s="79" t="n"/>
      <c r="I26" s="79" t="n"/>
      <c r="J26" s="79" t="n"/>
      <c r="K26" s="79" t="n"/>
      <c r="L26" s="79" t="n">
        <v>92497.91</v>
      </c>
      <c r="M26" s="80" t="n"/>
      <c r="N26" s="79" t="n"/>
      <c r="O26" s="79" t="n">
        <v>0</v>
      </c>
      <c r="P26" s="79" t="n"/>
      <c r="Q26" s="79" t="n"/>
      <c r="R26" s="79" t="n">
        <v>766656.09</v>
      </c>
      <c r="S26" s="79" t="n">
        <v>482049.62</v>
      </c>
      <c r="T26" s="79" t="n">
        <v>387910.56</v>
      </c>
      <c r="U26" s="79" t="n"/>
      <c r="V26" t="inlineStr">
        <is>
          <t>Zwischensumme Bilanzposition</t>
        </is>
      </c>
    </row>
    <row r="27">
      <c r="B27" s="18" t="inlineStr">
        <is>
          <t>0400</t>
        </is>
      </c>
      <c r="C27" s="19" t="inlineStr">
        <is>
          <t>Betriebsausstattung</t>
        </is>
      </c>
      <c r="D27" s="79" t="n"/>
      <c r="E27" s="79" t="n">
        <v>1441</v>
      </c>
      <c r="F27" s="79" t="n"/>
      <c r="G27" s="79" t="n">
        <v>0</v>
      </c>
      <c r="H27" s="79" t="n"/>
      <c r="I27" s="79" t="n"/>
      <c r="J27" s="79" t="n"/>
      <c r="K27" s="79" t="n"/>
      <c r="L27" s="79" t="n">
        <v>7892.18</v>
      </c>
      <c r="M27" s="80" t="n"/>
      <c r="N27" s="79" t="n"/>
      <c r="O27" s="79" t="n">
        <v>0</v>
      </c>
      <c r="P27" s="79" t="n"/>
      <c r="Q27" s="79" t="n"/>
      <c r="R27" s="79" t="n">
        <v>78254.78</v>
      </c>
      <c r="S27" s="79" t="n">
        <v>15039.22</v>
      </c>
      <c r="T27" s="79" t="n">
        <v>24106.7</v>
      </c>
      <c r="U27" s="79" t="n"/>
      <c r="V27" t="inlineStr">
        <is>
          <t>Anlagenklasse</t>
        </is>
      </c>
    </row>
    <row r="28">
      <c r="C28" t="inlineStr">
        <is>
          <t>Betriebsausstattung</t>
        </is>
      </c>
      <c r="E28" t="n">
        <v>1441</v>
      </c>
      <c r="G28" t="n">
        <v>0</v>
      </c>
      <c r="L28" t="n">
        <v>7892.18</v>
      </c>
      <c r="O28" t="n">
        <v>0</v>
      </c>
      <c r="R28" t="n">
        <v>78254.78</v>
      </c>
      <c r="S28" t="n">
        <v>15039.22</v>
      </c>
      <c r="T28" t="n">
        <v>24106.7</v>
      </c>
      <c r="V28" t="inlineStr">
        <is>
          <t>Zwischensumme Bilanzposition</t>
        </is>
      </c>
    </row>
    <row r="29">
      <c r="C29" t="inlineStr">
        <is>
          <t>Werkstatt und Lager</t>
        </is>
      </c>
      <c r="E29" t="n">
        <v>1441</v>
      </c>
      <c r="G29" t="n">
        <v>0</v>
      </c>
      <c r="L29" t="n">
        <v>7892.18</v>
      </c>
      <c r="O29" t="n">
        <v>0</v>
      </c>
      <c r="R29" t="n">
        <v>78254.78</v>
      </c>
      <c r="S29" t="n">
        <v>15039.22</v>
      </c>
      <c r="T29" t="n">
        <v>24106.7</v>
      </c>
      <c r="V29" t="inlineStr">
        <is>
          <t>Zwischensumme Bilanzposition</t>
        </is>
      </c>
    </row>
    <row r="30">
      <c r="B30" t="inlineStr">
        <is>
          <t>0420</t>
        </is>
      </c>
      <c r="C30" t="inlineStr">
        <is>
          <t>Büroeinrichtung</t>
        </is>
      </c>
      <c r="E30" t="n">
        <v>1459</v>
      </c>
      <c r="G30" t="n">
        <v>0</v>
      </c>
      <c r="L30" t="n">
        <v>4472.41</v>
      </c>
      <c r="O30" t="n">
        <v>0</v>
      </c>
      <c r="R30" t="n">
        <v>44295.27</v>
      </c>
      <c r="S30" t="n">
        <v>27322.41</v>
      </c>
      <c r="T30" t="n">
        <v>32246.85</v>
      </c>
      <c r="V30" t="inlineStr">
        <is>
          <t>Anlagenklasse</t>
        </is>
      </c>
    </row>
    <row r="31">
      <c r="C31" t="inlineStr">
        <is>
          <t>Büroeinrichtung</t>
        </is>
      </c>
      <c r="E31" t="n">
        <v>1459</v>
      </c>
      <c r="G31" t="n">
        <v>0</v>
      </c>
      <c r="L31" t="n">
        <v>4472.41</v>
      </c>
      <c r="O31" t="n">
        <v>0</v>
      </c>
      <c r="R31" t="n">
        <v>44295.27</v>
      </c>
      <c r="S31" t="n">
        <v>27322.41</v>
      </c>
      <c r="T31" t="n">
        <v>32246.85</v>
      </c>
      <c r="V31" t="inlineStr">
        <is>
          <t>Zwischensumme Bilanzposition</t>
        </is>
      </c>
    </row>
    <row r="32">
      <c r="B32" t="inlineStr">
        <is>
          <t>0490</t>
        </is>
      </c>
      <c r="C32" t="inlineStr">
        <is>
          <t>EDV-Hardware</t>
        </is>
      </c>
      <c r="E32" t="n">
        <v>1906.3</v>
      </c>
      <c r="G32" t="n">
        <v>0</v>
      </c>
      <c r="L32" t="n">
        <v>95.31999999999999</v>
      </c>
      <c r="O32" t="n">
        <v>0</v>
      </c>
      <c r="R32" t="n">
        <v>35454.07</v>
      </c>
      <c r="S32" t="n">
        <v>1817.98</v>
      </c>
      <c r="T32" t="n">
        <v>7</v>
      </c>
      <c r="V32" t="inlineStr">
        <is>
          <t>Anlagenklasse</t>
        </is>
      </c>
    </row>
    <row r="33">
      <c r="C33" t="inlineStr">
        <is>
          <t>EDV-Hardware</t>
        </is>
      </c>
      <c r="E33" t="n">
        <v>1906.3</v>
      </c>
      <c r="G33" t="n">
        <v>0</v>
      </c>
      <c r="L33" t="n">
        <v>95.31999999999999</v>
      </c>
      <c r="O33" t="n">
        <v>0</v>
      </c>
      <c r="R33" t="n">
        <v>35454.07</v>
      </c>
      <c r="S33" t="n">
        <v>1817.98</v>
      </c>
      <c r="T33" t="n">
        <v>7</v>
      </c>
      <c r="V33" t="inlineStr">
        <is>
          <t>Zwischensumme Bilanzposition</t>
        </is>
      </c>
    </row>
    <row r="34">
      <c r="C34" t="inlineStr">
        <is>
          <t>Büro und Verwaltung</t>
        </is>
      </c>
      <c r="E34" t="n">
        <v>3365.3</v>
      </c>
      <c r="G34" t="n">
        <v>0</v>
      </c>
      <c r="L34" t="n">
        <v>4567.73</v>
      </c>
      <c r="O34" t="n">
        <v>0</v>
      </c>
      <c r="R34" t="n">
        <v>79749.34</v>
      </c>
      <c r="S34" t="n">
        <v>29140.39</v>
      </c>
      <c r="T34" t="n">
        <v>32253.85</v>
      </c>
      <c r="V34" t="inlineStr">
        <is>
          <t>Zwischensumme Bilanzposition</t>
        </is>
      </c>
    </row>
    <row r="35">
      <c r="B35" t="inlineStr">
        <is>
          <t>0480</t>
        </is>
      </c>
      <c r="C35" t="inlineStr">
        <is>
          <t>Geringwertige Wirtschaftsgüter</t>
        </is>
      </c>
      <c r="E35" t="n">
        <v>1893.1</v>
      </c>
      <c r="G35" t="n">
        <v>0</v>
      </c>
      <c r="L35" t="n">
        <v>1893.1</v>
      </c>
      <c r="O35" t="n">
        <v>0</v>
      </c>
      <c r="R35" t="n">
        <v>3550.16</v>
      </c>
      <c r="S35" t="n">
        <v>0</v>
      </c>
      <c r="T35" t="n">
        <v>0</v>
      </c>
      <c r="V35" t="inlineStr">
        <is>
          <t>Anlagenklasse</t>
        </is>
      </c>
    </row>
    <row r="36">
      <c r="C36" t="inlineStr">
        <is>
          <t>GWG</t>
        </is>
      </c>
      <c r="E36" t="n">
        <v>1893.1</v>
      </c>
      <c r="G36" t="n">
        <v>0</v>
      </c>
      <c r="L36" t="n">
        <v>1893.1</v>
      </c>
      <c r="O36" t="n">
        <v>0</v>
      </c>
      <c r="R36" t="n">
        <v>3550.16</v>
      </c>
      <c r="S36" t="n">
        <v>0</v>
      </c>
      <c r="T36" t="n">
        <v>0</v>
      </c>
      <c r="V36" t="inlineStr">
        <is>
          <t>Zwischensumme Bilanzposition</t>
        </is>
      </c>
    </row>
    <row r="37">
      <c r="C37" t="inlineStr">
        <is>
          <t>Geringwertige Wirtschaftsgüter</t>
        </is>
      </c>
      <c r="E37" t="n">
        <v>1893.08</v>
      </c>
      <c r="G37" t="n">
        <v>0</v>
      </c>
      <c r="L37" t="n">
        <v>1893.1</v>
      </c>
      <c r="O37" t="n">
        <v>0</v>
      </c>
      <c r="R37" t="n">
        <v>3550.16</v>
      </c>
      <c r="S37" t="n">
        <v>0</v>
      </c>
      <c r="T37" t="n">
        <v>0</v>
      </c>
      <c r="V37" t="inlineStr">
        <is>
          <t>Zwischensumme Bilanzposition</t>
        </is>
      </c>
    </row>
    <row r="38">
      <c r="A38" t="inlineStr">
        <is>
          <t>A.II.4</t>
        </is>
      </c>
      <c r="B38" t="inlineStr">
        <is>
          <t>0120</t>
        </is>
      </c>
      <c r="C38" t="inlineStr">
        <is>
          <t>Anlagen im Bau</t>
        </is>
      </c>
      <c r="E38" t="n">
        <v>257524.93</v>
      </c>
      <c r="G38" t="n">
        <v>-404636.01</v>
      </c>
      <c r="L38" t="n">
        <v>0</v>
      </c>
      <c r="O38" t="n">
        <v>0</v>
      </c>
      <c r="R38" t="n">
        <v>0</v>
      </c>
      <c r="S38" t="n">
        <v>0</v>
      </c>
      <c r="T38" t="n">
        <v>147111.08</v>
      </c>
      <c r="V38" t="inlineStr">
        <is>
          <t>Anlagenklasse</t>
        </is>
      </c>
      <c r="W38" t="inlineStr">
        <is>
          <t>Anlagen im Bau</t>
        </is>
      </c>
    </row>
    <row r="39">
      <c r="C39" t="inlineStr">
        <is>
          <t>Anlagen im Bau</t>
        </is>
      </c>
      <c r="E39" t="n">
        <v>257524.93</v>
      </c>
      <c r="G39" t="n">
        <v>-404636.01</v>
      </c>
      <c r="L39" t="n">
        <v>0</v>
      </c>
      <c r="O39" t="n">
        <v>0</v>
      </c>
      <c r="R39" t="n">
        <v>0</v>
      </c>
      <c r="S39" t="n">
        <v>0</v>
      </c>
      <c r="T39" t="n">
        <v>147111.08</v>
      </c>
      <c r="V39" t="inlineStr">
        <is>
          <t>Zwischensumme Bilanzposition</t>
        </is>
      </c>
      <c r="W39" t="inlineStr">
        <is>
          <t>Anlagen im Bau</t>
        </is>
      </c>
    </row>
    <row r="40">
      <c r="C40" t="inlineStr">
        <is>
          <t>Anlagen im Bau</t>
        </is>
      </c>
      <c r="E40" t="n">
        <v>257524.92</v>
      </c>
      <c r="G40" t="n">
        <v>-404636.01</v>
      </c>
      <c r="L40" t="n">
        <v>0</v>
      </c>
      <c r="O40" t="n">
        <v>0</v>
      </c>
      <c r="R40" t="n">
        <v>0</v>
      </c>
      <c r="S40" t="n">
        <v>0</v>
      </c>
      <c r="T40" t="n">
        <v>147111.08</v>
      </c>
      <c r="V40" t="inlineStr">
        <is>
          <t>Zwischensumme Bilanzposition</t>
        </is>
      </c>
      <c r="W40" t="inlineStr">
        <is>
          <t>Anlagen im Bau</t>
        </is>
      </c>
    </row>
    <row r="41">
      <c r="C41" s="4" t="inlineStr">
        <is>
          <t>Summe laut Mandant</t>
        </is>
      </c>
      <c r="D41" s="81" t="n"/>
      <c r="E41" s="81" t="n"/>
      <c r="F41" s="81" t="n"/>
      <c r="G41" s="81" t="n"/>
      <c r="H41" s="81" t="n"/>
      <c r="I41" s="81" t="n"/>
      <c r="J41" s="81" t="n"/>
      <c r="K41" s="81" t="n"/>
      <c r="L41" s="81" t="n"/>
      <c r="M41" s="81" t="n"/>
      <c r="N41" s="81" t="n"/>
      <c r="O41" s="81" t="n"/>
      <c r="P41" s="81" t="n"/>
      <c r="Q41" s="81" t="n"/>
      <c r="R41" s="81" t="n"/>
      <c r="S41" s="81" t="n"/>
      <c r="T41" s="81" t="n"/>
      <c r="U41" s="81" t="n"/>
    </row>
    <row r="42"/>
    <row r="43">
      <c r="C43" s="2" t="inlineStr">
        <is>
          <t>Zeilen und Beträge stammen aus dem übergebenen Anlagengitter. Jede übernommene Zelle verweist auf ihre Herkunft – auf Blatt und Zelle, bei PDF-Unterlagen auf die Seite.</t>
        </is>
      </c>
    </row>
    <row r="44">
      <c r="C44"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n"/>
      <c r="B2" s="33" t="n"/>
      <c r="C2" s="33" t="n"/>
      <c r="D2" s="33" t="n"/>
      <c r="E2" s="33" t="n"/>
      <c r="F2" s="33" t="n"/>
      <c r="G2" s="33" t="n"/>
      <c r="H2" s="33" t="n"/>
      <c r="I2" s="33" t="n"/>
      <c r="J2" s="33" t="n"/>
      <c r="K2" s="34" t="n"/>
      <c r="L2" s="34" t="n"/>
      <c r="M2" s="34" t="n"/>
      <c r="N2" s="82" t="n"/>
      <c r="O2" s="82" t="n"/>
      <c r="P2" s="33" t="n"/>
      <c r="Q2" s="34" t="n"/>
      <c r="R2" s="83" t="n"/>
      <c r="S2" s="34" t="n"/>
      <c r="T2" s="33" t="n"/>
      <c r="U2" s="83" t="n"/>
      <c r="V2" s="33" t="n"/>
      <c r="W2" s="83" t="n"/>
      <c r="X2" s="83" t="n"/>
      <c r="Y2" s="83" t="n"/>
      <c r="Z2" s="83" t="n"/>
      <c r="AA2" s="84">
        <f>IF(OR($A2="",COUNT(W2,X2,Z2,Y2)&lt;1),"",W2+X2+Z2-Y2)</f>
        <v/>
      </c>
      <c r="AB2" s="83" t="n"/>
      <c r="AC2" s="83" t="n"/>
      <c r="AD2" s="83" t="n"/>
      <c r="AE2" s="83" t="n"/>
      <c r="AF2" s="83" t="n"/>
      <c r="AG2" s="83" t="n"/>
      <c r="AH2" s="84">
        <f>IF(OR($A2="",COUNT(AB2,AC2,AD2,AG2,AE2,AF2)&lt;1),"",AB2+AC2+AD2+AG2-AE2-AF2)</f>
        <v/>
      </c>
      <c r="AI2" s="84">
        <f>IF(OR($A2="",COUNT(AA2,AH2)&lt;2),"",AA2-AH2)</f>
        <v/>
      </c>
      <c r="AJ2" s="84">
        <f>IF(OR($A2="",COUNT(W2,AB2)&lt;2),"",W2-AB2)</f>
        <v/>
      </c>
      <c r="AK2" s="83" t="n"/>
      <c r="AL2" s="33" t="n"/>
      <c r="AM2" s="33" t="n"/>
      <c r="AN2" s="83" t="n"/>
      <c r="AO2" s="33" t="n"/>
      <c r="AP2" s="33" t="n"/>
      <c r="AQ2" s="33" t="n"/>
    </row>
    <row r="3">
      <c r="A3" s="33" t="n"/>
      <c r="B3" s="33" t="n"/>
      <c r="C3" s="33" t="n"/>
      <c r="D3" s="33" t="n"/>
      <c r="E3" s="33" t="n"/>
      <c r="F3" s="33" t="n"/>
      <c r="G3" s="33" t="n"/>
      <c r="H3" s="33" t="n"/>
      <c r="I3" s="33" t="n"/>
      <c r="J3" s="33" t="n"/>
      <c r="K3" s="34" t="n"/>
      <c r="L3" s="34" t="n"/>
      <c r="M3" s="34" t="n"/>
      <c r="N3" s="82" t="n"/>
      <c r="O3" s="82" t="n"/>
      <c r="P3" s="33" t="n"/>
      <c r="Q3" s="34" t="n"/>
      <c r="R3" s="83" t="n"/>
      <c r="S3" s="34" t="n"/>
      <c r="T3" s="33" t="n"/>
      <c r="U3" s="83" t="n"/>
      <c r="V3" s="33" t="n"/>
      <c r="W3" s="83" t="n"/>
      <c r="X3" s="83" t="n"/>
      <c r="Y3" s="83" t="n"/>
      <c r="Z3" s="83" t="n"/>
      <c r="AA3" s="84">
        <f>IF(OR($A3="",COUNT(W3,X3,Z3,Y3)&lt;1),"",W3+X3+Z3-Y3)</f>
        <v/>
      </c>
      <c r="AB3" s="83" t="n"/>
      <c r="AC3" s="83" t="n"/>
      <c r="AD3" s="83" t="n"/>
      <c r="AE3" s="83" t="n"/>
      <c r="AF3" s="83" t="n"/>
      <c r="AG3" s="83" t="n"/>
      <c r="AH3" s="84">
        <f>IF(OR($A3="",COUNT(AB3,AC3,AD3,AG3,AE3,AF3)&lt;1),"",AB3+AC3+AD3+AG3-AE3-AF3)</f>
        <v/>
      </c>
      <c r="AI3" s="84">
        <f>IF(OR($A3="",COUNT(AA3,AH3)&lt;2),"",AA3-AH3)</f>
        <v/>
      </c>
      <c r="AJ3" s="84">
        <f>IF(OR($A3="",COUNT(W3,AB3)&lt;2),"",W3-AB3)</f>
        <v/>
      </c>
      <c r="AK3" s="83" t="n"/>
      <c r="AL3" s="33" t="n"/>
      <c r="AM3" s="33" t="n"/>
      <c r="AN3" s="83" t="n"/>
      <c r="AO3" s="33" t="n"/>
      <c r="AP3" s="33" t="n"/>
      <c r="AQ3" s="33" t="n"/>
    </row>
    <row r="4">
      <c r="A4" s="33" t="n"/>
      <c r="B4" s="33" t="n"/>
      <c r="C4" s="33" t="n"/>
      <c r="D4" s="33" t="n"/>
      <c r="E4" s="33" t="n"/>
      <c r="F4" s="33" t="n"/>
      <c r="G4" s="33" t="n"/>
      <c r="H4" s="33" t="n"/>
      <c r="I4" s="33" t="n"/>
      <c r="J4" s="33" t="n"/>
      <c r="K4" s="34" t="n"/>
      <c r="L4" s="34" t="n"/>
      <c r="M4" s="34" t="n"/>
      <c r="N4" s="82" t="n"/>
      <c r="O4" s="82" t="n"/>
      <c r="P4" s="33" t="n"/>
      <c r="Q4" s="34" t="n"/>
      <c r="R4" s="83" t="n"/>
      <c r="S4" s="34" t="n"/>
      <c r="T4" s="33" t="n"/>
      <c r="U4" s="83" t="n"/>
      <c r="V4" s="33" t="n"/>
      <c r="W4" s="83" t="n"/>
      <c r="X4" s="83" t="n"/>
      <c r="Y4" s="83" t="n"/>
      <c r="Z4" s="83" t="n"/>
      <c r="AA4" s="84">
        <f>IF(OR($A4="",COUNT(W4,X4,Z4,Y4)&lt;1),"",W4+X4+Z4-Y4)</f>
        <v/>
      </c>
      <c r="AB4" s="83" t="n"/>
      <c r="AC4" s="83" t="n"/>
      <c r="AD4" s="83" t="n"/>
      <c r="AE4" s="83" t="n"/>
      <c r="AF4" s="83" t="n"/>
      <c r="AG4" s="83" t="n"/>
      <c r="AH4" s="84">
        <f>IF(OR($A4="",COUNT(AB4,AC4,AD4,AG4,AE4,AF4)&lt;1),"",AB4+AC4+AD4+AG4-AE4-AF4)</f>
        <v/>
      </c>
      <c r="AI4" s="84">
        <f>IF(OR($A4="",COUNT(AA4,AH4)&lt;2),"",AA4-AH4)</f>
        <v/>
      </c>
      <c r="AJ4" s="84">
        <f>IF(OR($A4="",COUNT(W4,AB4)&lt;2),"",W4-AB4)</f>
        <v/>
      </c>
      <c r="AK4" s="83" t="n"/>
      <c r="AL4" s="33" t="n"/>
      <c r="AM4" s="33" t="n"/>
      <c r="AN4" s="83" t="n"/>
      <c r="AO4" s="33" t="n"/>
      <c r="AP4" s="33" t="n"/>
      <c r="AQ4" s="33" t="n"/>
    </row>
    <row r="5">
      <c r="A5" s="33" t="n"/>
      <c r="B5" s="33" t="n"/>
      <c r="C5" s="33" t="n"/>
      <c r="D5" s="33" t="n"/>
      <c r="E5" s="33" t="n"/>
      <c r="F5" s="33" t="n"/>
      <c r="G5" s="33" t="n"/>
      <c r="H5" s="33" t="n"/>
      <c r="I5" s="33" t="n"/>
      <c r="J5" s="33" t="n"/>
      <c r="K5" s="34" t="n"/>
      <c r="L5" s="34" t="n"/>
      <c r="M5" s="34" t="n"/>
      <c r="N5" s="82" t="n"/>
      <c r="O5" s="82" t="n"/>
      <c r="P5" s="33" t="n"/>
      <c r="Q5" s="34" t="n"/>
      <c r="R5" s="83" t="n"/>
      <c r="S5" s="34" t="n"/>
      <c r="T5" s="33" t="n"/>
      <c r="U5" s="83" t="n"/>
      <c r="V5" s="33" t="n"/>
      <c r="W5" s="83" t="n"/>
      <c r="X5" s="83" t="n"/>
      <c r="Y5" s="83" t="n"/>
      <c r="Z5" s="83" t="n"/>
      <c r="AA5" s="84">
        <f>IF(OR($A5="",COUNT(W5,X5,Z5,Y5)&lt;1),"",W5+X5+Z5-Y5)</f>
        <v/>
      </c>
      <c r="AB5" s="83" t="n"/>
      <c r="AC5" s="83" t="n"/>
      <c r="AD5" s="83" t="n"/>
      <c r="AE5" s="83" t="n"/>
      <c r="AF5" s="83" t="n"/>
      <c r="AG5" s="83" t="n"/>
      <c r="AH5" s="84">
        <f>IF(OR($A5="",COUNT(AB5,AC5,AD5,AG5,AE5,AF5)&lt;1),"",AB5+AC5+AD5+AG5-AE5-AF5)</f>
        <v/>
      </c>
      <c r="AI5" s="84">
        <f>IF(OR($A5="",COUNT(AA5,AH5)&lt;2),"",AA5-AH5)</f>
        <v/>
      </c>
      <c r="AJ5" s="84">
        <f>IF(OR($A5="",COUNT(W5,AB5)&lt;2),"",W5-AB5)</f>
        <v/>
      </c>
      <c r="AK5" s="83" t="n"/>
      <c r="AL5" s="33" t="n"/>
      <c r="AM5" s="33" t="n"/>
      <c r="AN5" s="83" t="n"/>
      <c r="AO5" s="33" t="n"/>
      <c r="AP5" s="33" t="n"/>
      <c r="AQ5" s="33" t="n"/>
    </row>
    <row r="6">
      <c r="A6" s="33" t="n"/>
      <c r="B6" s="33" t="n"/>
      <c r="C6" s="33" t="n"/>
      <c r="D6" s="33" t="n"/>
      <c r="E6" s="33" t="n"/>
      <c r="F6" s="33" t="n"/>
      <c r="G6" s="33" t="n"/>
      <c r="H6" s="33" t="n"/>
      <c r="I6" s="33" t="n"/>
      <c r="J6" s="33" t="n"/>
      <c r="K6" s="34" t="n"/>
      <c r="L6" s="34" t="n"/>
      <c r="M6" s="34" t="n"/>
      <c r="N6" s="82" t="n"/>
      <c r="O6" s="82" t="n"/>
      <c r="P6" s="33" t="n"/>
      <c r="Q6" s="34" t="n"/>
      <c r="R6" s="83" t="n"/>
      <c r="S6" s="34" t="n"/>
      <c r="T6" s="33" t="n"/>
      <c r="U6" s="83" t="n"/>
      <c r="V6" s="33" t="n"/>
      <c r="W6" s="83" t="n"/>
      <c r="X6" s="83" t="n"/>
      <c r="Y6" s="83" t="n"/>
      <c r="Z6" s="83" t="n"/>
      <c r="AA6" s="84">
        <f>IF(OR($A6="",COUNT(W6,X6,Z6,Y6)&lt;1),"",W6+X6+Z6-Y6)</f>
        <v/>
      </c>
      <c r="AB6" s="83" t="n"/>
      <c r="AC6" s="83" t="n"/>
      <c r="AD6" s="83" t="n"/>
      <c r="AE6" s="83" t="n"/>
      <c r="AF6" s="83" t="n"/>
      <c r="AG6" s="83" t="n"/>
      <c r="AH6" s="84">
        <f>IF(OR($A6="",COUNT(AB6,AC6,AD6,AG6,AE6,AF6)&lt;1),"",AB6+AC6+AD6+AG6-AE6-AF6)</f>
        <v/>
      </c>
      <c r="AI6" s="84">
        <f>IF(OR($A6="",COUNT(AA6,AH6)&lt;2),"",AA6-AH6)</f>
        <v/>
      </c>
      <c r="AJ6" s="84">
        <f>IF(OR($A6="",COUNT(W6,AB6)&lt;2),"",W6-AB6)</f>
        <v/>
      </c>
      <c r="AK6" s="83" t="n"/>
      <c r="AL6" s="33" t="n"/>
      <c r="AM6" s="33" t="n"/>
      <c r="AN6" s="83" t="n"/>
      <c r="AO6" s="33" t="n"/>
      <c r="AP6" s="33" t="n"/>
      <c r="AQ6" s="33" t="n"/>
    </row>
    <row r="7">
      <c r="A7" s="33" t="n"/>
      <c r="B7" s="33" t="n"/>
      <c r="C7" s="33" t="n"/>
      <c r="D7" s="33" t="n"/>
      <c r="E7" s="33" t="n"/>
      <c r="F7" s="33" t="n"/>
      <c r="G7" s="33" t="n"/>
      <c r="H7" s="33" t="n"/>
      <c r="I7" s="33" t="n"/>
      <c r="J7" s="33" t="n"/>
      <c r="K7" s="34" t="n"/>
      <c r="L7" s="34" t="n"/>
      <c r="M7" s="34" t="n"/>
      <c r="N7" s="82" t="n"/>
      <c r="O7" s="82" t="n"/>
      <c r="P7" s="33" t="n"/>
      <c r="Q7" s="34" t="n"/>
      <c r="R7" s="83" t="n"/>
      <c r="S7" s="34" t="n"/>
      <c r="T7" s="33" t="n"/>
      <c r="U7" s="83" t="n"/>
      <c r="V7" s="33" t="n"/>
      <c r="W7" s="83" t="n"/>
      <c r="X7" s="83" t="n"/>
      <c r="Y7" s="83" t="n"/>
      <c r="Z7" s="83" t="n"/>
      <c r="AA7" s="84">
        <f>IF(OR($A7="",COUNT(W7,X7,Z7,Y7)&lt;1),"",W7+X7+Z7-Y7)</f>
        <v/>
      </c>
      <c r="AB7" s="83" t="n"/>
      <c r="AC7" s="83" t="n"/>
      <c r="AD7" s="83" t="n"/>
      <c r="AE7" s="83" t="n"/>
      <c r="AF7" s="83" t="n"/>
      <c r="AG7" s="83" t="n"/>
      <c r="AH7" s="84">
        <f>IF(OR($A7="",COUNT(AB7,AC7,AD7,AG7,AE7,AF7)&lt;1),"",AB7+AC7+AD7+AG7-AE7-AF7)</f>
        <v/>
      </c>
      <c r="AI7" s="84">
        <f>IF(OR($A7="",COUNT(AA7,AH7)&lt;2),"",AA7-AH7)</f>
        <v/>
      </c>
      <c r="AJ7" s="84">
        <f>IF(OR($A7="",COUNT(W7,AB7)&lt;2),"",W7-AB7)</f>
        <v/>
      </c>
      <c r="AK7" s="83" t="n"/>
      <c r="AL7" s="33" t="n"/>
      <c r="AM7" s="33" t="n"/>
      <c r="AN7" s="83" t="n"/>
      <c r="AO7" s="33" t="n"/>
      <c r="AP7" s="33" t="n"/>
      <c r="AQ7" s="33" t="n"/>
    </row>
    <row r="8">
      <c r="A8" s="33" t="n"/>
      <c r="B8" s="33" t="n"/>
      <c r="C8" s="33" t="n"/>
      <c r="D8" s="33" t="n"/>
      <c r="E8" s="33" t="n"/>
      <c r="F8" s="33" t="n"/>
      <c r="G8" s="33" t="n"/>
      <c r="H8" s="33" t="n"/>
      <c r="I8" s="33" t="n"/>
      <c r="J8" s="33" t="n"/>
      <c r="K8" s="34" t="n"/>
      <c r="L8" s="34" t="n"/>
      <c r="M8" s="34" t="n"/>
      <c r="N8" s="82" t="n"/>
      <c r="O8" s="82" t="n"/>
      <c r="P8" s="33" t="n"/>
      <c r="Q8" s="34" t="n"/>
      <c r="R8" s="83" t="n"/>
      <c r="S8" s="34" t="n"/>
      <c r="T8" s="33" t="n"/>
      <c r="U8" s="83" t="n"/>
      <c r="V8" s="33" t="n"/>
      <c r="W8" s="83" t="n"/>
      <c r="X8" s="83" t="n"/>
      <c r="Y8" s="83" t="n"/>
      <c r="Z8" s="83" t="n"/>
      <c r="AA8" s="84">
        <f>IF(OR($A8="",COUNT(W8,X8,Z8,Y8)&lt;1),"",W8+X8+Z8-Y8)</f>
        <v/>
      </c>
      <c r="AB8" s="83" t="n"/>
      <c r="AC8" s="83" t="n"/>
      <c r="AD8" s="83" t="n"/>
      <c r="AE8" s="83" t="n"/>
      <c r="AF8" s="83" t="n"/>
      <c r="AG8" s="83" t="n"/>
      <c r="AH8" s="84">
        <f>IF(OR($A8="",COUNT(AB8,AC8,AD8,AG8,AE8,AF8)&lt;1),"",AB8+AC8+AD8+AG8-AE8-AF8)</f>
        <v/>
      </c>
      <c r="AI8" s="84">
        <f>IF(OR($A8="",COUNT(AA8,AH8)&lt;2),"",AA8-AH8)</f>
        <v/>
      </c>
      <c r="AJ8" s="84">
        <f>IF(OR($A8="",COUNT(W8,AB8)&lt;2),"",W8-AB8)</f>
        <v/>
      </c>
      <c r="AK8" s="83" t="n"/>
      <c r="AL8" s="33" t="n"/>
      <c r="AM8" s="33" t="n"/>
      <c r="AN8" s="83" t="n"/>
      <c r="AO8" s="33" t="n"/>
      <c r="AP8" s="33" t="n"/>
      <c r="AQ8" s="33" t="n"/>
    </row>
    <row r="9">
      <c r="A9" s="33" t="n"/>
      <c r="B9" s="33" t="n"/>
      <c r="C9" s="33" t="n"/>
      <c r="D9" s="33" t="n"/>
      <c r="E9" s="33" t="n"/>
      <c r="F9" s="33" t="n"/>
      <c r="G9" s="33" t="n"/>
      <c r="H9" s="33" t="n"/>
      <c r="I9" s="33" t="n"/>
      <c r="J9" s="33" t="n"/>
      <c r="K9" s="34" t="n"/>
      <c r="L9" s="34" t="n"/>
      <c r="M9" s="34" t="n"/>
      <c r="N9" s="82" t="n"/>
      <c r="O9" s="82" t="n"/>
      <c r="P9" s="33" t="n"/>
      <c r="Q9" s="34" t="n"/>
      <c r="R9" s="83" t="n"/>
      <c r="S9" s="34" t="n"/>
      <c r="T9" s="33" t="n"/>
      <c r="U9" s="83" t="n"/>
      <c r="V9" s="33" t="n"/>
      <c r="W9" s="83" t="n"/>
      <c r="X9" s="83" t="n"/>
      <c r="Y9" s="83" t="n"/>
      <c r="Z9" s="83" t="n"/>
      <c r="AA9" s="84">
        <f>IF(OR($A9="",COUNT(W9,X9,Z9,Y9)&lt;1),"",W9+X9+Z9-Y9)</f>
        <v/>
      </c>
      <c r="AB9" s="83" t="n"/>
      <c r="AC9" s="83" t="n"/>
      <c r="AD9" s="83" t="n"/>
      <c r="AE9" s="83" t="n"/>
      <c r="AF9" s="83" t="n"/>
      <c r="AG9" s="83" t="n"/>
      <c r="AH9" s="84">
        <f>IF(OR($A9="",COUNT(AB9,AC9,AD9,AG9,AE9,AF9)&lt;1),"",AB9+AC9+AD9+AG9-AE9-AF9)</f>
        <v/>
      </c>
      <c r="AI9" s="84">
        <f>IF(OR($A9="",COUNT(AA9,AH9)&lt;2),"",AA9-AH9)</f>
        <v/>
      </c>
      <c r="AJ9" s="84">
        <f>IF(OR($A9="",COUNT(W9,AB9)&lt;2),"",W9-AB9)</f>
        <v/>
      </c>
      <c r="AK9" s="83" t="n"/>
      <c r="AL9" s="33" t="n"/>
      <c r="AM9" s="33" t="n"/>
      <c r="AN9" s="83" t="n"/>
      <c r="AO9" s="33" t="n"/>
      <c r="AP9" s="33" t="n"/>
      <c r="AQ9" s="33" t="n"/>
    </row>
    <row r="10">
      <c r="A10" s="33" t="n"/>
      <c r="B10" s="33" t="n"/>
      <c r="C10" s="33" t="n"/>
      <c r="D10" s="33" t="n"/>
      <c r="E10" s="33" t="n"/>
      <c r="F10" s="33" t="n"/>
      <c r="G10" s="33" t="n"/>
      <c r="H10" s="33" t="n"/>
      <c r="I10" s="33" t="n"/>
      <c r="J10" s="33" t="n"/>
      <c r="K10" s="34" t="n"/>
      <c r="L10" s="34" t="n"/>
      <c r="M10" s="34" t="n"/>
      <c r="N10" s="82" t="n"/>
      <c r="O10" s="82" t="n"/>
      <c r="P10" s="33" t="n"/>
      <c r="Q10" s="34" t="n"/>
      <c r="R10" s="83" t="n"/>
      <c r="S10" s="34" t="n"/>
      <c r="T10" s="33" t="n"/>
      <c r="U10" s="83" t="n"/>
      <c r="V10" s="33" t="n"/>
      <c r="W10" s="83" t="n"/>
      <c r="X10" s="83" t="n"/>
      <c r="Y10" s="83" t="n"/>
      <c r="Z10" s="83" t="n"/>
      <c r="AA10" s="84">
        <f>IF(OR($A10="",COUNT(W10,X10,Z10,Y10)&lt;1),"",W10+X10+Z10-Y10)</f>
        <v/>
      </c>
      <c r="AB10" s="83" t="n"/>
      <c r="AC10" s="83" t="n"/>
      <c r="AD10" s="83" t="n"/>
      <c r="AE10" s="83" t="n"/>
      <c r="AF10" s="83" t="n"/>
      <c r="AG10" s="83" t="n"/>
      <c r="AH10" s="84">
        <f>IF(OR($A10="",COUNT(AB10,AC10,AD10,AG10,AE10,AF10)&lt;1),"",AB10+AC10+AD10+AG10-AE10-AF10)</f>
        <v/>
      </c>
      <c r="AI10" s="84">
        <f>IF(OR($A10="",COUNT(AA10,AH10)&lt;2),"",AA10-AH10)</f>
        <v/>
      </c>
      <c r="AJ10" s="84">
        <f>IF(OR($A10="",COUNT(W10,AB10)&lt;2),"",W10-AB10)</f>
        <v/>
      </c>
      <c r="AK10" s="83" t="n"/>
      <c r="AL10" s="33" t="n"/>
      <c r="AM10" s="33" t="n"/>
      <c r="AN10" s="83" t="n"/>
      <c r="AO10" s="33" t="n"/>
      <c r="AP10" s="33" t="n"/>
      <c r="AQ10" s="33" t="n"/>
    </row>
    <row r="11">
      <c r="A11" s="33" t="n"/>
      <c r="B11" s="33" t="n"/>
      <c r="C11" s="33" t="n"/>
      <c r="D11" s="33" t="n"/>
      <c r="E11" s="33" t="n"/>
      <c r="F11" s="33" t="n"/>
      <c r="G11" s="33" t="n"/>
      <c r="H11" s="33" t="n"/>
      <c r="I11" s="33" t="n"/>
      <c r="J11" s="33" t="n"/>
      <c r="K11" s="34" t="n"/>
      <c r="L11" s="34" t="n"/>
      <c r="M11" s="34" t="n"/>
      <c r="N11" s="82" t="n"/>
      <c r="O11" s="82" t="n"/>
      <c r="P11" s="33" t="n"/>
      <c r="Q11" s="34" t="n"/>
      <c r="R11" s="83" t="n"/>
      <c r="S11" s="34" t="n"/>
      <c r="T11" s="33" t="n"/>
      <c r="U11" s="83" t="n"/>
      <c r="V11" s="33" t="n"/>
      <c r="W11" s="83" t="n"/>
      <c r="X11" s="83" t="n"/>
      <c r="Y11" s="83" t="n"/>
      <c r="Z11" s="83" t="n"/>
      <c r="AA11" s="84">
        <f>IF(OR($A11="",COUNT(W11,X11,Z11,Y11)&lt;1),"",W11+X11+Z11-Y11)</f>
        <v/>
      </c>
      <c r="AB11" s="83" t="n"/>
      <c r="AC11" s="83" t="n"/>
      <c r="AD11" s="83" t="n"/>
      <c r="AE11" s="83" t="n"/>
      <c r="AF11" s="83" t="n"/>
      <c r="AG11" s="83" t="n"/>
      <c r="AH11" s="84">
        <f>IF(OR($A11="",COUNT(AB11,AC11,AD11,AG11,AE11,AF11)&lt;1),"",AB11+AC11+AD11+AG11-AE11-AF11)</f>
        <v/>
      </c>
      <c r="AI11" s="84">
        <f>IF(OR($A11="",COUNT(AA11,AH11)&lt;2),"",AA11-AH11)</f>
        <v/>
      </c>
      <c r="AJ11" s="84">
        <f>IF(OR($A11="",COUNT(W11,AB11)&lt;2),"",W11-AB11)</f>
        <v/>
      </c>
      <c r="AK11" s="83" t="n"/>
      <c r="AL11" s="33" t="n"/>
      <c r="AM11" s="33" t="n"/>
      <c r="AN11" s="83" t="n"/>
      <c r="AO11" s="33" t="n"/>
      <c r="AP11" s="33" t="n"/>
      <c r="AQ11" s="33" t="n"/>
    </row>
    <row r="12">
      <c r="A12" s="33" t="n"/>
      <c r="B12" s="33" t="n"/>
      <c r="C12" s="33" t="n"/>
      <c r="D12" s="33" t="n"/>
      <c r="E12" s="33" t="n"/>
      <c r="F12" s="33" t="n"/>
      <c r="G12" s="33" t="n"/>
      <c r="H12" s="33" t="n"/>
      <c r="I12" s="33" t="n"/>
      <c r="J12" s="33" t="n"/>
      <c r="K12" s="34" t="n"/>
      <c r="L12" s="34" t="n"/>
      <c r="M12" s="34" t="n"/>
      <c r="N12" s="82" t="n"/>
      <c r="O12" s="82" t="n"/>
      <c r="P12" s="33" t="n"/>
      <c r="Q12" s="34" t="n"/>
      <c r="R12" s="83" t="n"/>
      <c r="S12" s="34" t="n"/>
      <c r="T12" s="33" t="n"/>
      <c r="U12" s="83" t="n"/>
      <c r="V12" s="33" t="n"/>
      <c r="W12" s="83" t="n"/>
      <c r="X12" s="83" t="n"/>
      <c r="Y12" s="83" t="n"/>
      <c r="Z12" s="83" t="n"/>
      <c r="AA12" s="84">
        <f>IF(OR($A12="",COUNT(W12,X12,Z12,Y12)&lt;1),"",W12+X12+Z12-Y12)</f>
        <v/>
      </c>
      <c r="AB12" s="83" t="n"/>
      <c r="AC12" s="83" t="n"/>
      <c r="AD12" s="83" t="n"/>
      <c r="AE12" s="83" t="n"/>
      <c r="AF12" s="83" t="n"/>
      <c r="AG12" s="83" t="n"/>
      <c r="AH12" s="84">
        <f>IF(OR($A12="",COUNT(AB12,AC12,AD12,AG12,AE12,AF12)&lt;1),"",AB12+AC12+AD12+AG12-AE12-AF12)</f>
        <v/>
      </c>
      <c r="AI12" s="84">
        <f>IF(OR($A12="",COUNT(AA12,AH12)&lt;2),"",AA12-AH12)</f>
        <v/>
      </c>
      <c r="AJ12" s="84">
        <f>IF(OR($A12="",COUNT(W12,AB12)&lt;2),"",W12-AB12)</f>
        <v/>
      </c>
      <c r="AK12" s="83" t="n"/>
      <c r="AL12" s="33" t="n"/>
      <c r="AM12" s="33" t="n"/>
      <c r="AN12" s="83" t="n"/>
      <c r="AO12" s="33" t="n"/>
      <c r="AP12" s="33" t="n"/>
      <c r="AQ12" s="33" t="n"/>
    </row>
    <row r="13">
      <c r="A13" s="33" t="n"/>
      <c r="B13" s="33" t="n"/>
      <c r="C13" s="33" t="n"/>
      <c r="D13" s="33" t="n"/>
      <c r="E13" s="33" t="n"/>
      <c r="F13" s="33" t="n"/>
      <c r="G13" s="33" t="n"/>
      <c r="H13" s="33" t="n"/>
      <c r="I13" s="33" t="n"/>
      <c r="J13" s="33" t="n"/>
      <c r="K13" s="34" t="n"/>
      <c r="L13" s="34" t="n"/>
      <c r="M13" s="34" t="n"/>
      <c r="N13" s="82" t="n"/>
      <c r="O13" s="82" t="n"/>
      <c r="P13" s="33" t="n"/>
      <c r="Q13" s="34" t="n"/>
      <c r="R13" s="83" t="n"/>
      <c r="S13" s="34" t="n"/>
      <c r="T13" s="33" t="n"/>
      <c r="U13" s="83" t="n"/>
      <c r="V13" s="33" t="n"/>
      <c r="W13" s="83" t="n"/>
      <c r="X13" s="83" t="n"/>
      <c r="Y13" s="83" t="n"/>
      <c r="Z13" s="83" t="n"/>
      <c r="AA13" s="84">
        <f>IF(OR($A13="",COUNT(W13,X13,Z13,Y13)&lt;1),"",W13+X13+Z13-Y13)</f>
        <v/>
      </c>
      <c r="AB13" s="83" t="n"/>
      <c r="AC13" s="83" t="n"/>
      <c r="AD13" s="83" t="n"/>
      <c r="AE13" s="83" t="n"/>
      <c r="AF13" s="83" t="n"/>
      <c r="AG13" s="83" t="n"/>
      <c r="AH13" s="84">
        <f>IF(OR($A13="",COUNT(AB13,AC13,AD13,AG13,AE13,AF13)&lt;1),"",AB13+AC13+AD13+AG13-AE13-AF13)</f>
        <v/>
      </c>
      <c r="AI13" s="84">
        <f>IF(OR($A13="",COUNT(AA13,AH13)&lt;2),"",AA13-AH13)</f>
        <v/>
      </c>
      <c r="AJ13" s="84">
        <f>IF(OR($A13="",COUNT(W13,AB13)&lt;2),"",W13-AB13)</f>
        <v/>
      </c>
      <c r="AK13" s="83" t="n"/>
      <c r="AL13" s="33" t="n"/>
      <c r="AM13" s="33" t="n"/>
      <c r="AN13" s="83" t="n"/>
      <c r="AO13" s="33" t="n"/>
      <c r="AP13" s="33" t="n"/>
      <c r="AQ13" s="33" t="n"/>
    </row>
    <row r="14">
      <c r="A14" s="33" t="n"/>
      <c r="B14" s="33" t="n"/>
      <c r="C14" s="33" t="n"/>
      <c r="D14" s="33" t="n"/>
      <c r="E14" s="33" t="n"/>
      <c r="F14" s="33" t="n"/>
      <c r="G14" s="33" t="n"/>
      <c r="H14" s="33" t="n"/>
      <c r="I14" s="33" t="n"/>
      <c r="J14" s="33" t="n"/>
      <c r="K14" s="34" t="n"/>
      <c r="L14" s="34" t="n"/>
      <c r="M14" s="34" t="n"/>
      <c r="N14" s="82" t="n"/>
      <c r="O14" s="82" t="n"/>
      <c r="P14" s="33" t="n"/>
      <c r="Q14" s="34" t="n"/>
      <c r="R14" s="83" t="n"/>
      <c r="S14" s="34" t="n"/>
      <c r="T14" s="33" t="n"/>
      <c r="U14" s="83" t="n"/>
      <c r="V14" s="33" t="n"/>
      <c r="W14" s="83" t="n"/>
      <c r="X14" s="83" t="n"/>
      <c r="Y14" s="83" t="n"/>
      <c r="Z14" s="83" t="n"/>
      <c r="AA14" s="84">
        <f>IF(OR($A14="",COUNT(W14,X14,Z14,Y14)&lt;1),"",W14+X14+Z14-Y14)</f>
        <v/>
      </c>
      <c r="AB14" s="83" t="n"/>
      <c r="AC14" s="83" t="n"/>
      <c r="AD14" s="83" t="n"/>
      <c r="AE14" s="83" t="n"/>
      <c r="AF14" s="83" t="n"/>
      <c r="AG14" s="83" t="n"/>
      <c r="AH14" s="84">
        <f>IF(OR($A14="",COUNT(AB14,AC14,AD14,AG14,AE14,AF14)&lt;1),"",AB14+AC14+AD14+AG14-AE14-AF14)</f>
        <v/>
      </c>
      <c r="AI14" s="84">
        <f>IF(OR($A14="",COUNT(AA14,AH14)&lt;2),"",AA14-AH14)</f>
        <v/>
      </c>
      <c r="AJ14" s="84">
        <f>IF(OR($A14="",COUNT(W14,AB14)&lt;2),"",W14-AB14)</f>
        <v/>
      </c>
      <c r="AK14" s="83" t="n"/>
      <c r="AL14" s="33" t="n"/>
      <c r="AM14" s="33" t="n"/>
      <c r="AN14" s="83" t="n"/>
      <c r="AO14" s="33" t="n"/>
      <c r="AP14" s="33" t="n"/>
      <c r="AQ14" s="33" t="n"/>
    </row>
    <row r="15">
      <c r="A15" s="33" t="n"/>
      <c r="B15" s="33" t="n"/>
      <c r="C15" s="33" t="n"/>
      <c r="D15" s="33" t="n"/>
      <c r="E15" s="33" t="n"/>
      <c r="F15" s="33" t="n"/>
      <c r="G15" s="33" t="n"/>
      <c r="H15" s="33" t="n"/>
      <c r="I15" s="33" t="n"/>
      <c r="J15" s="33" t="n"/>
      <c r="K15" s="34" t="n"/>
      <c r="L15" s="34" t="n"/>
      <c r="M15" s="34" t="n"/>
      <c r="N15" s="82" t="n"/>
      <c r="O15" s="82" t="n"/>
      <c r="P15" s="33" t="n"/>
      <c r="Q15" s="34" t="n"/>
      <c r="R15" s="83" t="n"/>
      <c r="S15" s="34" t="n"/>
      <c r="T15" s="33" t="n"/>
      <c r="U15" s="83" t="n"/>
      <c r="V15" s="33" t="n"/>
      <c r="W15" s="83" t="n"/>
      <c r="X15" s="83" t="n"/>
      <c r="Y15" s="83" t="n"/>
      <c r="Z15" s="83" t="n"/>
      <c r="AA15" s="84">
        <f>IF(OR($A15="",COUNT(W15,X15,Z15,Y15)&lt;1),"",W15+X15+Z15-Y15)</f>
        <v/>
      </c>
      <c r="AB15" s="83" t="n"/>
      <c r="AC15" s="83" t="n"/>
      <c r="AD15" s="83" t="n"/>
      <c r="AE15" s="83" t="n"/>
      <c r="AF15" s="83" t="n"/>
      <c r="AG15" s="83" t="n"/>
      <c r="AH15" s="84">
        <f>IF(OR($A15="",COUNT(AB15,AC15,AD15,AG15,AE15,AF15)&lt;1),"",AB15+AC15+AD15+AG15-AE15-AF15)</f>
        <v/>
      </c>
      <c r="AI15" s="84">
        <f>IF(OR($A15="",COUNT(AA15,AH15)&lt;2),"",AA15-AH15)</f>
        <v/>
      </c>
      <c r="AJ15" s="84">
        <f>IF(OR($A15="",COUNT(W15,AB15)&lt;2),"",W15-AB15)</f>
        <v/>
      </c>
      <c r="AK15" s="83" t="n"/>
      <c r="AL15" s="33" t="n"/>
      <c r="AM15" s="33" t="n"/>
      <c r="AN15" s="83" t="n"/>
      <c r="AO15" s="33" t="n"/>
      <c r="AP15" s="33" t="n"/>
      <c r="AQ15" s="33" t="n"/>
    </row>
    <row r="16">
      <c r="A16" s="33" t="n"/>
      <c r="B16" s="33" t="n"/>
      <c r="C16" s="33" t="n"/>
      <c r="D16" s="33" t="n"/>
      <c r="E16" s="33" t="n"/>
      <c r="F16" s="33" t="n"/>
      <c r="G16" s="33" t="n"/>
      <c r="H16" s="33" t="n"/>
      <c r="I16" s="33" t="n"/>
      <c r="J16" s="33" t="n"/>
      <c r="K16" s="34" t="n"/>
      <c r="L16" s="34" t="n"/>
      <c r="M16" s="34" t="n"/>
      <c r="N16" s="82" t="n"/>
      <c r="O16" s="82" t="n"/>
      <c r="P16" s="33" t="n"/>
      <c r="Q16" s="34" t="n"/>
      <c r="R16" s="83" t="n"/>
      <c r="S16" s="34" t="n"/>
      <c r="T16" s="33" t="n"/>
      <c r="U16" s="83" t="n"/>
      <c r="V16" s="33" t="n"/>
      <c r="W16" s="83" t="n"/>
      <c r="X16" s="83" t="n"/>
      <c r="Y16" s="83" t="n"/>
      <c r="Z16" s="83" t="n"/>
      <c r="AA16" s="84">
        <f>IF(OR($A16="",COUNT(W16,X16,Z16,Y16)&lt;1),"",W16+X16+Z16-Y16)</f>
        <v/>
      </c>
      <c r="AB16" s="83" t="n"/>
      <c r="AC16" s="83" t="n"/>
      <c r="AD16" s="83" t="n"/>
      <c r="AE16" s="83" t="n"/>
      <c r="AF16" s="83" t="n"/>
      <c r="AG16" s="83" t="n"/>
      <c r="AH16" s="84">
        <f>IF(OR($A16="",COUNT(AB16,AC16,AD16,AG16,AE16,AF16)&lt;1),"",AB16+AC16+AD16+AG16-AE16-AF16)</f>
        <v/>
      </c>
      <c r="AI16" s="84">
        <f>IF(OR($A16="",COUNT(AA16,AH16)&lt;2),"",AA16-AH16)</f>
        <v/>
      </c>
      <c r="AJ16" s="84">
        <f>IF(OR($A16="",COUNT(W16,AB16)&lt;2),"",W16-AB16)</f>
        <v/>
      </c>
      <c r="AK16" s="83" t="n"/>
      <c r="AL16" s="33" t="n"/>
      <c r="AM16" s="33" t="n"/>
      <c r="AN16" s="83" t="n"/>
      <c r="AO16" s="33" t="n"/>
      <c r="AP16" s="33" t="n"/>
      <c r="AQ16" s="33" t="n"/>
    </row>
    <row r="17">
      <c r="A17" s="33" t="n"/>
      <c r="B17" s="33" t="n"/>
      <c r="C17" s="33" t="n"/>
      <c r="D17" s="33" t="n"/>
      <c r="E17" s="33" t="n"/>
      <c r="F17" s="33" t="n"/>
      <c r="G17" s="33" t="n"/>
      <c r="H17" s="33" t="n"/>
      <c r="I17" s="33" t="n"/>
      <c r="J17" s="33" t="n"/>
      <c r="K17" s="34" t="n"/>
      <c r="L17" s="34" t="n"/>
      <c r="M17" s="34" t="n"/>
      <c r="N17" s="82" t="n"/>
      <c r="O17" s="82" t="n"/>
      <c r="P17" s="33" t="n"/>
      <c r="Q17" s="34" t="n"/>
      <c r="R17" s="83" t="n"/>
      <c r="S17" s="34" t="n"/>
      <c r="T17" s="33" t="n"/>
      <c r="U17" s="83" t="n"/>
      <c r="V17" s="33" t="n"/>
      <c r="W17" s="83" t="n"/>
      <c r="X17" s="83" t="n"/>
      <c r="Y17" s="83" t="n"/>
      <c r="Z17" s="83" t="n"/>
      <c r="AA17" s="84">
        <f>IF(OR($A17="",COUNT(W17,X17,Z17,Y17)&lt;1),"",W17+X17+Z17-Y17)</f>
        <v/>
      </c>
      <c r="AB17" s="83" t="n"/>
      <c r="AC17" s="83" t="n"/>
      <c r="AD17" s="83" t="n"/>
      <c r="AE17" s="83" t="n"/>
      <c r="AF17" s="83" t="n"/>
      <c r="AG17" s="83" t="n"/>
      <c r="AH17" s="84">
        <f>IF(OR($A17="",COUNT(AB17,AC17,AD17,AG17,AE17,AF17)&lt;1),"",AB17+AC17+AD17+AG17-AE17-AF17)</f>
        <v/>
      </c>
      <c r="AI17" s="84">
        <f>IF(OR($A17="",COUNT(AA17,AH17)&lt;2),"",AA17-AH17)</f>
        <v/>
      </c>
      <c r="AJ17" s="84">
        <f>IF(OR($A17="",COUNT(W17,AB17)&lt;2),"",W17-AB17)</f>
        <v/>
      </c>
      <c r="AK17" s="83" t="n"/>
      <c r="AL17" s="33" t="n"/>
      <c r="AM17" s="33" t="n"/>
      <c r="AN17" s="83" t="n"/>
      <c r="AO17" s="33" t="n"/>
      <c r="AP17" s="33" t="n"/>
      <c r="AQ17" s="33" t="n"/>
    </row>
    <row r="18">
      <c r="A18" s="33" t="n"/>
      <c r="B18" s="33" t="n"/>
      <c r="C18" s="33" t="n"/>
      <c r="D18" s="33" t="n"/>
      <c r="E18" s="33" t="n"/>
      <c r="F18" s="33" t="n"/>
      <c r="G18" s="33" t="n"/>
      <c r="H18" s="33" t="n"/>
      <c r="I18" s="33" t="n"/>
      <c r="J18" s="33" t="n"/>
      <c r="K18" s="34" t="n"/>
      <c r="L18" s="34" t="n"/>
      <c r="M18" s="34" t="n"/>
      <c r="N18" s="82" t="n"/>
      <c r="O18" s="82" t="n"/>
      <c r="P18" s="33" t="n"/>
      <c r="Q18" s="34" t="n"/>
      <c r="R18" s="83" t="n"/>
      <c r="S18" s="34" t="n"/>
      <c r="T18" s="33" t="n"/>
      <c r="U18" s="83" t="n"/>
      <c r="V18" s="33" t="n"/>
      <c r="W18" s="83" t="n"/>
      <c r="X18" s="83" t="n"/>
      <c r="Y18" s="83" t="n"/>
      <c r="Z18" s="83" t="n"/>
      <c r="AA18" s="84">
        <f>IF(OR($A18="",COUNT(W18,X18,Z18,Y18)&lt;1),"",W18+X18+Z18-Y18)</f>
        <v/>
      </c>
      <c r="AB18" s="83" t="n"/>
      <c r="AC18" s="83" t="n"/>
      <c r="AD18" s="83" t="n"/>
      <c r="AE18" s="83" t="n"/>
      <c r="AF18" s="83" t="n"/>
      <c r="AG18" s="83" t="n"/>
      <c r="AH18" s="84">
        <f>IF(OR($A18="",COUNT(AB18,AC18,AD18,AG18,AE18,AF18)&lt;1),"",AB18+AC18+AD18+AG18-AE18-AF18)</f>
        <v/>
      </c>
      <c r="AI18" s="84">
        <f>IF(OR($A18="",COUNT(AA18,AH18)&lt;2),"",AA18-AH18)</f>
        <v/>
      </c>
      <c r="AJ18" s="84">
        <f>IF(OR($A18="",COUNT(W18,AB18)&lt;2),"",W18-AB18)</f>
        <v/>
      </c>
      <c r="AK18" s="83" t="n"/>
      <c r="AL18" s="33" t="n"/>
      <c r="AM18" s="33" t="n"/>
      <c r="AN18" s="83" t="n"/>
      <c r="AO18" s="33" t="n"/>
      <c r="AP18" s="33" t="n"/>
      <c r="AQ18" s="33" t="n"/>
    </row>
    <row r="19">
      <c r="A19" s="33" t="n"/>
      <c r="B19" s="33" t="n"/>
      <c r="C19" s="33" t="n"/>
      <c r="D19" s="33" t="n"/>
      <c r="E19" s="33" t="n"/>
      <c r="F19" s="33" t="n"/>
      <c r="G19" s="33" t="n"/>
      <c r="H19" s="33" t="n"/>
      <c r="I19" s="33" t="n"/>
      <c r="J19" s="33" t="n"/>
      <c r="K19" s="34" t="n"/>
      <c r="L19" s="34" t="n"/>
      <c r="M19" s="34" t="n"/>
      <c r="N19" s="82" t="n"/>
      <c r="O19" s="82" t="n"/>
      <c r="P19" s="33" t="n"/>
      <c r="Q19" s="34" t="n"/>
      <c r="R19" s="83" t="n"/>
      <c r="S19" s="34" t="n"/>
      <c r="T19" s="33" t="n"/>
      <c r="U19" s="83" t="n"/>
      <c r="V19" s="33" t="n"/>
      <c r="W19" s="83" t="n"/>
      <c r="X19" s="83" t="n"/>
      <c r="Y19" s="83" t="n"/>
      <c r="Z19" s="83" t="n"/>
      <c r="AA19" s="84">
        <f>IF(OR($A19="",COUNT(W19,X19,Z19,Y19)&lt;1),"",W19+X19+Z19-Y19)</f>
        <v/>
      </c>
      <c r="AB19" s="83" t="n"/>
      <c r="AC19" s="83" t="n"/>
      <c r="AD19" s="83" t="n"/>
      <c r="AE19" s="83" t="n"/>
      <c r="AF19" s="83" t="n"/>
      <c r="AG19" s="83" t="n"/>
      <c r="AH19" s="84">
        <f>IF(OR($A19="",COUNT(AB19,AC19,AD19,AG19,AE19,AF19)&lt;1),"",AB19+AC19+AD19+AG19-AE19-AF19)</f>
        <v/>
      </c>
      <c r="AI19" s="84">
        <f>IF(OR($A19="",COUNT(AA19,AH19)&lt;2),"",AA19-AH19)</f>
        <v/>
      </c>
      <c r="AJ19" s="84">
        <f>IF(OR($A19="",COUNT(W19,AB19)&lt;2),"",W19-AB19)</f>
        <v/>
      </c>
      <c r="AK19" s="83" t="n"/>
      <c r="AL19" s="33" t="n"/>
      <c r="AM19" s="33" t="n"/>
      <c r="AN19" s="83" t="n"/>
      <c r="AO19" s="33" t="n"/>
      <c r="AP19" s="33" t="n"/>
      <c r="AQ19" s="33" t="n"/>
    </row>
    <row r="20">
      <c r="A20" s="33" t="n"/>
      <c r="B20" s="33" t="n"/>
      <c r="C20" s="33" t="n"/>
      <c r="D20" s="33" t="n"/>
      <c r="E20" s="33" t="n"/>
      <c r="F20" s="33" t="n"/>
      <c r="G20" s="33" t="n"/>
      <c r="H20" s="33" t="n"/>
      <c r="I20" s="33" t="n"/>
      <c r="J20" s="33" t="n"/>
      <c r="K20" s="34" t="n"/>
      <c r="L20" s="34" t="n"/>
      <c r="M20" s="34" t="n"/>
      <c r="N20" s="82" t="n"/>
      <c r="O20" s="82" t="n"/>
      <c r="P20" s="33" t="n"/>
      <c r="Q20" s="34" t="n"/>
      <c r="R20" s="83" t="n"/>
      <c r="S20" s="34" t="n"/>
      <c r="T20" s="33" t="n"/>
      <c r="U20" s="83" t="n"/>
      <c r="V20" s="33" t="n"/>
      <c r="W20" s="83" t="n"/>
      <c r="X20" s="83" t="n"/>
      <c r="Y20" s="83" t="n"/>
      <c r="Z20" s="83" t="n"/>
      <c r="AA20" s="84">
        <f>IF(OR($A20="",COUNT(W20,X20,Z20,Y20)&lt;1),"",W20+X20+Z20-Y20)</f>
        <v/>
      </c>
      <c r="AB20" s="83" t="n"/>
      <c r="AC20" s="83" t="n"/>
      <c r="AD20" s="83" t="n"/>
      <c r="AE20" s="83" t="n"/>
      <c r="AF20" s="83" t="n"/>
      <c r="AG20" s="83" t="n"/>
      <c r="AH20" s="84">
        <f>IF(OR($A20="",COUNT(AB20,AC20,AD20,AG20,AE20,AF20)&lt;1),"",AB20+AC20+AD20+AG20-AE20-AF20)</f>
        <v/>
      </c>
      <c r="AI20" s="84">
        <f>IF(OR($A20="",COUNT(AA20,AH20)&lt;2),"",AA20-AH20)</f>
        <v/>
      </c>
      <c r="AJ20" s="84">
        <f>IF(OR($A20="",COUNT(W20,AB20)&lt;2),"",W20-AB20)</f>
        <v/>
      </c>
      <c r="AK20" s="83" t="n"/>
      <c r="AL20" s="33" t="n"/>
      <c r="AM20" s="33" t="n"/>
      <c r="AN20" s="83" t="n"/>
      <c r="AO20" s="33" t="n"/>
      <c r="AP20" s="33" t="n"/>
      <c r="AQ20" s="33" t="n"/>
    </row>
    <row r="21">
      <c r="A21" s="33" t="n"/>
      <c r="B21" s="33" t="n"/>
      <c r="C21" s="33" t="n"/>
      <c r="D21" s="33" t="n"/>
      <c r="E21" s="33" t="n"/>
      <c r="F21" s="33" t="n"/>
      <c r="G21" s="33" t="n"/>
      <c r="H21" s="33" t="n"/>
      <c r="I21" s="33" t="n"/>
      <c r="J21" s="33" t="n"/>
      <c r="K21" s="34" t="n"/>
      <c r="L21" s="34" t="n"/>
      <c r="M21" s="34" t="n"/>
      <c r="N21" s="82" t="n"/>
      <c r="O21" s="82" t="n"/>
      <c r="P21" s="33" t="n"/>
      <c r="Q21" s="34" t="n"/>
      <c r="R21" s="83" t="n"/>
      <c r="S21" s="34" t="n"/>
      <c r="T21" s="33" t="n"/>
      <c r="U21" s="83" t="n"/>
      <c r="V21" s="33" t="n"/>
      <c r="W21" s="83" t="n"/>
      <c r="X21" s="83" t="n"/>
      <c r="Y21" s="83" t="n"/>
      <c r="Z21" s="83" t="n"/>
      <c r="AA21" s="84">
        <f>IF(OR($A21="",COUNT(W21,X21,Z21,Y21)&lt;1),"",W21+X21+Z21-Y21)</f>
        <v/>
      </c>
      <c r="AB21" s="83" t="n"/>
      <c r="AC21" s="83" t="n"/>
      <c r="AD21" s="83" t="n"/>
      <c r="AE21" s="83" t="n"/>
      <c r="AF21" s="83" t="n"/>
      <c r="AG21" s="83" t="n"/>
      <c r="AH21" s="84">
        <f>IF(OR($A21="",COUNT(AB21,AC21,AD21,AG21,AE21,AF21)&lt;1),"",AB21+AC21+AD21+AG21-AE21-AF21)</f>
        <v/>
      </c>
      <c r="AI21" s="84">
        <f>IF(OR($A21="",COUNT(AA21,AH21)&lt;2),"",AA21-AH21)</f>
        <v/>
      </c>
      <c r="AJ21" s="84">
        <f>IF(OR($A21="",COUNT(W21,AB21)&lt;2),"",W21-AB21)</f>
        <v/>
      </c>
      <c r="AK21" s="83" t="n"/>
      <c r="AL21" s="33" t="n"/>
      <c r="AM21" s="33" t="n"/>
      <c r="AN21" s="83" t="n"/>
      <c r="AO21" s="33" t="n"/>
      <c r="AP21" s="33" t="n"/>
      <c r="AQ21" s="33" t="n"/>
    </row>
    <row r="22">
      <c r="A22" s="33" t="n"/>
      <c r="B22" s="33" t="n"/>
      <c r="C22" s="33" t="n"/>
      <c r="D22" s="33" t="n"/>
      <c r="E22" s="33" t="n"/>
      <c r="F22" s="33" t="n"/>
      <c r="G22" s="33" t="n"/>
      <c r="H22" s="33" t="n"/>
      <c r="I22" s="33" t="n"/>
      <c r="J22" s="33" t="n"/>
      <c r="K22" s="34" t="n"/>
      <c r="L22" s="34" t="n"/>
      <c r="M22" s="34" t="n"/>
      <c r="N22" s="82" t="n"/>
      <c r="O22" s="82" t="n"/>
      <c r="P22" s="33" t="n"/>
      <c r="Q22" s="34" t="n"/>
      <c r="R22" s="83" t="n"/>
      <c r="S22" s="34" t="n"/>
      <c r="T22" s="33" t="n"/>
      <c r="U22" s="83" t="n"/>
      <c r="V22" s="33" t="n"/>
      <c r="W22" s="83" t="n"/>
      <c r="X22" s="83" t="n"/>
      <c r="Y22" s="83" t="n"/>
      <c r="Z22" s="83" t="n"/>
      <c r="AA22" s="84">
        <f>IF(OR($A22="",COUNT(W22,X22,Z22,Y22)&lt;1),"",W22+X22+Z22-Y22)</f>
        <v/>
      </c>
      <c r="AB22" s="83" t="n"/>
      <c r="AC22" s="83" t="n"/>
      <c r="AD22" s="83" t="n"/>
      <c r="AE22" s="83" t="n"/>
      <c r="AF22" s="83" t="n"/>
      <c r="AG22" s="83" t="n"/>
      <c r="AH22" s="84">
        <f>IF(OR($A22="",COUNT(AB22,AC22,AD22,AG22,AE22,AF22)&lt;1),"",AB22+AC22+AD22+AG22-AE22-AF22)</f>
        <v/>
      </c>
      <c r="AI22" s="84">
        <f>IF(OR($A22="",COUNT(AA22,AH22)&lt;2),"",AA22-AH22)</f>
        <v/>
      </c>
      <c r="AJ22" s="84">
        <f>IF(OR($A22="",COUNT(W22,AB22)&lt;2),"",W22-AB22)</f>
        <v/>
      </c>
      <c r="AK22" s="83" t="n"/>
      <c r="AL22" s="33" t="n"/>
      <c r="AM22" s="33" t="n"/>
      <c r="AN22" s="83" t="n"/>
      <c r="AO22" s="33" t="n"/>
      <c r="AP22" s="33" t="n"/>
      <c r="AQ22" s="33" t="n"/>
    </row>
    <row r="23">
      <c r="A23" s="33" t="n"/>
      <c r="B23" s="33" t="n"/>
      <c r="C23" s="33" t="n"/>
      <c r="D23" s="33" t="n"/>
      <c r="E23" s="33" t="n"/>
      <c r="F23" s="33" t="n"/>
      <c r="G23" s="33" t="n"/>
      <c r="H23" s="33" t="n"/>
      <c r="I23" s="33" t="n"/>
      <c r="J23" s="33" t="n"/>
      <c r="K23" s="34" t="n"/>
      <c r="L23" s="34" t="n"/>
      <c r="M23" s="34" t="n"/>
      <c r="N23" s="82" t="n"/>
      <c r="O23" s="82" t="n"/>
      <c r="P23" s="33" t="n"/>
      <c r="Q23" s="34" t="n"/>
      <c r="R23" s="83" t="n"/>
      <c r="S23" s="34" t="n"/>
      <c r="T23" s="33" t="n"/>
      <c r="U23" s="83" t="n"/>
      <c r="V23" s="33" t="n"/>
      <c r="W23" s="83" t="n"/>
      <c r="X23" s="83" t="n"/>
      <c r="Y23" s="83" t="n"/>
      <c r="Z23" s="83" t="n"/>
      <c r="AA23" s="84">
        <f>IF(OR($A23="",COUNT(W23,X23,Z23,Y23)&lt;1),"",W23+X23+Z23-Y23)</f>
        <v/>
      </c>
      <c r="AB23" s="83" t="n"/>
      <c r="AC23" s="83" t="n"/>
      <c r="AD23" s="83" t="n"/>
      <c r="AE23" s="83" t="n"/>
      <c r="AF23" s="83" t="n"/>
      <c r="AG23" s="83" t="n"/>
      <c r="AH23" s="84">
        <f>IF(OR($A23="",COUNT(AB23,AC23,AD23,AG23,AE23,AF23)&lt;1),"",AB23+AC23+AD23+AG23-AE23-AF23)</f>
        <v/>
      </c>
      <c r="AI23" s="84">
        <f>IF(OR($A23="",COUNT(AA23,AH23)&lt;2),"",AA23-AH23)</f>
        <v/>
      </c>
      <c r="AJ23" s="84">
        <f>IF(OR($A23="",COUNT(W23,AB23)&lt;2),"",W23-AB23)</f>
        <v/>
      </c>
      <c r="AK23" s="83" t="n"/>
      <c r="AL23" s="33" t="n"/>
      <c r="AM23" s="33" t="n"/>
      <c r="AN23" s="83" t="n"/>
      <c r="AO23" s="33" t="n"/>
      <c r="AP23" s="33" t="n"/>
      <c r="AQ23" s="33" t="n"/>
    </row>
    <row r="24">
      <c r="A24" s="33" t="n"/>
      <c r="B24" s="33" t="n"/>
      <c r="C24" s="33" t="n"/>
      <c r="D24" s="33" t="n"/>
      <c r="E24" s="33" t="n"/>
      <c r="F24" s="33" t="n"/>
      <c r="G24" s="33" t="n"/>
      <c r="H24" s="33" t="n"/>
      <c r="I24" s="33" t="n"/>
      <c r="J24" s="33" t="n"/>
      <c r="K24" s="34" t="n"/>
      <c r="L24" s="34" t="n"/>
      <c r="M24" s="34" t="n"/>
      <c r="N24" s="82" t="n"/>
      <c r="O24" s="82" t="n"/>
      <c r="P24" s="33" t="n"/>
      <c r="Q24" s="34" t="n"/>
      <c r="R24" s="83" t="n"/>
      <c r="S24" s="34" t="n"/>
      <c r="T24" s="33" t="n"/>
      <c r="U24" s="83" t="n"/>
      <c r="V24" s="33" t="n"/>
      <c r="W24" s="83" t="n"/>
      <c r="X24" s="83" t="n"/>
      <c r="Y24" s="83" t="n"/>
      <c r="Z24" s="83" t="n"/>
      <c r="AA24" s="84">
        <f>IF(OR($A24="",COUNT(W24,X24,Z24,Y24)&lt;1),"",W24+X24+Z24-Y24)</f>
        <v/>
      </c>
      <c r="AB24" s="83" t="n"/>
      <c r="AC24" s="83" t="n"/>
      <c r="AD24" s="83" t="n"/>
      <c r="AE24" s="83" t="n"/>
      <c r="AF24" s="83" t="n"/>
      <c r="AG24" s="83" t="n"/>
      <c r="AH24" s="84">
        <f>IF(OR($A24="",COUNT(AB24,AC24,AD24,AG24,AE24,AF24)&lt;1),"",AB24+AC24+AD24+AG24-AE24-AF24)</f>
        <v/>
      </c>
      <c r="AI24" s="84">
        <f>IF(OR($A24="",COUNT(AA24,AH24)&lt;2),"",AA24-AH24)</f>
        <v/>
      </c>
      <c r="AJ24" s="84">
        <f>IF(OR($A24="",COUNT(W24,AB24)&lt;2),"",W24-AB24)</f>
        <v/>
      </c>
      <c r="AK24" s="83" t="n"/>
      <c r="AL24" s="33" t="n"/>
      <c r="AM24" s="33" t="n"/>
      <c r="AN24" s="83" t="n"/>
      <c r="AO24" s="33" t="n"/>
      <c r="AP24" s="33" t="n"/>
      <c r="AQ24" s="33" t="n"/>
    </row>
    <row r="25">
      <c r="A25" s="33" t="n"/>
      <c r="B25" s="33" t="n"/>
      <c r="C25" s="33" t="n"/>
      <c r="D25" s="33" t="n"/>
      <c r="E25" s="33" t="n"/>
      <c r="F25" s="33" t="n"/>
      <c r="G25" s="33" t="n"/>
      <c r="H25" s="33" t="n"/>
      <c r="I25" s="33" t="n"/>
      <c r="J25" s="33" t="n"/>
      <c r="K25" s="34" t="n"/>
      <c r="L25" s="34" t="n"/>
      <c r="M25" s="34" t="n"/>
      <c r="N25" s="82" t="n"/>
      <c r="O25" s="82" t="n"/>
      <c r="P25" s="33" t="n"/>
      <c r="Q25" s="34" t="n"/>
      <c r="R25" s="83" t="n"/>
      <c r="S25" s="34" t="n"/>
      <c r="T25" s="33" t="n"/>
      <c r="U25" s="83" t="n"/>
      <c r="V25" s="33" t="n"/>
      <c r="W25" s="83" t="n"/>
      <c r="X25" s="83" t="n"/>
      <c r="Y25" s="83" t="n"/>
      <c r="Z25" s="83" t="n"/>
      <c r="AA25" s="84">
        <f>IF(OR($A25="",COUNT(W25,X25,Z25,Y25)&lt;1),"",W25+X25+Z25-Y25)</f>
        <v/>
      </c>
      <c r="AB25" s="83" t="n"/>
      <c r="AC25" s="83" t="n"/>
      <c r="AD25" s="83" t="n"/>
      <c r="AE25" s="83" t="n"/>
      <c r="AF25" s="83" t="n"/>
      <c r="AG25" s="83" t="n"/>
      <c r="AH25" s="84">
        <f>IF(OR($A25="",COUNT(AB25,AC25,AD25,AG25,AE25,AF25)&lt;1),"",AB25+AC25+AD25+AG25-AE25-AF25)</f>
        <v/>
      </c>
      <c r="AI25" s="84">
        <f>IF(OR($A25="",COUNT(AA25,AH25)&lt;2),"",AA25-AH25)</f>
        <v/>
      </c>
      <c r="AJ25" s="84">
        <f>IF(OR($A25="",COUNT(W25,AB25)&lt;2),"",W25-AB25)</f>
        <v/>
      </c>
      <c r="AK25" s="83" t="n"/>
      <c r="AL25" s="33" t="n"/>
      <c r="AM25" s="33" t="n"/>
      <c r="AN25" s="83" t="n"/>
      <c r="AO25" s="33" t="n"/>
      <c r="AP25" s="33" t="n"/>
      <c r="AQ25" s="33" t="n"/>
    </row>
    <row r="26">
      <c r="A26" s="33" t="n"/>
      <c r="B26" s="33" t="n"/>
      <c r="C26" s="33" t="n"/>
      <c r="D26" s="33" t="n"/>
      <c r="E26" s="33" t="n"/>
      <c r="F26" s="33" t="n"/>
      <c r="G26" s="33" t="n"/>
      <c r="H26" s="33" t="n"/>
      <c r="I26" s="33" t="n"/>
      <c r="J26" s="33" t="n"/>
      <c r="K26" s="34" t="n"/>
      <c r="L26" s="34" t="n"/>
      <c r="M26" s="34" t="n"/>
      <c r="N26" s="82" t="n"/>
      <c r="O26" s="82" t="n"/>
      <c r="P26" s="33" t="n"/>
      <c r="Q26" s="34" t="n"/>
      <c r="R26" s="83" t="n"/>
      <c r="S26" s="34" t="n"/>
      <c r="T26" s="33" t="n"/>
      <c r="U26" s="83" t="n"/>
      <c r="V26" s="33" t="n"/>
      <c r="W26" s="83" t="n"/>
      <c r="X26" s="83" t="n"/>
      <c r="Y26" s="83" t="n"/>
      <c r="Z26" s="83" t="n"/>
      <c r="AA26" s="84">
        <f>IF(OR($A26="",COUNT(W26,X26,Z26,Y26)&lt;1),"",W26+X26+Z26-Y26)</f>
        <v/>
      </c>
      <c r="AB26" s="83" t="n"/>
      <c r="AC26" s="83" t="n"/>
      <c r="AD26" s="83" t="n"/>
      <c r="AE26" s="83" t="n"/>
      <c r="AF26" s="83" t="n"/>
      <c r="AG26" s="83" t="n"/>
      <c r="AH26" s="84">
        <f>IF(OR($A26="",COUNT(AB26,AC26,AD26,AG26,AE26,AF26)&lt;1),"",AB26+AC26+AD26+AG26-AE26-AF26)</f>
        <v/>
      </c>
      <c r="AI26" s="84">
        <f>IF(OR($A26="",COUNT(AA26,AH26)&lt;2),"",AA26-AH26)</f>
        <v/>
      </c>
      <c r="AJ26" s="84">
        <f>IF(OR($A26="",COUNT(W26,AB26)&lt;2),"",W26-AB26)</f>
        <v/>
      </c>
      <c r="AK26" s="83" t="n"/>
      <c r="AL26" s="33" t="n"/>
      <c r="AM26" s="33" t="n"/>
      <c r="AN26" s="83" t="n"/>
      <c r="AO26" s="33" t="n"/>
      <c r="AP26" s="33" t="n"/>
      <c r="AQ26" s="33" t="n"/>
    </row>
    <row r="27">
      <c r="A27" s="33" t="n"/>
      <c r="B27" s="33" t="n"/>
      <c r="C27" s="33" t="n"/>
      <c r="D27" s="33" t="n"/>
      <c r="E27" s="33" t="n"/>
      <c r="F27" s="33" t="n"/>
      <c r="G27" s="33" t="n"/>
      <c r="H27" s="33" t="n"/>
      <c r="I27" s="33" t="n"/>
      <c r="J27" s="33" t="n"/>
      <c r="K27" s="34" t="n"/>
      <c r="L27" s="34" t="n"/>
      <c r="M27" s="34" t="n"/>
      <c r="N27" s="82" t="n"/>
      <c r="O27" s="82" t="n"/>
      <c r="P27" s="33" t="n"/>
      <c r="Q27" s="34" t="n"/>
      <c r="R27" s="83" t="n"/>
      <c r="S27" s="34" t="n"/>
      <c r="T27" s="33" t="n"/>
      <c r="U27" s="83" t="n"/>
      <c r="V27" s="33" t="n"/>
      <c r="W27" s="83" t="n"/>
      <c r="X27" s="83" t="n"/>
      <c r="Y27" s="83" t="n"/>
      <c r="Z27" s="83" t="n"/>
      <c r="AA27" s="84">
        <f>IF(OR($A27="",COUNT(W27,X27,Z27,Y27)&lt;1),"",W27+X27+Z27-Y27)</f>
        <v/>
      </c>
      <c r="AB27" s="83" t="n"/>
      <c r="AC27" s="83" t="n"/>
      <c r="AD27" s="83" t="n"/>
      <c r="AE27" s="83" t="n"/>
      <c r="AF27" s="83" t="n"/>
      <c r="AG27" s="83" t="n"/>
      <c r="AH27" s="84">
        <f>IF(OR($A27="",COUNT(AB27,AC27,AD27,AG27,AE27,AF27)&lt;1),"",AB27+AC27+AD27+AG27-AE27-AF27)</f>
        <v/>
      </c>
      <c r="AI27" s="84">
        <f>IF(OR($A27="",COUNT(AA27,AH27)&lt;2),"",AA27-AH27)</f>
        <v/>
      </c>
      <c r="AJ27" s="84">
        <f>IF(OR($A27="",COUNT(W27,AB27)&lt;2),"",W27-AB27)</f>
        <v/>
      </c>
      <c r="AK27" s="83" t="n"/>
      <c r="AL27" s="33" t="n"/>
      <c r="AM27" s="33" t="n"/>
      <c r="AN27" s="83" t="n"/>
      <c r="AO27" s="33" t="n"/>
      <c r="AP27" s="33" t="n"/>
      <c r="AQ27" s="33" t="n"/>
    </row>
    <row r="28">
      <c r="A28" s="33" t="n"/>
      <c r="B28" s="33" t="n"/>
      <c r="C28" s="33" t="n"/>
      <c r="D28" s="33" t="n"/>
      <c r="E28" s="33" t="n"/>
      <c r="F28" s="33" t="n"/>
      <c r="G28" s="33" t="n"/>
      <c r="H28" s="33" t="n"/>
      <c r="I28" s="33" t="n"/>
      <c r="J28" s="33" t="n"/>
      <c r="K28" s="34" t="n"/>
      <c r="L28" s="34" t="n"/>
      <c r="M28" s="34" t="n"/>
      <c r="N28" s="82" t="n"/>
      <c r="O28" s="82" t="n"/>
      <c r="P28" s="33" t="n"/>
      <c r="Q28" s="34" t="n"/>
      <c r="R28" s="83" t="n"/>
      <c r="S28" s="34" t="n"/>
      <c r="T28" s="33" t="n"/>
      <c r="U28" s="83" t="n"/>
      <c r="V28" s="33" t="n"/>
      <c r="W28" s="83" t="n"/>
      <c r="X28" s="83" t="n"/>
      <c r="Y28" s="83" t="n"/>
      <c r="Z28" s="83" t="n"/>
      <c r="AA28" s="84">
        <f>IF(OR($A28="",COUNT(W28,X28,Z28,Y28)&lt;1),"",W28+X28+Z28-Y28)</f>
        <v/>
      </c>
      <c r="AB28" s="83" t="n"/>
      <c r="AC28" s="83" t="n"/>
      <c r="AD28" s="83" t="n"/>
      <c r="AE28" s="83" t="n"/>
      <c r="AF28" s="83" t="n"/>
      <c r="AG28" s="83" t="n"/>
      <c r="AH28" s="84">
        <f>IF(OR($A28="",COUNT(AB28,AC28,AD28,AG28,AE28,AF28)&lt;1),"",AB28+AC28+AD28+AG28-AE28-AF28)</f>
        <v/>
      </c>
      <c r="AI28" s="84">
        <f>IF(OR($A28="",COUNT(AA28,AH28)&lt;2),"",AA28-AH28)</f>
        <v/>
      </c>
      <c r="AJ28" s="84">
        <f>IF(OR($A28="",COUNT(W28,AB28)&lt;2),"",W28-AB28)</f>
        <v/>
      </c>
      <c r="AK28" s="83" t="n"/>
      <c r="AL28" s="33" t="n"/>
      <c r="AM28" s="33" t="n"/>
      <c r="AN28" s="83" t="n"/>
      <c r="AO28" s="33" t="n"/>
      <c r="AP28" s="33" t="n"/>
      <c r="AQ28" s="33" t="n"/>
    </row>
    <row r="29">
      <c r="A29" s="33" t="n"/>
      <c r="B29" s="33" t="n"/>
      <c r="C29" s="33" t="n"/>
      <c r="D29" s="33" t="n"/>
      <c r="E29" s="33" t="n"/>
      <c r="F29" s="33" t="n"/>
      <c r="G29" s="33" t="n"/>
      <c r="H29" s="33" t="n"/>
      <c r="I29" s="33" t="n"/>
      <c r="J29" s="33" t="n"/>
      <c r="K29" s="34" t="n"/>
      <c r="L29" s="34" t="n"/>
      <c r="M29" s="34" t="n"/>
      <c r="N29" s="82" t="n"/>
      <c r="O29" s="82" t="n"/>
      <c r="P29" s="33" t="n"/>
      <c r="Q29" s="34" t="n"/>
      <c r="R29" s="83" t="n"/>
      <c r="S29" s="34" t="n"/>
      <c r="T29" s="33" t="n"/>
      <c r="U29" s="83" t="n"/>
      <c r="V29" s="33" t="n"/>
      <c r="W29" s="83" t="n"/>
      <c r="X29" s="83" t="n"/>
      <c r="Y29" s="83" t="n"/>
      <c r="Z29" s="83" t="n"/>
      <c r="AA29" s="84">
        <f>IF(OR($A29="",COUNT(W29,X29,Z29,Y29)&lt;1),"",W29+X29+Z29-Y29)</f>
        <v/>
      </c>
      <c r="AB29" s="83" t="n"/>
      <c r="AC29" s="83" t="n"/>
      <c r="AD29" s="83" t="n"/>
      <c r="AE29" s="83" t="n"/>
      <c r="AF29" s="83" t="n"/>
      <c r="AG29" s="83" t="n"/>
      <c r="AH29" s="84">
        <f>IF(OR($A29="",COUNT(AB29,AC29,AD29,AG29,AE29,AF29)&lt;1),"",AB29+AC29+AD29+AG29-AE29-AF29)</f>
        <v/>
      </c>
      <c r="AI29" s="84">
        <f>IF(OR($A29="",COUNT(AA29,AH29)&lt;2),"",AA29-AH29)</f>
        <v/>
      </c>
      <c r="AJ29" s="84">
        <f>IF(OR($A29="",COUNT(W29,AB29)&lt;2),"",W29-AB29)</f>
        <v/>
      </c>
      <c r="AK29" s="83" t="n"/>
      <c r="AL29" s="33" t="n"/>
      <c r="AM29" s="33" t="n"/>
      <c r="AN29" s="83" t="n"/>
      <c r="AO29" s="33" t="n"/>
      <c r="AP29" s="33" t="n"/>
      <c r="AQ29" s="33" t="n"/>
    </row>
    <row r="30">
      <c r="A30" s="33" t="n"/>
      <c r="B30" s="33" t="n"/>
      <c r="C30" s="33" t="n"/>
      <c r="D30" s="33" t="n"/>
      <c r="E30" s="33" t="n"/>
      <c r="F30" s="33" t="n"/>
      <c r="G30" s="33" t="n"/>
      <c r="H30" s="33" t="n"/>
      <c r="I30" s="33" t="n"/>
      <c r="J30" s="33" t="n"/>
      <c r="K30" s="34" t="n"/>
      <c r="L30" s="34" t="n"/>
      <c r="M30" s="34" t="n"/>
      <c r="N30" s="82" t="n"/>
      <c r="O30" s="82" t="n"/>
      <c r="P30" s="33" t="n"/>
      <c r="Q30" s="34" t="n"/>
      <c r="R30" s="83" t="n"/>
      <c r="S30" s="34" t="n"/>
      <c r="T30" s="33" t="n"/>
      <c r="U30" s="83" t="n"/>
      <c r="V30" s="33" t="n"/>
      <c r="W30" s="83" t="n"/>
      <c r="X30" s="83" t="n"/>
      <c r="Y30" s="83" t="n"/>
      <c r="Z30" s="83" t="n"/>
      <c r="AA30" s="84">
        <f>IF(OR($A30="",COUNT(W30,X30,Z30,Y30)&lt;1),"",W30+X30+Z30-Y30)</f>
        <v/>
      </c>
      <c r="AB30" s="83" t="n"/>
      <c r="AC30" s="83" t="n"/>
      <c r="AD30" s="83" t="n"/>
      <c r="AE30" s="83" t="n"/>
      <c r="AF30" s="83" t="n"/>
      <c r="AG30" s="83" t="n"/>
      <c r="AH30" s="84">
        <f>IF(OR($A30="",COUNT(AB30,AC30,AD30,AG30,AE30,AF30)&lt;1),"",AB30+AC30+AD30+AG30-AE30-AF30)</f>
        <v/>
      </c>
      <c r="AI30" s="84">
        <f>IF(OR($A30="",COUNT(AA30,AH30)&lt;2),"",AA30-AH30)</f>
        <v/>
      </c>
      <c r="AJ30" s="84">
        <f>IF(OR($A30="",COUNT(W30,AB30)&lt;2),"",W30-AB30)</f>
        <v/>
      </c>
      <c r="AK30" s="83" t="n"/>
      <c r="AL30" s="33" t="n"/>
      <c r="AM30" s="33" t="n"/>
      <c r="AN30" s="83" t="n"/>
      <c r="AO30" s="33" t="n"/>
      <c r="AP30" s="33" t="n"/>
      <c r="AQ30" s="33" t="n"/>
    </row>
    <row r="31">
      <c r="A31" s="33" t="n"/>
      <c r="B31" s="33" t="n"/>
      <c r="C31" s="33" t="n"/>
      <c r="D31" s="33" t="n"/>
      <c r="E31" s="33" t="n"/>
      <c r="F31" s="33" t="n"/>
      <c r="G31" s="33" t="n"/>
      <c r="H31" s="33" t="n"/>
      <c r="I31" s="33" t="n"/>
      <c r="J31" s="33" t="n"/>
      <c r="K31" s="34" t="n"/>
      <c r="L31" s="34" t="n"/>
      <c r="M31" s="34" t="n"/>
      <c r="N31" s="82" t="n"/>
      <c r="O31" s="82" t="n"/>
      <c r="P31" s="33" t="n"/>
      <c r="Q31" s="34" t="n"/>
      <c r="R31" s="83" t="n"/>
      <c r="S31" s="34" t="n"/>
      <c r="T31" s="33" t="n"/>
      <c r="U31" s="83" t="n"/>
      <c r="V31" s="33" t="n"/>
      <c r="W31" s="83" t="n"/>
      <c r="X31" s="83" t="n"/>
      <c r="Y31" s="83" t="n"/>
      <c r="Z31" s="83" t="n"/>
      <c r="AA31" s="84">
        <f>IF(OR($A31="",COUNT(W31,X31,Z31,Y31)&lt;1),"",W31+X31+Z31-Y31)</f>
        <v/>
      </c>
      <c r="AB31" s="83" t="n"/>
      <c r="AC31" s="83" t="n"/>
      <c r="AD31" s="83" t="n"/>
      <c r="AE31" s="83" t="n"/>
      <c r="AF31" s="83" t="n"/>
      <c r="AG31" s="83" t="n"/>
      <c r="AH31" s="84">
        <f>IF(OR($A31="",COUNT(AB31,AC31,AD31,AG31,AE31,AF31)&lt;1),"",AB31+AC31+AD31+AG31-AE31-AF31)</f>
        <v/>
      </c>
      <c r="AI31" s="84">
        <f>IF(OR($A31="",COUNT(AA31,AH31)&lt;2),"",AA31-AH31)</f>
        <v/>
      </c>
      <c r="AJ31" s="84">
        <f>IF(OR($A31="",COUNT(W31,AB31)&lt;2),"",W31-AB31)</f>
        <v/>
      </c>
      <c r="AK31" s="83" t="n"/>
      <c r="AL31" s="33" t="n"/>
      <c r="AM31" s="33" t="n"/>
      <c r="AN31" s="83" t="n"/>
      <c r="AO31" s="33" t="n"/>
      <c r="AP31" s="33" t="n"/>
      <c r="AQ31" s="33" t="n"/>
    </row>
    <row r="32">
      <c r="A32" s="33" t="n"/>
      <c r="B32" s="33" t="n"/>
      <c r="C32" s="33" t="n"/>
      <c r="D32" s="33" t="n"/>
      <c r="E32" s="33" t="n"/>
      <c r="F32" s="33" t="n"/>
      <c r="G32" s="33" t="n"/>
      <c r="H32" s="33" t="n"/>
      <c r="I32" s="33" t="n"/>
      <c r="J32" s="33" t="n"/>
      <c r="K32" s="34" t="n"/>
      <c r="L32" s="34" t="n"/>
      <c r="M32" s="34" t="n"/>
      <c r="N32" s="82" t="n"/>
      <c r="O32" s="82" t="n"/>
      <c r="P32" s="33" t="n"/>
      <c r="Q32" s="34" t="n"/>
      <c r="R32" s="83" t="n"/>
      <c r="S32" s="34" t="n"/>
      <c r="T32" s="33" t="n"/>
      <c r="U32" s="83" t="n"/>
      <c r="V32" s="33" t="n"/>
      <c r="W32" s="83" t="n"/>
      <c r="X32" s="83" t="n"/>
      <c r="Y32" s="83" t="n"/>
      <c r="Z32" s="83" t="n"/>
      <c r="AA32" s="84">
        <f>IF(OR($A32="",COUNT(W32,X32,Z32,Y32)&lt;1),"",W32+X32+Z32-Y32)</f>
        <v/>
      </c>
      <c r="AB32" s="83" t="n"/>
      <c r="AC32" s="83" t="n"/>
      <c r="AD32" s="83" t="n"/>
      <c r="AE32" s="83" t="n"/>
      <c r="AF32" s="83" t="n"/>
      <c r="AG32" s="83" t="n"/>
      <c r="AH32" s="84">
        <f>IF(OR($A32="",COUNT(AB32,AC32,AD32,AG32,AE32,AF32)&lt;1),"",AB32+AC32+AD32+AG32-AE32-AF32)</f>
        <v/>
      </c>
      <c r="AI32" s="84">
        <f>IF(OR($A32="",COUNT(AA32,AH32)&lt;2),"",AA32-AH32)</f>
        <v/>
      </c>
      <c r="AJ32" s="84">
        <f>IF(OR($A32="",COUNT(W32,AB32)&lt;2),"",W32-AB32)</f>
        <v/>
      </c>
      <c r="AK32" s="83" t="n"/>
      <c r="AL32" s="33" t="n"/>
      <c r="AM32" s="33" t="n"/>
      <c r="AN32" s="83" t="n"/>
      <c r="AO32" s="33" t="n"/>
      <c r="AP32" s="33" t="n"/>
      <c r="AQ32" s="33" t="n"/>
    </row>
    <row r="33">
      <c r="A33" s="33" t="n"/>
      <c r="B33" s="33" t="n"/>
      <c r="C33" s="33" t="n"/>
      <c r="D33" s="33" t="n"/>
      <c r="E33" s="33" t="n"/>
      <c r="F33" s="33" t="n"/>
      <c r="G33" s="33" t="n"/>
      <c r="H33" s="33" t="n"/>
      <c r="I33" s="33" t="n"/>
      <c r="J33" s="33" t="n"/>
      <c r="K33" s="34" t="n"/>
      <c r="L33" s="34" t="n"/>
      <c r="M33" s="34" t="n"/>
      <c r="N33" s="82" t="n"/>
      <c r="O33" s="82" t="n"/>
      <c r="P33" s="33" t="n"/>
      <c r="Q33" s="34" t="n"/>
      <c r="R33" s="83" t="n"/>
      <c r="S33" s="34" t="n"/>
      <c r="T33" s="33" t="n"/>
      <c r="U33" s="83" t="n"/>
      <c r="V33" s="33" t="n"/>
      <c r="W33" s="83" t="n"/>
      <c r="X33" s="83" t="n"/>
      <c r="Y33" s="83" t="n"/>
      <c r="Z33" s="83" t="n"/>
      <c r="AA33" s="84">
        <f>IF(OR($A33="",COUNT(W33,X33,Z33,Y33)&lt;1),"",W33+X33+Z33-Y33)</f>
        <v/>
      </c>
      <c r="AB33" s="83" t="n"/>
      <c r="AC33" s="83" t="n"/>
      <c r="AD33" s="83" t="n"/>
      <c r="AE33" s="83" t="n"/>
      <c r="AF33" s="83" t="n"/>
      <c r="AG33" s="83" t="n"/>
      <c r="AH33" s="84">
        <f>IF(OR($A33="",COUNT(AB33,AC33,AD33,AG33,AE33,AF33)&lt;1),"",AB33+AC33+AD33+AG33-AE33-AF33)</f>
        <v/>
      </c>
      <c r="AI33" s="84">
        <f>IF(OR($A33="",COUNT(AA33,AH33)&lt;2),"",AA33-AH33)</f>
        <v/>
      </c>
      <c r="AJ33" s="84">
        <f>IF(OR($A33="",COUNT(W33,AB33)&lt;2),"",W33-AB33)</f>
        <v/>
      </c>
      <c r="AK33" s="83" t="n"/>
      <c r="AL33" s="33" t="n"/>
      <c r="AM33" s="33" t="n"/>
      <c r="AN33" s="83" t="n"/>
      <c r="AO33" s="33" t="n"/>
      <c r="AP33" s="33" t="n"/>
      <c r="AQ33" s="33" t="n"/>
    </row>
    <row r="34">
      <c r="A34" s="33" t="n"/>
      <c r="B34" s="33" t="n"/>
      <c r="C34" s="33" t="n"/>
      <c r="D34" s="33" t="n"/>
      <c r="E34" s="33" t="n"/>
      <c r="F34" s="33" t="n"/>
      <c r="G34" s="33" t="n"/>
      <c r="H34" s="33" t="n"/>
      <c r="I34" s="33" t="n"/>
      <c r="J34" s="33" t="n"/>
      <c r="K34" s="34" t="n"/>
      <c r="L34" s="34" t="n"/>
      <c r="M34" s="34" t="n"/>
      <c r="N34" s="82" t="n"/>
      <c r="O34" s="82" t="n"/>
      <c r="P34" s="33" t="n"/>
      <c r="Q34" s="34" t="n"/>
      <c r="R34" s="83" t="n"/>
      <c r="S34" s="34" t="n"/>
      <c r="T34" s="33" t="n"/>
      <c r="U34" s="83" t="n"/>
      <c r="V34" s="33" t="n"/>
      <c r="W34" s="83" t="n"/>
      <c r="X34" s="83" t="n"/>
      <c r="Y34" s="83" t="n"/>
      <c r="Z34" s="83" t="n"/>
      <c r="AA34" s="84">
        <f>IF(OR($A34="",COUNT(W34,X34,Z34,Y34)&lt;1),"",W34+X34+Z34-Y34)</f>
        <v/>
      </c>
      <c r="AB34" s="83" t="n"/>
      <c r="AC34" s="83" t="n"/>
      <c r="AD34" s="83" t="n"/>
      <c r="AE34" s="83" t="n"/>
      <c r="AF34" s="83" t="n"/>
      <c r="AG34" s="83" t="n"/>
      <c r="AH34" s="84">
        <f>IF(OR($A34="",COUNT(AB34,AC34,AD34,AG34,AE34,AF34)&lt;1),"",AB34+AC34+AD34+AG34-AE34-AF34)</f>
        <v/>
      </c>
      <c r="AI34" s="84">
        <f>IF(OR($A34="",COUNT(AA34,AH34)&lt;2),"",AA34-AH34)</f>
        <v/>
      </c>
      <c r="AJ34" s="84">
        <f>IF(OR($A34="",COUNT(W34,AB34)&lt;2),"",W34-AB34)</f>
        <v/>
      </c>
      <c r="AK34" s="83" t="n"/>
      <c r="AL34" s="33" t="n"/>
      <c r="AM34" s="33" t="n"/>
      <c r="AN34" s="83" t="n"/>
      <c r="AO34" s="33" t="n"/>
      <c r="AP34" s="33" t="n"/>
      <c r="AQ34" s="33" t="n"/>
    </row>
    <row r="35">
      <c r="A35" s="33" t="n"/>
      <c r="B35" s="33" t="n"/>
      <c r="C35" s="33" t="n"/>
      <c r="D35" s="33" t="n"/>
      <c r="E35" s="33" t="n"/>
      <c r="F35" s="33" t="n"/>
      <c r="G35" s="33" t="n"/>
      <c r="H35" s="33" t="n"/>
      <c r="I35" s="33" t="n"/>
      <c r="J35" s="33" t="n"/>
      <c r="K35" s="34" t="n"/>
      <c r="L35" s="34" t="n"/>
      <c r="M35" s="34" t="n"/>
      <c r="N35" s="82" t="n"/>
      <c r="O35" s="82" t="n"/>
      <c r="P35" s="33" t="n"/>
      <c r="Q35" s="34" t="n"/>
      <c r="R35" s="83" t="n"/>
      <c r="S35" s="34" t="n"/>
      <c r="T35" s="33" t="n"/>
      <c r="U35" s="83" t="n"/>
      <c r="V35" s="33" t="n"/>
      <c r="W35" s="83" t="n"/>
      <c r="X35" s="83" t="n"/>
      <c r="Y35" s="83" t="n"/>
      <c r="Z35" s="83" t="n"/>
      <c r="AA35" s="84">
        <f>IF(OR($A35="",COUNT(W35,X35,Z35,Y35)&lt;1),"",W35+X35+Z35-Y35)</f>
        <v/>
      </c>
      <c r="AB35" s="83" t="n"/>
      <c r="AC35" s="83" t="n"/>
      <c r="AD35" s="83" t="n"/>
      <c r="AE35" s="83" t="n"/>
      <c r="AF35" s="83" t="n"/>
      <c r="AG35" s="83" t="n"/>
      <c r="AH35" s="84">
        <f>IF(OR($A35="",COUNT(AB35,AC35,AD35,AG35,AE35,AF35)&lt;1),"",AB35+AC35+AD35+AG35-AE35-AF35)</f>
        <v/>
      </c>
      <c r="AI35" s="84">
        <f>IF(OR($A35="",COUNT(AA35,AH35)&lt;2),"",AA35-AH35)</f>
        <v/>
      </c>
      <c r="AJ35" s="84">
        <f>IF(OR($A35="",COUNT(W35,AB35)&lt;2),"",W35-AB35)</f>
        <v/>
      </c>
      <c r="AK35" s="83" t="n"/>
      <c r="AL35" s="33" t="n"/>
      <c r="AM35" s="33" t="n"/>
      <c r="AN35" s="83" t="n"/>
      <c r="AO35" s="33" t="n"/>
      <c r="AP35" s="33" t="n"/>
      <c r="AQ35" s="33" t="n"/>
    </row>
    <row r="36">
      <c r="A36" s="33" t="n"/>
      <c r="B36" s="33" t="n"/>
      <c r="C36" s="33" t="n"/>
      <c r="D36" s="33" t="n"/>
      <c r="E36" s="33" t="n"/>
      <c r="F36" s="33" t="n"/>
      <c r="G36" s="33" t="n"/>
      <c r="H36" s="33" t="n"/>
      <c r="I36" s="33" t="n"/>
      <c r="J36" s="33" t="n"/>
      <c r="K36" s="34" t="n"/>
      <c r="L36" s="34" t="n"/>
      <c r="M36" s="34" t="n"/>
      <c r="N36" s="82" t="n"/>
      <c r="O36" s="82" t="n"/>
      <c r="P36" s="33" t="n"/>
      <c r="Q36" s="34" t="n"/>
      <c r="R36" s="83" t="n"/>
      <c r="S36" s="34" t="n"/>
      <c r="T36" s="33" t="n"/>
      <c r="U36" s="83" t="n"/>
      <c r="V36" s="33" t="n"/>
      <c r="W36" s="83" t="n"/>
      <c r="X36" s="83" t="n"/>
      <c r="Y36" s="83" t="n"/>
      <c r="Z36" s="83" t="n"/>
      <c r="AA36" s="84">
        <f>IF(OR($A36="",COUNT(W36,X36,Z36,Y36)&lt;1),"",W36+X36+Z36-Y36)</f>
        <v/>
      </c>
      <c r="AB36" s="83" t="n"/>
      <c r="AC36" s="83" t="n"/>
      <c r="AD36" s="83" t="n"/>
      <c r="AE36" s="83" t="n"/>
      <c r="AF36" s="83" t="n"/>
      <c r="AG36" s="83" t="n"/>
      <c r="AH36" s="84">
        <f>IF(OR($A36="",COUNT(AB36,AC36,AD36,AG36,AE36,AF36)&lt;1),"",AB36+AC36+AD36+AG36-AE36-AF36)</f>
        <v/>
      </c>
      <c r="AI36" s="84">
        <f>IF(OR($A36="",COUNT(AA36,AH36)&lt;2),"",AA36-AH36)</f>
        <v/>
      </c>
      <c r="AJ36" s="84">
        <f>IF(OR($A36="",COUNT(W36,AB36)&lt;2),"",W36-AB36)</f>
        <v/>
      </c>
      <c r="AK36" s="83" t="n"/>
      <c r="AL36" s="33" t="n"/>
      <c r="AM36" s="33" t="n"/>
      <c r="AN36" s="83" t="n"/>
      <c r="AO36" s="33" t="n"/>
      <c r="AP36" s="33" t="n"/>
      <c r="AQ36" s="33" t="n"/>
    </row>
    <row r="37">
      <c r="A37" s="33" t="n"/>
      <c r="B37" s="33" t="n"/>
      <c r="C37" s="33" t="n"/>
      <c r="D37" s="33" t="n"/>
      <c r="E37" s="33" t="n"/>
      <c r="F37" s="33" t="n"/>
      <c r="G37" s="33" t="n"/>
      <c r="H37" s="33" t="n"/>
      <c r="I37" s="33" t="n"/>
      <c r="J37" s="33" t="n"/>
      <c r="K37" s="34" t="n"/>
      <c r="L37" s="34" t="n"/>
      <c r="M37" s="34" t="n"/>
      <c r="N37" s="82" t="n"/>
      <c r="O37" s="82" t="n"/>
      <c r="P37" s="33" t="n"/>
      <c r="Q37" s="34" t="n"/>
      <c r="R37" s="83" t="n"/>
      <c r="S37" s="34" t="n"/>
      <c r="T37" s="33" t="n"/>
      <c r="U37" s="83" t="n"/>
      <c r="V37" s="33" t="n"/>
      <c r="W37" s="83" t="n"/>
      <c r="X37" s="83" t="n"/>
      <c r="Y37" s="83" t="n"/>
      <c r="Z37" s="83" t="n"/>
      <c r="AA37" s="84">
        <f>IF(OR($A37="",COUNT(W37,X37,Z37,Y37)&lt;1),"",W37+X37+Z37-Y37)</f>
        <v/>
      </c>
      <c r="AB37" s="83" t="n"/>
      <c r="AC37" s="83" t="n"/>
      <c r="AD37" s="83" t="n"/>
      <c r="AE37" s="83" t="n"/>
      <c r="AF37" s="83" t="n"/>
      <c r="AG37" s="83" t="n"/>
      <c r="AH37" s="84">
        <f>IF(OR($A37="",COUNT(AB37,AC37,AD37,AG37,AE37,AF37)&lt;1),"",AB37+AC37+AD37+AG37-AE37-AF37)</f>
        <v/>
      </c>
      <c r="AI37" s="84">
        <f>IF(OR($A37="",COUNT(AA37,AH37)&lt;2),"",AA37-AH37)</f>
        <v/>
      </c>
      <c r="AJ37" s="84">
        <f>IF(OR($A37="",COUNT(W37,AB37)&lt;2),"",W37-AB37)</f>
        <v/>
      </c>
      <c r="AK37" s="83" t="n"/>
      <c r="AL37" s="33" t="n"/>
      <c r="AM37" s="33" t="n"/>
      <c r="AN37" s="83" t="n"/>
      <c r="AO37" s="33" t="n"/>
      <c r="AP37" s="33" t="n"/>
      <c r="AQ37" s="33" t="n"/>
    </row>
    <row r="38">
      <c r="A38" s="33" t="n"/>
      <c r="B38" s="33" t="n"/>
      <c r="C38" s="33" t="n"/>
      <c r="D38" s="33" t="n"/>
      <c r="E38" s="33" t="n"/>
      <c r="F38" s="33" t="n"/>
      <c r="G38" s="33" t="n"/>
      <c r="H38" s="33" t="n"/>
      <c r="I38" s="33" t="n"/>
      <c r="J38" s="33" t="n"/>
      <c r="K38" s="34" t="n"/>
      <c r="L38" s="34" t="n"/>
      <c r="M38" s="34" t="n"/>
      <c r="N38" s="82" t="n"/>
      <c r="O38" s="82" t="n"/>
      <c r="P38" s="33" t="n"/>
      <c r="Q38" s="34" t="n"/>
      <c r="R38" s="83" t="n"/>
      <c r="S38" s="34" t="n"/>
      <c r="T38" s="33" t="n"/>
      <c r="U38" s="83" t="n"/>
      <c r="V38" s="33" t="n"/>
      <c r="W38" s="83" t="n"/>
      <c r="X38" s="83" t="n"/>
      <c r="Y38" s="83" t="n"/>
      <c r="Z38" s="83" t="n"/>
      <c r="AA38" s="84">
        <f>IF(OR($A38="",COUNT(W38,X38,Z38,Y38)&lt;1),"",W38+X38+Z38-Y38)</f>
        <v/>
      </c>
      <c r="AB38" s="83" t="n"/>
      <c r="AC38" s="83" t="n"/>
      <c r="AD38" s="83" t="n"/>
      <c r="AE38" s="83" t="n"/>
      <c r="AF38" s="83" t="n"/>
      <c r="AG38" s="83" t="n"/>
      <c r="AH38" s="84">
        <f>IF(OR($A38="",COUNT(AB38,AC38,AD38,AG38,AE38,AF38)&lt;1),"",AB38+AC38+AD38+AG38-AE38-AF38)</f>
        <v/>
      </c>
      <c r="AI38" s="84">
        <f>IF(OR($A38="",COUNT(AA38,AH38)&lt;2),"",AA38-AH38)</f>
        <v/>
      </c>
      <c r="AJ38" s="84">
        <f>IF(OR($A38="",COUNT(W38,AB38)&lt;2),"",W38-AB38)</f>
        <v/>
      </c>
      <c r="AK38" s="83" t="n"/>
      <c r="AL38" s="33" t="n"/>
      <c r="AM38" s="33" t="n"/>
      <c r="AN38" s="83" t="n"/>
      <c r="AO38" s="33" t="n"/>
      <c r="AP38" s="33" t="n"/>
      <c r="AQ38" s="33" t="n"/>
    </row>
    <row r="39">
      <c r="A39" s="33" t="n"/>
      <c r="B39" s="33" t="n"/>
      <c r="C39" s="33" t="n"/>
      <c r="D39" s="33" t="n"/>
      <c r="E39" s="33" t="n"/>
      <c r="F39" s="33" t="n"/>
      <c r="G39" s="33" t="n"/>
      <c r="H39" s="33" t="n"/>
      <c r="I39" s="33" t="n"/>
      <c r="J39" s="33" t="n"/>
      <c r="K39" s="34" t="n"/>
      <c r="L39" s="34" t="n"/>
      <c r="M39" s="34" t="n"/>
      <c r="N39" s="82" t="n"/>
      <c r="O39" s="82" t="n"/>
      <c r="P39" s="33" t="n"/>
      <c r="Q39" s="34" t="n"/>
      <c r="R39" s="83" t="n"/>
      <c r="S39" s="34" t="n"/>
      <c r="T39" s="33" t="n"/>
      <c r="U39" s="83" t="n"/>
      <c r="V39" s="33" t="n"/>
      <c r="W39" s="83" t="n"/>
      <c r="X39" s="83" t="n"/>
      <c r="Y39" s="83" t="n"/>
      <c r="Z39" s="83" t="n"/>
      <c r="AA39" s="84">
        <f>IF(OR($A39="",COUNT(W39,X39,Z39,Y39)&lt;1),"",W39+X39+Z39-Y39)</f>
        <v/>
      </c>
      <c r="AB39" s="83" t="n"/>
      <c r="AC39" s="83" t="n"/>
      <c r="AD39" s="83" t="n"/>
      <c r="AE39" s="83" t="n"/>
      <c r="AF39" s="83" t="n"/>
      <c r="AG39" s="83" t="n"/>
      <c r="AH39" s="84">
        <f>IF(OR($A39="",COUNT(AB39,AC39,AD39,AG39,AE39,AF39)&lt;1),"",AB39+AC39+AD39+AG39-AE39-AF39)</f>
        <v/>
      </c>
      <c r="AI39" s="84">
        <f>IF(OR($A39="",COUNT(AA39,AH39)&lt;2),"",AA39-AH39)</f>
        <v/>
      </c>
      <c r="AJ39" s="84">
        <f>IF(OR($A39="",COUNT(W39,AB39)&lt;2),"",W39-AB39)</f>
        <v/>
      </c>
      <c r="AK39" s="83" t="n"/>
      <c r="AL39" s="33" t="n"/>
      <c r="AM39" s="33" t="n"/>
      <c r="AN39" s="83" t="n"/>
      <c r="AO39" s="33" t="n"/>
      <c r="AP39" s="33" t="n"/>
      <c r="AQ39" s="33" t="n"/>
    </row>
    <row r="40">
      <c r="A40" s="33" t="n"/>
      <c r="B40" s="33" t="n"/>
      <c r="C40" s="33" t="n"/>
      <c r="D40" s="33" t="n"/>
      <c r="E40" s="33" t="n"/>
      <c r="F40" s="33" t="n"/>
      <c r="G40" s="33" t="n"/>
      <c r="H40" s="33" t="n"/>
      <c r="I40" s="33" t="n"/>
      <c r="J40" s="33" t="n"/>
      <c r="K40" s="34" t="n"/>
      <c r="L40" s="34" t="n"/>
      <c r="M40" s="34" t="n"/>
      <c r="N40" s="82" t="n"/>
      <c r="O40" s="82" t="n"/>
      <c r="P40" s="33" t="n"/>
      <c r="Q40" s="34" t="n"/>
      <c r="R40" s="83" t="n"/>
      <c r="S40" s="34" t="n"/>
      <c r="T40" s="33" t="n"/>
      <c r="U40" s="83" t="n"/>
      <c r="V40" s="33" t="n"/>
      <c r="W40" s="83" t="n"/>
      <c r="X40" s="83" t="n"/>
      <c r="Y40" s="83" t="n"/>
      <c r="Z40" s="83" t="n"/>
      <c r="AA40" s="84">
        <f>IF(OR($A40="",COUNT(W40,X40,Z40,Y40)&lt;1),"",W40+X40+Z40-Y40)</f>
        <v/>
      </c>
      <c r="AB40" s="83" t="n"/>
      <c r="AC40" s="83" t="n"/>
      <c r="AD40" s="83" t="n"/>
      <c r="AE40" s="83" t="n"/>
      <c r="AF40" s="83" t="n"/>
      <c r="AG40" s="83" t="n"/>
      <c r="AH40" s="84">
        <f>IF(OR($A40="",COUNT(AB40,AC40,AD40,AG40,AE40,AF40)&lt;1),"",AB40+AC40+AD40+AG40-AE40-AF40)</f>
        <v/>
      </c>
      <c r="AI40" s="84">
        <f>IF(OR($A40="",COUNT(AA40,AH40)&lt;2),"",AA40-AH40)</f>
        <v/>
      </c>
      <c r="AJ40" s="84">
        <f>IF(OR($A40="",COUNT(W40,AB40)&lt;2),"",W40-AB40)</f>
        <v/>
      </c>
      <c r="AK40" s="83" t="n"/>
      <c r="AL40" s="33" t="n"/>
      <c r="AM40" s="33" t="n"/>
      <c r="AN40" s="83" t="n"/>
      <c r="AO40" s="33" t="n"/>
      <c r="AP40" s="33" t="n"/>
      <c r="AQ40" s="33" t="n"/>
    </row>
    <row r="41">
      <c r="A41" s="33" t="n"/>
      <c r="B41" s="33" t="n"/>
      <c r="C41" s="33" t="n"/>
      <c r="D41" s="33" t="n"/>
      <c r="E41" s="33" t="n"/>
      <c r="F41" s="33" t="n"/>
      <c r="G41" s="33" t="n"/>
      <c r="H41" s="33" t="n"/>
      <c r="I41" s="33" t="n"/>
      <c r="J41" s="33" t="n"/>
      <c r="K41" s="34" t="n"/>
      <c r="L41" s="34" t="n"/>
      <c r="M41" s="34" t="n"/>
      <c r="N41" s="82" t="n"/>
      <c r="O41" s="82" t="n"/>
      <c r="P41" s="33" t="n"/>
      <c r="Q41" s="34" t="n"/>
      <c r="R41" s="83" t="n"/>
      <c r="S41" s="34" t="n"/>
      <c r="T41" s="33" t="n"/>
      <c r="U41" s="83" t="n"/>
      <c r="V41" s="33" t="n"/>
      <c r="W41" s="83" t="n"/>
      <c r="X41" s="83" t="n"/>
      <c r="Y41" s="83" t="n"/>
      <c r="Z41" s="83" t="n"/>
      <c r="AA41" s="84">
        <f>IF(OR($A41="",COUNT(W41,X41,Z41,Y41)&lt;1),"",W41+X41+Z41-Y41)</f>
        <v/>
      </c>
      <c r="AB41" s="83" t="n"/>
      <c r="AC41" s="83" t="n"/>
      <c r="AD41" s="83" t="n"/>
      <c r="AE41" s="83" t="n"/>
      <c r="AF41" s="83" t="n"/>
      <c r="AG41" s="83" t="n"/>
      <c r="AH41" s="84">
        <f>IF(OR($A41="",COUNT(AB41,AC41,AD41,AG41,AE41,AF41)&lt;1),"",AB41+AC41+AD41+AG41-AE41-AF41)</f>
        <v/>
      </c>
      <c r="AI41" s="84">
        <f>IF(OR($A41="",COUNT(AA41,AH41)&lt;2),"",AA41-AH41)</f>
        <v/>
      </c>
      <c r="AJ41" s="84">
        <f>IF(OR($A41="",COUNT(W41,AB41)&lt;2),"",W41-AB41)</f>
        <v/>
      </c>
      <c r="AK41" s="83" t="n"/>
      <c r="AL41" s="33" t="n"/>
      <c r="AM41" s="33" t="n"/>
      <c r="AN41" s="83" t="n"/>
      <c r="AO41" s="33" t="n"/>
      <c r="AP41" s="33" t="n"/>
      <c r="AQ41" s="33" t="n"/>
    </row>
    <row r="42">
      <c r="A42" s="33" t="n"/>
      <c r="B42" s="33" t="n"/>
      <c r="C42" s="33" t="n"/>
      <c r="D42" s="33" t="n"/>
      <c r="E42" s="33" t="n"/>
      <c r="F42" s="33" t="n"/>
      <c r="G42" s="33" t="n"/>
      <c r="H42" s="33" t="n"/>
      <c r="I42" s="33" t="n"/>
      <c r="J42" s="33" t="n"/>
      <c r="K42" s="34" t="n"/>
      <c r="L42" s="34" t="n"/>
      <c r="M42" s="34" t="n"/>
      <c r="N42" s="82" t="n"/>
      <c r="O42" s="82" t="n"/>
      <c r="P42" s="33" t="n"/>
      <c r="Q42" s="34" t="n"/>
      <c r="R42" s="83" t="n"/>
      <c r="S42" s="34" t="n"/>
      <c r="T42" s="33" t="n"/>
      <c r="U42" s="83" t="n"/>
      <c r="V42" s="33" t="n"/>
      <c r="W42" s="83" t="n"/>
      <c r="X42" s="83" t="n"/>
      <c r="Y42" s="83" t="n"/>
      <c r="Z42" s="83" t="n"/>
      <c r="AA42" s="84">
        <f>IF(OR($A42="",COUNT(W42,X42,Z42,Y42)&lt;1),"",W42+X42+Z42-Y42)</f>
        <v/>
      </c>
      <c r="AB42" s="83" t="n"/>
      <c r="AC42" s="83" t="n"/>
      <c r="AD42" s="83" t="n"/>
      <c r="AE42" s="83" t="n"/>
      <c r="AF42" s="83" t="n"/>
      <c r="AG42" s="83" t="n"/>
      <c r="AH42" s="84">
        <f>IF(OR($A42="",COUNT(AB42,AC42,AD42,AG42,AE42,AF42)&lt;1),"",AB42+AC42+AD42+AG42-AE42-AF42)</f>
        <v/>
      </c>
      <c r="AI42" s="84">
        <f>IF(OR($A42="",COUNT(AA42,AH42)&lt;2),"",AA42-AH42)</f>
        <v/>
      </c>
      <c r="AJ42" s="84">
        <f>IF(OR($A42="",COUNT(W42,AB42)&lt;2),"",W42-AB42)</f>
        <v/>
      </c>
      <c r="AK42" s="83" t="n"/>
      <c r="AL42" s="33" t="n"/>
      <c r="AM42" s="33" t="n"/>
      <c r="AN42" s="83" t="n"/>
      <c r="AO42" s="33" t="n"/>
      <c r="AP42" s="33" t="n"/>
      <c r="AQ42" s="33" t="n"/>
    </row>
    <row r="43">
      <c r="A43" s="33" t="n"/>
      <c r="B43" s="33" t="n"/>
      <c r="C43" s="33" t="n"/>
      <c r="D43" s="33" t="n"/>
      <c r="E43" s="33" t="n"/>
      <c r="F43" s="33" t="n"/>
      <c r="G43" s="33" t="n"/>
      <c r="H43" s="33" t="n"/>
      <c r="I43" s="33" t="n"/>
      <c r="J43" s="33" t="n"/>
      <c r="K43" s="34" t="n"/>
      <c r="L43" s="34" t="n"/>
      <c r="M43" s="34" t="n"/>
      <c r="N43" s="82" t="n"/>
      <c r="O43" s="82" t="n"/>
      <c r="P43" s="33" t="n"/>
      <c r="Q43" s="34" t="n"/>
      <c r="R43" s="83" t="n"/>
      <c r="S43" s="34" t="n"/>
      <c r="T43" s="33" t="n"/>
      <c r="U43" s="83" t="n"/>
      <c r="V43" s="33" t="n"/>
      <c r="W43" s="83" t="n"/>
      <c r="X43" s="83" t="n"/>
      <c r="Y43" s="83" t="n"/>
      <c r="Z43" s="83" t="n"/>
      <c r="AA43" s="84">
        <f>IF(OR($A43="",COUNT(W43,X43,Z43,Y43)&lt;1),"",W43+X43+Z43-Y43)</f>
        <v/>
      </c>
      <c r="AB43" s="83" t="n"/>
      <c r="AC43" s="83" t="n"/>
      <c r="AD43" s="83" t="n"/>
      <c r="AE43" s="83" t="n"/>
      <c r="AF43" s="83" t="n"/>
      <c r="AG43" s="83" t="n"/>
      <c r="AH43" s="84">
        <f>IF(OR($A43="",COUNT(AB43,AC43,AD43,AG43,AE43,AF43)&lt;1),"",AB43+AC43+AD43+AG43-AE43-AF43)</f>
        <v/>
      </c>
      <c r="AI43" s="84">
        <f>IF(OR($A43="",COUNT(AA43,AH43)&lt;2),"",AA43-AH43)</f>
        <v/>
      </c>
      <c r="AJ43" s="84">
        <f>IF(OR($A43="",COUNT(W43,AB43)&lt;2),"",W43-AB43)</f>
        <v/>
      </c>
      <c r="AK43" s="83" t="n"/>
      <c r="AL43" s="33" t="n"/>
      <c r="AM43" s="33" t="n"/>
      <c r="AN43" s="83" t="n"/>
      <c r="AO43" s="33" t="n"/>
      <c r="AP43" s="33" t="n"/>
      <c r="AQ43" s="33" t="n"/>
    </row>
    <row r="44">
      <c r="A44" s="33" t="n"/>
      <c r="B44" s="33" t="n"/>
      <c r="C44" s="33" t="n"/>
      <c r="D44" s="33" t="n"/>
      <c r="E44" s="33" t="n"/>
      <c r="F44" s="33" t="n"/>
      <c r="G44" s="33" t="n"/>
      <c r="H44" s="33" t="n"/>
      <c r="I44" s="33" t="n"/>
      <c r="J44" s="33" t="n"/>
      <c r="K44" s="34" t="n"/>
      <c r="L44" s="34" t="n"/>
      <c r="M44" s="34" t="n"/>
      <c r="N44" s="82" t="n"/>
      <c r="O44" s="82" t="n"/>
      <c r="P44" s="33" t="n"/>
      <c r="Q44" s="34" t="n"/>
      <c r="R44" s="83" t="n"/>
      <c r="S44" s="34" t="n"/>
      <c r="T44" s="33" t="n"/>
      <c r="U44" s="83" t="n"/>
      <c r="V44" s="33" t="n"/>
      <c r="W44" s="83" t="n"/>
      <c r="X44" s="83" t="n"/>
      <c r="Y44" s="83" t="n"/>
      <c r="Z44" s="83" t="n"/>
      <c r="AA44" s="84">
        <f>IF(OR($A44="",COUNT(W44,X44,Z44,Y44)&lt;1),"",W44+X44+Z44-Y44)</f>
        <v/>
      </c>
      <c r="AB44" s="83" t="n"/>
      <c r="AC44" s="83" t="n"/>
      <c r="AD44" s="83" t="n"/>
      <c r="AE44" s="83" t="n"/>
      <c r="AF44" s="83" t="n"/>
      <c r="AG44" s="83" t="n"/>
      <c r="AH44" s="84">
        <f>IF(OR($A44="",COUNT(AB44,AC44,AD44,AG44,AE44,AF44)&lt;1),"",AB44+AC44+AD44+AG44-AE44-AF44)</f>
        <v/>
      </c>
      <c r="AI44" s="84">
        <f>IF(OR($A44="",COUNT(AA44,AH44)&lt;2),"",AA44-AH44)</f>
        <v/>
      </c>
      <c r="AJ44" s="84">
        <f>IF(OR($A44="",COUNT(W44,AB44)&lt;2),"",W44-AB44)</f>
        <v/>
      </c>
      <c r="AK44" s="83" t="n"/>
      <c r="AL44" s="33" t="n"/>
      <c r="AM44" s="33" t="n"/>
      <c r="AN44" s="83" t="n"/>
      <c r="AO44" s="33" t="n"/>
      <c r="AP44" s="33" t="n"/>
      <c r="AQ44" s="33" t="n"/>
    </row>
    <row r="45">
      <c r="A45" s="33" t="n"/>
      <c r="B45" s="33" t="n"/>
      <c r="C45" s="33" t="n"/>
      <c r="D45" s="33" t="n"/>
      <c r="E45" s="33" t="n"/>
      <c r="F45" s="33" t="n"/>
      <c r="G45" s="33" t="n"/>
      <c r="H45" s="33" t="n"/>
      <c r="I45" s="33" t="n"/>
      <c r="J45" s="33" t="n"/>
      <c r="K45" s="34" t="n"/>
      <c r="L45" s="34" t="n"/>
      <c r="M45" s="34" t="n"/>
      <c r="N45" s="82" t="n"/>
      <c r="O45" s="82" t="n"/>
      <c r="P45" s="33" t="n"/>
      <c r="Q45" s="34" t="n"/>
      <c r="R45" s="83" t="n"/>
      <c r="S45" s="34" t="n"/>
      <c r="T45" s="33" t="n"/>
      <c r="U45" s="83" t="n"/>
      <c r="V45" s="33" t="n"/>
      <c r="W45" s="83" t="n"/>
      <c r="X45" s="83" t="n"/>
      <c r="Y45" s="83" t="n"/>
      <c r="Z45" s="83" t="n"/>
      <c r="AA45" s="84">
        <f>IF(OR($A45="",COUNT(W45,X45,Z45,Y45)&lt;1),"",W45+X45+Z45-Y45)</f>
        <v/>
      </c>
      <c r="AB45" s="83" t="n"/>
      <c r="AC45" s="83" t="n"/>
      <c r="AD45" s="83" t="n"/>
      <c r="AE45" s="83" t="n"/>
      <c r="AF45" s="83" t="n"/>
      <c r="AG45" s="83" t="n"/>
      <c r="AH45" s="84">
        <f>IF(OR($A45="",COUNT(AB45,AC45,AD45,AG45,AE45,AF45)&lt;1),"",AB45+AC45+AD45+AG45-AE45-AF45)</f>
        <v/>
      </c>
      <c r="AI45" s="84">
        <f>IF(OR($A45="",COUNT(AA45,AH45)&lt;2),"",AA45-AH45)</f>
        <v/>
      </c>
      <c r="AJ45" s="84">
        <f>IF(OR($A45="",COUNT(W45,AB45)&lt;2),"",W45-AB45)</f>
        <v/>
      </c>
      <c r="AK45" s="83" t="n"/>
      <c r="AL45" s="33" t="n"/>
      <c r="AM45" s="33" t="n"/>
      <c r="AN45" s="83" t="n"/>
      <c r="AO45" s="33" t="n"/>
      <c r="AP45" s="33" t="n"/>
      <c r="AQ45" s="33" t="n"/>
    </row>
    <row r="46">
      <c r="A46" s="33" t="n"/>
      <c r="B46" s="33" t="n"/>
      <c r="C46" s="33" t="n"/>
      <c r="D46" s="33" t="n"/>
      <c r="E46" s="33" t="n"/>
      <c r="F46" s="33" t="n"/>
      <c r="G46" s="33" t="n"/>
      <c r="H46" s="33" t="n"/>
      <c r="I46" s="33" t="n"/>
      <c r="J46" s="33" t="n"/>
      <c r="K46" s="34" t="n"/>
      <c r="L46" s="34" t="n"/>
      <c r="M46" s="34" t="n"/>
      <c r="N46" s="82" t="n"/>
      <c r="O46" s="82" t="n"/>
      <c r="P46" s="33" t="n"/>
      <c r="Q46" s="34" t="n"/>
      <c r="R46" s="83" t="n"/>
      <c r="S46" s="34" t="n"/>
      <c r="T46" s="33" t="n"/>
      <c r="U46" s="83" t="n"/>
      <c r="V46" s="33" t="n"/>
      <c r="W46" s="83" t="n"/>
      <c r="X46" s="83" t="n"/>
      <c r="Y46" s="83" t="n"/>
      <c r="Z46" s="83" t="n"/>
      <c r="AA46" s="84">
        <f>IF(OR($A46="",COUNT(W46,X46,Z46,Y46)&lt;1),"",W46+X46+Z46-Y46)</f>
        <v/>
      </c>
      <c r="AB46" s="83" t="n"/>
      <c r="AC46" s="83" t="n"/>
      <c r="AD46" s="83" t="n"/>
      <c r="AE46" s="83" t="n"/>
      <c r="AF46" s="83" t="n"/>
      <c r="AG46" s="83" t="n"/>
      <c r="AH46" s="84">
        <f>IF(OR($A46="",COUNT(AB46,AC46,AD46,AG46,AE46,AF46)&lt;1),"",AB46+AC46+AD46+AG46-AE46-AF46)</f>
        <v/>
      </c>
      <c r="AI46" s="84">
        <f>IF(OR($A46="",COUNT(AA46,AH46)&lt;2),"",AA46-AH46)</f>
        <v/>
      </c>
      <c r="AJ46" s="84">
        <f>IF(OR($A46="",COUNT(W46,AB46)&lt;2),"",W46-AB46)</f>
        <v/>
      </c>
      <c r="AK46" s="83" t="n"/>
      <c r="AL46" s="33" t="n"/>
      <c r="AM46" s="33" t="n"/>
      <c r="AN46" s="83" t="n"/>
      <c r="AO46" s="33" t="n"/>
      <c r="AP46" s="33" t="n"/>
      <c r="AQ46" s="33" t="n"/>
    </row>
    <row r="47">
      <c r="A47" s="33" t="n"/>
      <c r="B47" s="33" t="n"/>
      <c r="C47" s="33" t="n"/>
      <c r="D47" s="33" t="n"/>
      <c r="E47" s="33" t="n"/>
      <c r="F47" s="33" t="n"/>
      <c r="G47" s="33" t="n"/>
      <c r="H47" s="33" t="n"/>
      <c r="I47" s="33" t="n"/>
      <c r="J47" s="33" t="n"/>
      <c r="K47" s="34" t="n"/>
      <c r="L47" s="34" t="n"/>
      <c r="M47" s="34" t="n"/>
      <c r="N47" s="82" t="n"/>
      <c r="O47" s="82" t="n"/>
      <c r="P47" s="33" t="n"/>
      <c r="Q47" s="34" t="n"/>
      <c r="R47" s="83" t="n"/>
      <c r="S47" s="34" t="n"/>
      <c r="T47" s="33" t="n"/>
      <c r="U47" s="83" t="n"/>
      <c r="V47" s="33" t="n"/>
      <c r="W47" s="83" t="n"/>
      <c r="X47" s="83" t="n"/>
      <c r="Y47" s="83" t="n"/>
      <c r="Z47" s="83" t="n"/>
      <c r="AA47" s="84">
        <f>IF(OR($A47="",COUNT(W47,X47,Z47,Y47)&lt;1),"",W47+X47+Z47-Y47)</f>
        <v/>
      </c>
      <c r="AB47" s="83" t="n"/>
      <c r="AC47" s="83" t="n"/>
      <c r="AD47" s="83" t="n"/>
      <c r="AE47" s="83" t="n"/>
      <c r="AF47" s="83" t="n"/>
      <c r="AG47" s="83" t="n"/>
      <c r="AH47" s="84">
        <f>IF(OR($A47="",COUNT(AB47,AC47,AD47,AG47,AE47,AF47)&lt;1),"",AB47+AC47+AD47+AG47-AE47-AF47)</f>
        <v/>
      </c>
      <c r="AI47" s="84">
        <f>IF(OR($A47="",COUNT(AA47,AH47)&lt;2),"",AA47-AH47)</f>
        <v/>
      </c>
      <c r="AJ47" s="84">
        <f>IF(OR($A47="",COUNT(W47,AB47)&lt;2),"",W47-AB47)</f>
        <v/>
      </c>
      <c r="AK47" s="83" t="n"/>
      <c r="AL47" s="33" t="n"/>
      <c r="AM47" s="33" t="n"/>
      <c r="AN47" s="83" t="n"/>
      <c r="AO47" s="33" t="n"/>
      <c r="AP47" s="33" t="n"/>
      <c r="AQ47" s="33" t="n"/>
    </row>
    <row r="48">
      <c r="A48" s="33" t="n"/>
      <c r="B48" s="33" t="n"/>
      <c r="C48" s="33" t="n"/>
      <c r="D48" s="33" t="n"/>
      <c r="E48" s="33" t="n"/>
      <c r="F48" s="33" t="n"/>
      <c r="G48" s="33" t="n"/>
      <c r="H48" s="33" t="n"/>
      <c r="I48" s="33" t="n"/>
      <c r="J48" s="33" t="n"/>
      <c r="K48" s="34" t="n"/>
      <c r="L48" s="34" t="n"/>
      <c r="M48" s="34" t="n"/>
      <c r="N48" s="82" t="n"/>
      <c r="O48" s="82" t="n"/>
      <c r="P48" s="33" t="n"/>
      <c r="Q48" s="34" t="n"/>
      <c r="R48" s="83" t="n"/>
      <c r="S48" s="34" t="n"/>
      <c r="T48" s="33" t="n"/>
      <c r="U48" s="83" t="n"/>
      <c r="V48" s="33" t="n"/>
      <c r="W48" s="83" t="n"/>
      <c r="X48" s="83" t="n"/>
      <c r="Y48" s="83" t="n"/>
      <c r="Z48" s="83" t="n"/>
      <c r="AA48" s="84">
        <f>IF(OR($A48="",COUNT(W48,X48,Z48,Y48)&lt;1),"",W48+X48+Z48-Y48)</f>
        <v/>
      </c>
      <c r="AB48" s="83" t="n"/>
      <c r="AC48" s="83" t="n"/>
      <c r="AD48" s="83" t="n"/>
      <c r="AE48" s="83" t="n"/>
      <c r="AF48" s="83" t="n"/>
      <c r="AG48" s="83" t="n"/>
      <c r="AH48" s="84">
        <f>IF(OR($A48="",COUNT(AB48,AC48,AD48,AG48,AE48,AF48)&lt;1),"",AB48+AC48+AD48+AG48-AE48-AF48)</f>
        <v/>
      </c>
      <c r="AI48" s="84">
        <f>IF(OR($A48="",COUNT(AA48,AH48)&lt;2),"",AA48-AH48)</f>
        <v/>
      </c>
      <c r="AJ48" s="84">
        <f>IF(OR($A48="",COUNT(W48,AB48)&lt;2),"",W48-AB48)</f>
        <v/>
      </c>
      <c r="AK48" s="83" t="n"/>
      <c r="AL48" s="33" t="n"/>
      <c r="AM48" s="33" t="n"/>
      <c r="AN48" s="83" t="n"/>
      <c r="AO48" s="33" t="n"/>
      <c r="AP48" s="33" t="n"/>
      <c r="AQ48" s="33" t="n"/>
    </row>
    <row r="49">
      <c r="A49" s="33" t="n"/>
      <c r="B49" s="33" t="n"/>
      <c r="C49" s="33" t="n"/>
      <c r="D49" s="33" t="n"/>
      <c r="E49" s="33" t="n"/>
      <c r="F49" s="33" t="n"/>
      <c r="G49" s="33" t="n"/>
      <c r="H49" s="33" t="n"/>
      <c r="I49" s="33" t="n"/>
      <c r="J49" s="33" t="n"/>
      <c r="K49" s="34" t="n"/>
      <c r="L49" s="34" t="n"/>
      <c r="M49" s="34" t="n"/>
      <c r="N49" s="82" t="n"/>
      <c r="O49" s="82" t="n"/>
      <c r="P49" s="33" t="n"/>
      <c r="Q49" s="34" t="n"/>
      <c r="R49" s="83" t="n"/>
      <c r="S49" s="34" t="n"/>
      <c r="T49" s="33" t="n"/>
      <c r="U49" s="83" t="n"/>
      <c r="V49" s="33" t="n"/>
      <c r="W49" s="83" t="n"/>
      <c r="X49" s="83" t="n"/>
      <c r="Y49" s="83" t="n"/>
      <c r="Z49" s="83" t="n"/>
      <c r="AA49" s="84">
        <f>IF(OR($A49="",COUNT(W49,X49,Z49,Y49)&lt;1),"",W49+X49+Z49-Y49)</f>
        <v/>
      </c>
      <c r="AB49" s="83" t="n"/>
      <c r="AC49" s="83" t="n"/>
      <c r="AD49" s="83" t="n"/>
      <c r="AE49" s="83" t="n"/>
      <c r="AF49" s="83" t="n"/>
      <c r="AG49" s="83" t="n"/>
      <c r="AH49" s="84">
        <f>IF(OR($A49="",COUNT(AB49,AC49,AD49,AG49,AE49,AF49)&lt;1),"",AB49+AC49+AD49+AG49-AE49-AF49)</f>
        <v/>
      </c>
      <c r="AI49" s="84">
        <f>IF(OR($A49="",COUNT(AA49,AH49)&lt;2),"",AA49-AH49)</f>
        <v/>
      </c>
      <c r="AJ49" s="84">
        <f>IF(OR($A49="",COUNT(W49,AB49)&lt;2),"",W49-AB49)</f>
        <v/>
      </c>
      <c r="AK49" s="83" t="n"/>
      <c r="AL49" s="33" t="n"/>
      <c r="AM49" s="33" t="n"/>
      <c r="AN49" s="83" t="n"/>
      <c r="AO49" s="33" t="n"/>
      <c r="AP49" s="33" t="n"/>
      <c r="AQ49" s="33" t="n"/>
    </row>
    <row r="50">
      <c r="A50" s="33" t="n"/>
      <c r="B50" s="33" t="n"/>
      <c r="C50" s="33" t="n"/>
      <c r="D50" s="33" t="n"/>
      <c r="E50" s="33" t="n"/>
      <c r="F50" s="33" t="n"/>
      <c r="G50" s="33" t="n"/>
      <c r="H50" s="33" t="n"/>
      <c r="I50" s="33" t="n"/>
      <c r="J50" s="33" t="n"/>
      <c r="K50" s="34" t="n"/>
      <c r="L50" s="34" t="n"/>
      <c r="M50" s="34" t="n"/>
      <c r="N50" s="82" t="n"/>
      <c r="O50" s="82" t="n"/>
      <c r="P50" s="33" t="n"/>
      <c r="Q50" s="34" t="n"/>
      <c r="R50" s="83" t="n"/>
      <c r="S50" s="34" t="n"/>
      <c r="T50" s="33" t="n"/>
      <c r="U50" s="83" t="n"/>
      <c r="V50" s="33" t="n"/>
      <c r="W50" s="83" t="n"/>
      <c r="X50" s="83" t="n"/>
      <c r="Y50" s="83" t="n"/>
      <c r="Z50" s="83" t="n"/>
      <c r="AA50" s="84">
        <f>IF(OR($A50="",COUNT(W50,X50,Z50,Y50)&lt;1),"",W50+X50+Z50-Y50)</f>
        <v/>
      </c>
      <c r="AB50" s="83" t="n"/>
      <c r="AC50" s="83" t="n"/>
      <c r="AD50" s="83" t="n"/>
      <c r="AE50" s="83" t="n"/>
      <c r="AF50" s="83" t="n"/>
      <c r="AG50" s="83" t="n"/>
      <c r="AH50" s="84">
        <f>IF(OR($A50="",COUNT(AB50,AC50,AD50,AG50,AE50,AF50)&lt;1),"",AB50+AC50+AD50+AG50-AE50-AF50)</f>
        <v/>
      </c>
      <c r="AI50" s="84">
        <f>IF(OR($A50="",COUNT(AA50,AH50)&lt;2),"",AA50-AH50)</f>
        <v/>
      </c>
      <c r="AJ50" s="84">
        <f>IF(OR($A50="",COUNT(W50,AB50)&lt;2),"",W50-AB50)</f>
        <v/>
      </c>
      <c r="AK50" s="83" t="n"/>
      <c r="AL50" s="33" t="n"/>
      <c r="AM50" s="33" t="n"/>
      <c r="AN50" s="83" t="n"/>
      <c r="AO50" s="33" t="n"/>
      <c r="AP50" s="33" t="n"/>
      <c r="AQ50" s="33" t="n"/>
    </row>
    <row r="51">
      <c r="A51" s="33" t="n"/>
      <c r="B51" s="33" t="n"/>
      <c r="C51" s="33" t="n"/>
      <c r="D51" s="33" t="n"/>
      <c r="E51" s="33" t="n"/>
      <c r="F51" s="33" t="n"/>
      <c r="G51" s="33" t="n"/>
      <c r="H51" s="33" t="n"/>
      <c r="I51" s="33" t="n"/>
      <c r="J51" s="33" t="n"/>
      <c r="K51" s="34" t="n"/>
      <c r="L51" s="34" t="n"/>
      <c r="M51" s="34" t="n"/>
      <c r="N51" s="82" t="n"/>
      <c r="O51" s="82" t="n"/>
      <c r="P51" s="33" t="n"/>
      <c r="Q51" s="34" t="n"/>
      <c r="R51" s="83" t="n"/>
      <c r="S51" s="34" t="n"/>
      <c r="T51" s="33" t="n"/>
      <c r="U51" s="83" t="n"/>
      <c r="V51" s="33" t="n"/>
      <c r="W51" s="83" t="n"/>
      <c r="X51" s="83" t="n"/>
      <c r="Y51" s="83" t="n"/>
      <c r="Z51" s="83" t="n"/>
      <c r="AA51" s="84">
        <f>IF(OR($A51="",COUNT(W51,X51,Z51,Y51)&lt;1),"",W51+X51+Z51-Y51)</f>
        <v/>
      </c>
      <c r="AB51" s="83" t="n"/>
      <c r="AC51" s="83" t="n"/>
      <c r="AD51" s="83" t="n"/>
      <c r="AE51" s="83" t="n"/>
      <c r="AF51" s="83" t="n"/>
      <c r="AG51" s="83" t="n"/>
      <c r="AH51" s="84">
        <f>IF(OR($A51="",COUNT(AB51,AC51,AD51,AG51,AE51,AF51)&lt;1),"",AB51+AC51+AD51+AG51-AE51-AF51)</f>
        <v/>
      </c>
      <c r="AI51" s="84">
        <f>IF(OR($A51="",COUNT(AA51,AH51)&lt;2),"",AA51-AH51)</f>
        <v/>
      </c>
      <c r="AJ51" s="84">
        <f>IF(OR($A51="",COUNT(W51,AB51)&lt;2),"",W51-AB51)</f>
        <v/>
      </c>
      <c r="AK51" s="83" t="n"/>
      <c r="AL51" s="33" t="n"/>
      <c r="AM51" s="33" t="n"/>
      <c r="AN51" s="83" t="n"/>
      <c r="AO51" s="33" t="n"/>
      <c r="AP51" s="33" t="n"/>
      <c r="AQ51" s="33" t="n"/>
    </row>
    <row r="52">
      <c r="A52" s="33" t="n"/>
      <c r="B52" s="33" t="n"/>
      <c r="C52" s="33" t="n"/>
      <c r="D52" s="33" t="n"/>
      <c r="E52" s="33" t="n"/>
      <c r="F52" s="33" t="n"/>
      <c r="G52" s="33" t="n"/>
      <c r="H52" s="33" t="n"/>
      <c r="I52" s="33" t="n"/>
      <c r="J52" s="33" t="n"/>
      <c r="K52" s="34" t="n"/>
      <c r="L52" s="34" t="n"/>
      <c r="M52" s="34" t="n"/>
      <c r="N52" s="82" t="n"/>
      <c r="O52" s="82" t="n"/>
      <c r="P52" s="33" t="n"/>
      <c r="Q52" s="34" t="n"/>
      <c r="R52" s="83" t="n"/>
      <c r="S52" s="34" t="n"/>
      <c r="T52" s="33" t="n"/>
      <c r="U52" s="83" t="n"/>
      <c r="V52" s="33" t="n"/>
      <c r="W52" s="83" t="n"/>
      <c r="X52" s="83" t="n"/>
      <c r="Y52" s="83" t="n"/>
      <c r="Z52" s="83" t="n"/>
      <c r="AA52" s="84">
        <f>IF(OR($A52="",COUNT(W52,X52,Z52,Y52)&lt;1),"",W52+X52+Z52-Y52)</f>
        <v/>
      </c>
      <c r="AB52" s="83" t="n"/>
      <c r="AC52" s="83" t="n"/>
      <c r="AD52" s="83" t="n"/>
      <c r="AE52" s="83" t="n"/>
      <c r="AF52" s="83" t="n"/>
      <c r="AG52" s="83" t="n"/>
      <c r="AH52" s="84">
        <f>IF(OR($A52="",COUNT(AB52,AC52,AD52,AG52,AE52,AF52)&lt;1),"",AB52+AC52+AD52+AG52-AE52-AF52)</f>
        <v/>
      </c>
      <c r="AI52" s="84">
        <f>IF(OR($A52="",COUNT(AA52,AH52)&lt;2),"",AA52-AH52)</f>
        <v/>
      </c>
      <c r="AJ52" s="84">
        <f>IF(OR($A52="",COUNT(W52,AB52)&lt;2),"",W52-AB52)</f>
        <v/>
      </c>
      <c r="AK52" s="83" t="n"/>
      <c r="AL52" s="33" t="n"/>
      <c r="AM52" s="33" t="n"/>
      <c r="AN52" s="83" t="n"/>
      <c r="AO52" s="33" t="n"/>
      <c r="AP52" s="33" t="n"/>
      <c r="AQ52" s="33" t="n"/>
    </row>
    <row r="53">
      <c r="A53" s="33" t="n"/>
      <c r="B53" s="33" t="n"/>
      <c r="C53" s="33" t="n"/>
      <c r="D53" s="33" t="n"/>
      <c r="E53" s="33" t="n"/>
      <c r="F53" s="33" t="n"/>
      <c r="G53" s="33" t="n"/>
      <c r="H53" s="33" t="n"/>
      <c r="I53" s="33" t="n"/>
      <c r="J53" s="33" t="n"/>
      <c r="K53" s="34" t="n"/>
      <c r="L53" s="34" t="n"/>
      <c r="M53" s="34" t="n"/>
      <c r="N53" s="82" t="n"/>
      <c r="O53" s="82" t="n"/>
      <c r="P53" s="33" t="n"/>
      <c r="Q53" s="34" t="n"/>
      <c r="R53" s="83" t="n"/>
      <c r="S53" s="34" t="n"/>
      <c r="T53" s="33" t="n"/>
      <c r="U53" s="83" t="n"/>
      <c r="V53" s="33" t="n"/>
      <c r="W53" s="83" t="n"/>
      <c r="X53" s="83" t="n"/>
      <c r="Y53" s="83" t="n"/>
      <c r="Z53" s="83" t="n"/>
      <c r="AA53" s="84">
        <f>IF(OR($A53="",COUNT(W53,X53,Z53,Y53)&lt;1),"",W53+X53+Z53-Y53)</f>
        <v/>
      </c>
      <c r="AB53" s="83" t="n"/>
      <c r="AC53" s="83" t="n"/>
      <c r="AD53" s="83" t="n"/>
      <c r="AE53" s="83" t="n"/>
      <c r="AF53" s="83" t="n"/>
      <c r="AG53" s="83" t="n"/>
      <c r="AH53" s="84">
        <f>IF(OR($A53="",COUNT(AB53,AC53,AD53,AG53,AE53,AF53)&lt;1),"",AB53+AC53+AD53+AG53-AE53-AF53)</f>
        <v/>
      </c>
      <c r="AI53" s="84">
        <f>IF(OR($A53="",COUNT(AA53,AH53)&lt;2),"",AA53-AH53)</f>
        <v/>
      </c>
      <c r="AJ53" s="84">
        <f>IF(OR($A53="",COUNT(W53,AB53)&lt;2),"",W53-AB53)</f>
        <v/>
      </c>
      <c r="AK53" s="83" t="n"/>
      <c r="AL53" s="33" t="n"/>
      <c r="AM53" s="33" t="n"/>
      <c r="AN53" s="83" t="n"/>
      <c r="AO53" s="33" t="n"/>
      <c r="AP53" s="33" t="n"/>
      <c r="AQ53" s="33" t="n"/>
    </row>
    <row r="54">
      <c r="A54" s="33" t="n"/>
      <c r="B54" s="33" t="n"/>
      <c r="C54" s="33" t="n"/>
      <c r="D54" s="33" t="n"/>
      <c r="E54" s="33" t="n"/>
      <c r="F54" s="33" t="n"/>
      <c r="G54" s="33" t="n"/>
      <c r="H54" s="33" t="n"/>
      <c r="I54" s="33" t="n"/>
      <c r="J54" s="33" t="n"/>
      <c r="K54" s="34" t="n"/>
      <c r="L54" s="34" t="n"/>
      <c r="M54" s="34" t="n"/>
      <c r="N54" s="82" t="n"/>
      <c r="O54" s="82" t="n"/>
      <c r="P54" s="33" t="n"/>
      <c r="Q54" s="34" t="n"/>
      <c r="R54" s="83" t="n"/>
      <c r="S54" s="34" t="n"/>
      <c r="T54" s="33" t="n"/>
      <c r="U54" s="83" t="n"/>
      <c r="V54" s="33" t="n"/>
      <c r="W54" s="83" t="n"/>
      <c r="X54" s="83" t="n"/>
      <c r="Y54" s="83" t="n"/>
      <c r="Z54" s="83" t="n"/>
      <c r="AA54" s="84">
        <f>IF(OR($A54="",COUNT(W54,X54,Z54,Y54)&lt;1),"",W54+X54+Z54-Y54)</f>
        <v/>
      </c>
      <c r="AB54" s="83" t="n"/>
      <c r="AC54" s="83" t="n"/>
      <c r="AD54" s="83" t="n"/>
      <c r="AE54" s="83" t="n"/>
      <c r="AF54" s="83" t="n"/>
      <c r="AG54" s="83" t="n"/>
      <c r="AH54" s="84">
        <f>IF(OR($A54="",COUNT(AB54,AC54,AD54,AG54,AE54,AF54)&lt;1),"",AB54+AC54+AD54+AG54-AE54-AF54)</f>
        <v/>
      </c>
      <c r="AI54" s="84">
        <f>IF(OR($A54="",COUNT(AA54,AH54)&lt;2),"",AA54-AH54)</f>
        <v/>
      </c>
      <c r="AJ54" s="84">
        <f>IF(OR($A54="",COUNT(W54,AB54)&lt;2),"",W54-AB54)</f>
        <v/>
      </c>
      <c r="AK54" s="83" t="n"/>
      <c r="AL54" s="33" t="n"/>
      <c r="AM54" s="33" t="n"/>
      <c r="AN54" s="83" t="n"/>
      <c r="AO54" s="33" t="n"/>
      <c r="AP54" s="33" t="n"/>
      <c r="AQ54" s="33" t="n"/>
    </row>
    <row r="55">
      <c r="A55" s="33" t="n"/>
      <c r="B55" s="33" t="n"/>
      <c r="C55" s="33" t="n"/>
      <c r="D55" s="33" t="n"/>
      <c r="E55" s="33" t="n"/>
      <c r="F55" s="33" t="n"/>
      <c r="G55" s="33" t="n"/>
      <c r="H55" s="33" t="n"/>
      <c r="I55" s="33" t="n"/>
      <c r="J55" s="33" t="n"/>
      <c r="K55" s="34" t="n"/>
      <c r="L55" s="34" t="n"/>
      <c r="M55" s="34" t="n"/>
      <c r="N55" s="82" t="n"/>
      <c r="O55" s="82" t="n"/>
      <c r="P55" s="33" t="n"/>
      <c r="Q55" s="34" t="n"/>
      <c r="R55" s="83" t="n"/>
      <c r="S55" s="34" t="n"/>
      <c r="T55" s="33" t="n"/>
      <c r="U55" s="83" t="n"/>
      <c r="V55" s="33" t="n"/>
      <c r="W55" s="83" t="n"/>
      <c r="X55" s="83" t="n"/>
      <c r="Y55" s="83" t="n"/>
      <c r="Z55" s="83" t="n"/>
      <c r="AA55" s="84">
        <f>IF(OR($A55="",COUNT(W55,X55,Z55,Y55)&lt;1),"",W55+X55+Z55-Y55)</f>
        <v/>
      </c>
      <c r="AB55" s="83" t="n"/>
      <c r="AC55" s="83" t="n"/>
      <c r="AD55" s="83" t="n"/>
      <c r="AE55" s="83" t="n"/>
      <c r="AF55" s="83" t="n"/>
      <c r="AG55" s="83" t="n"/>
      <c r="AH55" s="84">
        <f>IF(OR($A55="",COUNT(AB55,AC55,AD55,AG55,AE55,AF55)&lt;1),"",AB55+AC55+AD55+AG55-AE55-AF55)</f>
        <v/>
      </c>
      <c r="AI55" s="84">
        <f>IF(OR($A55="",COUNT(AA55,AH55)&lt;2),"",AA55-AH55)</f>
        <v/>
      </c>
      <c r="AJ55" s="84">
        <f>IF(OR($A55="",COUNT(W55,AB55)&lt;2),"",W55-AB55)</f>
        <v/>
      </c>
      <c r="AK55" s="83" t="n"/>
      <c r="AL55" s="33" t="n"/>
      <c r="AM55" s="33" t="n"/>
      <c r="AN55" s="83" t="n"/>
      <c r="AO55" s="33" t="n"/>
      <c r="AP55" s="33" t="n"/>
      <c r="AQ55" s="33" t="n"/>
    </row>
    <row r="56">
      <c r="A56" s="33" t="n"/>
      <c r="B56" s="33" t="n"/>
      <c r="C56" s="33" t="n"/>
      <c r="D56" s="33" t="n"/>
      <c r="E56" s="33" t="n"/>
      <c r="F56" s="33" t="n"/>
      <c r="G56" s="33" t="n"/>
      <c r="H56" s="33" t="n"/>
      <c r="I56" s="33" t="n"/>
      <c r="J56" s="33" t="n"/>
      <c r="K56" s="34" t="n"/>
      <c r="L56" s="34" t="n"/>
      <c r="M56" s="34" t="n"/>
      <c r="N56" s="82" t="n"/>
      <c r="O56" s="82" t="n"/>
      <c r="P56" s="33" t="n"/>
      <c r="Q56" s="34" t="n"/>
      <c r="R56" s="83" t="n"/>
      <c r="S56" s="34" t="n"/>
      <c r="T56" s="33" t="n"/>
      <c r="U56" s="83" t="n"/>
      <c r="V56" s="33" t="n"/>
      <c r="W56" s="83" t="n"/>
      <c r="X56" s="83" t="n"/>
      <c r="Y56" s="83" t="n"/>
      <c r="Z56" s="83" t="n"/>
      <c r="AA56" s="84">
        <f>IF(OR($A56="",COUNT(W56,X56,Z56,Y56)&lt;1),"",W56+X56+Z56-Y56)</f>
        <v/>
      </c>
      <c r="AB56" s="83" t="n"/>
      <c r="AC56" s="83" t="n"/>
      <c r="AD56" s="83" t="n"/>
      <c r="AE56" s="83" t="n"/>
      <c r="AF56" s="83" t="n"/>
      <c r="AG56" s="83" t="n"/>
      <c r="AH56" s="84">
        <f>IF(OR($A56="",COUNT(AB56,AC56,AD56,AG56,AE56,AF56)&lt;1),"",AB56+AC56+AD56+AG56-AE56-AF56)</f>
        <v/>
      </c>
      <c r="AI56" s="84">
        <f>IF(OR($A56="",COUNT(AA56,AH56)&lt;2),"",AA56-AH56)</f>
        <v/>
      </c>
      <c r="AJ56" s="84">
        <f>IF(OR($A56="",COUNT(W56,AB56)&lt;2),"",W56-AB56)</f>
        <v/>
      </c>
      <c r="AK56" s="83" t="n"/>
      <c r="AL56" s="33" t="n"/>
      <c r="AM56" s="33" t="n"/>
      <c r="AN56" s="83" t="n"/>
      <c r="AO56" s="33" t="n"/>
      <c r="AP56" s="33" t="n"/>
      <c r="AQ56" s="33" t="n"/>
    </row>
    <row r="57">
      <c r="A57" s="33" t="n"/>
      <c r="B57" s="33" t="n"/>
      <c r="C57" s="33" t="n"/>
      <c r="D57" s="33" t="n"/>
      <c r="E57" s="33" t="n"/>
      <c r="F57" s="33" t="n"/>
      <c r="G57" s="33" t="n"/>
      <c r="H57" s="33" t="n"/>
      <c r="I57" s="33" t="n"/>
      <c r="J57" s="33" t="n"/>
      <c r="K57" s="34" t="n"/>
      <c r="L57" s="34" t="n"/>
      <c r="M57" s="34" t="n"/>
      <c r="N57" s="82" t="n"/>
      <c r="O57" s="82" t="n"/>
      <c r="P57" s="33" t="n"/>
      <c r="Q57" s="34" t="n"/>
      <c r="R57" s="83" t="n"/>
      <c r="S57" s="34" t="n"/>
      <c r="T57" s="33" t="n"/>
      <c r="U57" s="83" t="n"/>
      <c r="V57" s="33" t="n"/>
      <c r="W57" s="83" t="n"/>
      <c r="X57" s="83" t="n"/>
      <c r="Y57" s="83" t="n"/>
      <c r="Z57" s="83" t="n"/>
      <c r="AA57" s="84">
        <f>IF(OR($A57="",COUNT(W57,X57,Z57,Y57)&lt;1),"",W57+X57+Z57-Y57)</f>
        <v/>
      </c>
      <c r="AB57" s="83" t="n"/>
      <c r="AC57" s="83" t="n"/>
      <c r="AD57" s="83" t="n"/>
      <c r="AE57" s="83" t="n"/>
      <c r="AF57" s="83" t="n"/>
      <c r="AG57" s="83" t="n"/>
      <c r="AH57" s="84">
        <f>IF(OR($A57="",COUNT(AB57,AC57,AD57,AG57,AE57,AF57)&lt;1),"",AB57+AC57+AD57+AG57-AE57-AF57)</f>
        <v/>
      </c>
      <c r="AI57" s="84">
        <f>IF(OR($A57="",COUNT(AA57,AH57)&lt;2),"",AA57-AH57)</f>
        <v/>
      </c>
      <c r="AJ57" s="84">
        <f>IF(OR($A57="",COUNT(W57,AB57)&lt;2),"",W57-AB57)</f>
        <v/>
      </c>
      <c r="AK57" s="83" t="n"/>
      <c r="AL57" s="33" t="n"/>
      <c r="AM57" s="33" t="n"/>
      <c r="AN57" s="83" t="n"/>
      <c r="AO57" s="33" t="n"/>
      <c r="AP57" s="33" t="n"/>
      <c r="AQ57" s="33" t="n"/>
    </row>
    <row r="58">
      <c r="A58" s="33" t="n"/>
      <c r="B58" s="33" t="n"/>
      <c r="C58" s="33" t="n"/>
      <c r="D58" s="33" t="n"/>
      <c r="E58" s="33" t="n"/>
      <c r="F58" s="33" t="n"/>
      <c r="G58" s="33" t="n"/>
      <c r="H58" s="33" t="n"/>
      <c r="I58" s="33" t="n"/>
      <c r="J58" s="33" t="n"/>
      <c r="K58" s="34" t="n"/>
      <c r="L58" s="34" t="n"/>
      <c r="M58" s="34" t="n"/>
      <c r="N58" s="82" t="n"/>
      <c r="O58" s="82" t="n"/>
      <c r="P58" s="33" t="n"/>
      <c r="Q58" s="34" t="n"/>
      <c r="R58" s="83" t="n"/>
      <c r="S58" s="34" t="n"/>
      <c r="T58" s="33" t="n"/>
      <c r="U58" s="83" t="n"/>
      <c r="V58" s="33" t="n"/>
      <c r="W58" s="83" t="n"/>
      <c r="X58" s="83" t="n"/>
      <c r="Y58" s="83" t="n"/>
      <c r="Z58" s="83" t="n"/>
      <c r="AA58" s="84">
        <f>IF(OR($A58="",COUNT(W58,X58,Z58,Y58)&lt;1),"",W58+X58+Z58-Y58)</f>
        <v/>
      </c>
      <c r="AB58" s="83" t="n"/>
      <c r="AC58" s="83" t="n"/>
      <c r="AD58" s="83" t="n"/>
      <c r="AE58" s="83" t="n"/>
      <c r="AF58" s="83" t="n"/>
      <c r="AG58" s="83" t="n"/>
      <c r="AH58" s="84">
        <f>IF(OR($A58="",COUNT(AB58,AC58,AD58,AG58,AE58,AF58)&lt;1),"",AB58+AC58+AD58+AG58-AE58-AF58)</f>
        <v/>
      </c>
      <c r="AI58" s="84">
        <f>IF(OR($A58="",COUNT(AA58,AH58)&lt;2),"",AA58-AH58)</f>
        <v/>
      </c>
      <c r="AJ58" s="84">
        <f>IF(OR($A58="",COUNT(W58,AB58)&lt;2),"",W58-AB58)</f>
        <v/>
      </c>
      <c r="AK58" s="83" t="n"/>
      <c r="AL58" s="33" t="n"/>
      <c r="AM58" s="33" t="n"/>
      <c r="AN58" s="83" t="n"/>
      <c r="AO58" s="33" t="n"/>
      <c r="AP58" s="33" t="n"/>
      <c r="AQ58" s="33" t="n"/>
    </row>
    <row r="59">
      <c r="A59" s="33" t="n"/>
      <c r="B59" s="33" t="n"/>
      <c r="C59" s="33" t="n"/>
      <c r="D59" s="33" t="n"/>
      <c r="E59" s="33" t="n"/>
      <c r="F59" s="33" t="n"/>
      <c r="G59" s="33" t="n"/>
      <c r="H59" s="33" t="n"/>
      <c r="I59" s="33" t="n"/>
      <c r="J59" s="33" t="n"/>
      <c r="K59" s="34" t="n"/>
      <c r="L59" s="34" t="n"/>
      <c r="M59" s="34" t="n"/>
      <c r="N59" s="82" t="n"/>
      <c r="O59" s="82" t="n"/>
      <c r="P59" s="33" t="n"/>
      <c r="Q59" s="34" t="n"/>
      <c r="R59" s="83" t="n"/>
      <c r="S59" s="34" t="n"/>
      <c r="T59" s="33" t="n"/>
      <c r="U59" s="83" t="n"/>
      <c r="V59" s="33" t="n"/>
      <c r="W59" s="83" t="n"/>
      <c r="X59" s="83" t="n"/>
      <c r="Y59" s="83" t="n"/>
      <c r="Z59" s="83" t="n"/>
      <c r="AA59" s="84">
        <f>IF(OR($A59="",COUNT(W59,X59,Z59,Y59)&lt;1),"",W59+X59+Z59-Y59)</f>
        <v/>
      </c>
      <c r="AB59" s="83" t="n"/>
      <c r="AC59" s="83" t="n"/>
      <c r="AD59" s="83" t="n"/>
      <c r="AE59" s="83" t="n"/>
      <c r="AF59" s="83" t="n"/>
      <c r="AG59" s="83" t="n"/>
      <c r="AH59" s="84">
        <f>IF(OR($A59="",COUNT(AB59,AC59,AD59,AG59,AE59,AF59)&lt;1),"",AB59+AC59+AD59+AG59-AE59-AF59)</f>
        <v/>
      </c>
      <c r="AI59" s="84">
        <f>IF(OR($A59="",COUNT(AA59,AH59)&lt;2),"",AA59-AH59)</f>
        <v/>
      </c>
      <c r="AJ59" s="84">
        <f>IF(OR($A59="",COUNT(W59,AB59)&lt;2),"",W59-AB59)</f>
        <v/>
      </c>
      <c r="AK59" s="83" t="n"/>
      <c r="AL59" s="33" t="n"/>
      <c r="AM59" s="33" t="n"/>
      <c r="AN59" s="83" t="n"/>
      <c r="AO59" s="33" t="n"/>
      <c r="AP59" s="33" t="n"/>
      <c r="AQ59" s="33" t="n"/>
    </row>
    <row r="60">
      <c r="A60" s="33" t="n"/>
      <c r="B60" s="33" t="n"/>
      <c r="C60" s="33" t="n"/>
      <c r="D60" s="33" t="n"/>
      <c r="E60" s="33" t="n"/>
      <c r="F60" s="33" t="n"/>
      <c r="G60" s="33" t="n"/>
      <c r="H60" s="33" t="n"/>
      <c r="I60" s="33" t="n"/>
      <c r="J60" s="33" t="n"/>
      <c r="K60" s="34" t="n"/>
      <c r="L60" s="34" t="n"/>
      <c r="M60" s="34" t="n"/>
      <c r="N60" s="82" t="n"/>
      <c r="O60" s="82" t="n"/>
      <c r="P60" s="33" t="n"/>
      <c r="Q60" s="34" t="n"/>
      <c r="R60" s="83" t="n"/>
      <c r="S60" s="34" t="n"/>
      <c r="T60" s="33" t="n"/>
      <c r="U60" s="83" t="n"/>
      <c r="V60" s="33" t="n"/>
      <c r="W60" s="83" t="n"/>
      <c r="X60" s="83" t="n"/>
      <c r="Y60" s="83" t="n"/>
      <c r="Z60" s="83" t="n"/>
      <c r="AA60" s="84">
        <f>IF(OR($A60="",COUNT(W60,X60,Z60,Y60)&lt;1),"",W60+X60+Z60-Y60)</f>
        <v/>
      </c>
      <c r="AB60" s="83" t="n"/>
      <c r="AC60" s="83" t="n"/>
      <c r="AD60" s="83" t="n"/>
      <c r="AE60" s="83" t="n"/>
      <c r="AF60" s="83" t="n"/>
      <c r="AG60" s="83" t="n"/>
      <c r="AH60" s="84">
        <f>IF(OR($A60="",COUNT(AB60,AC60,AD60,AG60,AE60,AF60)&lt;1),"",AB60+AC60+AD60+AG60-AE60-AF60)</f>
        <v/>
      </c>
      <c r="AI60" s="84">
        <f>IF(OR($A60="",COUNT(AA60,AH60)&lt;2),"",AA60-AH60)</f>
        <v/>
      </c>
      <c r="AJ60" s="84">
        <f>IF(OR($A60="",COUNT(W60,AB60)&lt;2),"",W60-AB60)</f>
        <v/>
      </c>
      <c r="AK60" s="83" t="n"/>
      <c r="AL60" s="33" t="n"/>
      <c r="AM60" s="33" t="n"/>
      <c r="AN60" s="83" t="n"/>
      <c r="AO60" s="33" t="n"/>
      <c r="AP60" s="33" t="n"/>
      <c r="AQ60" s="33" t="n"/>
    </row>
    <row r="61">
      <c r="A61" s="33" t="n"/>
      <c r="B61" s="33" t="n"/>
      <c r="C61" s="33" t="n"/>
      <c r="D61" s="33" t="n"/>
      <c r="E61" s="33" t="n"/>
      <c r="F61" s="33" t="n"/>
      <c r="G61" s="33" t="n"/>
      <c r="H61" s="33" t="n"/>
      <c r="I61" s="33" t="n"/>
      <c r="J61" s="33" t="n"/>
      <c r="K61" s="34" t="n"/>
      <c r="L61" s="34" t="n"/>
      <c r="M61" s="34" t="n"/>
      <c r="N61" s="82" t="n"/>
      <c r="O61" s="82" t="n"/>
      <c r="P61" s="33" t="n"/>
      <c r="Q61" s="34" t="n"/>
      <c r="R61" s="83" t="n"/>
      <c r="S61" s="34" t="n"/>
      <c r="T61" s="33" t="n"/>
      <c r="U61" s="83" t="n"/>
      <c r="V61" s="33" t="n"/>
      <c r="W61" s="83" t="n"/>
      <c r="X61" s="83" t="n"/>
      <c r="Y61" s="83" t="n"/>
      <c r="Z61" s="83" t="n"/>
      <c r="AA61" s="84">
        <f>IF(OR($A61="",COUNT(W61,X61,Z61,Y61)&lt;1),"",W61+X61+Z61-Y61)</f>
        <v/>
      </c>
      <c r="AB61" s="83" t="n"/>
      <c r="AC61" s="83" t="n"/>
      <c r="AD61" s="83" t="n"/>
      <c r="AE61" s="83" t="n"/>
      <c r="AF61" s="83" t="n"/>
      <c r="AG61" s="83" t="n"/>
      <c r="AH61" s="84">
        <f>IF(OR($A61="",COUNT(AB61,AC61,AD61,AG61,AE61,AF61)&lt;1),"",AB61+AC61+AD61+AG61-AE61-AF61)</f>
        <v/>
      </c>
      <c r="AI61" s="84">
        <f>IF(OR($A61="",COUNT(AA61,AH61)&lt;2),"",AA61-AH61)</f>
        <v/>
      </c>
      <c r="AJ61" s="84">
        <f>IF(OR($A61="",COUNT(W61,AB61)&lt;2),"",W61-AB61)</f>
        <v/>
      </c>
      <c r="AK61" s="83" t="n"/>
      <c r="AL61" s="33" t="n"/>
      <c r="AM61" s="33" t="n"/>
      <c r="AN61" s="83" t="n"/>
      <c r="AO61" s="33" t="n"/>
      <c r="AP61" s="33" t="n"/>
      <c r="AQ61" s="33" t="n"/>
    </row>
    <row r="62">
      <c r="A62" s="33" t="n"/>
      <c r="B62" s="33" t="n"/>
      <c r="C62" s="33" t="n"/>
      <c r="D62" s="33" t="n"/>
      <c r="E62" s="33" t="n"/>
      <c r="F62" s="33" t="n"/>
      <c r="G62" s="33" t="n"/>
      <c r="H62" s="33" t="n"/>
      <c r="I62" s="33" t="n"/>
      <c r="J62" s="33" t="n"/>
      <c r="K62" s="34" t="n"/>
      <c r="L62" s="34" t="n"/>
      <c r="M62" s="34" t="n"/>
      <c r="N62" s="82" t="n"/>
      <c r="O62" s="82" t="n"/>
      <c r="P62" s="33" t="n"/>
      <c r="Q62" s="34" t="n"/>
      <c r="R62" s="83" t="n"/>
      <c r="S62" s="34" t="n"/>
      <c r="T62" s="33" t="n"/>
      <c r="U62" s="83" t="n"/>
      <c r="V62" s="33" t="n"/>
      <c r="W62" s="83" t="n"/>
      <c r="X62" s="83" t="n"/>
      <c r="Y62" s="83" t="n"/>
      <c r="Z62" s="83" t="n"/>
      <c r="AA62" s="84">
        <f>IF(OR($A62="",COUNT(W62,X62,Z62,Y62)&lt;1),"",W62+X62+Z62-Y62)</f>
        <v/>
      </c>
      <c r="AB62" s="83" t="n"/>
      <c r="AC62" s="83" t="n"/>
      <c r="AD62" s="83" t="n"/>
      <c r="AE62" s="83" t="n"/>
      <c r="AF62" s="83" t="n"/>
      <c r="AG62" s="83" t="n"/>
      <c r="AH62" s="84">
        <f>IF(OR($A62="",COUNT(AB62,AC62,AD62,AG62,AE62,AF62)&lt;1),"",AB62+AC62+AD62+AG62-AE62-AF62)</f>
        <v/>
      </c>
      <c r="AI62" s="84">
        <f>IF(OR($A62="",COUNT(AA62,AH62)&lt;2),"",AA62-AH62)</f>
        <v/>
      </c>
      <c r="AJ62" s="84">
        <f>IF(OR($A62="",COUNT(W62,AB62)&lt;2),"",W62-AB62)</f>
        <v/>
      </c>
      <c r="AK62" s="83" t="n"/>
      <c r="AL62" s="33" t="n"/>
      <c r="AM62" s="33" t="n"/>
      <c r="AN62" s="83" t="n"/>
      <c r="AO62" s="33" t="n"/>
      <c r="AP62" s="33" t="n"/>
      <c r="AQ62" s="33" t="n"/>
    </row>
    <row r="63">
      <c r="A63" s="33" t="n"/>
      <c r="B63" s="33" t="n"/>
      <c r="C63" s="33" t="n"/>
      <c r="D63" s="33" t="n"/>
      <c r="E63" s="33" t="n"/>
      <c r="F63" s="33" t="n"/>
      <c r="G63" s="33" t="n"/>
      <c r="H63" s="33" t="n"/>
      <c r="I63" s="33" t="n"/>
      <c r="J63" s="33" t="n"/>
      <c r="K63" s="34" t="n"/>
      <c r="L63" s="34" t="n"/>
      <c r="M63" s="34" t="n"/>
      <c r="N63" s="82" t="n"/>
      <c r="O63" s="82" t="n"/>
      <c r="P63" s="33" t="n"/>
      <c r="Q63" s="34" t="n"/>
      <c r="R63" s="83" t="n"/>
      <c r="S63" s="34" t="n"/>
      <c r="T63" s="33" t="n"/>
      <c r="U63" s="83" t="n"/>
      <c r="V63" s="33" t="n"/>
      <c r="W63" s="83" t="n"/>
      <c r="X63" s="83" t="n"/>
      <c r="Y63" s="83" t="n"/>
      <c r="Z63" s="83" t="n"/>
      <c r="AA63" s="84">
        <f>IF(OR($A63="",COUNT(W63,X63,Z63,Y63)&lt;1),"",W63+X63+Z63-Y63)</f>
        <v/>
      </c>
      <c r="AB63" s="83" t="n"/>
      <c r="AC63" s="83" t="n"/>
      <c r="AD63" s="83" t="n"/>
      <c r="AE63" s="83" t="n"/>
      <c r="AF63" s="83" t="n"/>
      <c r="AG63" s="83" t="n"/>
      <c r="AH63" s="84">
        <f>IF(OR($A63="",COUNT(AB63,AC63,AD63,AG63,AE63,AF63)&lt;1),"",AB63+AC63+AD63+AG63-AE63-AF63)</f>
        <v/>
      </c>
      <c r="AI63" s="84">
        <f>IF(OR($A63="",COUNT(AA63,AH63)&lt;2),"",AA63-AH63)</f>
        <v/>
      </c>
      <c r="AJ63" s="84">
        <f>IF(OR($A63="",COUNT(W63,AB63)&lt;2),"",W63-AB63)</f>
        <v/>
      </c>
      <c r="AK63" s="83" t="n"/>
      <c r="AL63" s="33" t="n"/>
      <c r="AM63" s="33" t="n"/>
      <c r="AN63" s="83" t="n"/>
      <c r="AO63" s="33" t="n"/>
      <c r="AP63" s="33" t="n"/>
      <c r="AQ63" s="33" t="n"/>
    </row>
    <row r="64">
      <c r="A64" s="33" t="n"/>
      <c r="B64" s="33" t="n"/>
      <c r="C64" s="33" t="n"/>
      <c r="D64" s="33" t="n"/>
      <c r="E64" s="33" t="n"/>
      <c r="F64" s="33" t="n"/>
      <c r="G64" s="33" t="n"/>
      <c r="H64" s="33" t="n"/>
      <c r="I64" s="33" t="n"/>
      <c r="J64" s="33" t="n"/>
      <c r="K64" s="34" t="n"/>
      <c r="L64" s="34" t="n"/>
      <c r="M64" s="34" t="n"/>
      <c r="N64" s="82" t="n"/>
      <c r="O64" s="82" t="n"/>
      <c r="P64" s="33" t="n"/>
      <c r="Q64" s="34" t="n"/>
      <c r="R64" s="83" t="n"/>
      <c r="S64" s="34" t="n"/>
      <c r="T64" s="33" t="n"/>
      <c r="U64" s="83" t="n"/>
      <c r="V64" s="33" t="n"/>
      <c r="W64" s="83" t="n"/>
      <c r="X64" s="83" t="n"/>
      <c r="Y64" s="83" t="n"/>
      <c r="Z64" s="83" t="n"/>
      <c r="AA64" s="84">
        <f>IF(OR($A64="",COUNT(W64,X64,Z64,Y64)&lt;1),"",W64+X64+Z64-Y64)</f>
        <v/>
      </c>
      <c r="AB64" s="83" t="n"/>
      <c r="AC64" s="83" t="n"/>
      <c r="AD64" s="83" t="n"/>
      <c r="AE64" s="83" t="n"/>
      <c r="AF64" s="83" t="n"/>
      <c r="AG64" s="83" t="n"/>
      <c r="AH64" s="84">
        <f>IF(OR($A64="",COUNT(AB64,AC64,AD64,AG64,AE64,AF64)&lt;1),"",AB64+AC64+AD64+AG64-AE64-AF64)</f>
        <v/>
      </c>
      <c r="AI64" s="84">
        <f>IF(OR($A64="",COUNT(AA64,AH64)&lt;2),"",AA64-AH64)</f>
        <v/>
      </c>
      <c r="AJ64" s="84">
        <f>IF(OR($A64="",COUNT(W64,AB64)&lt;2),"",W64-AB64)</f>
        <v/>
      </c>
      <c r="AK64" s="83" t="n"/>
      <c r="AL64" s="33" t="n"/>
      <c r="AM64" s="33" t="n"/>
      <c r="AN64" s="83" t="n"/>
      <c r="AO64" s="33" t="n"/>
      <c r="AP64" s="33" t="n"/>
      <c r="AQ64" s="33" t="n"/>
    </row>
    <row r="65">
      <c r="A65" s="33" t="n"/>
      <c r="B65" s="33" t="n"/>
      <c r="C65" s="33" t="n"/>
      <c r="D65" s="33" t="n"/>
      <c r="E65" s="33" t="n"/>
      <c r="F65" s="33" t="n"/>
      <c r="G65" s="33" t="n"/>
      <c r="H65" s="33" t="n"/>
      <c r="I65" s="33" t="n"/>
      <c r="J65" s="33" t="n"/>
      <c r="K65" s="34" t="n"/>
      <c r="L65" s="34" t="n"/>
      <c r="M65" s="34" t="n"/>
      <c r="N65" s="82" t="n"/>
      <c r="O65" s="82" t="n"/>
      <c r="P65" s="33" t="n"/>
      <c r="Q65" s="34" t="n"/>
      <c r="R65" s="83" t="n"/>
      <c r="S65" s="34" t="n"/>
      <c r="T65" s="33" t="n"/>
      <c r="U65" s="83" t="n"/>
      <c r="V65" s="33" t="n"/>
      <c r="W65" s="83" t="n"/>
      <c r="X65" s="83" t="n"/>
      <c r="Y65" s="83" t="n"/>
      <c r="Z65" s="83" t="n"/>
      <c r="AA65" s="84">
        <f>IF(OR($A65="",COUNT(W65,X65,Z65,Y65)&lt;1),"",W65+X65+Z65-Y65)</f>
        <v/>
      </c>
      <c r="AB65" s="83" t="n"/>
      <c r="AC65" s="83" t="n"/>
      <c r="AD65" s="83" t="n"/>
      <c r="AE65" s="83" t="n"/>
      <c r="AF65" s="83" t="n"/>
      <c r="AG65" s="83" t="n"/>
      <c r="AH65" s="84">
        <f>IF(OR($A65="",COUNT(AB65,AC65,AD65,AG65,AE65,AF65)&lt;1),"",AB65+AC65+AD65+AG65-AE65-AF65)</f>
        <v/>
      </c>
      <c r="AI65" s="84">
        <f>IF(OR($A65="",COUNT(AA65,AH65)&lt;2),"",AA65-AH65)</f>
        <v/>
      </c>
      <c r="AJ65" s="84">
        <f>IF(OR($A65="",COUNT(W65,AB65)&lt;2),"",W65-AB65)</f>
        <v/>
      </c>
      <c r="AK65" s="83" t="n"/>
      <c r="AL65" s="33" t="n"/>
      <c r="AM65" s="33" t="n"/>
      <c r="AN65" s="83" t="n"/>
      <c r="AO65" s="33" t="n"/>
      <c r="AP65" s="33" t="n"/>
      <c r="AQ65" s="33" t="n"/>
    </row>
    <row r="66">
      <c r="A66" s="33" t="n"/>
      <c r="B66" s="33" t="n"/>
      <c r="C66" s="33" t="n"/>
      <c r="D66" s="33" t="n"/>
      <c r="E66" s="33" t="n"/>
      <c r="F66" s="33" t="n"/>
      <c r="G66" s="33" t="n"/>
      <c r="H66" s="33" t="n"/>
      <c r="I66" s="33" t="n"/>
      <c r="J66" s="33" t="n"/>
      <c r="K66" s="34" t="n"/>
      <c r="L66" s="34" t="n"/>
      <c r="M66" s="34" t="n"/>
      <c r="N66" s="82" t="n"/>
      <c r="O66" s="82" t="n"/>
      <c r="P66" s="33" t="n"/>
      <c r="Q66" s="34" t="n"/>
      <c r="R66" s="83" t="n"/>
      <c r="S66" s="34" t="n"/>
      <c r="T66" s="33" t="n"/>
      <c r="U66" s="83" t="n"/>
      <c r="V66" s="33" t="n"/>
      <c r="W66" s="83" t="n"/>
      <c r="X66" s="83" t="n"/>
      <c r="Y66" s="83" t="n"/>
      <c r="Z66" s="83" t="n"/>
      <c r="AA66" s="84">
        <f>IF(OR($A66="",COUNT(W66,X66,Z66,Y66)&lt;1),"",W66+X66+Z66-Y66)</f>
        <v/>
      </c>
      <c r="AB66" s="83" t="n"/>
      <c r="AC66" s="83" t="n"/>
      <c r="AD66" s="83" t="n"/>
      <c r="AE66" s="83" t="n"/>
      <c r="AF66" s="83" t="n"/>
      <c r="AG66" s="83" t="n"/>
      <c r="AH66" s="84">
        <f>IF(OR($A66="",COUNT(AB66,AC66,AD66,AG66,AE66,AF66)&lt;1),"",AB66+AC66+AD66+AG66-AE66-AF66)</f>
        <v/>
      </c>
      <c r="AI66" s="84">
        <f>IF(OR($A66="",COUNT(AA66,AH66)&lt;2),"",AA66-AH66)</f>
        <v/>
      </c>
      <c r="AJ66" s="84">
        <f>IF(OR($A66="",COUNT(W66,AB66)&lt;2),"",W66-AB66)</f>
        <v/>
      </c>
      <c r="AK66" s="83" t="n"/>
      <c r="AL66" s="33" t="n"/>
      <c r="AM66" s="33" t="n"/>
      <c r="AN66" s="83" t="n"/>
      <c r="AO66" s="33" t="n"/>
      <c r="AP66" s="33" t="n"/>
      <c r="AQ66" s="33" t="n"/>
    </row>
    <row r="67">
      <c r="A67" s="33" t="n"/>
      <c r="B67" s="33" t="n"/>
      <c r="C67" s="33" t="n"/>
      <c r="D67" s="33" t="n"/>
      <c r="E67" s="33" t="n"/>
      <c r="F67" s="33" t="n"/>
      <c r="G67" s="33" t="n"/>
      <c r="H67" s="33" t="n"/>
      <c r="I67" s="33" t="n"/>
      <c r="J67" s="33" t="n"/>
      <c r="K67" s="34" t="n"/>
      <c r="L67" s="34" t="n"/>
      <c r="M67" s="34" t="n"/>
      <c r="N67" s="82" t="n"/>
      <c r="O67" s="82" t="n"/>
      <c r="P67" s="33" t="n"/>
      <c r="Q67" s="34" t="n"/>
      <c r="R67" s="83" t="n"/>
      <c r="S67" s="34" t="n"/>
      <c r="T67" s="33" t="n"/>
      <c r="U67" s="83" t="n"/>
      <c r="V67" s="33" t="n"/>
      <c r="W67" s="83" t="n"/>
      <c r="X67" s="83" t="n"/>
      <c r="Y67" s="83" t="n"/>
      <c r="Z67" s="83" t="n"/>
      <c r="AA67" s="84">
        <f>IF(OR($A67="",COUNT(W67,X67,Z67,Y67)&lt;1),"",W67+X67+Z67-Y67)</f>
        <v/>
      </c>
      <c r="AB67" s="83" t="n"/>
      <c r="AC67" s="83" t="n"/>
      <c r="AD67" s="83" t="n"/>
      <c r="AE67" s="83" t="n"/>
      <c r="AF67" s="83" t="n"/>
      <c r="AG67" s="83" t="n"/>
      <c r="AH67" s="84">
        <f>IF(OR($A67="",COUNT(AB67,AC67,AD67,AG67,AE67,AF67)&lt;1),"",AB67+AC67+AD67+AG67-AE67-AF67)</f>
        <v/>
      </c>
      <c r="AI67" s="84">
        <f>IF(OR($A67="",COUNT(AA67,AH67)&lt;2),"",AA67-AH67)</f>
        <v/>
      </c>
      <c r="AJ67" s="84">
        <f>IF(OR($A67="",COUNT(W67,AB67)&lt;2),"",W67-AB67)</f>
        <v/>
      </c>
      <c r="AK67" s="83" t="n"/>
      <c r="AL67" s="33" t="n"/>
      <c r="AM67" s="33" t="n"/>
      <c r="AN67" s="83" t="n"/>
      <c r="AO67" s="33" t="n"/>
      <c r="AP67" s="33" t="n"/>
      <c r="AQ67" s="33" t="n"/>
    </row>
    <row r="68">
      <c r="A68" s="33" t="n"/>
      <c r="B68" s="33" t="n"/>
      <c r="C68" s="33" t="n"/>
      <c r="D68" s="33" t="n"/>
      <c r="E68" s="33" t="n"/>
      <c r="F68" s="33" t="n"/>
      <c r="G68" s="33" t="n"/>
      <c r="H68" s="33" t="n"/>
      <c r="I68" s="33" t="n"/>
      <c r="J68" s="33" t="n"/>
      <c r="K68" s="34" t="n"/>
      <c r="L68" s="34" t="n"/>
      <c r="M68" s="34" t="n"/>
      <c r="N68" s="82" t="n"/>
      <c r="O68" s="82" t="n"/>
      <c r="P68" s="33" t="n"/>
      <c r="Q68" s="34" t="n"/>
      <c r="R68" s="83" t="n"/>
      <c r="S68" s="34" t="n"/>
      <c r="T68" s="33" t="n"/>
      <c r="U68" s="83" t="n"/>
      <c r="V68" s="33" t="n"/>
      <c r="W68" s="83" t="n"/>
      <c r="X68" s="83" t="n"/>
      <c r="Y68" s="83" t="n"/>
      <c r="Z68" s="83" t="n"/>
      <c r="AA68" s="84">
        <f>IF(OR($A68="",COUNT(W68,X68,Z68,Y68)&lt;1),"",W68+X68+Z68-Y68)</f>
        <v/>
      </c>
      <c r="AB68" s="83" t="n"/>
      <c r="AC68" s="83" t="n"/>
      <c r="AD68" s="83" t="n"/>
      <c r="AE68" s="83" t="n"/>
      <c r="AF68" s="83" t="n"/>
      <c r="AG68" s="83" t="n"/>
      <c r="AH68" s="84">
        <f>IF(OR($A68="",COUNT(AB68,AC68,AD68,AG68,AE68,AF68)&lt;1),"",AB68+AC68+AD68+AG68-AE68-AF68)</f>
        <v/>
      </c>
      <c r="AI68" s="84">
        <f>IF(OR($A68="",COUNT(AA68,AH68)&lt;2),"",AA68-AH68)</f>
        <v/>
      </c>
      <c r="AJ68" s="84">
        <f>IF(OR($A68="",COUNT(W68,AB68)&lt;2),"",W68-AB68)</f>
        <v/>
      </c>
      <c r="AK68" s="83" t="n"/>
      <c r="AL68" s="33" t="n"/>
      <c r="AM68" s="33" t="n"/>
      <c r="AN68" s="83" t="n"/>
      <c r="AO68" s="33" t="n"/>
      <c r="AP68" s="33" t="n"/>
      <c r="AQ68" s="33" t="n"/>
    </row>
    <row r="69">
      <c r="A69" s="33" t="n"/>
      <c r="B69" s="33" t="n"/>
      <c r="C69" s="33" t="n"/>
      <c r="D69" s="33" t="n"/>
      <c r="E69" s="33" t="n"/>
      <c r="F69" s="33" t="n"/>
      <c r="G69" s="33" t="n"/>
      <c r="H69" s="33" t="n"/>
      <c r="I69" s="33" t="n"/>
      <c r="J69" s="33" t="n"/>
      <c r="K69" s="34" t="n"/>
      <c r="L69" s="34" t="n"/>
      <c r="M69" s="34" t="n"/>
      <c r="N69" s="82" t="n"/>
      <c r="O69" s="82" t="n"/>
      <c r="P69" s="33" t="n"/>
      <c r="Q69" s="34" t="n"/>
      <c r="R69" s="83" t="n"/>
      <c r="S69" s="34" t="n"/>
      <c r="T69" s="33" t="n"/>
      <c r="U69" s="83" t="n"/>
      <c r="V69" s="33" t="n"/>
      <c r="W69" s="83" t="n"/>
      <c r="X69" s="83" t="n"/>
      <c r="Y69" s="83" t="n"/>
      <c r="Z69" s="83" t="n"/>
      <c r="AA69" s="84">
        <f>IF(OR($A69="",COUNT(W69,X69,Z69,Y69)&lt;1),"",W69+X69+Z69-Y69)</f>
        <v/>
      </c>
      <c r="AB69" s="83" t="n"/>
      <c r="AC69" s="83" t="n"/>
      <c r="AD69" s="83" t="n"/>
      <c r="AE69" s="83" t="n"/>
      <c r="AF69" s="83" t="n"/>
      <c r="AG69" s="83" t="n"/>
      <c r="AH69" s="84">
        <f>IF(OR($A69="",COUNT(AB69,AC69,AD69,AG69,AE69,AF69)&lt;1),"",AB69+AC69+AD69+AG69-AE69-AF69)</f>
        <v/>
      </c>
      <c r="AI69" s="84">
        <f>IF(OR($A69="",COUNT(AA69,AH69)&lt;2),"",AA69-AH69)</f>
        <v/>
      </c>
      <c r="AJ69" s="84">
        <f>IF(OR($A69="",COUNT(W69,AB69)&lt;2),"",W69-AB69)</f>
        <v/>
      </c>
      <c r="AK69" s="83" t="n"/>
      <c r="AL69" s="33" t="n"/>
      <c r="AM69" s="33" t="n"/>
      <c r="AN69" s="83" t="n"/>
      <c r="AO69" s="33" t="n"/>
      <c r="AP69" s="33" t="n"/>
      <c r="AQ69" s="33" t="n"/>
    </row>
    <row r="70">
      <c r="A70" s="33" t="n"/>
      <c r="B70" s="33" t="n"/>
      <c r="C70" s="33" t="n"/>
      <c r="D70" s="33" t="n"/>
      <c r="E70" s="33" t="n"/>
      <c r="F70" s="33" t="n"/>
      <c r="G70" s="33" t="n"/>
      <c r="H70" s="33" t="n"/>
      <c r="I70" s="33" t="n"/>
      <c r="J70" s="33" t="n"/>
      <c r="K70" s="34" t="n"/>
      <c r="L70" s="34" t="n"/>
      <c r="M70" s="34" t="n"/>
      <c r="N70" s="82" t="n"/>
      <c r="O70" s="82" t="n"/>
      <c r="P70" s="33" t="n"/>
      <c r="Q70" s="34" t="n"/>
      <c r="R70" s="83" t="n"/>
      <c r="S70" s="34" t="n"/>
      <c r="T70" s="33" t="n"/>
      <c r="U70" s="83" t="n"/>
      <c r="V70" s="33" t="n"/>
      <c r="W70" s="83" t="n"/>
      <c r="X70" s="83" t="n"/>
      <c r="Y70" s="83" t="n"/>
      <c r="Z70" s="83" t="n"/>
      <c r="AA70" s="84">
        <f>IF(OR($A70="",COUNT(W70,X70,Z70,Y70)&lt;1),"",W70+X70+Z70-Y70)</f>
        <v/>
      </c>
      <c r="AB70" s="83" t="n"/>
      <c r="AC70" s="83" t="n"/>
      <c r="AD70" s="83" t="n"/>
      <c r="AE70" s="83" t="n"/>
      <c r="AF70" s="83" t="n"/>
      <c r="AG70" s="83" t="n"/>
      <c r="AH70" s="84">
        <f>IF(OR($A70="",COUNT(AB70,AC70,AD70,AG70,AE70,AF70)&lt;1),"",AB70+AC70+AD70+AG70-AE70-AF70)</f>
        <v/>
      </c>
      <c r="AI70" s="84">
        <f>IF(OR($A70="",COUNT(AA70,AH70)&lt;2),"",AA70-AH70)</f>
        <v/>
      </c>
      <c r="AJ70" s="84">
        <f>IF(OR($A70="",COUNT(W70,AB70)&lt;2),"",W70-AB70)</f>
        <v/>
      </c>
      <c r="AK70" s="83" t="n"/>
      <c r="AL70" s="33" t="n"/>
      <c r="AM70" s="33" t="n"/>
      <c r="AN70" s="83" t="n"/>
      <c r="AO70" s="33" t="n"/>
      <c r="AP70" s="33" t="n"/>
      <c r="AQ70" s="33" t="n"/>
    </row>
    <row r="71">
      <c r="A71" s="33" t="n"/>
      <c r="B71" s="33" t="n"/>
      <c r="C71" s="33" t="n"/>
      <c r="D71" s="33" t="n"/>
      <c r="E71" s="33" t="n"/>
      <c r="F71" s="33" t="n"/>
      <c r="G71" s="33" t="n"/>
      <c r="H71" s="33" t="n"/>
      <c r="I71" s="33" t="n"/>
      <c r="J71" s="33" t="n"/>
      <c r="K71" s="34" t="n"/>
      <c r="L71" s="34" t="n"/>
      <c r="M71" s="34" t="n"/>
      <c r="N71" s="82" t="n"/>
      <c r="O71" s="82" t="n"/>
      <c r="P71" s="33" t="n"/>
      <c r="Q71" s="34" t="n"/>
      <c r="R71" s="83" t="n"/>
      <c r="S71" s="34" t="n"/>
      <c r="T71" s="33" t="n"/>
      <c r="U71" s="83" t="n"/>
      <c r="V71" s="33" t="n"/>
      <c r="W71" s="83" t="n"/>
      <c r="X71" s="83" t="n"/>
      <c r="Y71" s="83" t="n"/>
      <c r="Z71" s="83" t="n"/>
      <c r="AA71" s="84">
        <f>IF(OR($A71="",COUNT(W71,X71,Z71,Y71)&lt;1),"",W71+X71+Z71-Y71)</f>
        <v/>
      </c>
      <c r="AB71" s="83" t="n"/>
      <c r="AC71" s="83" t="n"/>
      <c r="AD71" s="83" t="n"/>
      <c r="AE71" s="83" t="n"/>
      <c r="AF71" s="83" t="n"/>
      <c r="AG71" s="83" t="n"/>
      <c r="AH71" s="84">
        <f>IF(OR($A71="",COUNT(AB71,AC71,AD71,AG71,AE71,AF71)&lt;1),"",AB71+AC71+AD71+AG71-AE71-AF71)</f>
        <v/>
      </c>
      <c r="AI71" s="84">
        <f>IF(OR($A71="",COUNT(AA71,AH71)&lt;2),"",AA71-AH71)</f>
        <v/>
      </c>
      <c r="AJ71" s="84">
        <f>IF(OR($A71="",COUNT(W71,AB71)&lt;2),"",W71-AB71)</f>
        <v/>
      </c>
      <c r="AK71" s="83" t="n"/>
      <c r="AL71" s="33" t="n"/>
      <c r="AM71" s="33" t="n"/>
      <c r="AN71" s="83" t="n"/>
      <c r="AO71" s="33" t="n"/>
      <c r="AP71" s="33" t="n"/>
      <c r="AQ71" s="33" t="n"/>
    </row>
    <row r="72">
      <c r="A72" s="33" t="n"/>
      <c r="B72" s="33" t="n"/>
      <c r="C72" s="33" t="n"/>
      <c r="D72" s="33" t="n"/>
      <c r="E72" s="33" t="n"/>
      <c r="F72" s="33" t="n"/>
      <c r="G72" s="33" t="n"/>
      <c r="H72" s="33" t="n"/>
      <c r="I72" s="33" t="n"/>
      <c r="J72" s="33" t="n"/>
      <c r="K72" s="34" t="n"/>
      <c r="L72" s="34" t="n"/>
      <c r="M72" s="34" t="n"/>
      <c r="N72" s="82" t="n"/>
      <c r="O72" s="82" t="n"/>
      <c r="P72" s="33" t="n"/>
      <c r="Q72" s="34" t="n"/>
      <c r="R72" s="83" t="n"/>
      <c r="S72" s="34" t="n"/>
      <c r="T72" s="33" t="n"/>
      <c r="U72" s="83" t="n"/>
      <c r="V72" s="33" t="n"/>
      <c r="W72" s="83" t="n"/>
      <c r="X72" s="83" t="n"/>
      <c r="Y72" s="83" t="n"/>
      <c r="Z72" s="83" t="n"/>
      <c r="AA72" s="84">
        <f>IF(OR($A72="",COUNT(W72,X72,Z72,Y72)&lt;1),"",W72+X72+Z72-Y72)</f>
        <v/>
      </c>
      <c r="AB72" s="83" t="n"/>
      <c r="AC72" s="83" t="n"/>
      <c r="AD72" s="83" t="n"/>
      <c r="AE72" s="83" t="n"/>
      <c r="AF72" s="83" t="n"/>
      <c r="AG72" s="83" t="n"/>
      <c r="AH72" s="84">
        <f>IF(OR($A72="",COUNT(AB72,AC72,AD72,AG72,AE72,AF72)&lt;1),"",AB72+AC72+AD72+AG72-AE72-AF72)</f>
        <v/>
      </c>
      <c r="AI72" s="84">
        <f>IF(OR($A72="",COUNT(AA72,AH72)&lt;2),"",AA72-AH72)</f>
        <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2026-10-18T13:21:20Z</dcterms:modified>
</cp:coreProperties>
</file>