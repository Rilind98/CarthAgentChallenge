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ffene Punkte" sheetId="1" state="visible" r:id="rId1"/>
    <sheet name="Gitter nach Bilanzposition" sheetId="2" state="visible" r:id="rId2"/>
    <sheet name="Gitter nach Anlagenklasse" sheetId="3" state="visible" r:id="rId3"/>
    <sheet name="Anlagenverzeichnis" sheetId="4" state="visible" r:id="rId4"/>
    <sheet name="Zugänge" sheetId="5" state="visible" r:id="rId5"/>
    <sheet name="Abgänge" sheetId="6" state="visible" r:id="rId6"/>
    <sheet name="Belege" sheetId="7" state="visible" r:id="rId7"/>
    <sheet name="Belegpositionen" sheetId="8" state="visible" r:id="rId8"/>
    <sheet name="Aufwandskonten" sheetId="9" state="visible" r:id="rId9"/>
    <sheet name="Summen- und Saldenliste" sheetId="10" state="visible" r:id="rId10"/>
    <sheet name="Bilanz (§ 266 HGB)" sheetId="11" state="visible" r:id="rId11"/>
    <sheet name="Bilanz laut Mandant" sheetId="12" state="visible" r:id="rId12"/>
    <sheet name="GuV (§ 275 HGB)" sheetId="13" state="visible" r:id="rId13"/>
    <sheet name="GuV laut Mandant" sheetId="14" state="visible" r:id="rId14"/>
    <sheet name="Listen" sheetId="15" state="visible" r:id="rId15"/>
    <sheet name="Auswahllisten" sheetId="16" state="visible" r:id="rId16"/>
    <sheet name="Feldkatalog Gitter" sheetId="17" state="visible" r:id="rId17"/>
    <sheet name="Feldkatalog Anlagenverzeichnis" sheetId="18" state="visible" r:id="rId18"/>
    <sheet name="Feldkatalog Zugänge" sheetId="19" state="visible" r:id="rId19"/>
    <sheet name="Feldkatalog Abgänge" sheetId="20" state="visible" r:id="rId20"/>
    <sheet name="Feldkatalog Belege" sheetId="21" state="visible" r:id="rId21"/>
    <sheet name="Feldkatalog Belegpositionen" sheetId="22" state="visible" r:id="rId22"/>
    <sheet name="Feldkatalog Aufwandskonten" sheetId="23" state="visible" r:id="rId23"/>
    <sheet name="Feldkatalog SuSa" sheetId="24" state="visible" r:id="rId24"/>
    <sheet name="Feldkatalog Bilanz GuV HGB" sheetId="25" state="visible" r:id="rId25"/>
    <sheet name="Feldkatalog Bilanz GuV Mandant" sheetId="26" state="visible" r:id="rId26"/>
    <sheet name="Merge notes" sheetId="27" state="visible" r:id="rId27"/>
  </sheets>
  <definedNames>
    <definedName name="A3_LAYOUT_VERSION">20</definedName>
    <definedName name="_xlnm._FilterDatabase" localSheetId="3" hidden="1">'Anlagenverzeichnis'!$A$1:$AP$501</definedName>
    <definedName name="_xlnm._FilterDatabase" localSheetId="4" hidden="1">'Zugänge'!$A$1:$AS$501</definedName>
    <definedName name="_xlnm._FilterDatabase" localSheetId="5" hidden="1">'Abgänge'!$A$1:$AH$501</definedName>
    <definedName name="_xlnm._FilterDatabase" localSheetId="6" hidden="1">'Belege'!$A$1:$BT$501</definedName>
    <definedName name="_xlnm._FilterDatabase" localSheetId="7" hidden="1">'Belegpositionen'!$A$1:$F$501</definedName>
    <definedName name="_xlnm._FilterDatabase" localSheetId="8" hidden="1">'Aufwandskonten'!$A$1:$I$501</definedName>
  </definedNames>
  <calcPr calcId="124519" fullCalcOnLoad="1"/>
</workbook>
</file>

<file path=xl/styles.xml><?xml version="1.0" encoding="utf-8"?>
<styleSheet xmlns="http://schemas.openxmlformats.org/spreadsheetml/2006/main">
  <numFmts count="6">
    <numFmt numFmtId="164" formatCode="DD.MM.YYYY"/>
    <numFmt numFmtId="165" formatCode="#,##0.00;(#,##0.00);&quot;-&quot;"/>
    <numFmt numFmtId="166" formatCode="#,##0;(#,##0);&quot;-&quot;"/>
    <numFmt numFmtId="167" formatCode="0.000000"/>
    <numFmt numFmtId="168" formatCode="0.0%"/>
    <numFmt numFmtId="169" formatCode="0.00&quot; %&quot;"/>
  </numFmts>
  <fonts count="9">
    <font>
      <name val="Calibri"/>
      <family val="2"/>
      <color theme="1"/>
      <sz val="11"/>
      <scheme val="minor"/>
    </font>
    <font>
      <name val="Arial"/>
      <b val="1"/>
      <sz val="9"/>
    </font>
    <font>
      <name val="Arial"/>
      <color rgb="000000FF"/>
      <sz val="10"/>
    </font>
    <font>
      <name val="Arial"/>
      <sz val="10"/>
    </font>
    <font>
      <name val="Arial"/>
      <b val="1"/>
      <sz val="10"/>
    </font>
    <font>
      <name val="Arial"/>
      <b val="1"/>
      <sz val="12"/>
    </font>
    <font>
      <name val="Arial"/>
      <i val="1"/>
      <color rgb="00595959"/>
      <sz val="9"/>
    </font>
    <font>
      <name val="Arial"/>
      <b val="1"/>
      <i val="1"/>
      <color rgb="00404040"/>
      <sz val="9"/>
    </font>
    <font>
      <b val="1"/>
    </font>
  </fonts>
  <fills count="10">
    <fill>
      <patternFill/>
    </fill>
    <fill>
      <patternFill patternType="gray125"/>
    </fill>
    <fill>
      <patternFill patternType="solid">
        <fgColor rgb="00D9D9D9"/>
      </patternFill>
    </fill>
    <fill>
      <patternFill patternType="solid">
        <fgColor rgb="00DCE6F1"/>
      </patternFill>
    </fill>
    <fill>
      <patternFill patternType="solid">
        <fgColor rgb="00FDE9D9"/>
      </patternFill>
    </fill>
    <fill>
      <patternFill patternType="solid">
        <fgColor rgb="00EBF1DE"/>
      </patternFill>
    </fill>
    <fill>
      <patternFill patternType="solid">
        <fgColor rgb="00FFF2CC"/>
      </patternFill>
    </fill>
    <fill>
      <patternFill patternType="solid">
        <fgColor rgb="00F2F2F2"/>
      </patternFill>
    </fill>
    <fill>
      <patternFill patternType="solid">
        <fgColor rgb="00F2DCDB"/>
      </patternFill>
    </fill>
    <fill>
      <patternFill patternType="solid">
        <fgColor rgb="00FFFFCC"/>
      </patternFill>
    </fill>
  </fills>
  <borders count="12">
    <border>
      <left/>
      <right/>
      <top/>
      <bottom/>
      <diagonal/>
    </border>
    <border>
      <left style="thin">
        <color rgb="00BFBFBF"/>
      </left>
      <right style="thin">
        <color rgb="00BFBFBF"/>
      </right>
      <top style="thin">
        <color rgb="00BFBFBF"/>
      </top>
      <bottom style="thin">
        <color rgb="00BFBFBF"/>
      </bottom>
    </border>
    <border>
      <top style="thin">
        <color rgb="00000000"/>
      </top>
      <bottom style="double">
        <color rgb="00000000"/>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top style="thin">
        <color rgb="00000000"/>
      </top>
    </border>
    <border>
      <left/>
      <right/>
      <top style="thin">
        <color rgb="00BFBFBF"/>
      </top>
      <bottom style="thin">
        <color rgb="00BFBFBF"/>
      </bottom>
      <diagonal/>
    </border>
    <border>
      <left/>
      <right/>
      <top style="thin">
        <color rgb="00000000"/>
      </top>
      <bottom/>
      <diagonal/>
    </border>
    <border>
      <left/>
      <right/>
      <top style="thin">
        <color rgb="00000000"/>
      </top>
      <bottom style="double">
        <color rgb="00000000"/>
      </bottom>
      <diagonal/>
    </border>
    <border>
      <right/>
      <top style="thin">
        <color rgb="00000000"/>
      </top>
      <bottom/>
    </border>
    <border>
      <right/>
      <top style="thin">
        <color rgb="00000000"/>
      </top>
      <bottom style="double">
        <color rgb="00000000"/>
      </bottom>
    </border>
  </borders>
  <cellStyleXfs count="1">
    <xf numFmtId="0" fontId="0" fillId="0" borderId="0"/>
  </cellStyleXfs>
  <cellXfs count="104">
    <xf numFmtId="0" fontId="0" fillId="0" borderId="0" pivotButton="0" quotePrefix="0" xfId="0"/>
    <xf numFmtId="0" fontId="5" fillId="0" borderId="0" pivotButton="0" quotePrefix="0" xfId="0"/>
    <xf numFmtId="0" fontId="6" fillId="0" borderId="0" pivotButton="0" quotePrefix="0" xfId="0"/>
    <xf numFmtId="0" fontId="1" fillId="0" borderId="1" pivotButton="0" quotePrefix="0" xfId="0"/>
    <xf numFmtId="0" fontId="4" fillId="0" borderId="0" pivotButton="0" quotePrefix="0" xfId="0"/>
    <xf numFmtId="164" fontId="3" fillId="0" borderId="0" applyAlignment="1" pivotButton="0" quotePrefix="0" xfId="0">
      <alignment horizontal="center"/>
    </xf>
    <xf numFmtId="0" fontId="0" fillId="2" borderId="1" pivotButton="0" quotePrefix="0" xfId="0"/>
    <xf numFmtId="0" fontId="1" fillId="3" borderId="1" applyAlignment="1" pivotButton="0" quotePrefix="0" xfId="0">
      <alignment horizontal="center" vertical="center" wrapText="1"/>
    </xf>
    <xf numFmtId="0" fontId="0" fillId="3" borderId="1" pivotButton="0" quotePrefix="0" xfId="0"/>
    <xf numFmtId="0" fontId="1" fillId="4" borderId="1" applyAlignment="1" pivotButton="0" quotePrefix="0" xfId="0">
      <alignment horizontal="center" vertical="center" wrapText="1"/>
    </xf>
    <xf numFmtId="0" fontId="0" fillId="4" borderId="1" pivotButton="0" quotePrefix="0" xfId="0"/>
    <xf numFmtId="0" fontId="1" fillId="5" borderId="1" applyAlignment="1" pivotButton="0" quotePrefix="0" xfId="0">
      <alignment horizontal="center" vertical="center" wrapText="1"/>
    </xf>
    <xf numFmtId="0" fontId="0" fillId="5" borderId="1" pivotButton="0" quotePrefix="0" xfId="0"/>
    <xf numFmtId="0" fontId="1" fillId="6" borderId="1" applyAlignment="1" pivotButton="0" quotePrefix="0" xfId="0">
      <alignment horizontal="center" vertical="center" wrapText="1"/>
    </xf>
    <xf numFmtId="0" fontId="1" fillId="2" borderId="1" applyAlignment="1" pivotButton="0" quotePrefix="0" xfId="0">
      <alignment horizontal="center" vertical="center" wrapText="1"/>
    </xf>
    <xf numFmtId="0" fontId="7" fillId="7" borderId="1" applyAlignment="1" pivotButton="0" quotePrefix="0" xfId="0">
      <alignment horizontal="center" vertical="center" wrapText="1"/>
    </xf>
    <xf numFmtId="0" fontId="0" fillId="0" borderId="1" pivotButton="0" quotePrefix="0" xfId="0"/>
    <xf numFmtId="0" fontId="1" fillId="0" borderId="1" applyAlignment="1" pivotButton="0" quotePrefix="0" xfId="0">
      <alignment horizontal="center"/>
    </xf>
    <xf numFmtId="0" fontId="3" fillId="0" borderId="0" applyAlignment="1" pivotButton="0" quotePrefix="0" xfId="0">
      <alignment horizontal="center" vertical="top"/>
    </xf>
    <xf numFmtId="0" fontId="0" fillId="0" borderId="0" applyAlignment="1" pivotButton="0" quotePrefix="0" xfId="0">
      <alignment vertical="top" wrapText="1"/>
    </xf>
    <xf numFmtId="165" fontId="3" fillId="0" borderId="0" pivotButton="0" quotePrefix="0" xfId="0"/>
    <xf numFmtId="165" fontId="7" fillId="7" borderId="0" pivotButton="0" quotePrefix="0" xfId="0"/>
    <xf numFmtId="165" fontId="2" fillId="0" borderId="2" pivotButton="0" quotePrefix="0" xfId="0"/>
    <xf numFmtId="0" fontId="1" fillId="2" borderId="1" applyAlignment="1" pivotButton="0" quotePrefix="0" xfId="0">
      <alignment horizontal="center"/>
    </xf>
    <xf numFmtId="0" fontId="3" fillId="0" borderId="1" applyAlignment="1" pivotButton="0" quotePrefix="0" xfId="0">
      <alignment vertical="top"/>
    </xf>
    <xf numFmtId="0" fontId="3" fillId="2"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xf numFmtId="0" fontId="3" fillId="0" borderId="1" applyAlignment="1" pivotButton="0" quotePrefix="1" xfId="0">
      <alignment vertical="top"/>
    </xf>
    <xf numFmtId="0" fontId="3" fillId="4" borderId="1" applyAlignment="1" pivotButton="0" quotePrefix="0" xfId="0">
      <alignment vertical="top"/>
    </xf>
    <xf numFmtId="0" fontId="3" fillId="5" borderId="1" applyAlignment="1" pivotButton="0" quotePrefix="0" xfId="0">
      <alignment vertical="top"/>
    </xf>
    <xf numFmtId="0" fontId="3" fillId="6" borderId="1" applyAlignment="1" pivotButton="0" quotePrefix="0" xfId="0">
      <alignment vertical="top"/>
    </xf>
    <xf numFmtId="0" fontId="3" fillId="0" borderId="0" pivotButton="0" quotePrefix="0" xfId="0"/>
    <xf numFmtId="0" fontId="2" fillId="0" borderId="1" pivotButton="0" quotePrefix="0" xfId="0"/>
    <xf numFmtId="164" fontId="2" fillId="0" borderId="1" pivotButton="0" quotePrefix="0" xfId="0"/>
    <xf numFmtId="166" fontId="2" fillId="0" borderId="1" pivotButton="0" quotePrefix="0" xfId="0"/>
    <xf numFmtId="165" fontId="2" fillId="0" borderId="1" pivotButton="0" quotePrefix="0" xfId="0"/>
    <xf numFmtId="165" fontId="3" fillId="0" borderId="1" pivotButton="0" quotePrefix="0" xfId="0"/>
    <xf numFmtId="0" fontId="4" fillId="0" borderId="0" applyAlignment="1" pivotButton="0" quotePrefix="0" xfId="0">
      <alignment horizontal="center"/>
    </xf>
    <xf numFmtId="0" fontId="1" fillId="2" borderId="1" applyAlignment="1" pivotButton="0" quotePrefix="0" xfId="0">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1" fillId="3" borderId="1" applyAlignment="1" pivotButton="0" quotePrefix="0" xfId="0">
      <alignment vertical="center" wrapText="1"/>
    </xf>
    <xf numFmtId="0" fontId="1" fillId="0" borderId="0" pivotButton="0" quotePrefix="0" xfId="0"/>
    <xf numFmtId="0" fontId="3" fillId="9" borderId="1" pivotButton="0" quotePrefix="0" xfId="0"/>
    <xf numFmtId="164" fontId="3" fillId="9" borderId="1" pivotButton="0" quotePrefix="0" xfId="0"/>
    <xf numFmtId="165" fontId="3" fillId="9" borderId="1" pivotButton="0" quotePrefix="0" xfId="0"/>
    <xf numFmtId="166" fontId="3" fillId="9" borderId="1" pivotButton="0" quotePrefix="0" xfId="0"/>
    <xf numFmtId="167" fontId="3" fillId="9" borderId="1" pivotButton="0" quotePrefix="0" xfId="0"/>
    <xf numFmtId="0" fontId="1" fillId="8" borderId="1" applyAlignment="1" pivotButton="0" quotePrefix="0" xfId="0">
      <alignment vertical="center" wrapText="1"/>
    </xf>
    <xf numFmtId="0" fontId="3" fillId="0" borderId="1" pivotButton="0" quotePrefix="0" xfId="0"/>
    <xf numFmtId="0" fontId="1" fillId="2" borderId="0" pivotButton="0" quotePrefix="0" xfId="0"/>
    <xf numFmtId="0" fontId="1" fillId="8" borderId="1" applyAlignment="1" pivotButton="0" quotePrefix="0" xfId="0">
      <alignment horizontal="center" vertical="center" wrapText="1"/>
    </xf>
    <xf numFmtId="0" fontId="1" fillId="7" borderId="1" applyAlignment="1" pivotButton="0" quotePrefix="0" xfId="0">
      <alignment horizontal="center" vertical="center" wrapText="1"/>
    </xf>
    <xf numFmtId="0" fontId="4" fillId="0" borderId="1" applyAlignment="1" pivotButton="0" quotePrefix="0" xfId="0">
      <alignment horizontal="center"/>
    </xf>
    <xf numFmtId="165" fontId="4" fillId="0" borderId="1" pivotButton="0" quotePrefix="0" xfId="0"/>
    <xf numFmtId="0" fontId="3" fillId="0" borderId="1" applyAlignment="1" pivotButton="0" quotePrefix="0" xfId="0">
      <alignment wrapText="1" indent="2"/>
    </xf>
    <xf numFmtId="168" fontId="3" fillId="0" borderId="1" pivotButton="0" quotePrefix="0" xfId="0"/>
    <xf numFmtId="0" fontId="4" fillId="7" borderId="6" pivotButton="0" quotePrefix="0" xfId="0"/>
    <xf numFmtId="165" fontId="4" fillId="7" borderId="6" pivotButton="0" quotePrefix="0" xfId="0"/>
    <xf numFmtId="168" fontId="4" fillId="7" borderId="6" pivotButton="0" quotePrefix="0" xfId="0"/>
    <xf numFmtId="0" fontId="3" fillId="0" borderId="1" applyAlignment="1" pivotButton="0" quotePrefix="0" xfId="0">
      <alignment wrapText="1" indent="3"/>
    </xf>
    <xf numFmtId="0" fontId="3" fillId="0" borderId="1" applyAlignment="1" pivotButton="0" quotePrefix="0" xfId="0">
      <alignment wrapText="1" indent="1"/>
    </xf>
    <xf numFmtId="0" fontId="3" fillId="0" borderId="1" applyAlignment="1" pivotButton="0" quotePrefix="0" xfId="0">
      <alignment wrapText="1"/>
    </xf>
    <xf numFmtId="0" fontId="4" fillId="7" borderId="2" pivotButton="0" quotePrefix="0" xfId="0"/>
    <xf numFmtId="165" fontId="4" fillId="7" borderId="2" pivotButton="0" quotePrefix="0" xfId="0"/>
    <xf numFmtId="168" fontId="4" fillId="7" borderId="2" pivotButton="0" quotePrefix="0" xfId="0"/>
    <xf numFmtId="165" fontId="4" fillId="0" borderId="0" pivotButton="0" quotePrefix="0" xfId="0"/>
    <xf numFmtId="0" fontId="3" fillId="0" borderId="2" pivotButton="0" quotePrefix="0" xfId="0"/>
    <xf numFmtId="0" fontId="3" fillId="0" borderId="2" applyAlignment="1" pivotButton="0" quotePrefix="0" xfId="0">
      <alignment wrapText="1"/>
    </xf>
    <xf numFmtId="165" fontId="3" fillId="0" borderId="2" pivotButton="0" quotePrefix="0" xfId="0"/>
    <xf numFmtId="168" fontId="3" fillId="0" borderId="2" pivotButton="0" quotePrefix="0" xfId="0"/>
    <xf numFmtId="0" fontId="1" fillId="2" borderId="1" applyAlignment="1" pivotButton="0" quotePrefix="0" xfId="0">
      <alignment horizontal="center" wrapText="1"/>
    </xf>
    <xf numFmtId="0" fontId="3" fillId="8" borderId="1" applyAlignment="1" pivotButton="0" quotePrefix="0" xfId="0">
      <alignment vertical="top"/>
    </xf>
    <xf numFmtId="0" fontId="3" fillId="7" borderId="1" applyAlignment="1" pivotButton="0" quotePrefix="0" xfId="0">
      <alignment vertical="top"/>
    </xf>
    <xf numFmtId="0" fontId="3" fillId="0" borderId="0" applyAlignment="1" pivotButton="0" quotePrefix="0" xfId="0">
      <alignment vertical="top" wrapText="1"/>
    </xf>
    <xf numFmtId="0" fontId="1" fillId="2" borderId="1" pivotButton="0" quotePrefix="0" xfId="0"/>
    <xf numFmtId="0" fontId="0" fillId="0" borderId="7" pivotButton="0" quotePrefix="0" xfId="0"/>
    <xf numFmtId="0" fontId="0" fillId="0" borderId="5" pivotButton="0" quotePrefix="0" xfId="0"/>
    <xf numFmtId="165" fontId="3" fillId="0" borderId="0" pivotButton="0" quotePrefix="0" xfId="0"/>
    <xf numFmtId="165" fontId="7" fillId="7" borderId="0" pivotButton="0" quotePrefix="0" xfId="0"/>
    <xf numFmtId="165" fontId="2" fillId="0" borderId="2" pivotButton="0" quotePrefix="0" xfId="0"/>
    <xf numFmtId="166" fontId="2" fillId="0" borderId="1" pivotButton="0" quotePrefix="0" xfId="0"/>
    <xf numFmtId="165" fontId="2" fillId="0" borderId="1" pivotButton="0" quotePrefix="0" xfId="0"/>
    <xf numFmtId="165" fontId="3" fillId="0" borderId="1" pivotButton="0" quotePrefix="0" xfId="0"/>
    <xf numFmtId="165" fontId="3" fillId="9" borderId="1" pivotButton="0" quotePrefix="0" xfId="0"/>
    <xf numFmtId="166" fontId="3" fillId="9" borderId="1" pivotButton="0" quotePrefix="0" xfId="0"/>
    <xf numFmtId="167" fontId="3" fillId="9" borderId="1" pivotButton="0" quotePrefix="0" xfId="0"/>
    <xf numFmtId="169" fontId="3" fillId="9" borderId="1" pivotButton="0" quotePrefix="0" xfId="0"/>
    <xf numFmtId="166" fontId="3" fillId="0" borderId="1" pivotButton="0" quotePrefix="0" xfId="0"/>
    <xf numFmtId="165" fontId="4" fillId="0" borderId="1" pivotButton="0" quotePrefix="0" xfId="0"/>
    <xf numFmtId="168" fontId="3" fillId="0" borderId="1" pivotButton="0" quotePrefix="0" xfId="0"/>
    <xf numFmtId="0" fontId="4" fillId="7" borderId="10" pivotButton="0" quotePrefix="0" xfId="0"/>
    <xf numFmtId="0" fontId="0" fillId="0" borderId="8" pivotButton="0" quotePrefix="0" xfId="0"/>
    <xf numFmtId="165" fontId="4" fillId="7" borderId="6" pivotButton="0" quotePrefix="0" xfId="0"/>
    <xf numFmtId="168" fontId="4" fillId="7" borderId="6" pivotButton="0" quotePrefix="0" xfId="0"/>
    <xf numFmtId="0" fontId="4" fillId="7" borderId="11" pivotButton="0" quotePrefix="0" xfId="0"/>
    <xf numFmtId="0" fontId="0" fillId="0" borderId="9" pivotButton="0" quotePrefix="0" xfId="0"/>
    <xf numFmtId="165" fontId="4" fillId="7" borderId="2" pivotButton="0" quotePrefix="0" xfId="0"/>
    <xf numFmtId="168" fontId="4" fillId="7" borderId="2" pivotButton="0" quotePrefix="0" xfId="0"/>
    <xf numFmtId="165" fontId="4" fillId="0" borderId="0" pivotButton="0" quotePrefix="0" xfId="0"/>
    <xf numFmtId="165" fontId="3" fillId="0" borderId="2" pivotButton="0" quotePrefix="0" xfId="0"/>
    <xf numFmtId="168" fontId="3" fillId="0" borderId="2"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comments/comment1.xml><?xml version="1.0" encoding="utf-8"?>
<comments xmlns="http://schemas.openxmlformats.org/spreadsheetml/2006/main">
  <authors>
    <author>Datenübernahme</author>
  </authors>
  <commentList>
    <comment ref="D8" authorId="0" shapeId="0">
      <text>
        <t>Quelle: f08_excel_spiegel_2y_02.pdf, Seite 1, Box [258.7, 108.56, 287.61, 115.06] · gedruckt '32.224,17'</t>
      </text>
    </comment>
    <comment ref="E8" authorId="0" shapeId="0">
      <text>
        <t>Quelle: f08_excel_spiegel_2y_02.pdf, Seite 1, Box [299.84, 108.56, 325.14, 115.06] · gedruckt '3.365,35'</t>
      </text>
    </comment>
    <comment ref="F8" authorId="0" shapeId="0">
      <text>
        <t>Quelle: f08_excel_spiegel_2y_02.pdf, Seite 1, Box [330.14, 108.56, 359.05, 115.06] · leer gedruckt (= 0)</t>
      </text>
    </comment>
    <comment ref="G8" authorId="0" shapeId="0">
      <text>
        <t>Quelle: f08_excel_spiegel_2y_02.pdf, Seite 1, Box [374.86, 108.56, 409.55, 115.06] · leer gedruckt (= 0)</t>
      </text>
    </comment>
    <comment ref="I8" authorId="0" shapeId="0">
      <text>
        <t>Quelle: f08_excel_spiegel_2y_02.pdf, Seite 1, Box [428.58, 108.56, 457.5, 115.06] · gedruckt '35.589,52'</t>
      </text>
    </comment>
    <comment ref="J8" authorId="0" shapeId="0">
      <text>
        <t>Quelle: f08_excel_spiegel_2y_02.pdf, Seite 1, Box [471.11, 108.56, 500.02, 115.06] · gedruckt '32.221,17'</t>
      </text>
    </comment>
    <comment ref="L8" authorId="0" shapeId="0">
      <text>
        <t>Quelle: f08_excel_spiegel_2y_02.pdf, Seite 1, Box [514.06, 108.56, 533.93, 115.06] · gedruckt '504,80'</t>
      </text>
    </comment>
    <comment ref="N8" authorId="0" shapeId="0">
      <text>
        <t>Quelle: f08_excel_spiegel_2y_02.pdf, Seite 1, Box [538.93, 108.56, 567.85, 115.06] · leer gedruckt (= 0)</t>
      </text>
    </comment>
    <comment ref="R8" authorId="0" shapeId="0">
      <text>
        <t>Quelle: f08_excel_spiegel_2y_02.pdf, Seite 1, Box [576.46, 108.56, 605.37, 115.06] · gedruckt '32.725,97'</t>
      </text>
    </comment>
    <comment ref="S8" authorId="0" shapeId="0">
      <text>
        <t>Quelle: f08_excel_spiegel_2y_02.pdf, Seite 1, Box [628.02, 108.56, 653.32, 115.06] · gedruckt '2.863,55'</t>
      </text>
    </comment>
    <comment ref="T8" authorId="0" shapeId="0">
      <text>
        <t>Quelle: f08_excel_spiegel_2y_02.pdf, Seite 1, Box [678.2, 108.56, 690.85, 115.06] · gedruckt '3,00'</t>
      </text>
    </comment>
    <comment ref="D9" authorId="0" shapeId="0">
      <text>
        <t>Quelle: f08_excel_spiegel_2y_02.pdf, Seite 1, Box [258.7, 117.33, 287.61, 123.83] · gedruckt '32.224,17'</t>
      </text>
    </comment>
    <comment ref="E9" authorId="0" shapeId="0">
      <text>
        <t>Quelle: f08_excel_spiegel_2y_02.pdf, Seite 1, Box [299.84, 117.33, 325.14, 123.83] · gedruckt '3.365,35'</t>
      </text>
    </comment>
    <comment ref="F9" authorId="0" shapeId="0">
      <text>
        <t>Quelle: f08_excel_spiegel_2y_02.pdf, Seite 1, Box [346.4, 117.33, 359.05, 123.83] · gedruckt '0,00'</t>
      </text>
    </comment>
    <comment ref="G9" authorId="0" shapeId="0">
      <text>
        <t>Quelle: f08_excel_spiegel_2y_02.pdf, Seite 1, Box [396.9, 117.33, 409.55, 123.83] · gedruckt '0,00'</t>
      </text>
    </comment>
    <comment ref="I9" authorId="0" shapeId="0">
      <text>
        <t>Quelle: f08_excel_spiegel_2y_02.pdf, Seite 1, Box [428.58, 117.33, 457.5, 123.83] · gedruckt '35.589,52'</t>
      </text>
    </comment>
    <comment ref="J9" authorId="0" shapeId="0">
      <text>
        <t>Quelle: f08_excel_spiegel_2y_02.pdf, Seite 1, Box [471.11, 117.33, 500.02, 123.83] · gedruckt '32.221,17'</t>
      </text>
    </comment>
    <comment ref="L9" authorId="0" shapeId="0">
      <text>
        <t>Quelle: f08_excel_spiegel_2y_02.pdf, Seite 1, Box [514.06, 117.33, 533.93, 123.83] · gedruckt '504,80'</t>
      </text>
    </comment>
    <comment ref="N9" authorId="0" shapeId="0">
      <text>
        <t>Quelle: f08_excel_spiegel_2y_02.pdf, Seite 1, Box [555.2, 117.33, 567.85, 123.83] · gedruckt '0,00'</t>
      </text>
    </comment>
    <comment ref="R9" authorId="0" shapeId="0">
      <text>
        <t>Quelle: f08_excel_spiegel_2y_02.pdf, Seite 1, Box [576.46, 117.33, 605.37, 123.83] · gedruckt '32.725,97'</t>
      </text>
    </comment>
    <comment ref="S9" authorId="0" shapeId="0">
      <text>
        <t>Quelle: f08_excel_spiegel_2y_02.pdf, Seite 1, Box [628.02, 117.33, 653.32, 123.83] · gedruckt '2.863,55'</t>
      </text>
    </comment>
    <comment ref="T9" authorId="0" shapeId="0">
      <text>
        <t>Quelle: f08_excel_spiegel_2y_02.pdf, Seite 1, Box [678.2, 117.33, 690.85, 123.83] · gedruckt '3,00'</t>
      </text>
    </comment>
    <comment ref="D10" authorId="0" shapeId="0">
      <text>
        <t>Quelle: f08_excel_spiegel_2y_02.pdf, Seite 1, Box [255.09, 152.43, 287.61, 158.93] · gedruckt '174.109,03'</t>
      </text>
    </comment>
    <comment ref="E10" authorId="0" shapeId="0">
      <text>
        <t>Quelle: f08_excel_spiegel_2y_02.pdf, Seite 1, Box [292.61, 152.43, 325.14, 158.93] · leer gedruckt (= 0)</t>
      </text>
    </comment>
    <comment ref="F10" authorId="0" shapeId="0">
      <text>
        <t>Quelle: f08_excel_spiegel_2y_02.pdf, Seite 1, Box [330.14, 152.43, 359.05, 158.93] · leer gedruckt (= 0)</t>
      </text>
    </comment>
    <comment ref="G10" authorId="0" shapeId="0">
      <text>
        <t>Quelle: f08_excel_spiegel_2y_02.pdf, Seite 1, Box [374.86, 152.43, 409.55, 158.93] · leer gedruckt (= 0)</t>
      </text>
    </comment>
    <comment ref="I10" authorId="0" shapeId="0">
      <text>
        <t>Quelle: f08_excel_spiegel_2y_02.pdf, Seite 1, Box [424.97, 152.43, 457.5, 158.93] · gedruckt '174.109,03'</t>
      </text>
    </comment>
    <comment ref="J10" authorId="0" shapeId="0">
      <text>
        <t>Quelle: f08_excel_spiegel_2y_02.pdf, Seite 1, Box [467.5, 152.43, 500.02, 158.93] · leer gedruckt (= 0)</t>
      </text>
    </comment>
    <comment ref="L10" authorId="0" shapeId="0">
      <text>
        <t>Quelle: f08_excel_spiegel_2y_02.pdf, Seite 1, Box [505.02, 152.43, 533.93, 158.93] · leer gedruckt (= 0)</t>
      </text>
    </comment>
    <comment ref="N10" authorId="0" shapeId="0">
      <text>
        <t>Quelle: f08_excel_spiegel_2y_02.pdf, Seite 1, Box [538.93, 152.43, 567.85, 158.93] · leer gedruckt (= 0)</t>
      </text>
    </comment>
    <comment ref="R10" authorId="0" shapeId="0">
      <text>
        <t>Quelle: f08_excel_spiegel_2y_02.pdf, Seite 1, Box [592.72, 152.43, 605.37, 158.93] · gedruckt '0,00'</t>
      </text>
    </comment>
    <comment ref="S10" authorId="0" shapeId="0">
      <text>
        <t>Quelle: f08_excel_spiegel_2y_02.pdf, Seite 1, Box [620.79, 152.43, 653.32, 158.93] · gedruckt '174.109,03'</t>
      </text>
    </comment>
    <comment ref="T10" authorId="0" shapeId="0">
      <text>
        <t>Quelle: f08_excel_spiegel_2y_02.pdf, Seite 1, Box [658.32, 152.43, 690.85, 158.93] · gedruckt '174.109,03'</t>
      </text>
    </comment>
    <comment ref="D11" authorId="0" shapeId="0">
      <text>
        <t>Quelle: f08_excel_spiegel_2y_02.pdf, Seite 1, Box [255.09, 161.21, 287.61, 167.71] · gedruckt '294.422,00'</t>
      </text>
    </comment>
    <comment ref="E11" authorId="0" shapeId="0">
      <text>
        <t>Quelle: f08_excel_spiegel_2y_02.pdf, Seite 1, Box [292.61, 161.21, 325.14, 167.71] · gedruckt '405.676,46'</t>
      </text>
    </comment>
    <comment ref="F11" authorId="0" shapeId="0">
      <text>
        <t>Quelle: f08_excel_spiegel_2y_02.pdf, Seite 1, Box [330.14, 161.21, 359.05, 167.71] · leer gedruckt (= 0)</t>
      </text>
    </comment>
    <comment ref="G11" authorId="0" shapeId="0">
      <text>
        <t>Quelle: f08_excel_spiegel_2y_02.pdf, Seite 1, Box [377.02, 161.21, 409.55, 167.71] · gedruckt '306.596,84'</t>
      </text>
    </comment>
    <comment ref="I11" authorId="0" shapeId="0">
      <text>
        <t>Quelle: f08_excel_spiegel_2y_02.pdf, Seite 1, Box [419.55, 161.21, 457.5, 167.71] · gedruckt '1.006.695,30'</t>
      </text>
    </comment>
    <comment ref="J11" authorId="0" shapeId="0">
      <text>
        <t>Quelle: f08_excel_spiegel_2y_02.pdf, Seite 1, Box [467.5, 161.21, 500.02, 167.71] · gedruckt '267.703,00'</t>
      </text>
    </comment>
    <comment ref="L11" authorId="0" shapeId="0">
      <text>
        <t>Quelle: f08_excel_spiegel_2y_02.pdf, Seite 1, Box [505.02, 161.21, 533.93, 167.71] · gedruckt '63.175,82'</t>
      </text>
    </comment>
    <comment ref="N11" authorId="0" shapeId="0">
      <text>
        <t>Quelle: f08_excel_spiegel_2y_02.pdf, Seite 1, Box [538.93, 161.21, 567.85, 167.71] · leer gedruckt (= 0)</t>
      </text>
    </comment>
    <comment ref="R11" authorId="0" shapeId="0">
      <text>
        <t>Quelle: f08_excel_spiegel_2y_02.pdf, Seite 1, Box [572.85, 161.21, 605.37, 167.71] · gedruckt '330.878,82'</t>
      </text>
    </comment>
    <comment ref="S11" authorId="0" shapeId="0">
      <text>
        <t>Quelle: f08_excel_spiegel_2y_02.pdf, Seite 1, Box [620.79, 161.21, 653.32, 167.71] · gedruckt '675.816,48'</t>
      </text>
    </comment>
    <comment ref="T11" authorId="0" shapeId="0">
      <text>
        <t>Quelle: f08_excel_spiegel_2y_02.pdf, Seite 1, Box [661.93, 161.21, 690.85, 167.71] · gedruckt '26.719,00'</t>
      </text>
    </comment>
    <comment ref="D12" authorId="0" shapeId="0">
      <text>
        <t>Quelle: f08_excel_spiegel_2y_02.pdf, Seite 1, Box [255.09, 169.98, 287.61, 176.48] · gedruckt '215.382,67'</t>
      </text>
    </comment>
    <comment ref="E12" authorId="0" shapeId="0">
      <text>
        <t>Quelle: f08_excel_spiegel_2y_02.pdf, Seite 1, Box [296.23, 169.98, 325.14, 176.48] · gedruckt '77.362,60'</t>
      </text>
    </comment>
    <comment ref="F12" authorId="0" shapeId="0">
      <text>
        <t>Quelle: f08_excel_spiegel_2y_02.pdf, Seite 1, Box [330.14, 169.98, 359.05, 176.48] · gedruckt '53.142,00'</t>
      </text>
    </comment>
    <comment ref="G12" authorId="0" shapeId="0">
      <text>
        <t>Quelle: f08_excel_spiegel_2y_02.pdf, Seite 1, Box [374.86, 169.98, 409.55, 176.48] · leer gedruckt (= 0)</t>
      </text>
    </comment>
    <comment ref="I12" authorId="0" shapeId="0">
      <text>
        <t>Quelle: f08_excel_spiegel_2y_02.pdf, Seite 1, Box [424.97, 169.98, 457.5, 176.48] · gedruckt '239.603,27'</t>
      </text>
    </comment>
    <comment ref="J12" authorId="0" shapeId="0">
      <text>
        <t>Quelle: f08_excel_spiegel_2y_02.pdf, Seite 1, Box [467.5, 169.98, 500.02, 176.48] · gedruckt '170.104,68'</t>
      </text>
    </comment>
    <comment ref="L12" authorId="0" shapeId="0">
      <text>
        <t>Quelle: f08_excel_spiegel_2y_02.pdf, Seite 1, Box [505.02, 169.98, 533.93, 176.48] · gedruckt '16.046,68'</t>
      </text>
    </comment>
    <comment ref="N12" authorId="0" shapeId="0">
      <text>
        <t>Quelle: f08_excel_spiegel_2y_02.pdf, Seite 1, Box [538.93, 169.98, 567.85, 176.48] · gedruckt '42.808,83'</t>
      </text>
    </comment>
    <comment ref="R12" authorId="0" shapeId="0">
      <text>
        <t>Quelle: f08_excel_spiegel_2y_02.pdf, Seite 1, Box [572.85, 169.98, 605.37, 176.48] · gedruckt '143.342,53'</t>
      </text>
    </comment>
    <comment ref="S12" authorId="0" shapeId="0">
      <text>
        <t>Quelle: f08_excel_spiegel_2y_02.pdf, Seite 1, Box [624.41, 169.98, 653.32, 176.48] · gedruckt '96.260,74'</t>
      </text>
    </comment>
    <comment ref="T12" authorId="0" shapeId="0">
      <text>
        <t>Quelle: f08_excel_spiegel_2y_02.pdf, Seite 1, Box [661.93, 169.98, 690.85, 176.48] · gedruckt '45.277,99'</t>
      </text>
    </comment>
    <comment ref="D13" authorId="0" shapeId="0">
      <text>
        <t>Quelle: f08_excel_spiegel_2y_02.pdf, Seite 1, Box [255.09, 178.76, 287.61, 185.26] · gedruckt '256.915,17'</t>
      </text>
    </comment>
    <comment ref="E13" authorId="0" shapeId="0">
      <text>
        <t>Quelle: f08_excel_spiegel_2y_02.pdf, Seite 1, Box [296.23, 178.76, 325.14, 185.26] · gedruckt '78.541,67'</t>
      </text>
    </comment>
    <comment ref="F13" authorId="0" shapeId="0">
      <text>
        <t>Quelle: f08_excel_spiegel_2y_02.pdf, Seite 1, Box [330.14, 178.76, 359.05, 185.26] · leer gedruckt (= 0)</t>
      </text>
    </comment>
    <comment ref="G13" authorId="0" shapeId="0">
      <text>
        <t>Quelle: f08_excel_spiegel_2y_02.pdf, Seite 1, Box [374.86, 178.76, 409.55, 185.26] · gedruckt '-306.596,84'</t>
      </text>
    </comment>
    <comment ref="I13" authorId="0" shapeId="0">
      <text>
        <t>Quelle: f08_excel_spiegel_2y_02.pdf, Seite 1, Box [428.58, 178.76, 457.5, 185.26] · gedruckt '28.860,00'</t>
      </text>
    </comment>
    <comment ref="J13" authorId="0" shapeId="0">
      <text>
        <t>Quelle: f08_excel_spiegel_2y_02.pdf, Seite 1, Box [467.5, 178.76, 500.02, 185.26] · leer gedruckt (= 0)</t>
      </text>
    </comment>
    <comment ref="L13" authorId="0" shapeId="0">
      <text>
        <t>Quelle: f08_excel_spiegel_2y_02.pdf, Seite 1, Box [505.02, 178.76, 533.93, 185.26] · leer gedruckt (= 0)</t>
      </text>
    </comment>
    <comment ref="N13" authorId="0" shapeId="0">
      <text>
        <t>Quelle: f08_excel_spiegel_2y_02.pdf, Seite 1, Box [538.93, 178.76, 567.85, 185.26] · leer gedruckt (= 0)</t>
      </text>
    </comment>
    <comment ref="R13" authorId="0" shapeId="0">
      <text>
        <t>Quelle: f08_excel_spiegel_2y_02.pdf, Seite 1, Box [592.72, 178.76, 605.37, 185.26] · gedruckt '0,00'</t>
      </text>
    </comment>
    <comment ref="S13" authorId="0" shapeId="0">
      <text>
        <t>Quelle: f08_excel_spiegel_2y_02.pdf, Seite 1, Box [624.41, 178.76, 653.32, 185.26] · gedruckt '28.860,00'</t>
      </text>
    </comment>
    <comment ref="T13" authorId="0" shapeId="0">
      <text>
        <t>Quelle: f08_excel_spiegel_2y_02.pdf, Seite 1, Box [658.32, 178.76, 690.85, 185.26] · gedruckt '256.915,17'</t>
      </text>
    </comment>
    <comment ref="D14" authorId="0" shapeId="0">
      <text>
        <t>Quelle: f08_excel_spiegel_2y_02.pdf, Seite 1, Box [255.09, 187.53, 287.61, 194.03] · gedruckt '940.828,87'</t>
      </text>
    </comment>
    <comment ref="E14" authorId="0" shapeId="0">
      <text>
        <t>Quelle: f08_excel_spiegel_2y_02.pdf, Seite 1, Box [292.61, 187.53, 325.14, 194.03] · gedruckt '561.580,73'</t>
      </text>
    </comment>
    <comment ref="F14" authorId="0" shapeId="0">
      <text>
        <t>Quelle: f08_excel_spiegel_2y_02.pdf, Seite 1, Box [330.14, 187.53, 359.05, 194.03] · gedruckt '53.142,00'</t>
      </text>
    </comment>
    <comment ref="G14" authorId="0" shapeId="0">
      <text>
        <t>Quelle: f08_excel_spiegel_2y_02.pdf, Seite 1, Box [396.9, 187.53, 409.55, 194.03] · gedruckt '0,00'</t>
      </text>
    </comment>
    <comment ref="I14" authorId="0" shapeId="0">
      <text>
        <t>Quelle: f08_excel_spiegel_2y_02.pdf, Seite 1, Box [419.55, 187.53, 457.5, 194.03] · gedruckt '1.449.267,60'</t>
      </text>
    </comment>
    <comment ref="J14" authorId="0" shapeId="0">
      <text>
        <t>Quelle: f08_excel_spiegel_2y_02.pdf, Seite 1, Box [467.5, 187.53, 500.02, 194.03] · gedruckt '437.807,68'</t>
      </text>
    </comment>
    <comment ref="L14" authorId="0" shapeId="0">
      <text>
        <t>Quelle: f08_excel_spiegel_2y_02.pdf, Seite 1, Box [505.02, 187.53, 533.93, 194.03] · gedruckt '79.222,50'</t>
      </text>
    </comment>
    <comment ref="N14" authorId="0" shapeId="0">
      <text>
        <t>Quelle: f08_excel_spiegel_2y_02.pdf, Seite 1, Box [538.93, 187.53, 567.85, 194.03] · gedruckt '42.808,83'</t>
      </text>
    </comment>
    <comment ref="R14" authorId="0" shapeId="0">
      <text>
        <t>Quelle: f08_excel_spiegel_2y_02.pdf, Seite 1, Box [572.85, 187.53, 605.37, 194.03] · gedruckt '474.221,35'</t>
      </text>
    </comment>
    <comment ref="S14" authorId="0" shapeId="0">
      <text>
        <t>Quelle: f08_excel_spiegel_2y_02.pdf, Seite 1, Box [620.79, 187.53, 653.32, 194.03] · gedruckt '975.046,25'</t>
      </text>
    </comment>
    <comment ref="T14" authorId="0" shapeId="0">
      <text>
        <t>Quelle: f08_excel_spiegel_2y_02.pdf, Seite 1, Box [658.32, 187.53, 690.85, 194.03] · gedruckt '503.021,19'</t>
      </text>
    </comment>
    <comment ref="D15" authorId="0" shapeId="0">
      <text>
        <t>Quelle: f08_excel_spiegel_2y_02.pdf, Seite 1, Box [255.09, 222.63, 287.61, 229.13] · gedruckt '198.342,46'</t>
      </text>
    </comment>
    <comment ref="E15" authorId="0" shapeId="0">
      <text>
        <t>Quelle: f08_excel_spiegel_2y_02.pdf, Seite 1, Box [292.61, 222.63, 325.14, 229.13] · leer gedruckt (= 0)</t>
      </text>
    </comment>
    <comment ref="F15" authorId="0" shapeId="0">
      <text>
        <t>Quelle: f08_excel_spiegel_2y_02.pdf, Seite 1, Box [330.14, 222.63, 359.05, 229.13] · leer gedruckt (= 0)</t>
      </text>
    </comment>
    <comment ref="G15" authorId="0" shapeId="0">
      <text>
        <t>Quelle: f08_excel_spiegel_2y_02.pdf, Seite 1, Box [374.86, 222.63, 409.55, 229.13] · leer gedruckt (= 0)</t>
      </text>
    </comment>
    <comment ref="I15" authorId="0" shapeId="0">
      <text>
        <t>Quelle: f08_excel_spiegel_2y_02.pdf, Seite 1, Box [424.97, 222.63, 457.5, 229.13] · gedruckt '198.342,46'</t>
      </text>
    </comment>
    <comment ref="J15" authorId="0" shapeId="0">
      <text>
        <t>Quelle: f08_excel_spiegel_2y_02.pdf, Seite 1, Box [474.72, 222.63, 500.02, 229.13] · gedruckt '2.133,10'</t>
      </text>
    </comment>
    <comment ref="L15" authorId="0" shapeId="0">
      <text>
        <t>Quelle: f08_excel_spiegel_2y_02.pdf, Seite 1, Box [505.02, 222.63, 533.93, 229.13] · leer gedruckt (= 0)</t>
      </text>
    </comment>
    <comment ref="N15" authorId="0" shapeId="0">
      <text>
        <t>Quelle: f08_excel_spiegel_2y_02.pdf, Seite 1, Box [538.93, 222.63, 567.85, 229.13] · leer gedruckt (= 0)</t>
      </text>
    </comment>
    <comment ref="R15" authorId="0" shapeId="0">
      <text>
        <t>Quelle: f08_excel_spiegel_2y_02.pdf, Seite 1, Box [580.07, 222.63, 605.37, 229.13] · gedruckt '2.133,10'</t>
      </text>
    </comment>
    <comment ref="S15" authorId="0" shapeId="0">
      <text>
        <t>Quelle: f08_excel_spiegel_2y_02.pdf, Seite 1, Box [620.79, 222.63, 653.32, 229.13] · gedruckt '196.209,36'</t>
      </text>
    </comment>
    <comment ref="T15" authorId="0" shapeId="0">
      <text>
        <t>Quelle: f08_excel_spiegel_2y_02.pdf, Seite 1, Box [658.32, 222.63, 690.85, 229.13] · gedruckt '196.209,36'</t>
      </text>
    </comment>
    <comment ref="D16" authorId="0" shapeId="0">
      <text>
        <t>Quelle: f08_excel_spiegel_2y_02.pdf, Seite 1, Box [255.09, 231.41, 287.61, 237.91] · gedruckt '198.342,46'</t>
      </text>
    </comment>
    <comment ref="E16" authorId="0" shapeId="0">
      <text>
        <t>Quelle: f08_excel_spiegel_2y_02.pdf, Seite 1, Box [312.49, 231.41, 325.14, 237.91] · gedruckt '0,00'</t>
      </text>
    </comment>
    <comment ref="F16" authorId="0" shapeId="0">
      <text>
        <t>Quelle: f08_excel_spiegel_2y_02.pdf, Seite 1, Box [346.4, 231.41, 359.05, 237.91] · gedruckt '0,00'</t>
      </text>
    </comment>
    <comment ref="G16" authorId="0" shapeId="0">
      <text>
        <t>Quelle: f08_excel_spiegel_2y_02.pdf, Seite 1, Box [396.9, 231.41, 409.55, 237.91] · gedruckt '0,00'</t>
      </text>
    </comment>
    <comment ref="I16" authorId="0" shapeId="0">
      <text>
        <t>Quelle: f08_excel_spiegel_2y_02.pdf, Seite 1, Box [424.97, 231.41, 457.5, 237.91] · gedruckt '198.342,46'</t>
      </text>
    </comment>
    <comment ref="J16" authorId="0" shapeId="0">
      <text>
        <t>Quelle: f08_excel_spiegel_2y_02.pdf, Seite 1, Box [474.72, 231.41, 500.02, 237.91] · gedruckt '2.133,10'</t>
      </text>
    </comment>
    <comment ref="L16" authorId="0" shapeId="0">
      <text>
        <t>Quelle: f08_excel_spiegel_2y_02.pdf, Seite 1, Box [521.29, 231.41, 533.93, 237.91] · gedruckt '0,00'</t>
      </text>
    </comment>
    <comment ref="N16" authorId="0" shapeId="0">
      <text>
        <t>Quelle: f08_excel_spiegel_2y_02.pdf, Seite 1, Box [555.2, 231.41, 567.85, 237.91] · gedruckt '0,00'</t>
      </text>
    </comment>
    <comment ref="R16" authorId="0" shapeId="0">
      <text>
        <t>Quelle: f08_excel_spiegel_2y_02.pdf, Seite 1, Box [580.07, 231.41, 605.37, 237.91] · gedruckt '2.133,10'</t>
      </text>
    </comment>
    <comment ref="S16" authorId="0" shapeId="0">
      <text>
        <t>Quelle: f08_excel_spiegel_2y_02.pdf, Seite 1, Box [620.79, 231.41, 653.32, 237.91] · gedruckt '196.209,36'</t>
      </text>
    </comment>
    <comment ref="T16" authorId="0" shapeId="0">
      <text>
        <t>Quelle: f08_excel_spiegel_2y_02.pdf, Seite 1, Box [658.32, 231.41, 690.85, 237.91] · gedruckt '196.209,36'</t>
      </text>
    </comment>
    <comment ref="D28" authorId="0" shapeId="0">
      <text>
        <t>Quelle: f08_excel_spiegel_2y_02.pdf, Seite 1, Box [249.66, 248.96, 287.61, 255.46] · gedruckt '1.171.395,50'</t>
      </text>
    </comment>
    <comment ref="E28" authorId="0" shapeId="0">
      <text>
        <t>Quelle: f08_excel_spiegel_2y_02.pdf, Seite 1, Box [292.61, 248.96, 325.14, 255.46] · gedruckt '564.946,08'</t>
      </text>
    </comment>
    <comment ref="F28" authorId="0" shapeId="0">
      <text>
        <t>Quelle: f08_excel_spiegel_2y_02.pdf, Seite 1, Box [330.14, 248.96, 359.05, 255.46] · gedruckt '53.142,00'</t>
      </text>
    </comment>
    <comment ref="G28" authorId="0" shapeId="0">
      <text>
        <t>Quelle: f08_excel_spiegel_2y_02.pdf, Seite 1, Box [396.9, 248.96, 409.55, 255.46] · gedruckt '0,00'</t>
      </text>
    </comment>
    <comment ref="I28" authorId="0" shapeId="0">
      <text>
        <t>Quelle: f08_excel_spiegel_2y_02.pdf, Seite 1, Box [419.55, 248.96, 457.5, 255.46] · gedruckt '1.683.199,58'</t>
      </text>
    </comment>
    <comment ref="J28" authorId="0" shapeId="0">
      <text>
        <t>Quelle: f08_excel_spiegel_2y_02.pdf, Seite 1, Box [467.5, 248.96, 500.02, 255.46] · gedruckt '472.161,95'</t>
      </text>
    </comment>
    <comment ref="L28" authorId="0" shapeId="0">
      <text>
        <t>Quelle: f08_excel_spiegel_2y_02.pdf, Seite 1, Box [505.02, 248.96, 533.93, 255.46] · gedruckt '79.727,30'</t>
      </text>
    </comment>
    <comment ref="N28" authorId="0" shapeId="0">
      <text>
        <t>Quelle: f08_excel_spiegel_2y_02.pdf, Seite 1, Box [538.93, 248.96, 567.85, 255.46] · gedruckt '42.808,83'</t>
      </text>
    </comment>
    <comment ref="R28" authorId="0" shapeId="0">
      <text>
        <t>Quelle: f08_excel_spiegel_2y_02.pdf, Seite 1, Box [572.85, 248.96, 605.37, 255.46] · gedruckt '509.080,42'</t>
      </text>
    </comment>
    <comment ref="S28" authorId="0" shapeId="0">
      <text>
        <t>Quelle: f08_excel_spiegel_2y_02.pdf, Seite 1, Box [615.37, 248.96, 653.32, 255.46] · gedruckt '1.174.119,16'</t>
      </text>
    </comment>
    <comment ref="T28" authorId="0" shapeId="0">
      <text>
        <t>Quelle: f08_excel_spiegel_2y_02.pdf, Seite 1, Box [658.32, 248.96, 690.85, 255.46] · gedruckt '699.233,55'</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28" customWidth="1" min="1" max="1"/>
    <col width="32" customWidth="1" min="2" max="2"/>
    <col width="80" customWidth="1" min="3" max="3"/>
    <col width="34" customWidth="1" min="4" max="4"/>
  </cols>
  <sheetData>
    <row r="1">
      <c r="A1" s="1" t="inlineStr">
        <is>
          <t>Offene Punkte der Datenübernahme</t>
        </is>
      </c>
    </row>
    <row r="2">
      <c r="A2" s="2" t="inlineStr">
        <is>
          <t>Was die Datenübernahme offen lässt; der Stand sagt, woher der Punkt kommt.</t>
        </is>
      </c>
    </row>
    <row r="3">
      <c r="A3" s="3" t="inlineStr">
        <is>
          <t>Reiter</t>
        </is>
      </c>
      <c r="B3" s="3" t="inlineStr">
        <is>
          <t>Stelle</t>
        </is>
      </c>
      <c r="C3" s="3" t="inlineStr">
        <is>
          <t>Frage</t>
        </is>
      </c>
      <c r="D3" s="3" t="inlineStr">
        <is>
          <t>Stand</t>
        </is>
      </c>
    </row>
    <row r="4">
      <c r="A4" t="inlineStr">
        <is>
          <t>—</t>
        </is>
      </c>
      <c r="B4" t="inlineStr">
        <is>
          <t>f08_excel_spiegel_2y_02.pdf</t>
        </is>
      </c>
      <c r="C4" t="inlineStr">
        <is>
          <t>Die Übergabe enthält die Jahre 2024, 2025; übernommen ist 2025, die übrigen stehen nur in der JSON-Ausgabe.</t>
        </is>
      </c>
      <c r="D4" t="inlineStr">
        <is>
          <t>offen (Datenübernahme)</t>
        </is>
      </c>
    </row>
    <row r="5">
      <c r="A5" t="inlineStr">
        <is>
          <t>—</t>
        </is>
      </c>
      <c r="B5" t="inlineStr">
        <is>
          <t>f08_excel_spiegel_2y_02.pdf</t>
        </is>
      </c>
      <c r="C5" t="inlineStr">
        <is>
          <t>Erkannt: multi_year – sections for 2024, 2025</t>
        </is>
      </c>
      <c r="D5" t="inlineStr">
        <is>
          <t>offen (Datenübernahme)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Bilanzposition</t>
        </is>
      </c>
    </row>
    <row r="2">
      <c r="A2" s="4" t="inlineStr">
        <is>
          <t>Geschäftsjahresende:</t>
        </is>
      </c>
      <c r="C2" s="5" t="n">
        <v>45838</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Bilanzposition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n"/>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A8" t="inlineStr">
        <is>
          <t>A.I.2</t>
        </is>
      </c>
      <c r="B8" s="18" t="n"/>
      <c r="C8" s="19" t="inlineStr">
        <is>
          <t>Entgeltlich erworbene Konzessionen und Lizenzen</t>
        </is>
      </c>
      <c r="D8" s="79" t="n">
        <v>32224.17</v>
      </c>
      <c r="E8" s="79" t="n">
        <v>3365.35</v>
      </c>
      <c r="F8" s="79" t="n">
        <v>0</v>
      </c>
      <c r="G8" s="79" t="n">
        <v>0</v>
      </c>
      <c r="H8" s="79" t="n"/>
      <c r="I8" s="79" t="n">
        <v>35589.52</v>
      </c>
      <c r="J8" s="79" t="n">
        <v>32221.17</v>
      </c>
      <c r="K8" s="79" t="n"/>
      <c r="L8" s="79" t="n">
        <v>504.8</v>
      </c>
      <c r="M8" s="80" t="n"/>
      <c r="N8" s="79" t="n">
        <v>0</v>
      </c>
      <c r="O8" s="79" t="n"/>
      <c r="P8" s="79" t="n"/>
      <c r="Q8" s="79" t="n"/>
      <c r="R8" s="79" t="n">
        <v>32725.97</v>
      </c>
      <c r="S8" s="79" t="n">
        <v>2863.55</v>
      </c>
      <c r="T8" s="79" t="n">
        <v>3</v>
      </c>
      <c r="U8" s="79" t="n"/>
      <c r="V8" t="inlineStr">
        <is>
          <t>Bilanzposition</t>
        </is>
      </c>
    </row>
    <row r="9">
      <c r="B9" s="18" t="n"/>
      <c r="C9" s="19" t="inlineStr">
        <is>
          <t>Zwischensumme Bilanzposition</t>
        </is>
      </c>
      <c r="D9" s="79" t="n">
        <v>32224.17</v>
      </c>
      <c r="E9" s="79" t="n">
        <v>3365.35</v>
      </c>
      <c r="F9" s="79" t="n">
        <v>0</v>
      </c>
      <c r="G9" s="79" t="n">
        <v>0</v>
      </c>
      <c r="H9" s="79" t="n"/>
      <c r="I9" s="79" t="n">
        <v>35589.52</v>
      </c>
      <c r="J9" s="79" t="n">
        <v>32221.17</v>
      </c>
      <c r="K9" s="79" t="n"/>
      <c r="L9" s="79" t="n">
        <v>504.8</v>
      </c>
      <c r="M9" s="80" t="n"/>
      <c r="N9" s="79" t="n">
        <v>0</v>
      </c>
      <c r="O9" s="79" t="n"/>
      <c r="P9" s="79" t="n"/>
      <c r="Q9" s="79" t="n"/>
      <c r="R9" s="79" t="n">
        <v>32725.97</v>
      </c>
      <c r="S9" s="79" t="n">
        <v>2863.55</v>
      </c>
      <c r="T9" s="79" t="n">
        <v>3</v>
      </c>
      <c r="U9" s="79" t="n"/>
      <c r="V9" t="inlineStr">
        <is>
          <t>Zwischensumme Bilanzposition</t>
        </is>
      </c>
    </row>
    <row r="10">
      <c r="A10" t="inlineStr">
        <is>
          <t>A.II.1</t>
        </is>
      </c>
      <c r="B10" s="18" t="n"/>
      <c r="C10" s="19" t="inlineStr">
        <is>
          <t>Grundstücke, grundstücksgleiche Rechte und Bauten</t>
        </is>
      </c>
      <c r="D10" s="79" t="n">
        <v>174109.03</v>
      </c>
      <c r="E10" s="79" t="n">
        <v>0</v>
      </c>
      <c r="F10" s="79" t="n">
        <v>0</v>
      </c>
      <c r="G10" s="79" t="n">
        <v>0</v>
      </c>
      <c r="H10" s="79" t="n"/>
      <c r="I10" s="79" t="n">
        <v>174109.03</v>
      </c>
      <c r="J10" s="79" t="n">
        <v>0</v>
      </c>
      <c r="K10" s="79" t="n"/>
      <c r="L10" s="79" t="n">
        <v>0</v>
      </c>
      <c r="M10" s="80" t="n"/>
      <c r="N10" s="79" t="n">
        <v>0</v>
      </c>
      <c r="O10" s="79" t="n"/>
      <c r="P10" s="79" t="n"/>
      <c r="Q10" s="79" t="n"/>
      <c r="R10" s="79" t="n">
        <v>0</v>
      </c>
      <c r="S10" s="79" t="n">
        <v>174109.03</v>
      </c>
      <c r="T10" s="79" t="n">
        <v>174109.03</v>
      </c>
      <c r="U10" s="79" t="n"/>
      <c r="V10" t="inlineStr">
        <is>
          <t>Bilanzposition</t>
        </is>
      </c>
    </row>
    <row r="11">
      <c r="A11" t="inlineStr">
        <is>
          <t>A.II.2</t>
        </is>
      </c>
      <c r="B11" s="18" t="n"/>
      <c r="C11" s="19" t="inlineStr">
        <is>
          <t>Technische Anlagen und Maschinen</t>
        </is>
      </c>
      <c r="D11" s="79" t="n">
        <v>294422</v>
      </c>
      <c r="E11" s="79" t="n">
        <v>405676.46</v>
      </c>
      <c r="F11" s="79" t="n">
        <v>0</v>
      </c>
      <c r="G11" s="79" t="n">
        <v>306596.84</v>
      </c>
      <c r="H11" s="79" t="n"/>
      <c r="I11" s="79" t="n">
        <v>1006695.3</v>
      </c>
      <c r="J11" s="79" t="n">
        <v>267703</v>
      </c>
      <c r="K11" s="79" t="n"/>
      <c r="L11" s="79" t="n">
        <v>63175.82</v>
      </c>
      <c r="M11" s="80" t="n"/>
      <c r="N11" s="79" t="n">
        <v>0</v>
      </c>
      <c r="O11" s="79" t="n"/>
      <c r="P11" s="79" t="n"/>
      <c r="Q11" s="79" t="n"/>
      <c r="R11" s="79" t="n">
        <v>330878.82</v>
      </c>
      <c r="S11" s="79" t="n">
        <v>675816.48</v>
      </c>
      <c r="T11" s="79" t="n">
        <v>26719</v>
      </c>
      <c r="U11" s="79" t="n"/>
      <c r="V11" t="inlineStr">
        <is>
          <t>Bilanzposition</t>
        </is>
      </c>
    </row>
    <row r="12">
      <c r="A12" t="inlineStr">
        <is>
          <t>A.II.3</t>
        </is>
      </c>
      <c r="B12" s="18" t="n"/>
      <c r="C12" s="19" t="inlineStr">
        <is>
          <t>Andere Anlagen, Betriebs- und Geschäftsausstattung</t>
        </is>
      </c>
      <c r="D12" s="79" t="n">
        <v>215382.67</v>
      </c>
      <c r="E12" s="79" t="n">
        <v>77362.60000000001</v>
      </c>
      <c r="F12" s="79" t="n">
        <v>53142</v>
      </c>
      <c r="G12" s="79" t="n">
        <v>0</v>
      </c>
      <c r="H12" s="79" t="n"/>
      <c r="I12" s="79" t="n">
        <v>239603.27</v>
      </c>
      <c r="J12" s="79" t="n">
        <v>170104.68</v>
      </c>
      <c r="K12" s="79" t="n"/>
      <c r="L12" s="79" t="n">
        <v>16046.68</v>
      </c>
      <c r="M12" s="80" t="n"/>
      <c r="N12" s="79" t="n">
        <v>42808.83</v>
      </c>
      <c r="O12" s="79" t="n"/>
      <c r="P12" s="79" t="n"/>
      <c r="Q12" s="79" t="n"/>
      <c r="R12" s="79" t="n">
        <v>143342.53</v>
      </c>
      <c r="S12" s="79" t="n">
        <v>96260.74000000001</v>
      </c>
      <c r="T12" s="79" t="n">
        <v>45277.99</v>
      </c>
      <c r="U12" s="79" t="n"/>
      <c r="V12" t="inlineStr">
        <is>
          <t>Bilanzposition</t>
        </is>
      </c>
    </row>
    <row r="13">
      <c r="A13" t="inlineStr">
        <is>
          <t>A.II.4</t>
        </is>
      </c>
      <c r="B13" s="18" t="n"/>
      <c r="C13" s="19" t="inlineStr">
        <is>
          <t>Geleistete Anzahlungen und Anlagen im Bau</t>
        </is>
      </c>
      <c r="D13" s="79" t="n">
        <v>256915.17</v>
      </c>
      <c r="E13" s="79" t="n">
        <v>78541.67</v>
      </c>
      <c r="F13" s="79" t="n">
        <v>0</v>
      </c>
      <c r="G13" s="79" t="n">
        <v>-306596.84</v>
      </c>
      <c r="H13" s="79" t="n"/>
      <c r="I13" s="79" t="n">
        <v>28860</v>
      </c>
      <c r="J13" s="79" t="n">
        <v>0</v>
      </c>
      <c r="K13" s="79" t="n"/>
      <c r="L13" s="79" t="n">
        <v>0</v>
      </c>
      <c r="M13" s="80" t="n"/>
      <c r="N13" s="79" t="n">
        <v>0</v>
      </c>
      <c r="O13" s="79" t="n"/>
      <c r="P13" s="79" t="n"/>
      <c r="Q13" s="79" t="n"/>
      <c r="R13" s="79" t="n">
        <v>0</v>
      </c>
      <c r="S13" s="79" t="n">
        <v>28860</v>
      </c>
      <c r="T13" s="79" t="n">
        <v>256915.17</v>
      </c>
      <c r="U13" s="79" t="n"/>
      <c r="V13" t="inlineStr">
        <is>
          <t>Bilanzposition</t>
        </is>
      </c>
    </row>
    <row r="14">
      <c r="B14" s="18" t="n"/>
      <c r="C14" s="19" t="inlineStr">
        <is>
          <t>Zwischensumme Bilanzposition</t>
        </is>
      </c>
      <c r="D14" s="79" t="n">
        <v>940828.87</v>
      </c>
      <c r="E14" s="79" t="n">
        <v>561580.73</v>
      </c>
      <c r="F14" s="79" t="n">
        <v>53142</v>
      </c>
      <c r="G14" s="79" t="n">
        <v>0</v>
      </c>
      <c r="H14" s="79" t="n"/>
      <c r="I14" s="79" t="n">
        <v>1449267.6</v>
      </c>
      <c r="J14" s="79" t="n">
        <v>437807.68</v>
      </c>
      <c r="K14" s="79" t="n"/>
      <c r="L14" s="79" t="n">
        <v>79222.5</v>
      </c>
      <c r="M14" s="80" t="n"/>
      <c r="N14" s="79" t="n">
        <v>42808.83</v>
      </c>
      <c r="O14" s="79" t="n"/>
      <c r="P14" s="79" t="n"/>
      <c r="Q14" s="79" t="n"/>
      <c r="R14" s="79" t="n">
        <v>474221.35</v>
      </c>
      <c r="S14" s="79" t="n">
        <v>975046.25</v>
      </c>
      <c r="T14" s="79" t="n">
        <v>503021.19</v>
      </c>
      <c r="U14" s="79" t="n"/>
      <c r="V14" t="inlineStr">
        <is>
          <t>Zwischensumme Bilanzposition</t>
        </is>
      </c>
    </row>
    <row r="15">
      <c r="A15" t="inlineStr">
        <is>
          <t>A.III.3</t>
        </is>
      </c>
      <c r="B15" s="18" t="n"/>
      <c r="C15" s="19" t="inlineStr">
        <is>
          <t>Beteiligungen</t>
        </is>
      </c>
      <c r="D15" s="79" t="n">
        <v>198342.46</v>
      </c>
      <c r="E15" s="79" t="n">
        <v>0</v>
      </c>
      <c r="F15" s="79" t="n">
        <v>0</v>
      </c>
      <c r="G15" s="79" t="n">
        <v>0</v>
      </c>
      <c r="H15" s="79" t="n"/>
      <c r="I15" s="79" t="n">
        <v>198342.46</v>
      </c>
      <c r="J15" s="79" t="n">
        <v>2133.1</v>
      </c>
      <c r="K15" s="79" t="n"/>
      <c r="L15" s="79" t="n">
        <v>0</v>
      </c>
      <c r="M15" s="80" t="n"/>
      <c r="N15" s="79" t="n">
        <v>0</v>
      </c>
      <c r="O15" s="79" t="n"/>
      <c r="P15" s="79" t="n"/>
      <c r="Q15" s="79" t="n"/>
      <c r="R15" s="79" t="n">
        <v>2133.1</v>
      </c>
      <c r="S15" s="79" t="n">
        <v>196209.36</v>
      </c>
      <c r="T15" s="79" t="n">
        <v>196209.36</v>
      </c>
      <c r="U15" s="79" t="n"/>
      <c r="V15" t="inlineStr">
        <is>
          <t>Bilanzposition</t>
        </is>
      </c>
    </row>
    <row r="16">
      <c r="B16" s="18" t="n"/>
      <c r="C16" s="19" t="inlineStr">
        <is>
          <t>Zwischensumme Bilanzposition</t>
        </is>
      </c>
      <c r="D16" s="79" t="n">
        <v>198342.46</v>
      </c>
      <c r="E16" s="79" t="n">
        <v>0</v>
      </c>
      <c r="F16" s="79" t="n">
        <v>0</v>
      </c>
      <c r="G16" s="79" t="n">
        <v>0</v>
      </c>
      <c r="H16" s="79" t="n"/>
      <c r="I16" s="79" t="n">
        <v>198342.46</v>
      </c>
      <c r="J16" s="79" t="n">
        <v>2133.1</v>
      </c>
      <c r="K16" s="79" t="n"/>
      <c r="L16" s="79" t="n">
        <v>0</v>
      </c>
      <c r="M16" s="80" t="n"/>
      <c r="N16" s="79" t="n">
        <v>0</v>
      </c>
      <c r="O16" s="79" t="n"/>
      <c r="P16" s="79" t="n"/>
      <c r="Q16" s="79" t="n"/>
      <c r="R16" s="79" t="n">
        <v>2133.1</v>
      </c>
      <c r="S16" s="79" t="n">
        <v>196209.36</v>
      </c>
      <c r="T16" s="79" t="n">
        <v>196209.36</v>
      </c>
      <c r="U16" s="79" t="n"/>
      <c r="V16" t="inlineStr">
        <is>
          <t>Zwischensumme Bilanzposition</t>
        </is>
      </c>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v>1171395.5</v>
      </c>
      <c r="E28" s="81" t="n">
        <v>564946.08</v>
      </c>
      <c r="F28" s="81" t="n">
        <v>53142</v>
      </c>
      <c r="G28" s="81" t="n">
        <v>0</v>
      </c>
      <c r="H28" s="81" t="n"/>
      <c r="I28" s="81" t="n">
        <v>1683199.58</v>
      </c>
      <c r="J28" s="81" t="n">
        <v>472161.95</v>
      </c>
      <c r="K28" s="81" t="n"/>
      <c r="L28" s="81" t="n">
        <v>79727.3</v>
      </c>
      <c r="M28" s="81" t="n"/>
      <c r="N28" s="81" t="n">
        <v>42808.83</v>
      </c>
      <c r="O28" s="81" t="n"/>
      <c r="P28" s="81" t="n"/>
      <c r="Q28" s="81" t="n"/>
      <c r="R28" s="81" t="n">
        <v>509080.42</v>
      </c>
      <c r="S28" s="81" t="n">
        <v>1174119.16</v>
      </c>
      <c r="T28" s="81" t="n">
        <v>699233.55</v>
      </c>
      <c r="U28" s="81" t="n"/>
      <c r="V28" t="inlineStr">
        <is>
          <t>Gesamtsumme</t>
        </is>
      </c>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Anlagenklasse</t>
        </is>
      </c>
    </row>
    <row r="2">
      <c r="A2" s="4" t="inlineStr">
        <is>
          <t>Geschäftsjahresende:</t>
        </is>
      </c>
      <c r="C2" s="5" t="n">
        <v>45838</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Anlagenklasse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inlineStr">
        <is>
          <t>Bilanzposition laut Mandant</t>
        </is>
      </c>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Q508"/>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34" customWidth="1" min="2" max="2"/>
    <col width="26" customWidth="1" min="3" max="3"/>
    <col width="14" customWidth="1" min="4" max="4"/>
    <col width="10" customWidth="1" min="5" max="5"/>
    <col width="14" customWidth="1" min="6" max="6"/>
    <col width="22" customWidth="1" min="7" max="7"/>
    <col width="12" customWidth="1" min="8" max="8"/>
    <col width="13" customWidth="1" min="9" max="9"/>
    <col width="18" customWidth="1" min="10" max="10"/>
    <col width="16" customWidth="1" min="11" max="11"/>
    <col width="14" customWidth="1" min="12" max="12"/>
    <col width="14" customWidth="1" min="13" max="13"/>
    <col width="16" customWidth="1" min="14" max="14"/>
    <col width="17" customWidth="1" min="15" max="15"/>
    <col width="17" customWidth="1" min="16" max="16"/>
    <col width="13" customWidth="1" min="17" max="17"/>
    <col width="13" customWidth="1" min="18" max="18"/>
    <col width="14" customWidth="1" min="19" max="19"/>
    <col width="22" customWidth="1" min="20" max="20"/>
    <col width="14" customWidth="1" min="21" max="21"/>
    <col width="16" customWidth="1" min="22" max="22"/>
    <col width="15" customWidth="1" min="23" max="23"/>
    <col width="14" customWidth="1" min="24" max="24"/>
    <col width="14" customWidth="1" min="25" max="25"/>
    <col width="15" customWidth="1" min="26" max="26"/>
    <col width="15" customWidth="1" min="27" max="27"/>
    <col width="16" customWidth="1" min="28" max="28"/>
    <col width="18" customWidth="1" min="29" max="29"/>
    <col width="20" customWidth="1" min="30" max="30"/>
    <col width="16" customWidth="1" min="31" max="31"/>
    <col width="15" customWidth="1" min="32" max="32"/>
    <col width="18" customWidth="1" min="33" max="33"/>
    <col width="16" customWidth="1" min="34" max="34"/>
    <col width="17" customWidth="1" min="35" max="35"/>
    <col width="17" customWidth="1" min="36" max="36"/>
    <col width="20" customWidth="1" min="37" max="37"/>
    <col width="9" customWidth="1" min="38" max="38"/>
    <col width="15" customWidth="1" min="39" max="39"/>
    <col width="14" customWidth="1" min="40" max="40"/>
    <col width="14" customWidth="1" min="41" max="41"/>
    <col width="18" customWidth="1" min="42" max="42"/>
    <col hidden="1" width="14" customWidth="1" min="43" max="43"/>
  </cols>
  <sheetData>
    <row r="1" ht="44" customHeight="1">
      <c r="A1" s="14" t="inlineStr">
        <is>
          <t>Anlagen-Nr.</t>
        </is>
      </c>
      <c r="B1" s="14" t="inlineStr">
        <is>
          <t>Bezeichnung</t>
        </is>
      </c>
      <c r="C1" s="14" t="inlineStr">
        <is>
          <t>Anlagenklasse (lt. Mandant)</t>
        </is>
      </c>
      <c r="D1" s="14" t="inlineStr">
        <is>
          <t>Anlagenklasse-Nr. (lt. Mandant)</t>
        </is>
      </c>
      <c r="E1" s="14" t="inlineStr">
        <is>
          <t>Gliederung</t>
        </is>
      </c>
      <c r="F1" s="14" t="inlineStr">
        <is>
          <t>Bilanzposten-Nr. (lt. Mandant)</t>
        </is>
      </c>
      <c r="G1" s="14" t="inlineStr">
        <is>
          <t>Bilanzposten (lt. Mandant)</t>
        </is>
      </c>
      <c r="H1" s="14" t="inlineStr">
        <is>
          <t>Sachkonto</t>
        </is>
      </c>
      <c r="I1" s="14" t="inlineStr">
        <is>
          <t>Kostenstelle</t>
        </is>
      </c>
      <c r="J1" s="14" t="inlineStr">
        <is>
          <t>Standort</t>
        </is>
      </c>
      <c r="K1" s="14" t="inlineStr">
        <is>
          <t>Anschaffungsdatum</t>
        </is>
      </c>
      <c r="L1" s="14" t="inlineStr">
        <is>
          <t>Aktivierung am</t>
        </is>
      </c>
      <c r="M1" s="14" t="inlineStr">
        <is>
          <t>Buchungsdatum</t>
        </is>
      </c>
      <c r="N1" s="14" t="inlineStr">
        <is>
          <t>Nutzungsdauer (Jahre)</t>
        </is>
      </c>
      <c r="O1" s="14" t="inlineStr">
        <is>
          <t>Nutzungsdauer (Monate)</t>
        </is>
      </c>
      <c r="P1" s="14" t="inlineStr">
        <is>
          <t>AfA-Methode</t>
        </is>
      </c>
      <c r="Q1" s="14" t="inlineStr">
        <is>
          <t>AfA-Beginn</t>
        </is>
      </c>
      <c r="R1" s="14" t="inlineStr">
        <is>
          <t>Restwert</t>
        </is>
      </c>
      <c r="S1" s="14" t="inlineStr">
        <is>
          <t>Abgangsdatum</t>
        </is>
      </c>
      <c r="T1" s="14" t="inlineStr">
        <is>
          <t>Abgangsart</t>
        </is>
      </c>
      <c r="U1" s="14" t="inlineStr">
        <is>
          <t>Verkaufserlös</t>
        </is>
      </c>
      <c r="V1" s="14" t="inlineStr">
        <is>
          <t>Belegreferenz</t>
        </is>
      </c>
      <c r="W1" s="7" t="inlineStr">
        <is>
          <t>AHK 01.01.</t>
        </is>
      </c>
      <c r="X1" s="7" t="inlineStr">
        <is>
          <t>Zugang</t>
        </is>
      </c>
      <c r="Y1" s="7" t="inlineStr">
        <is>
          <t>Abgang</t>
        </is>
      </c>
      <c r="Z1" s="7" t="inlineStr">
        <is>
          <t>Umbuchung (±)</t>
        </is>
      </c>
      <c r="AA1" s="7" t="inlineStr">
        <is>
          <t>AHK 31.12.</t>
        </is>
      </c>
      <c r="AB1" s="9" t="inlineStr">
        <is>
          <t>Kum. AfA 01.01.</t>
        </is>
      </c>
      <c r="AC1" s="9" t="inlineStr">
        <is>
          <t>AfA des GJ planmäßig</t>
        </is>
      </c>
      <c r="AD1" s="9" t="inlineStr">
        <is>
          <t>AfA des GJ außerplanmäßig</t>
        </is>
      </c>
      <c r="AE1" s="9" t="inlineStr">
        <is>
          <t>AfA auf Abgang</t>
        </is>
      </c>
      <c r="AF1" s="9" t="inlineStr">
        <is>
          <t>Zuschreibung</t>
        </is>
      </c>
      <c r="AG1" s="9" t="inlineStr">
        <is>
          <t>Umbuchung kum. AfA (±)</t>
        </is>
      </c>
      <c r="AH1" s="9" t="inlineStr">
        <is>
          <t>Kum. AfA 31.12.</t>
        </is>
      </c>
      <c r="AI1" s="11" t="inlineStr">
        <is>
          <t>Buchwert 31.12. GJ</t>
        </is>
      </c>
      <c r="AJ1" s="11" t="inlineStr">
        <is>
          <t>Buchwert 31.12. VJ</t>
        </is>
      </c>
      <c r="AK1" s="13" t="inlineStr">
        <is>
          <t>davon aktivierte FK-Zinsen</t>
        </is>
      </c>
      <c r="AL1" s="13" t="inlineStr">
        <is>
          <t>GWG</t>
        </is>
      </c>
      <c r="AM1" s="13" t="inlineStr">
        <is>
          <t>Leasing aktiviert</t>
        </is>
      </c>
      <c r="AN1" s="13" t="inlineStr">
        <is>
          <t>Rundung kum. AfA</t>
        </is>
      </c>
      <c r="AO1" s="13" t="inlineStr">
        <is>
          <t>Selbst erstellt</t>
        </is>
      </c>
      <c r="AP1" s="13" t="inlineStr">
        <is>
          <t>Vorgangsart</t>
        </is>
      </c>
      <c r="AQ1" s="14" t="inlineStr">
        <is>
          <t>Zeilen-ID</t>
        </is>
      </c>
    </row>
    <row r="2">
      <c r="A2" s="33" t="n"/>
      <c r="B2" s="33" t="n"/>
      <c r="C2" s="33" t="n"/>
      <c r="D2" s="33" t="n"/>
      <c r="E2" s="33" t="n"/>
      <c r="F2" s="33" t="n"/>
      <c r="G2" s="33" t="n"/>
      <c r="H2" s="33" t="n"/>
      <c r="I2" s="33" t="n"/>
      <c r="J2" s="33" t="n"/>
      <c r="K2" s="34" t="n"/>
      <c r="L2" s="34" t="n"/>
      <c r="M2" s="34" t="n"/>
      <c r="N2" s="82" t="n"/>
      <c r="O2" s="82" t="n"/>
      <c r="P2" s="33" t="n"/>
      <c r="Q2" s="34" t="n"/>
      <c r="R2" s="83" t="n"/>
      <c r="S2" s="34" t="n"/>
      <c r="T2" s="33" t="n"/>
      <c r="U2" s="83" t="n"/>
      <c r="V2" s="33" t="n"/>
      <c r="W2" s="83" t="n"/>
      <c r="X2" s="83" t="n"/>
      <c r="Y2" s="83" t="n"/>
      <c r="Z2" s="83" t="n"/>
      <c r="AA2" s="84">
        <f>IF(OR($A2="",COUNT(W2,X2,Z2,Y2)&lt;1),"",W2+X2+Z2-Y2)</f>
        <v/>
      </c>
      <c r="AB2" s="83" t="n"/>
      <c r="AC2" s="83" t="n"/>
      <c r="AD2" s="83" t="n"/>
      <c r="AE2" s="83" t="n"/>
      <c r="AF2" s="83" t="n"/>
      <c r="AG2" s="83" t="n"/>
      <c r="AH2" s="84">
        <f>IF(OR($A2="",COUNT(AB2,AC2,AD2,AG2,AE2,AF2)&lt;1),"",AB2+AC2+AD2+AG2-AE2-AF2)</f>
        <v/>
      </c>
      <c r="AI2" s="84">
        <f>IF(OR($A2="",COUNT(AA2,AH2)&lt;2),"",AA2-AH2)</f>
        <v/>
      </c>
      <c r="AJ2" s="84">
        <f>IF(OR($A2="",COUNT(W2,AB2)&lt;2),"",W2-AB2)</f>
        <v/>
      </c>
      <c r="AK2" s="83" t="n"/>
      <c r="AL2" s="33" t="n"/>
      <c r="AM2" s="33" t="n"/>
      <c r="AN2" s="83" t="n"/>
      <c r="AO2" s="33" t="n"/>
      <c r="AP2" s="33" t="n"/>
      <c r="AQ2" s="33" t="n"/>
    </row>
    <row r="3">
      <c r="A3" s="33" t="n"/>
      <c r="B3" s="33" t="n"/>
      <c r="C3" s="33" t="n"/>
      <c r="D3" s="33" t="n"/>
      <c r="E3" s="33" t="n"/>
      <c r="F3" s="33" t="n"/>
      <c r="G3" s="33" t="n"/>
      <c r="H3" s="33" t="n"/>
      <c r="I3" s="33" t="n"/>
      <c r="J3" s="33" t="n"/>
      <c r="K3" s="34" t="n"/>
      <c r="L3" s="34" t="n"/>
      <c r="M3" s="34" t="n"/>
      <c r="N3" s="82" t="n"/>
      <c r="O3" s="82" t="n"/>
      <c r="P3" s="33" t="n"/>
      <c r="Q3" s="34" t="n"/>
      <c r="R3" s="83" t="n"/>
      <c r="S3" s="34" t="n"/>
      <c r="T3" s="33" t="n"/>
      <c r="U3" s="83" t="n"/>
      <c r="V3" s="33" t="n"/>
      <c r="W3" s="83" t="n"/>
      <c r="X3" s="83" t="n"/>
      <c r="Y3" s="83" t="n"/>
      <c r="Z3" s="83" t="n"/>
      <c r="AA3" s="84">
        <f>IF(OR($A3="",COUNT(W3,X3,Z3,Y3)&lt;1),"",W3+X3+Z3-Y3)</f>
        <v/>
      </c>
      <c r="AB3" s="83" t="n"/>
      <c r="AC3" s="83" t="n"/>
      <c r="AD3" s="83" t="n"/>
      <c r="AE3" s="83" t="n"/>
      <c r="AF3" s="83" t="n"/>
      <c r="AG3" s="83" t="n"/>
      <c r="AH3" s="84">
        <f>IF(OR($A3="",COUNT(AB3,AC3,AD3,AG3,AE3,AF3)&lt;1),"",AB3+AC3+AD3+AG3-AE3-AF3)</f>
        <v/>
      </c>
      <c r="AI3" s="84">
        <f>IF(OR($A3="",COUNT(AA3,AH3)&lt;2),"",AA3-AH3)</f>
        <v/>
      </c>
      <c r="AJ3" s="84">
        <f>IF(OR($A3="",COUNT(W3,AB3)&lt;2),"",W3-AB3)</f>
        <v/>
      </c>
      <c r="AK3" s="83" t="n"/>
      <c r="AL3" s="33" t="n"/>
      <c r="AM3" s="33" t="n"/>
      <c r="AN3" s="83" t="n"/>
      <c r="AO3" s="33" t="n"/>
      <c r="AP3" s="33" t="n"/>
      <c r="AQ3" s="33" t="n"/>
    </row>
    <row r="4">
      <c r="A4" s="33" t="n"/>
      <c r="B4" s="33" t="n"/>
      <c r="C4" s="33" t="n"/>
      <c r="D4" s="33" t="n"/>
      <c r="E4" s="33" t="n"/>
      <c r="F4" s="33" t="n"/>
      <c r="G4" s="33" t="n"/>
      <c r="H4" s="33" t="n"/>
      <c r="I4" s="33" t="n"/>
      <c r="J4" s="33" t="n"/>
      <c r="K4" s="34" t="n"/>
      <c r="L4" s="34" t="n"/>
      <c r="M4" s="34" t="n"/>
      <c r="N4" s="82" t="n"/>
      <c r="O4" s="82" t="n"/>
      <c r="P4" s="33" t="n"/>
      <c r="Q4" s="34" t="n"/>
      <c r="R4" s="83" t="n"/>
      <c r="S4" s="34" t="n"/>
      <c r="T4" s="33" t="n"/>
      <c r="U4" s="83" t="n"/>
      <c r="V4" s="33" t="n"/>
      <c r="W4" s="83" t="n"/>
      <c r="X4" s="83" t="n"/>
      <c r="Y4" s="83" t="n"/>
      <c r="Z4" s="83" t="n"/>
      <c r="AA4" s="84">
        <f>IF(OR($A4="",COUNT(W4,X4,Z4,Y4)&lt;1),"",W4+X4+Z4-Y4)</f>
        <v/>
      </c>
      <c r="AB4" s="83" t="n"/>
      <c r="AC4" s="83" t="n"/>
      <c r="AD4" s="83" t="n"/>
      <c r="AE4" s="83" t="n"/>
      <c r="AF4" s="83" t="n"/>
      <c r="AG4" s="83" t="n"/>
      <c r="AH4" s="84">
        <f>IF(OR($A4="",COUNT(AB4,AC4,AD4,AG4,AE4,AF4)&lt;1),"",AB4+AC4+AD4+AG4-AE4-AF4)</f>
        <v/>
      </c>
      <c r="AI4" s="84">
        <f>IF(OR($A4="",COUNT(AA4,AH4)&lt;2),"",AA4-AH4)</f>
        <v/>
      </c>
      <c r="AJ4" s="84">
        <f>IF(OR($A4="",COUNT(W4,AB4)&lt;2),"",W4-AB4)</f>
        <v/>
      </c>
      <c r="AK4" s="83" t="n"/>
      <c r="AL4" s="33" t="n"/>
      <c r="AM4" s="33" t="n"/>
      <c r="AN4" s="83" t="n"/>
      <c r="AO4" s="33" t="n"/>
      <c r="AP4" s="33" t="n"/>
      <c r="AQ4" s="33" t="n"/>
    </row>
    <row r="5">
      <c r="A5" s="33" t="n"/>
      <c r="B5" s="33" t="n"/>
      <c r="C5" s="33" t="n"/>
      <c r="D5" s="33" t="n"/>
      <c r="E5" s="33" t="n"/>
      <c r="F5" s="33" t="n"/>
      <c r="G5" s="33" t="n"/>
      <c r="H5" s="33" t="n"/>
      <c r="I5" s="33" t="n"/>
      <c r="J5" s="33" t="n"/>
      <c r="K5" s="34" t="n"/>
      <c r="L5" s="34" t="n"/>
      <c r="M5" s="34" t="n"/>
      <c r="N5" s="82" t="n"/>
      <c r="O5" s="82" t="n"/>
      <c r="P5" s="33" t="n"/>
      <c r="Q5" s="34" t="n"/>
      <c r="R5" s="83" t="n"/>
      <c r="S5" s="34" t="n"/>
      <c r="T5" s="33" t="n"/>
      <c r="U5" s="83" t="n"/>
      <c r="V5" s="33" t="n"/>
      <c r="W5" s="83" t="n"/>
      <c r="X5" s="83" t="n"/>
      <c r="Y5" s="83" t="n"/>
      <c r="Z5" s="83" t="n"/>
      <c r="AA5" s="84">
        <f>IF(OR($A5="",COUNT(W5,X5,Z5,Y5)&lt;1),"",W5+X5+Z5-Y5)</f>
        <v/>
      </c>
      <c r="AB5" s="83" t="n"/>
      <c r="AC5" s="83" t="n"/>
      <c r="AD5" s="83" t="n"/>
      <c r="AE5" s="83" t="n"/>
      <c r="AF5" s="83" t="n"/>
      <c r="AG5" s="83" t="n"/>
      <c r="AH5" s="84">
        <f>IF(OR($A5="",COUNT(AB5,AC5,AD5,AG5,AE5,AF5)&lt;1),"",AB5+AC5+AD5+AG5-AE5-AF5)</f>
        <v/>
      </c>
      <c r="AI5" s="84">
        <f>IF(OR($A5="",COUNT(AA5,AH5)&lt;2),"",AA5-AH5)</f>
        <v/>
      </c>
      <c r="AJ5" s="84">
        <f>IF(OR($A5="",COUNT(W5,AB5)&lt;2),"",W5-AB5)</f>
        <v/>
      </c>
      <c r="AK5" s="83" t="n"/>
      <c r="AL5" s="33" t="n"/>
      <c r="AM5" s="33" t="n"/>
      <c r="AN5" s="83" t="n"/>
      <c r="AO5" s="33" t="n"/>
      <c r="AP5" s="33" t="n"/>
      <c r="AQ5" s="33" t="n"/>
    </row>
    <row r="6">
      <c r="A6" s="33" t="n"/>
      <c r="B6" s="33" t="n"/>
      <c r="C6" s="33" t="n"/>
      <c r="D6" s="33" t="n"/>
      <c r="E6" s="33" t="n"/>
      <c r="F6" s="33" t="n"/>
      <c r="G6" s="33" t="n"/>
      <c r="H6" s="33" t="n"/>
      <c r="I6" s="33" t="n"/>
      <c r="J6" s="33" t="n"/>
      <c r="K6" s="34" t="n"/>
      <c r="L6" s="34" t="n"/>
      <c r="M6" s="34" t="n"/>
      <c r="N6" s="82" t="n"/>
      <c r="O6" s="82" t="n"/>
      <c r="P6" s="33" t="n"/>
      <c r="Q6" s="34" t="n"/>
      <c r="R6" s="83" t="n"/>
      <c r="S6" s="34" t="n"/>
      <c r="T6" s="33" t="n"/>
      <c r="U6" s="83" t="n"/>
      <c r="V6" s="33" t="n"/>
      <c r="W6" s="83" t="n"/>
      <c r="X6" s="83" t="n"/>
      <c r="Y6" s="83" t="n"/>
      <c r="Z6" s="83" t="n"/>
      <c r="AA6" s="84">
        <f>IF(OR($A6="",COUNT(W6,X6,Z6,Y6)&lt;1),"",W6+X6+Z6-Y6)</f>
        <v/>
      </c>
      <c r="AB6" s="83" t="n"/>
      <c r="AC6" s="83" t="n"/>
      <c r="AD6" s="83" t="n"/>
      <c r="AE6" s="83" t="n"/>
      <c r="AF6" s="83" t="n"/>
      <c r="AG6" s="83" t="n"/>
      <c r="AH6" s="84">
        <f>IF(OR($A6="",COUNT(AB6,AC6,AD6,AG6,AE6,AF6)&lt;1),"",AB6+AC6+AD6+AG6-AE6-AF6)</f>
        <v/>
      </c>
      <c r="AI6" s="84">
        <f>IF(OR($A6="",COUNT(AA6,AH6)&lt;2),"",AA6-AH6)</f>
        <v/>
      </c>
      <c r="AJ6" s="84">
        <f>IF(OR($A6="",COUNT(W6,AB6)&lt;2),"",W6-AB6)</f>
        <v/>
      </c>
      <c r="AK6" s="83" t="n"/>
      <c r="AL6" s="33" t="n"/>
      <c r="AM6" s="33" t="n"/>
      <c r="AN6" s="83" t="n"/>
      <c r="AO6" s="33" t="n"/>
      <c r="AP6" s="33" t="n"/>
      <c r="AQ6" s="33" t="n"/>
    </row>
    <row r="7">
      <c r="A7" s="33" t="n"/>
      <c r="B7" s="33" t="n"/>
      <c r="C7" s="33" t="n"/>
      <c r="D7" s="33" t="n"/>
      <c r="E7" s="33" t="n"/>
      <c r="F7" s="33" t="n"/>
      <c r="G7" s="33" t="n"/>
      <c r="H7" s="33" t="n"/>
      <c r="I7" s="33" t="n"/>
      <c r="J7" s="33" t="n"/>
      <c r="K7" s="34" t="n"/>
      <c r="L7" s="34" t="n"/>
      <c r="M7" s="34" t="n"/>
      <c r="N7" s="82" t="n"/>
      <c r="O7" s="82" t="n"/>
      <c r="P7" s="33" t="n"/>
      <c r="Q7" s="34" t="n"/>
      <c r="R7" s="83" t="n"/>
      <c r="S7" s="34" t="n"/>
      <c r="T7" s="33" t="n"/>
      <c r="U7" s="83" t="n"/>
      <c r="V7" s="33" t="n"/>
      <c r="W7" s="83" t="n"/>
      <c r="X7" s="83" t="n"/>
      <c r="Y7" s="83" t="n"/>
      <c r="Z7" s="83" t="n"/>
      <c r="AA7" s="84">
        <f>IF(OR($A7="",COUNT(W7,X7,Z7,Y7)&lt;1),"",W7+X7+Z7-Y7)</f>
        <v/>
      </c>
      <c r="AB7" s="83" t="n"/>
      <c r="AC7" s="83" t="n"/>
      <c r="AD7" s="83" t="n"/>
      <c r="AE7" s="83" t="n"/>
      <c r="AF7" s="83" t="n"/>
      <c r="AG7" s="83" t="n"/>
      <c r="AH7" s="84">
        <f>IF(OR($A7="",COUNT(AB7,AC7,AD7,AG7,AE7,AF7)&lt;1),"",AB7+AC7+AD7+AG7-AE7-AF7)</f>
        <v/>
      </c>
      <c r="AI7" s="84">
        <f>IF(OR($A7="",COUNT(AA7,AH7)&lt;2),"",AA7-AH7)</f>
        <v/>
      </c>
      <c r="AJ7" s="84">
        <f>IF(OR($A7="",COUNT(W7,AB7)&lt;2),"",W7-AB7)</f>
        <v/>
      </c>
      <c r="AK7" s="83" t="n"/>
      <c r="AL7" s="33" t="n"/>
      <c r="AM7" s="33" t="n"/>
      <c r="AN7" s="83" t="n"/>
      <c r="AO7" s="33" t="n"/>
      <c r="AP7" s="33" t="n"/>
      <c r="AQ7" s="33" t="n"/>
    </row>
    <row r="8">
      <c r="A8" s="33" t="n"/>
      <c r="B8" s="33" t="n"/>
      <c r="C8" s="33" t="n"/>
      <c r="D8" s="33" t="n"/>
      <c r="E8" s="33" t="n"/>
      <c r="F8" s="33" t="n"/>
      <c r="G8" s="33" t="n"/>
      <c r="H8" s="33" t="n"/>
      <c r="I8" s="33" t="n"/>
      <c r="J8" s="33" t="n"/>
      <c r="K8" s="34" t="n"/>
      <c r="L8" s="34" t="n"/>
      <c r="M8" s="34" t="n"/>
      <c r="N8" s="82" t="n"/>
      <c r="O8" s="82" t="n"/>
      <c r="P8" s="33" t="n"/>
      <c r="Q8" s="34" t="n"/>
      <c r="R8" s="83" t="n"/>
      <c r="S8" s="34" t="n"/>
      <c r="T8" s="33" t="n"/>
      <c r="U8" s="83" t="n"/>
      <c r="V8" s="33" t="n"/>
      <c r="W8" s="83" t="n"/>
      <c r="X8" s="83" t="n"/>
      <c r="Y8" s="83" t="n"/>
      <c r="Z8" s="83" t="n"/>
      <c r="AA8" s="84">
        <f>IF(OR($A8="",COUNT(W8,X8,Z8,Y8)&lt;1),"",W8+X8+Z8-Y8)</f>
        <v/>
      </c>
      <c r="AB8" s="83" t="n"/>
      <c r="AC8" s="83" t="n"/>
      <c r="AD8" s="83" t="n"/>
      <c r="AE8" s="83" t="n"/>
      <c r="AF8" s="83" t="n"/>
      <c r="AG8" s="83" t="n"/>
      <c r="AH8" s="84">
        <f>IF(OR($A8="",COUNT(AB8,AC8,AD8,AG8,AE8,AF8)&lt;1),"",AB8+AC8+AD8+AG8-AE8-AF8)</f>
        <v/>
      </c>
      <c r="AI8" s="84">
        <f>IF(OR($A8="",COUNT(AA8,AH8)&lt;2),"",AA8-AH8)</f>
        <v/>
      </c>
      <c r="AJ8" s="84">
        <f>IF(OR($A8="",COUNT(W8,AB8)&lt;2),"",W8-AB8)</f>
        <v/>
      </c>
      <c r="AK8" s="83" t="n"/>
      <c r="AL8" s="33" t="n"/>
      <c r="AM8" s="33" t="n"/>
      <c r="AN8" s="83" t="n"/>
      <c r="AO8" s="33" t="n"/>
      <c r="AP8" s="33" t="n"/>
      <c r="AQ8" s="33" t="n"/>
    </row>
    <row r="9">
      <c r="A9" s="33" t="n"/>
      <c r="B9" s="33" t="n"/>
      <c r="C9" s="33" t="n"/>
      <c r="D9" s="33" t="n"/>
      <c r="E9" s="33" t="n"/>
      <c r="F9" s="33" t="n"/>
      <c r="G9" s="33" t="n"/>
      <c r="H9" s="33" t="n"/>
      <c r="I9" s="33" t="n"/>
      <c r="J9" s="33" t="n"/>
      <c r="K9" s="34" t="n"/>
      <c r="L9" s="34" t="n"/>
      <c r="M9" s="34" t="n"/>
      <c r="N9" s="82" t="n"/>
      <c r="O9" s="82" t="n"/>
      <c r="P9" s="33" t="n"/>
      <c r="Q9" s="34" t="n"/>
      <c r="R9" s="83" t="n"/>
      <c r="S9" s="34" t="n"/>
      <c r="T9" s="33" t="n"/>
      <c r="U9" s="83" t="n"/>
      <c r="V9" s="33" t="n"/>
      <c r="W9" s="83" t="n"/>
      <c r="X9" s="83" t="n"/>
      <c r="Y9" s="83" t="n"/>
      <c r="Z9" s="83" t="n"/>
      <c r="AA9" s="84">
        <f>IF(OR($A9="",COUNT(W9,X9,Z9,Y9)&lt;1),"",W9+X9+Z9-Y9)</f>
        <v/>
      </c>
      <c r="AB9" s="83" t="n"/>
      <c r="AC9" s="83" t="n"/>
      <c r="AD9" s="83" t="n"/>
      <c r="AE9" s="83" t="n"/>
      <c r="AF9" s="83" t="n"/>
      <c r="AG9" s="83" t="n"/>
      <c r="AH9" s="84">
        <f>IF(OR($A9="",COUNT(AB9,AC9,AD9,AG9,AE9,AF9)&lt;1),"",AB9+AC9+AD9+AG9-AE9-AF9)</f>
        <v/>
      </c>
      <c r="AI9" s="84">
        <f>IF(OR($A9="",COUNT(AA9,AH9)&lt;2),"",AA9-AH9)</f>
        <v/>
      </c>
      <c r="AJ9" s="84">
        <f>IF(OR($A9="",COUNT(W9,AB9)&lt;2),"",W9-AB9)</f>
        <v/>
      </c>
      <c r="AK9" s="83" t="n"/>
      <c r="AL9" s="33" t="n"/>
      <c r="AM9" s="33" t="n"/>
      <c r="AN9" s="83" t="n"/>
      <c r="AO9" s="33" t="n"/>
      <c r="AP9" s="33" t="n"/>
      <c r="AQ9" s="33" t="n"/>
    </row>
    <row r="10">
      <c r="A10" s="33" t="n"/>
      <c r="B10" s="33" t="n"/>
      <c r="C10" s="33" t="n"/>
      <c r="D10" s="33" t="n"/>
      <c r="E10" s="33" t="n"/>
      <c r="F10" s="33" t="n"/>
      <c r="G10" s="33" t="n"/>
      <c r="H10" s="33" t="n"/>
      <c r="I10" s="33" t="n"/>
      <c r="J10" s="33" t="n"/>
      <c r="K10" s="34" t="n"/>
      <c r="L10" s="34" t="n"/>
      <c r="M10" s="34" t="n"/>
      <c r="N10" s="82" t="n"/>
      <c r="O10" s="82" t="n"/>
      <c r="P10" s="33" t="n"/>
      <c r="Q10" s="34" t="n"/>
      <c r="R10" s="83" t="n"/>
      <c r="S10" s="34" t="n"/>
      <c r="T10" s="33" t="n"/>
      <c r="U10" s="83" t="n"/>
      <c r="V10" s="33" t="n"/>
      <c r="W10" s="83" t="n"/>
      <c r="X10" s="83" t="n"/>
      <c r="Y10" s="83" t="n"/>
      <c r="Z10" s="83" t="n"/>
      <c r="AA10" s="84">
        <f>IF(OR($A10="",COUNT(W10,X10,Z10,Y10)&lt;1),"",W10+X10+Z10-Y10)</f>
        <v/>
      </c>
      <c r="AB10" s="83" t="n"/>
      <c r="AC10" s="83" t="n"/>
      <c r="AD10" s="83" t="n"/>
      <c r="AE10" s="83" t="n"/>
      <c r="AF10" s="83" t="n"/>
      <c r="AG10" s="83" t="n"/>
      <c r="AH10" s="84">
        <f>IF(OR($A10="",COUNT(AB10,AC10,AD10,AG10,AE10,AF10)&lt;1),"",AB10+AC10+AD10+AG10-AE10-AF10)</f>
        <v/>
      </c>
      <c r="AI10" s="84">
        <f>IF(OR($A10="",COUNT(AA10,AH10)&lt;2),"",AA10-AH10)</f>
        <v/>
      </c>
      <c r="AJ10" s="84">
        <f>IF(OR($A10="",COUNT(W10,AB10)&lt;2),"",W10-AB10)</f>
        <v/>
      </c>
      <c r="AK10" s="83" t="n"/>
      <c r="AL10" s="33" t="n"/>
      <c r="AM10" s="33" t="n"/>
      <c r="AN10" s="83" t="n"/>
      <c r="AO10" s="33" t="n"/>
      <c r="AP10" s="33" t="n"/>
      <c r="AQ10" s="33" t="n"/>
    </row>
    <row r="11">
      <c r="A11" s="33" t="n"/>
      <c r="B11" s="33" t="n"/>
      <c r="C11" s="33" t="n"/>
      <c r="D11" s="33" t="n"/>
      <c r="E11" s="33" t="n"/>
      <c r="F11" s="33" t="n"/>
      <c r="G11" s="33" t="n"/>
      <c r="H11" s="33" t="n"/>
      <c r="I11" s="33" t="n"/>
      <c r="J11" s="33" t="n"/>
      <c r="K11" s="34" t="n"/>
      <c r="L11" s="34" t="n"/>
      <c r="M11" s="34" t="n"/>
      <c r="N11" s="82" t="n"/>
      <c r="O11" s="82" t="n"/>
      <c r="P11" s="33" t="n"/>
      <c r="Q11" s="34" t="n"/>
      <c r="R11" s="83" t="n"/>
      <c r="S11" s="34" t="n"/>
      <c r="T11" s="33" t="n"/>
      <c r="U11" s="83" t="n"/>
      <c r="V11" s="33" t="n"/>
      <c r="W11" s="83" t="n"/>
      <c r="X11" s="83" t="n"/>
      <c r="Y11" s="83" t="n"/>
      <c r="Z11" s="83" t="n"/>
      <c r="AA11" s="84">
        <f>IF(OR($A11="",COUNT(W11,X11,Z11,Y11)&lt;1),"",W11+X11+Z11-Y11)</f>
        <v/>
      </c>
      <c r="AB11" s="83" t="n"/>
      <c r="AC11" s="83" t="n"/>
      <c r="AD11" s="83" t="n"/>
      <c r="AE11" s="83" t="n"/>
      <c r="AF11" s="83" t="n"/>
      <c r="AG11" s="83" t="n"/>
      <c r="AH11" s="84">
        <f>IF(OR($A11="",COUNT(AB11,AC11,AD11,AG11,AE11,AF11)&lt;1),"",AB11+AC11+AD11+AG11-AE11-AF11)</f>
        <v/>
      </c>
      <c r="AI11" s="84">
        <f>IF(OR($A11="",COUNT(AA11,AH11)&lt;2),"",AA11-AH11)</f>
        <v/>
      </c>
      <c r="AJ11" s="84">
        <f>IF(OR($A11="",COUNT(W11,AB11)&lt;2),"",W11-AB11)</f>
        <v/>
      </c>
      <c r="AK11" s="83" t="n"/>
      <c r="AL11" s="33" t="n"/>
      <c r="AM11" s="33" t="n"/>
      <c r="AN11" s="83" t="n"/>
      <c r="AO11" s="33" t="n"/>
      <c r="AP11" s="33" t="n"/>
      <c r="AQ11" s="33" t="n"/>
    </row>
    <row r="12">
      <c r="A12" s="33" t="n"/>
      <c r="B12" s="33" t="n"/>
      <c r="C12" s="33" t="n"/>
      <c r="D12" s="33" t="n"/>
      <c r="E12" s="33" t="n"/>
      <c r="F12" s="33" t="n"/>
      <c r="G12" s="33" t="n"/>
      <c r="H12" s="33" t="n"/>
      <c r="I12" s="33" t="n"/>
      <c r="J12" s="33" t="n"/>
      <c r="K12" s="34" t="n"/>
      <c r="L12" s="34" t="n"/>
      <c r="M12" s="34" t="n"/>
      <c r="N12" s="82" t="n"/>
      <c r="O12" s="82" t="n"/>
      <c r="P12" s="33" t="n"/>
      <c r="Q12" s="34" t="n"/>
      <c r="R12" s="83" t="n"/>
      <c r="S12" s="34" t="n"/>
      <c r="T12" s="33" t="n"/>
      <c r="U12" s="83" t="n"/>
      <c r="V12" s="33" t="n"/>
      <c r="W12" s="83" t="n"/>
      <c r="X12" s="83" t="n"/>
      <c r="Y12" s="83" t="n"/>
      <c r="Z12" s="83" t="n"/>
      <c r="AA12" s="84">
        <f>IF(OR($A12="",COUNT(W12,X12,Z12,Y12)&lt;1),"",W12+X12+Z12-Y12)</f>
        <v/>
      </c>
      <c r="AB12" s="83" t="n"/>
      <c r="AC12" s="83" t="n"/>
      <c r="AD12" s="83" t="n"/>
      <c r="AE12" s="83" t="n"/>
      <c r="AF12" s="83" t="n"/>
      <c r="AG12" s="83" t="n"/>
      <c r="AH12" s="84">
        <f>IF(OR($A12="",COUNT(AB12,AC12,AD12,AG12,AE12,AF12)&lt;1),"",AB12+AC12+AD12+AG12-AE12-AF12)</f>
        <v/>
      </c>
      <c r="AI12" s="84">
        <f>IF(OR($A12="",COUNT(AA12,AH12)&lt;2),"",AA12-AH12)</f>
        <v/>
      </c>
      <c r="AJ12" s="84">
        <f>IF(OR($A12="",COUNT(W12,AB12)&lt;2),"",W12-AB12)</f>
        <v/>
      </c>
      <c r="AK12" s="83" t="n"/>
      <c r="AL12" s="33" t="n"/>
      <c r="AM12" s="33" t="n"/>
      <c r="AN12" s="83" t="n"/>
      <c r="AO12" s="33" t="n"/>
      <c r="AP12" s="33" t="n"/>
      <c r="AQ12" s="33" t="n"/>
    </row>
    <row r="13">
      <c r="A13" s="33" t="n"/>
      <c r="B13" s="33" t="n"/>
      <c r="C13" s="33" t="n"/>
      <c r="D13" s="33" t="n"/>
      <c r="E13" s="33" t="n"/>
      <c r="F13" s="33" t="n"/>
      <c r="G13" s="33" t="n"/>
      <c r="H13" s="33" t="n"/>
      <c r="I13" s="33" t="n"/>
      <c r="J13" s="33" t="n"/>
      <c r="K13" s="34" t="n"/>
      <c r="L13" s="34" t="n"/>
      <c r="M13" s="34" t="n"/>
      <c r="N13" s="82" t="n"/>
      <c r="O13" s="82" t="n"/>
      <c r="P13" s="33" t="n"/>
      <c r="Q13" s="34" t="n"/>
      <c r="R13" s="83" t="n"/>
      <c r="S13" s="34" t="n"/>
      <c r="T13" s="33" t="n"/>
      <c r="U13" s="83" t="n"/>
      <c r="V13" s="33" t="n"/>
      <c r="W13" s="83" t="n"/>
      <c r="X13" s="83" t="n"/>
      <c r="Y13" s="83" t="n"/>
      <c r="Z13" s="83" t="n"/>
      <c r="AA13" s="84">
        <f>IF(OR($A13="",COUNT(W13,X13,Z13,Y13)&lt;1),"",W13+X13+Z13-Y13)</f>
        <v/>
      </c>
      <c r="AB13" s="83" t="n"/>
      <c r="AC13" s="83" t="n"/>
      <c r="AD13" s="83" t="n"/>
      <c r="AE13" s="83" t="n"/>
      <c r="AF13" s="83" t="n"/>
      <c r="AG13" s="83" t="n"/>
      <c r="AH13" s="84">
        <f>IF(OR($A13="",COUNT(AB13,AC13,AD13,AG13,AE13,AF13)&lt;1),"",AB13+AC13+AD13+AG13-AE13-AF13)</f>
        <v/>
      </c>
      <c r="AI13" s="84">
        <f>IF(OR($A13="",COUNT(AA13,AH13)&lt;2),"",AA13-AH13)</f>
        <v/>
      </c>
      <c r="AJ13" s="84">
        <f>IF(OR($A13="",COUNT(W13,AB13)&lt;2),"",W13-AB13)</f>
        <v/>
      </c>
      <c r="AK13" s="83" t="n"/>
      <c r="AL13" s="33" t="n"/>
      <c r="AM13" s="33" t="n"/>
      <c r="AN13" s="83" t="n"/>
      <c r="AO13" s="33" t="n"/>
      <c r="AP13" s="33" t="n"/>
      <c r="AQ13" s="33" t="n"/>
    </row>
    <row r="14">
      <c r="A14" s="33" t="n"/>
      <c r="B14" s="33" t="n"/>
      <c r="C14" s="33" t="n"/>
      <c r="D14" s="33" t="n"/>
      <c r="E14" s="33" t="n"/>
      <c r="F14" s="33" t="n"/>
      <c r="G14" s="33" t="n"/>
      <c r="H14" s="33" t="n"/>
      <c r="I14" s="33" t="n"/>
      <c r="J14" s="33" t="n"/>
      <c r="K14" s="34" t="n"/>
      <c r="L14" s="34" t="n"/>
      <c r="M14" s="34" t="n"/>
      <c r="N14" s="82" t="n"/>
      <c r="O14" s="82" t="n"/>
      <c r="P14" s="33" t="n"/>
      <c r="Q14" s="34" t="n"/>
      <c r="R14" s="83" t="n"/>
      <c r="S14" s="34" t="n"/>
      <c r="T14" s="33" t="n"/>
      <c r="U14" s="83" t="n"/>
      <c r="V14" s="33" t="n"/>
      <c r="W14" s="83" t="n"/>
      <c r="X14" s="83" t="n"/>
      <c r="Y14" s="83" t="n"/>
      <c r="Z14" s="83" t="n"/>
      <c r="AA14" s="84">
        <f>IF(OR($A14="",COUNT(W14,X14,Z14,Y14)&lt;1),"",W14+X14+Z14-Y14)</f>
        <v/>
      </c>
      <c r="AB14" s="83" t="n"/>
      <c r="AC14" s="83" t="n"/>
      <c r="AD14" s="83" t="n"/>
      <c r="AE14" s="83" t="n"/>
      <c r="AF14" s="83" t="n"/>
      <c r="AG14" s="83" t="n"/>
      <c r="AH14" s="84">
        <f>IF(OR($A14="",COUNT(AB14,AC14,AD14,AG14,AE14,AF14)&lt;1),"",AB14+AC14+AD14+AG14-AE14-AF14)</f>
        <v/>
      </c>
      <c r="AI14" s="84">
        <f>IF(OR($A14="",COUNT(AA14,AH14)&lt;2),"",AA14-AH14)</f>
        <v/>
      </c>
      <c r="AJ14" s="84">
        <f>IF(OR($A14="",COUNT(W14,AB14)&lt;2),"",W14-AB14)</f>
        <v/>
      </c>
      <c r="AK14" s="83" t="n"/>
      <c r="AL14" s="33" t="n"/>
      <c r="AM14" s="33" t="n"/>
      <c r="AN14" s="83" t="n"/>
      <c r="AO14" s="33" t="n"/>
      <c r="AP14" s="33" t="n"/>
      <c r="AQ14" s="33" t="n"/>
    </row>
    <row r="15">
      <c r="A15" s="33" t="n"/>
      <c r="B15" s="33" t="n"/>
      <c r="C15" s="33" t="n"/>
      <c r="D15" s="33" t="n"/>
      <c r="E15" s="33" t="n"/>
      <c r="F15" s="33" t="n"/>
      <c r="G15" s="33" t="n"/>
      <c r="H15" s="33" t="n"/>
      <c r="I15" s="33" t="n"/>
      <c r="J15" s="33" t="n"/>
      <c r="K15" s="34" t="n"/>
      <c r="L15" s="34" t="n"/>
      <c r="M15" s="34" t="n"/>
      <c r="N15" s="82" t="n"/>
      <c r="O15" s="82" t="n"/>
      <c r="P15" s="33" t="n"/>
      <c r="Q15" s="34" t="n"/>
      <c r="R15" s="83" t="n"/>
      <c r="S15" s="34" t="n"/>
      <c r="T15" s="33" t="n"/>
      <c r="U15" s="83" t="n"/>
      <c r="V15" s="33" t="n"/>
      <c r="W15" s="83" t="n"/>
      <c r="X15" s="83" t="n"/>
      <c r="Y15" s="83" t="n"/>
      <c r="Z15" s="83" t="n"/>
      <c r="AA15" s="84">
        <f>IF(OR($A15="",COUNT(W15,X15,Z15,Y15)&lt;1),"",W15+X15+Z15-Y15)</f>
        <v/>
      </c>
      <c r="AB15" s="83" t="n"/>
      <c r="AC15" s="83" t="n"/>
      <c r="AD15" s="83" t="n"/>
      <c r="AE15" s="83" t="n"/>
      <c r="AF15" s="83" t="n"/>
      <c r="AG15" s="83" t="n"/>
      <c r="AH15" s="84">
        <f>IF(OR($A15="",COUNT(AB15,AC15,AD15,AG15,AE15,AF15)&lt;1),"",AB15+AC15+AD15+AG15-AE15-AF15)</f>
        <v/>
      </c>
      <c r="AI15" s="84">
        <f>IF(OR($A15="",COUNT(AA15,AH15)&lt;2),"",AA15-AH15)</f>
        <v/>
      </c>
      <c r="AJ15" s="84">
        <f>IF(OR($A15="",COUNT(W15,AB15)&lt;2),"",W15-AB15)</f>
        <v/>
      </c>
      <c r="AK15" s="83" t="n"/>
      <c r="AL15" s="33" t="n"/>
      <c r="AM15" s="33" t="n"/>
      <c r="AN15" s="83" t="n"/>
      <c r="AO15" s="33" t="n"/>
      <c r="AP15" s="33" t="n"/>
      <c r="AQ15" s="33" t="n"/>
    </row>
    <row r="16">
      <c r="A16" s="33" t="n"/>
      <c r="B16" s="33" t="n"/>
      <c r="C16" s="33" t="n"/>
      <c r="D16" s="33" t="n"/>
      <c r="E16" s="33" t="n"/>
      <c r="F16" s="33" t="n"/>
      <c r="G16" s="33" t="n"/>
      <c r="H16" s="33" t="n"/>
      <c r="I16" s="33" t="n"/>
      <c r="J16" s="33" t="n"/>
      <c r="K16" s="34" t="n"/>
      <c r="L16" s="34" t="n"/>
      <c r="M16" s="34" t="n"/>
      <c r="N16" s="82" t="n"/>
      <c r="O16" s="82" t="n"/>
      <c r="P16" s="33" t="n"/>
      <c r="Q16" s="34" t="n"/>
      <c r="R16" s="83" t="n"/>
      <c r="S16" s="34" t="n"/>
      <c r="T16" s="33" t="n"/>
      <c r="U16" s="83" t="n"/>
      <c r="V16" s="33" t="n"/>
      <c r="W16" s="83" t="n"/>
      <c r="X16" s="83" t="n"/>
      <c r="Y16" s="83" t="n"/>
      <c r="Z16" s="83" t="n"/>
      <c r="AA16" s="84">
        <f>IF(OR($A16="",COUNT(W16,X16,Z16,Y16)&lt;1),"",W16+X16+Z16-Y16)</f>
        <v/>
      </c>
      <c r="AB16" s="83" t="n"/>
      <c r="AC16" s="83" t="n"/>
      <c r="AD16" s="83" t="n"/>
      <c r="AE16" s="83" t="n"/>
      <c r="AF16" s="83" t="n"/>
      <c r="AG16" s="83" t="n"/>
      <c r="AH16" s="84">
        <f>IF(OR($A16="",COUNT(AB16,AC16,AD16,AG16,AE16,AF16)&lt;1),"",AB16+AC16+AD16+AG16-AE16-AF16)</f>
        <v/>
      </c>
      <c r="AI16" s="84">
        <f>IF(OR($A16="",COUNT(AA16,AH16)&lt;2),"",AA16-AH16)</f>
        <v/>
      </c>
      <c r="AJ16" s="84">
        <f>IF(OR($A16="",COUNT(W16,AB16)&lt;2),"",W16-AB16)</f>
        <v/>
      </c>
      <c r="AK16" s="83" t="n"/>
      <c r="AL16" s="33" t="n"/>
      <c r="AM16" s="33" t="n"/>
      <c r="AN16" s="83" t="n"/>
      <c r="AO16" s="33" t="n"/>
      <c r="AP16" s="33" t="n"/>
      <c r="AQ16" s="33" t="n"/>
    </row>
    <row r="17">
      <c r="A17" s="33" t="n"/>
      <c r="B17" s="33" t="n"/>
      <c r="C17" s="33" t="n"/>
      <c r="D17" s="33" t="n"/>
      <c r="E17" s="33" t="n"/>
      <c r="F17" s="33" t="n"/>
      <c r="G17" s="33" t="n"/>
      <c r="H17" s="33" t="n"/>
      <c r="I17" s="33" t="n"/>
      <c r="J17" s="33" t="n"/>
      <c r="K17" s="34" t="n"/>
      <c r="L17" s="34" t="n"/>
      <c r="M17" s="34" t="n"/>
      <c r="N17" s="82" t="n"/>
      <c r="O17" s="82" t="n"/>
      <c r="P17" s="33" t="n"/>
      <c r="Q17" s="34" t="n"/>
      <c r="R17" s="83" t="n"/>
      <c r="S17" s="34" t="n"/>
      <c r="T17" s="33" t="n"/>
      <c r="U17" s="83" t="n"/>
      <c r="V17" s="33" t="n"/>
      <c r="W17" s="83" t="n"/>
      <c r="X17" s="83" t="n"/>
      <c r="Y17" s="83" t="n"/>
      <c r="Z17" s="83" t="n"/>
      <c r="AA17" s="84">
        <f>IF(OR($A17="",COUNT(W17,X17,Z17,Y17)&lt;1),"",W17+X17+Z17-Y17)</f>
        <v/>
      </c>
      <c r="AB17" s="83" t="n"/>
      <c r="AC17" s="83" t="n"/>
      <c r="AD17" s="83" t="n"/>
      <c r="AE17" s="83" t="n"/>
      <c r="AF17" s="83" t="n"/>
      <c r="AG17" s="83" t="n"/>
      <c r="AH17" s="84">
        <f>IF(OR($A17="",COUNT(AB17,AC17,AD17,AG17,AE17,AF17)&lt;1),"",AB17+AC17+AD17+AG17-AE17-AF17)</f>
        <v/>
      </c>
      <c r="AI17" s="84">
        <f>IF(OR($A17="",COUNT(AA17,AH17)&lt;2),"",AA17-AH17)</f>
        <v/>
      </c>
      <c r="AJ17" s="84">
        <f>IF(OR($A17="",COUNT(W17,AB17)&lt;2),"",W17-AB17)</f>
        <v/>
      </c>
      <c r="AK17" s="83" t="n"/>
      <c r="AL17" s="33" t="n"/>
      <c r="AM17" s="33" t="n"/>
      <c r="AN17" s="83" t="n"/>
      <c r="AO17" s="33" t="n"/>
      <c r="AP17" s="33" t="n"/>
      <c r="AQ17" s="33" t="n"/>
    </row>
    <row r="18">
      <c r="A18" s="33" t="n"/>
      <c r="B18" s="33" t="n"/>
      <c r="C18" s="33" t="n"/>
      <c r="D18" s="33" t="n"/>
      <c r="E18" s="33" t="n"/>
      <c r="F18" s="33" t="n"/>
      <c r="G18" s="33" t="n"/>
      <c r="H18" s="33" t="n"/>
      <c r="I18" s="33" t="n"/>
      <c r="J18" s="33" t="n"/>
      <c r="K18" s="34" t="n"/>
      <c r="L18" s="34" t="n"/>
      <c r="M18" s="34" t="n"/>
      <c r="N18" s="82" t="n"/>
      <c r="O18" s="82" t="n"/>
      <c r="P18" s="33" t="n"/>
      <c r="Q18" s="34" t="n"/>
      <c r="R18" s="83" t="n"/>
      <c r="S18" s="34" t="n"/>
      <c r="T18" s="33" t="n"/>
      <c r="U18" s="83" t="n"/>
      <c r="V18" s="33" t="n"/>
      <c r="W18" s="83" t="n"/>
      <c r="X18" s="83" t="n"/>
      <c r="Y18" s="83" t="n"/>
      <c r="Z18" s="83" t="n"/>
      <c r="AA18" s="84">
        <f>IF(OR($A18="",COUNT(W18,X18,Z18,Y18)&lt;1),"",W18+X18+Z18-Y18)</f>
        <v/>
      </c>
      <c r="AB18" s="83" t="n"/>
      <c r="AC18" s="83" t="n"/>
      <c r="AD18" s="83" t="n"/>
      <c r="AE18" s="83" t="n"/>
      <c r="AF18" s="83" t="n"/>
      <c r="AG18" s="83" t="n"/>
      <c r="AH18" s="84">
        <f>IF(OR($A18="",COUNT(AB18,AC18,AD18,AG18,AE18,AF18)&lt;1),"",AB18+AC18+AD18+AG18-AE18-AF18)</f>
        <v/>
      </c>
      <c r="AI18" s="84">
        <f>IF(OR($A18="",COUNT(AA18,AH18)&lt;2),"",AA18-AH18)</f>
        <v/>
      </c>
      <c r="AJ18" s="84">
        <f>IF(OR($A18="",COUNT(W18,AB18)&lt;2),"",W18-AB18)</f>
        <v/>
      </c>
      <c r="AK18" s="83" t="n"/>
      <c r="AL18" s="33" t="n"/>
      <c r="AM18" s="33" t="n"/>
      <c r="AN18" s="83" t="n"/>
      <c r="AO18" s="33" t="n"/>
      <c r="AP18" s="33" t="n"/>
      <c r="AQ18" s="33" t="n"/>
    </row>
    <row r="19">
      <c r="A19" s="33" t="n"/>
      <c r="B19" s="33" t="n"/>
      <c r="C19" s="33" t="n"/>
      <c r="D19" s="33" t="n"/>
      <c r="E19" s="33" t="n"/>
      <c r="F19" s="33" t="n"/>
      <c r="G19" s="33" t="n"/>
      <c r="H19" s="33" t="n"/>
      <c r="I19" s="33" t="n"/>
      <c r="J19" s="33" t="n"/>
      <c r="K19" s="34" t="n"/>
      <c r="L19" s="34" t="n"/>
      <c r="M19" s="34" t="n"/>
      <c r="N19" s="82" t="n"/>
      <c r="O19" s="82" t="n"/>
      <c r="P19" s="33" t="n"/>
      <c r="Q19" s="34" t="n"/>
      <c r="R19" s="83" t="n"/>
      <c r="S19" s="34" t="n"/>
      <c r="T19" s="33" t="n"/>
      <c r="U19" s="83" t="n"/>
      <c r="V19" s="33" t="n"/>
      <c r="W19" s="83" t="n"/>
      <c r="X19" s="83" t="n"/>
      <c r="Y19" s="83" t="n"/>
      <c r="Z19" s="83" t="n"/>
      <c r="AA19" s="84">
        <f>IF(OR($A19="",COUNT(W19,X19,Z19,Y19)&lt;1),"",W19+X19+Z19-Y19)</f>
        <v/>
      </c>
      <c r="AB19" s="83" t="n"/>
      <c r="AC19" s="83" t="n"/>
      <c r="AD19" s="83" t="n"/>
      <c r="AE19" s="83" t="n"/>
      <c r="AF19" s="83" t="n"/>
      <c r="AG19" s="83" t="n"/>
      <c r="AH19" s="84">
        <f>IF(OR($A19="",COUNT(AB19,AC19,AD19,AG19,AE19,AF19)&lt;1),"",AB19+AC19+AD19+AG19-AE19-AF19)</f>
        <v/>
      </c>
      <c r="AI19" s="84">
        <f>IF(OR($A19="",COUNT(AA19,AH19)&lt;2),"",AA19-AH19)</f>
        <v/>
      </c>
      <c r="AJ19" s="84">
        <f>IF(OR($A19="",COUNT(W19,AB19)&lt;2),"",W19-AB19)</f>
        <v/>
      </c>
      <c r="AK19" s="83" t="n"/>
      <c r="AL19" s="33" t="n"/>
      <c r="AM19" s="33" t="n"/>
      <c r="AN19" s="83" t="n"/>
      <c r="AO19" s="33" t="n"/>
      <c r="AP19" s="33" t="n"/>
      <c r="AQ19" s="33" t="n"/>
    </row>
    <row r="20">
      <c r="A20" s="33" t="n"/>
      <c r="B20" s="33" t="n"/>
      <c r="C20" s="33" t="n"/>
      <c r="D20" s="33" t="n"/>
      <c r="E20" s="33" t="n"/>
      <c r="F20" s="33" t="n"/>
      <c r="G20" s="33" t="n"/>
      <c r="H20" s="33" t="n"/>
      <c r="I20" s="33" t="n"/>
      <c r="J20" s="33" t="n"/>
      <c r="K20" s="34" t="n"/>
      <c r="L20" s="34" t="n"/>
      <c r="M20" s="34" t="n"/>
      <c r="N20" s="82" t="n"/>
      <c r="O20" s="82" t="n"/>
      <c r="P20" s="33" t="n"/>
      <c r="Q20" s="34" t="n"/>
      <c r="R20" s="83" t="n"/>
      <c r="S20" s="34" t="n"/>
      <c r="T20" s="33" t="n"/>
      <c r="U20" s="83" t="n"/>
      <c r="V20" s="33" t="n"/>
      <c r="W20" s="83" t="n"/>
      <c r="X20" s="83" t="n"/>
      <c r="Y20" s="83" t="n"/>
      <c r="Z20" s="83" t="n"/>
      <c r="AA20" s="84">
        <f>IF(OR($A20="",COUNT(W20,X20,Z20,Y20)&lt;1),"",W20+X20+Z20-Y20)</f>
        <v/>
      </c>
      <c r="AB20" s="83" t="n"/>
      <c r="AC20" s="83" t="n"/>
      <c r="AD20" s="83" t="n"/>
      <c r="AE20" s="83" t="n"/>
      <c r="AF20" s="83" t="n"/>
      <c r="AG20" s="83" t="n"/>
      <c r="AH20" s="84">
        <f>IF(OR($A20="",COUNT(AB20,AC20,AD20,AG20,AE20,AF20)&lt;1),"",AB20+AC20+AD20+AG20-AE20-AF20)</f>
        <v/>
      </c>
      <c r="AI20" s="84">
        <f>IF(OR($A20="",COUNT(AA20,AH20)&lt;2),"",AA20-AH20)</f>
        <v/>
      </c>
      <c r="AJ20" s="84">
        <f>IF(OR($A20="",COUNT(W20,AB20)&lt;2),"",W20-AB20)</f>
        <v/>
      </c>
      <c r="AK20" s="83" t="n"/>
      <c r="AL20" s="33" t="n"/>
      <c r="AM20" s="33" t="n"/>
      <c r="AN20" s="83" t="n"/>
      <c r="AO20" s="33" t="n"/>
      <c r="AP20" s="33" t="n"/>
      <c r="AQ20" s="33" t="n"/>
    </row>
    <row r="21">
      <c r="A21" s="33" t="n"/>
      <c r="B21" s="33" t="n"/>
      <c r="C21" s="33" t="n"/>
      <c r="D21" s="33" t="n"/>
      <c r="E21" s="33" t="n"/>
      <c r="F21" s="33" t="n"/>
      <c r="G21" s="33" t="n"/>
      <c r="H21" s="33" t="n"/>
      <c r="I21" s="33" t="n"/>
      <c r="J21" s="33" t="n"/>
      <c r="K21" s="34" t="n"/>
      <c r="L21" s="34" t="n"/>
      <c r="M21" s="34" t="n"/>
      <c r="N21" s="82" t="n"/>
      <c r="O21" s="82" t="n"/>
      <c r="P21" s="33" t="n"/>
      <c r="Q21" s="34" t="n"/>
      <c r="R21" s="83" t="n"/>
      <c r="S21" s="34" t="n"/>
      <c r="T21" s="33" t="n"/>
      <c r="U21" s="83" t="n"/>
      <c r="V21" s="33" t="n"/>
      <c r="W21" s="83" t="n"/>
      <c r="X21" s="83" t="n"/>
      <c r="Y21" s="83" t="n"/>
      <c r="Z21" s="83" t="n"/>
      <c r="AA21" s="84">
        <f>IF(OR($A21="",COUNT(W21,X21,Z21,Y21)&lt;1),"",W21+X21+Z21-Y21)</f>
        <v/>
      </c>
      <c r="AB21" s="83" t="n"/>
      <c r="AC21" s="83" t="n"/>
      <c r="AD21" s="83" t="n"/>
      <c r="AE21" s="83" t="n"/>
      <c r="AF21" s="83" t="n"/>
      <c r="AG21" s="83" t="n"/>
      <c r="AH21" s="84">
        <f>IF(OR($A21="",COUNT(AB21,AC21,AD21,AG21,AE21,AF21)&lt;1),"",AB21+AC21+AD21+AG21-AE21-AF21)</f>
        <v/>
      </c>
      <c r="AI21" s="84">
        <f>IF(OR($A21="",COUNT(AA21,AH21)&lt;2),"",AA21-AH21)</f>
        <v/>
      </c>
      <c r="AJ21" s="84">
        <f>IF(OR($A21="",COUNT(W21,AB21)&lt;2),"",W21-AB21)</f>
        <v/>
      </c>
      <c r="AK21" s="83" t="n"/>
      <c r="AL21" s="33" t="n"/>
      <c r="AM21" s="33" t="n"/>
      <c r="AN21" s="83" t="n"/>
      <c r="AO21" s="33" t="n"/>
      <c r="AP21" s="33" t="n"/>
      <c r="AQ21" s="33" t="n"/>
    </row>
    <row r="22">
      <c r="A22" s="33" t="n"/>
      <c r="B22" s="33" t="n"/>
      <c r="C22" s="33" t="n"/>
      <c r="D22" s="33" t="n"/>
      <c r="E22" s="33" t="n"/>
      <c r="F22" s="33" t="n"/>
      <c r="G22" s="33" t="n"/>
      <c r="H22" s="33" t="n"/>
      <c r="I22" s="33" t="n"/>
      <c r="J22" s="33" t="n"/>
      <c r="K22" s="34" t="n"/>
      <c r="L22" s="34" t="n"/>
      <c r="M22" s="34" t="n"/>
      <c r="N22" s="82" t="n"/>
      <c r="O22" s="82" t="n"/>
      <c r="P22" s="33" t="n"/>
      <c r="Q22" s="34" t="n"/>
      <c r="R22" s="83" t="n"/>
      <c r="S22" s="34" t="n"/>
      <c r="T22" s="33" t="n"/>
      <c r="U22" s="83" t="n"/>
      <c r="V22" s="33" t="n"/>
      <c r="W22" s="83" t="n"/>
      <c r="X22" s="83" t="n"/>
      <c r="Y22" s="83" t="n"/>
      <c r="Z22" s="83" t="n"/>
      <c r="AA22" s="84">
        <f>IF(OR($A22="",COUNT(W22,X22,Z22,Y22)&lt;1),"",W22+X22+Z22-Y22)</f>
        <v/>
      </c>
      <c r="AB22" s="83" t="n"/>
      <c r="AC22" s="83" t="n"/>
      <c r="AD22" s="83" t="n"/>
      <c r="AE22" s="83" t="n"/>
      <c r="AF22" s="83" t="n"/>
      <c r="AG22" s="83" t="n"/>
      <c r="AH22" s="84">
        <f>IF(OR($A22="",COUNT(AB22,AC22,AD22,AG22,AE22,AF22)&lt;1),"",AB22+AC22+AD22+AG22-AE22-AF22)</f>
        <v/>
      </c>
      <c r="AI22" s="84">
        <f>IF(OR($A22="",COUNT(AA22,AH22)&lt;2),"",AA22-AH22)</f>
        <v/>
      </c>
      <c r="AJ22" s="84">
        <f>IF(OR($A22="",COUNT(W22,AB22)&lt;2),"",W22-AB22)</f>
        <v/>
      </c>
      <c r="AK22" s="83" t="n"/>
      <c r="AL22" s="33" t="n"/>
      <c r="AM22" s="33" t="n"/>
      <c r="AN22" s="83" t="n"/>
      <c r="AO22" s="33" t="n"/>
      <c r="AP22" s="33" t="n"/>
      <c r="AQ22" s="33" t="n"/>
    </row>
    <row r="23">
      <c r="A23" s="33" t="n"/>
      <c r="B23" s="33" t="n"/>
      <c r="C23" s="33" t="n"/>
      <c r="D23" s="33" t="n"/>
      <c r="E23" s="33" t="n"/>
      <c r="F23" s="33" t="n"/>
      <c r="G23" s="33" t="n"/>
      <c r="H23" s="33" t="n"/>
      <c r="I23" s="33" t="n"/>
      <c r="J23" s="33" t="n"/>
      <c r="K23" s="34" t="n"/>
      <c r="L23" s="34" t="n"/>
      <c r="M23" s="34" t="n"/>
      <c r="N23" s="82" t="n"/>
      <c r="O23" s="82" t="n"/>
      <c r="P23" s="33" t="n"/>
      <c r="Q23" s="34" t="n"/>
      <c r="R23" s="83" t="n"/>
      <c r="S23" s="34" t="n"/>
      <c r="T23" s="33" t="n"/>
      <c r="U23" s="83" t="n"/>
      <c r="V23" s="33" t="n"/>
      <c r="W23" s="83" t="n"/>
      <c r="X23" s="83" t="n"/>
      <c r="Y23" s="83" t="n"/>
      <c r="Z23" s="83" t="n"/>
      <c r="AA23" s="84">
        <f>IF(OR($A23="",COUNT(W23,X23,Z23,Y23)&lt;1),"",W23+X23+Z23-Y23)</f>
        <v/>
      </c>
      <c r="AB23" s="83" t="n"/>
      <c r="AC23" s="83" t="n"/>
      <c r="AD23" s="83" t="n"/>
      <c r="AE23" s="83" t="n"/>
      <c r="AF23" s="83" t="n"/>
      <c r="AG23" s="83" t="n"/>
      <c r="AH23" s="84">
        <f>IF(OR($A23="",COUNT(AB23,AC23,AD23,AG23,AE23,AF23)&lt;1),"",AB23+AC23+AD23+AG23-AE23-AF23)</f>
        <v/>
      </c>
      <c r="AI23" s="84">
        <f>IF(OR($A23="",COUNT(AA23,AH23)&lt;2),"",AA23-AH23)</f>
        <v/>
      </c>
      <c r="AJ23" s="84">
        <f>IF(OR($A23="",COUNT(W23,AB23)&lt;2),"",W23-AB23)</f>
        <v/>
      </c>
      <c r="AK23" s="83" t="n"/>
      <c r="AL23" s="33" t="n"/>
      <c r="AM23" s="33" t="n"/>
      <c r="AN23" s="83" t="n"/>
      <c r="AO23" s="33" t="n"/>
      <c r="AP23" s="33" t="n"/>
      <c r="AQ23" s="33" t="n"/>
    </row>
    <row r="24">
      <c r="A24" s="33" t="n"/>
      <c r="B24" s="33" t="n"/>
      <c r="C24" s="33" t="n"/>
      <c r="D24" s="33" t="n"/>
      <c r="E24" s="33" t="n"/>
      <c r="F24" s="33" t="n"/>
      <c r="G24" s="33" t="n"/>
      <c r="H24" s="33" t="n"/>
      <c r="I24" s="33" t="n"/>
      <c r="J24" s="33" t="n"/>
      <c r="K24" s="34" t="n"/>
      <c r="L24" s="34" t="n"/>
      <c r="M24" s="34" t="n"/>
      <c r="N24" s="82" t="n"/>
      <c r="O24" s="82" t="n"/>
      <c r="P24" s="33" t="n"/>
      <c r="Q24" s="34" t="n"/>
      <c r="R24" s="83" t="n"/>
      <c r="S24" s="34" t="n"/>
      <c r="T24" s="33" t="n"/>
      <c r="U24" s="83" t="n"/>
      <c r="V24" s="33" t="n"/>
      <c r="W24" s="83" t="n"/>
      <c r="X24" s="83" t="n"/>
      <c r="Y24" s="83" t="n"/>
      <c r="Z24" s="83" t="n"/>
      <c r="AA24" s="84">
        <f>IF(OR($A24="",COUNT(W24,X24,Z24,Y24)&lt;1),"",W24+X24+Z24-Y24)</f>
        <v/>
      </c>
      <c r="AB24" s="83" t="n"/>
      <c r="AC24" s="83" t="n"/>
      <c r="AD24" s="83" t="n"/>
      <c r="AE24" s="83" t="n"/>
      <c r="AF24" s="83" t="n"/>
      <c r="AG24" s="83" t="n"/>
      <c r="AH24" s="84">
        <f>IF(OR($A24="",COUNT(AB24,AC24,AD24,AG24,AE24,AF24)&lt;1),"",AB24+AC24+AD24+AG24-AE24-AF24)</f>
        <v/>
      </c>
      <c r="AI24" s="84">
        <f>IF(OR($A24="",COUNT(AA24,AH24)&lt;2),"",AA24-AH24)</f>
        <v/>
      </c>
      <c r="AJ24" s="84">
        <f>IF(OR($A24="",COUNT(W24,AB24)&lt;2),"",W24-AB24)</f>
        <v/>
      </c>
      <c r="AK24" s="83" t="n"/>
      <c r="AL24" s="33" t="n"/>
      <c r="AM24" s="33" t="n"/>
      <c r="AN24" s="83" t="n"/>
      <c r="AO24" s="33" t="n"/>
      <c r="AP24" s="33" t="n"/>
      <c r="AQ24" s="33" t="n"/>
    </row>
    <row r="25">
      <c r="A25" s="33" t="n"/>
      <c r="B25" s="33" t="n"/>
      <c r="C25" s="33" t="n"/>
      <c r="D25" s="33" t="n"/>
      <c r="E25" s="33" t="n"/>
      <c r="F25" s="33" t="n"/>
      <c r="G25" s="33" t="n"/>
      <c r="H25" s="33" t="n"/>
      <c r="I25" s="33" t="n"/>
      <c r="J25" s="33" t="n"/>
      <c r="K25" s="34" t="n"/>
      <c r="L25" s="34" t="n"/>
      <c r="M25" s="34" t="n"/>
      <c r="N25" s="82" t="n"/>
      <c r="O25" s="82" t="n"/>
      <c r="P25" s="33" t="n"/>
      <c r="Q25" s="34" t="n"/>
      <c r="R25" s="83" t="n"/>
      <c r="S25" s="34" t="n"/>
      <c r="T25" s="33" t="n"/>
      <c r="U25" s="83" t="n"/>
      <c r="V25" s="33" t="n"/>
      <c r="W25" s="83" t="n"/>
      <c r="X25" s="83" t="n"/>
      <c r="Y25" s="83" t="n"/>
      <c r="Z25" s="83" t="n"/>
      <c r="AA25" s="84">
        <f>IF(OR($A25="",COUNT(W25,X25,Z25,Y25)&lt;1),"",W25+X25+Z25-Y25)</f>
        <v/>
      </c>
      <c r="AB25" s="83" t="n"/>
      <c r="AC25" s="83" t="n"/>
      <c r="AD25" s="83" t="n"/>
      <c r="AE25" s="83" t="n"/>
      <c r="AF25" s="83" t="n"/>
      <c r="AG25" s="83" t="n"/>
      <c r="AH25" s="84">
        <f>IF(OR($A25="",COUNT(AB25,AC25,AD25,AG25,AE25,AF25)&lt;1),"",AB25+AC25+AD25+AG25-AE25-AF25)</f>
        <v/>
      </c>
      <c r="AI25" s="84">
        <f>IF(OR($A25="",COUNT(AA25,AH25)&lt;2),"",AA25-AH25)</f>
        <v/>
      </c>
      <c r="AJ25" s="84">
        <f>IF(OR($A25="",COUNT(W25,AB25)&lt;2),"",W25-AB25)</f>
        <v/>
      </c>
      <c r="AK25" s="83" t="n"/>
      <c r="AL25" s="33" t="n"/>
      <c r="AM25" s="33" t="n"/>
      <c r="AN25" s="83" t="n"/>
      <c r="AO25" s="33" t="n"/>
      <c r="AP25" s="33" t="n"/>
      <c r="AQ25" s="33" t="n"/>
    </row>
    <row r="26">
      <c r="A26" s="33" t="n"/>
      <c r="B26" s="33" t="n"/>
      <c r="C26" s="33" t="n"/>
      <c r="D26" s="33" t="n"/>
      <c r="E26" s="33" t="n"/>
      <c r="F26" s="33" t="n"/>
      <c r="G26" s="33" t="n"/>
      <c r="H26" s="33" t="n"/>
      <c r="I26" s="33" t="n"/>
      <c r="J26" s="33" t="n"/>
      <c r="K26" s="34" t="n"/>
      <c r="L26" s="34" t="n"/>
      <c r="M26" s="34" t="n"/>
      <c r="N26" s="82" t="n"/>
      <c r="O26" s="82" t="n"/>
      <c r="P26" s="33" t="n"/>
      <c r="Q26" s="34" t="n"/>
      <c r="R26" s="83" t="n"/>
      <c r="S26" s="34" t="n"/>
      <c r="T26" s="33" t="n"/>
      <c r="U26" s="83" t="n"/>
      <c r="V26" s="33" t="n"/>
      <c r="W26" s="83" t="n"/>
      <c r="X26" s="83" t="n"/>
      <c r="Y26" s="83" t="n"/>
      <c r="Z26" s="83" t="n"/>
      <c r="AA26" s="84">
        <f>IF(OR($A26="",COUNT(W26,X26,Z26,Y26)&lt;1),"",W26+X26+Z26-Y26)</f>
        <v/>
      </c>
      <c r="AB26" s="83" t="n"/>
      <c r="AC26" s="83" t="n"/>
      <c r="AD26" s="83" t="n"/>
      <c r="AE26" s="83" t="n"/>
      <c r="AF26" s="83" t="n"/>
      <c r="AG26" s="83" t="n"/>
      <c r="AH26" s="84">
        <f>IF(OR($A26="",COUNT(AB26,AC26,AD26,AG26,AE26,AF26)&lt;1),"",AB26+AC26+AD26+AG26-AE26-AF26)</f>
        <v/>
      </c>
      <c r="AI26" s="84">
        <f>IF(OR($A26="",COUNT(AA26,AH26)&lt;2),"",AA26-AH26)</f>
        <v/>
      </c>
      <c r="AJ26" s="84">
        <f>IF(OR($A26="",COUNT(W26,AB26)&lt;2),"",W26-AB26)</f>
        <v/>
      </c>
      <c r="AK26" s="83" t="n"/>
      <c r="AL26" s="33" t="n"/>
      <c r="AM26" s="33" t="n"/>
      <c r="AN26" s="83" t="n"/>
      <c r="AO26" s="33" t="n"/>
      <c r="AP26" s="33" t="n"/>
      <c r="AQ26" s="33" t="n"/>
    </row>
    <row r="27">
      <c r="A27" s="33" t="n"/>
      <c r="B27" s="33" t="n"/>
      <c r="C27" s="33" t="n"/>
      <c r="D27" s="33" t="n"/>
      <c r="E27" s="33" t="n"/>
      <c r="F27" s="33" t="n"/>
      <c r="G27" s="33" t="n"/>
      <c r="H27" s="33" t="n"/>
      <c r="I27" s="33" t="n"/>
      <c r="J27" s="33" t="n"/>
      <c r="K27" s="34" t="n"/>
      <c r="L27" s="34" t="n"/>
      <c r="M27" s="34" t="n"/>
      <c r="N27" s="82" t="n"/>
      <c r="O27" s="82" t="n"/>
      <c r="P27" s="33" t="n"/>
      <c r="Q27" s="34" t="n"/>
      <c r="R27" s="83" t="n"/>
      <c r="S27" s="34" t="n"/>
      <c r="T27" s="33" t="n"/>
      <c r="U27" s="83" t="n"/>
      <c r="V27" s="33" t="n"/>
      <c r="W27" s="83" t="n"/>
      <c r="X27" s="83" t="n"/>
      <c r="Y27" s="83" t="n"/>
      <c r="Z27" s="83" t="n"/>
      <c r="AA27" s="84">
        <f>IF(OR($A27="",COUNT(W27,X27,Z27,Y27)&lt;1),"",W27+X27+Z27-Y27)</f>
        <v/>
      </c>
      <c r="AB27" s="83" t="n"/>
      <c r="AC27" s="83" t="n"/>
      <c r="AD27" s="83" t="n"/>
      <c r="AE27" s="83" t="n"/>
      <c r="AF27" s="83" t="n"/>
      <c r="AG27" s="83" t="n"/>
      <c r="AH27" s="84">
        <f>IF(OR($A27="",COUNT(AB27,AC27,AD27,AG27,AE27,AF27)&lt;1),"",AB27+AC27+AD27+AG27-AE27-AF27)</f>
        <v/>
      </c>
      <c r="AI27" s="84">
        <f>IF(OR($A27="",COUNT(AA27,AH27)&lt;2),"",AA27-AH27)</f>
        <v/>
      </c>
      <c r="AJ27" s="84">
        <f>IF(OR($A27="",COUNT(W27,AB27)&lt;2),"",W27-AB27)</f>
        <v/>
      </c>
      <c r="AK27" s="83" t="n"/>
      <c r="AL27" s="33" t="n"/>
      <c r="AM27" s="33" t="n"/>
      <c r="AN27" s="83" t="n"/>
      <c r="AO27" s="33" t="n"/>
      <c r="AP27" s="33" t="n"/>
      <c r="AQ27" s="33" t="n"/>
    </row>
    <row r="28">
      <c r="A28" s="33" t="n"/>
      <c r="B28" s="33" t="n"/>
      <c r="C28" s="33" t="n"/>
      <c r="D28" s="33" t="n"/>
      <c r="E28" s="33" t="n"/>
      <c r="F28" s="33" t="n"/>
      <c r="G28" s="33" t="n"/>
      <c r="H28" s="33" t="n"/>
      <c r="I28" s="33" t="n"/>
      <c r="J28" s="33" t="n"/>
      <c r="K28" s="34" t="n"/>
      <c r="L28" s="34" t="n"/>
      <c r="M28" s="34" t="n"/>
      <c r="N28" s="82" t="n"/>
      <c r="O28" s="82" t="n"/>
      <c r="P28" s="33" t="n"/>
      <c r="Q28" s="34" t="n"/>
      <c r="R28" s="83" t="n"/>
      <c r="S28" s="34" t="n"/>
      <c r="T28" s="33" t="n"/>
      <c r="U28" s="83" t="n"/>
      <c r="V28" s="33" t="n"/>
      <c r="W28" s="83" t="n"/>
      <c r="X28" s="83" t="n"/>
      <c r="Y28" s="83" t="n"/>
      <c r="Z28" s="83" t="n"/>
      <c r="AA28" s="84">
        <f>IF(OR($A28="",COUNT(W28,X28,Z28,Y28)&lt;1),"",W28+X28+Z28-Y28)</f>
        <v/>
      </c>
      <c r="AB28" s="83" t="n"/>
      <c r="AC28" s="83" t="n"/>
      <c r="AD28" s="83" t="n"/>
      <c r="AE28" s="83" t="n"/>
      <c r="AF28" s="83" t="n"/>
      <c r="AG28" s="83" t="n"/>
      <c r="AH28" s="84">
        <f>IF(OR($A28="",COUNT(AB28,AC28,AD28,AG28,AE28,AF28)&lt;1),"",AB28+AC28+AD28+AG28-AE28-AF28)</f>
        <v/>
      </c>
      <c r="AI28" s="84">
        <f>IF(OR($A28="",COUNT(AA28,AH28)&lt;2),"",AA28-AH28)</f>
        <v/>
      </c>
      <c r="AJ28" s="84">
        <f>IF(OR($A28="",COUNT(W28,AB28)&lt;2),"",W28-AB28)</f>
        <v/>
      </c>
      <c r="AK28" s="83" t="n"/>
      <c r="AL28" s="33" t="n"/>
      <c r="AM28" s="33" t="n"/>
      <c r="AN28" s="83" t="n"/>
      <c r="AO28" s="33" t="n"/>
      <c r="AP28" s="33" t="n"/>
      <c r="AQ28" s="33" t="n"/>
    </row>
    <row r="29">
      <c r="A29" s="33" t="n"/>
      <c r="B29" s="33" t="n"/>
      <c r="C29" s="33" t="n"/>
      <c r="D29" s="33" t="n"/>
      <c r="E29" s="33" t="n"/>
      <c r="F29" s="33" t="n"/>
      <c r="G29" s="33" t="n"/>
      <c r="H29" s="33" t="n"/>
      <c r="I29" s="33" t="n"/>
      <c r="J29" s="33" t="n"/>
      <c r="K29" s="34" t="n"/>
      <c r="L29" s="34" t="n"/>
      <c r="M29" s="34" t="n"/>
      <c r="N29" s="82" t="n"/>
      <c r="O29" s="82" t="n"/>
      <c r="P29" s="33" t="n"/>
      <c r="Q29" s="34" t="n"/>
      <c r="R29" s="83" t="n"/>
      <c r="S29" s="34" t="n"/>
      <c r="T29" s="33" t="n"/>
      <c r="U29" s="83" t="n"/>
      <c r="V29" s="33" t="n"/>
      <c r="W29" s="83" t="n"/>
      <c r="X29" s="83" t="n"/>
      <c r="Y29" s="83" t="n"/>
      <c r="Z29" s="83" t="n"/>
      <c r="AA29" s="84">
        <f>IF(OR($A29="",COUNT(W29,X29,Z29,Y29)&lt;1),"",W29+X29+Z29-Y29)</f>
        <v/>
      </c>
      <c r="AB29" s="83" t="n"/>
      <c r="AC29" s="83" t="n"/>
      <c r="AD29" s="83" t="n"/>
      <c r="AE29" s="83" t="n"/>
      <c r="AF29" s="83" t="n"/>
      <c r="AG29" s="83" t="n"/>
      <c r="AH29" s="84">
        <f>IF(OR($A29="",COUNT(AB29,AC29,AD29,AG29,AE29,AF29)&lt;1),"",AB29+AC29+AD29+AG29-AE29-AF29)</f>
        <v/>
      </c>
      <c r="AI29" s="84">
        <f>IF(OR($A29="",COUNT(AA29,AH29)&lt;2),"",AA29-AH29)</f>
        <v/>
      </c>
      <c r="AJ29" s="84">
        <f>IF(OR($A29="",COUNT(W29,AB29)&lt;2),"",W29-AB29)</f>
        <v/>
      </c>
      <c r="AK29" s="83" t="n"/>
      <c r="AL29" s="33" t="n"/>
      <c r="AM29" s="33" t="n"/>
      <c r="AN29" s="83" t="n"/>
      <c r="AO29" s="33" t="n"/>
      <c r="AP29" s="33" t="n"/>
      <c r="AQ29" s="33" t="n"/>
    </row>
    <row r="30">
      <c r="A30" s="33" t="n"/>
      <c r="B30" s="33" t="n"/>
      <c r="C30" s="33" t="n"/>
      <c r="D30" s="33" t="n"/>
      <c r="E30" s="33" t="n"/>
      <c r="F30" s="33" t="n"/>
      <c r="G30" s="33" t="n"/>
      <c r="H30" s="33" t="n"/>
      <c r="I30" s="33" t="n"/>
      <c r="J30" s="33" t="n"/>
      <c r="K30" s="34" t="n"/>
      <c r="L30" s="34" t="n"/>
      <c r="M30" s="34" t="n"/>
      <c r="N30" s="82" t="n"/>
      <c r="O30" s="82" t="n"/>
      <c r="P30" s="33" t="n"/>
      <c r="Q30" s="34" t="n"/>
      <c r="R30" s="83" t="n"/>
      <c r="S30" s="34" t="n"/>
      <c r="T30" s="33" t="n"/>
      <c r="U30" s="83" t="n"/>
      <c r="V30" s="33" t="n"/>
      <c r="W30" s="83" t="n"/>
      <c r="X30" s="83" t="n"/>
      <c r="Y30" s="83" t="n"/>
      <c r="Z30" s="83" t="n"/>
      <c r="AA30" s="84">
        <f>IF(OR($A30="",COUNT(W30,X30,Z30,Y30)&lt;1),"",W30+X30+Z30-Y30)</f>
        <v/>
      </c>
      <c r="AB30" s="83" t="n"/>
      <c r="AC30" s="83" t="n"/>
      <c r="AD30" s="83" t="n"/>
      <c r="AE30" s="83" t="n"/>
      <c r="AF30" s="83" t="n"/>
      <c r="AG30" s="83" t="n"/>
      <c r="AH30" s="84">
        <f>IF(OR($A30="",COUNT(AB30,AC30,AD30,AG30,AE30,AF30)&lt;1),"",AB30+AC30+AD30+AG30-AE30-AF30)</f>
        <v/>
      </c>
      <c r="AI30" s="84">
        <f>IF(OR($A30="",COUNT(AA30,AH30)&lt;2),"",AA30-AH30)</f>
        <v/>
      </c>
      <c r="AJ30" s="84">
        <f>IF(OR($A30="",COUNT(W30,AB30)&lt;2),"",W30-AB30)</f>
        <v/>
      </c>
      <c r="AK30" s="83" t="n"/>
      <c r="AL30" s="33" t="n"/>
      <c r="AM30" s="33" t="n"/>
      <c r="AN30" s="83" t="n"/>
      <c r="AO30" s="33" t="n"/>
      <c r="AP30" s="33" t="n"/>
      <c r="AQ30" s="33" t="n"/>
    </row>
    <row r="31">
      <c r="A31" s="33" t="n"/>
      <c r="B31" s="33" t="n"/>
      <c r="C31" s="33" t="n"/>
      <c r="D31" s="33" t="n"/>
      <c r="E31" s="33" t="n"/>
      <c r="F31" s="33" t="n"/>
      <c r="G31" s="33" t="n"/>
      <c r="H31" s="33" t="n"/>
      <c r="I31" s="33" t="n"/>
      <c r="J31" s="33" t="n"/>
      <c r="K31" s="34" t="n"/>
      <c r="L31" s="34" t="n"/>
      <c r="M31" s="34" t="n"/>
      <c r="N31" s="82" t="n"/>
      <c r="O31" s="82" t="n"/>
      <c r="P31" s="33" t="n"/>
      <c r="Q31" s="34" t="n"/>
      <c r="R31" s="83" t="n"/>
      <c r="S31" s="34" t="n"/>
      <c r="T31" s="33" t="n"/>
      <c r="U31" s="83" t="n"/>
      <c r="V31" s="33" t="n"/>
      <c r="W31" s="83" t="n"/>
      <c r="X31" s="83" t="n"/>
      <c r="Y31" s="83" t="n"/>
      <c r="Z31" s="83" t="n"/>
      <c r="AA31" s="84">
        <f>IF(OR($A31="",COUNT(W31,X31,Z31,Y31)&lt;1),"",W31+X31+Z31-Y31)</f>
        <v/>
      </c>
      <c r="AB31" s="83" t="n"/>
      <c r="AC31" s="83" t="n"/>
      <c r="AD31" s="83" t="n"/>
      <c r="AE31" s="83" t="n"/>
      <c r="AF31" s="83" t="n"/>
      <c r="AG31" s="83" t="n"/>
      <c r="AH31" s="84">
        <f>IF(OR($A31="",COUNT(AB31,AC31,AD31,AG31,AE31,AF31)&lt;1),"",AB31+AC31+AD31+AG31-AE31-AF31)</f>
        <v/>
      </c>
      <c r="AI31" s="84">
        <f>IF(OR($A31="",COUNT(AA31,AH31)&lt;2),"",AA31-AH31)</f>
        <v/>
      </c>
      <c r="AJ31" s="84">
        <f>IF(OR($A31="",COUNT(W31,AB31)&lt;2),"",W31-AB31)</f>
        <v/>
      </c>
      <c r="AK31" s="83" t="n"/>
      <c r="AL31" s="33" t="n"/>
      <c r="AM31" s="33" t="n"/>
      <c r="AN31" s="83" t="n"/>
      <c r="AO31" s="33" t="n"/>
      <c r="AP31" s="33" t="n"/>
      <c r="AQ31" s="33" t="n"/>
    </row>
    <row r="32">
      <c r="A32" s="33" t="n"/>
      <c r="B32" s="33" t="n"/>
      <c r="C32" s="33" t="n"/>
      <c r="D32" s="33" t="n"/>
      <c r="E32" s="33" t="n"/>
      <c r="F32" s="33" t="n"/>
      <c r="G32" s="33" t="n"/>
      <c r="H32" s="33" t="n"/>
      <c r="I32" s="33" t="n"/>
      <c r="J32" s="33" t="n"/>
      <c r="K32" s="34" t="n"/>
      <c r="L32" s="34" t="n"/>
      <c r="M32" s="34" t="n"/>
      <c r="N32" s="82" t="n"/>
      <c r="O32" s="82" t="n"/>
      <c r="P32" s="33" t="n"/>
      <c r="Q32" s="34" t="n"/>
      <c r="R32" s="83" t="n"/>
      <c r="S32" s="34" t="n"/>
      <c r="T32" s="33" t="n"/>
      <c r="U32" s="83" t="n"/>
      <c r="V32" s="33" t="n"/>
      <c r="W32" s="83" t="n"/>
      <c r="X32" s="83" t="n"/>
      <c r="Y32" s="83" t="n"/>
      <c r="Z32" s="83" t="n"/>
      <c r="AA32" s="84">
        <f>IF(OR($A32="",COUNT(W32,X32,Z32,Y32)&lt;1),"",W32+X32+Z32-Y32)</f>
        <v/>
      </c>
      <c r="AB32" s="83" t="n"/>
      <c r="AC32" s="83" t="n"/>
      <c r="AD32" s="83" t="n"/>
      <c r="AE32" s="83" t="n"/>
      <c r="AF32" s="83" t="n"/>
      <c r="AG32" s="83" t="n"/>
      <c r="AH32" s="84">
        <f>IF(OR($A32="",COUNT(AB32,AC32,AD32,AG32,AE32,AF32)&lt;1),"",AB32+AC32+AD32+AG32-AE32-AF32)</f>
        <v/>
      </c>
      <c r="AI32" s="84">
        <f>IF(OR($A32="",COUNT(AA32,AH32)&lt;2),"",AA32-AH32)</f>
        <v/>
      </c>
      <c r="AJ32" s="84">
        <f>IF(OR($A32="",COUNT(W32,AB32)&lt;2),"",W32-AB32)</f>
        <v/>
      </c>
      <c r="AK32" s="83" t="n"/>
      <c r="AL32" s="33" t="n"/>
      <c r="AM32" s="33" t="n"/>
      <c r="AN32" s="83" t="n"/>
      <c r="AO32" s="33" t="n"/>
      <c r="AP32" s="33" t="n"/>
      <c r="AQ32" s="33" t="n"/>
    </row>
    <row r="33">
      <c r="A33" s="33" t="n"/>
      <c r="B33" s="33" t="n"/>
      <c r="C33" s="33" t="n"/>
      <c r="D33" s="33" t="n"/>
      <c r="E33" s="33" t="n"/>
      <c r="F33" s="33" t="n"/>
      <c r="G33" s="33" t="n"/>
      <c r="H33" s="33" t="n"/>
      <c r="I33" s="33" t="n"/>
      <c r="J33" s="33" t="n"/>
      <c r="K33" s="34" t="n"/>
      <c r="L33" s="34" t="n"/>
      <c r="M33" s="34" t="n"/>
      <c r="N33" s="82" t="n"/>
      <c r="O33" s="82" t="n"/>
      <c r="P33" s="33" t="n"/>
      <c r="Q33" s="34" t="n"/>
      <c r="R33" s="83" t="n"/>
      <c r="S33" s="34" t="n"/>
      <c r="T33" s="33" t="n"/>
      <c r="U33" s="83" t="n"/>
      <c r="V33" s="33" t="n"/>
      <c r="W33" s="83" t="n"/>
      <c r="X33" s="83" t="n"/>
      <c r="Y33" s="83" t="n"/>
      <c r="Z33" s="83" t="n"/>
      <c r="AA33" s="84">
        <f>IF(OR($A33="",COUNT(W33,X33,Z33,Y33)&lt;1),"",W33+X33+Z33-Y33)</f>
        <v/>
      </c>
      <c r="AB33" s="83" t="n"/>
      <c r="AC33" s="83" t="n"/>
      <c r="AD33" s="83" t="n"/>
      <c r="AE33" s="83" t="n"/>
      <c r="AF33" s="83" t="n"/>
      <c r="AG33" s="83" t="n"/>
      <c r="AH33" s="84">
        <f>IF(OR($A33="",COUNT(AB33,AC33,AD33,AG33,AE33,AF33)&lt;1),"",AB33+AC33+AD33+AG33-AE33-AF33)</f>
        <v/>
      </c>
      <c r="AI33" s="84">
        <f>IF(OR($A33="",COUNT(AA33,AH33)&lt;2),"",AA33-AH33)</f>
        <v/>
      </c>
      <c r="AJ33" s="84">
        <f>IF(OR($A33="",COUNT(W33,AB33)&lt;2),"",W33-AB33)</f>
        <v/>
      </c>
      <c r="AK33" s="83" t="n"/>
      <c r="AL33" s="33" t="n"/>
      <c r="AM33" s="33" t="n"/>
      <c r="AN33" s="83" t="n"/>
      <c r="AO33" s="33" t="n"/>
      <c r="AP33" s="33" t="n"/>
      <c r="AQ33" s="33" t="n"/>
    </row>
    <row r="34">
      <c r="A34" s="33" t="n"/>
      <c r="B34" s="33" t="n"/>
      <c r="C34" s="33" t="n"/>
      <c r="D34" s="33" t="n"/>
      <c r="E34" s="33" t="n"/>
      <c r="F34" s="33" t="n"/>
      <c r="G34" s="33" t="n"/>
      <c r="H34" s="33" t="n"/>
      <c r="I34" s="33" t="n"/>
      <c r="J34" s="33" t="n"/>
      <c r="K34" s="34" t="n"/>
      <c r="L34" s="34" t="n"/>
      <c r="M34" s="34" t="n"/>
      <c r="N34" s="82" t="n"/>
      <c r="O34" s="82" t="n"/>
      <c r="P34" s="33" t="n"/>
      <c r="Q34" s="34" t="n"/>
      <c r="R34" s="83" t="n"/>
      <c r="S34" s="34" t="n"/>
      <c r="T34" s="33" t="n"/>
      <c r="U34" s="83" t="n"/>
      <c r="V34" s="33" t="n"/>
      <c r="W34" s="83" t="n"/>
      <c r="X34" s="83" t="n"/>
      <c r="Y34" s="83" t="n"/>
      <c r="Z34" s="83" t="n"/>
      <c r="AA34" s="84">
        <f>IF(OR($A34="",COUNT(W34,X34,Z34,Y34)&lt;1),"",W34+X34+Z34-Y34)</f>
        <v/>
      </c>
      <c r="AB34" s="83" t="n"/>
      <c r="AC34" s="83" t="n"/>
      <c r="AD34" s="83" t="n"/>
      <c r="AE34" s="83" t="n"/>
      <c r="AF34" s="83" t="n"/>
      <c r="AG34" s="83" t="n"/>
      <c r="AH34" s="84">
        <f>IF(OR($A34="",COUNT(AB34,AC34,AD34,AG34,AE34,AF34)&lt;1),"",AB34+AC34+AD34+AG34-AE34-AF34)</f>
        <v/>
      </c>
      <c r="AI34" s="84">
        <f>IF(OR($A34="",COUNT(AA34,AH34)&lt;2),"",AA34-AH34)</f>
        <v/>
      </c>
      <c r="AJ34" s="84">
        <f>IF(OR($A34="",COUNT(W34,AB34)&lt;2),"",W34-AB34)</f>
        <v/>
      </c>
      <c r="AK34" s="83" t="n"/>
      <c r="AL34" s="33" t="n"/>
      <c r="AM34" s="33" t="n"/>
      <c r="AN34" s="83" t="n"/>
      <c r="AO34" s="33" t="n"/>
      <c r="AP34" s="33" t="n"/>
      <c r="AQ34" s="33" t="n"/>
    </row>
    <row r="35">
      <c r="A35" s="33" t="n"/>
      <c r="B35" s="33" t="n"/>
      <c r="C35" s="33" t="n"/>
      <c r="D35" s="33" t="n"/>
      <c r="E35" s="33" t="n"/>
      <c r="F35" s="33" t="n"/>
      <c r="G35" s="33" t="n"/>
      <c r="H35" s="33" t="n"/>
      <c r="I35" s="33" t="n"/>
      <c r="J35" s="33" t="n"/>
      <c r="K35" s="34" t="n"/>
      <c r="L35" s="34" t="n"/>
      <c r="M35" s="34" t="n"/>
      <c r="N35" s="82" t="n"/>
      <c r="O35" s="82" t="n"/>
      <c r="P35" s="33" t="n"/>
      <c r="Q35" s="34" t="n"/>
      <c r="R35" s="83" t="n"/>
      <c r="S35" s="34" t="n"/>
      <c r="T35" s="33" t="n"/>
      <c r="U35" s="83" t="n"/>
      <c r="V35" s="33" t="n"/>
      <c r="W35" s="83" t="n"/>
      <c r="X35" s="83" t="n"/>
      <c r="Y35" s="83" t="n"/>
      <c r="Z35" s="83" t="n"/>
      <c r="AA35" s="84">
        <f>IF(OR($A35="",COUNT(W35,X35,Z35,Y35)&lt;1),"",W35+X35+Z35-Y35)</f>
        <v/>
      </c>
      <c r="AB35" s="83" t="n"/>
      <c r="AC35" s="83" t="n"/>
      <c r="AD35" s="83" t="n"/>
      <c r="AE35" s="83" t="n"/>
      <c r="AF35" s="83" t="n"/>
      <c r="AG35" s="83" t="n"/>
      <c r="AH35" s="84">
        <f>IF(OR($A35="",COUNT(AB35,AC35,AD35,AG35,AE35,AF35)&lt;1),"",AB35+AC35+AD35+AG35-AE35-AF35)</f>
        <v/>
      </c>
      <c r="AI35" s="84">
        <f>IF(OR($A35="",COUNT(AA35,AH35)&lt;2),"",AA35-AH35)</f>
        <v/>
      </c>
      <c r="AJ35" s="84">
        <f>IF(OR($A35="",COUNT(W35,AB35)&lt;2),"",W35-AB35)</f>
        <v/>
      </c>
      <c r="AK35" s="83" t="n"/>
      <c r="AL35" s="33" t="n"/>
      <c r="AM35" s="33" t="n"/>
      <c r="AN35" s="83" t="n"/>
      <c r="AO35" s="33" t="n"/>
      <c r="AP35" s="33" t="n"/>
      <c r="AQ35" s="33" t="n"/>
    </row>
    <row r="36">
      <c r="A36" s="33" t="n"/>
      <c r="B36" s="33" t="n"/>
      <c r="C36" s="33" t="n"/>
      <c r="D36" s="33" t="n"/>
      <c r="E36" s="33" t="n"/>
      <c r="F36" s="33" t="n"/>
      <c r="G36" s="33" t="n"/>
      <c r="H36" s="33" t="n"/>
      <c r="I36" s="33" t="n"/>
      <c r="J36" s="33" t="n"/>
      <c r="K36" s="34" t="n"/>
      <c r="L36" s="34" t="n"/>
      <c r="M36" s="34" t="n"/>
      <c r="N36" s="82" t="n"/>
      <c r="O36" s="82" t="n"/>
      <c r="P36" s="33" t="n"/>
      <c r="Q36" s="34" t="n"/>
      <c r="R36" s="83" t="n"/>
      <c r="S36" s="34" t="n"/>
      <c r="T36" s="33" t="n"/>
      <c r="U36" s="83" t="n"/>
      <c r="V36" s="33" t="n"/>
      <c r="W36" s="83" t="n"/>
      <c r="X36" s="83" t="n"/>
      <c r="Y36" s="83" t="n"/>
      <c r="Z36" s="83" t="n"/>
      <c r="AA36" s="84">
        <f>IF(OR($A36="",COUNT(W36,X36,Z36,Y36)&lt;1),"",W36+X36+Z36-Y36)</f>
        <v/>
      </c>
      <c r="AB36" s="83" t="n"/>
      <c r="AC36" s="83" t="n"/>
      <c r="AD36" s="83" t="n"/>
      <c r="AE36" s="83" t="n"/>
      <c r="AF36" s="83" t="n"/>
      <c r="AG36" s="83" t="n"/>
      <c r="AH36" s="84">
        <f>IF(OR($A36="",COUNT(AB36,AC36,AD36,AG36,AE36,AF36)&lt;1),"",AB36+AC36+AD36+AG36-AE36-AF36)</f>
        <v/>
      </c>
      <c r="AI36" s="84">
        <f>IF(OR($A36="",COUNT(AA36,AH36)&lt;2),"",AA36-AH36)</f>
        <v/>
      </c>
      <c r="AJ36" s="84">
        <f>IF(OR($A36="",COUNT(W36,AB36)&lt;2),"",W36-AB36)</f>
        <v/>
      </c>
      <c r="AK36" s="83" t="n"/>
      <c r="AL36" s="33" t="n"/>
      <c r="AM36" s="33" t="n"/>
      <c r="AN36" s="83" t="n"/>
      <c r="AO36" s="33" t="n"/>
      <c r="AP36" s="33" t="n"/>
      <c r="AQ36" s="33" t="n"/>
    </row>
    <row r="37">
      <c r="A37" s="33" t="n"/>
      <c r="B37" s="33" t="n"/>
      <c r="C37" s="33" t="n"/>
      <c r="D37" s="33" t="n"/>
      <c r="E37" s="33" t="n"/>
      <c r="F37" s="33" t="n"/>
      <c r="G37" s="33" t="n"/>
      <c r="H37" s="33" t="n"/>
      <c r="I37" s="33" t="n"/>
      <c r="J37" s="33" t="n"/>
      <c r="K37" s="34" t="n"/>
      <c r="L37" s="34" t="n"/>
      <c r="M37" s="34" t="n"/>
      <c r="N37" s="82" t="n"/>
      <c r="O37" s="82" t="n"/>
      <c r="P37" s="33" t="n"/>
      <c r="Q37" s="34" t="n"/>
      <c r="R37" s="83" t="n"/>
      <c r="S37" s="34" t="n"/>
      <c r="T37" s="33" t="n"/>
      <c r="U37" s="83" t="n"/>
      <c r="V37" s="33" t="n"/>
      <c r="W37" s="83" t="n"/>
      <c r="X37" s="83" t="n"/>
      <c r="Y37" s="83" t="n"/>
      <c r="Z37" s="83" t="n"/>
      <c r="AA37" s="84">
        <f>IF(OR($A37="",COUNT(W37,X37,Z37,Y37)&lt;1),"",W37+X37+Z37-Y37)</f>
        <v/>
      </c>
      <c r="AB37" s="83" t="n"/>
      <c r="AC37" s="83" t="n"/>
      <c r="AD37" s="83" t="n"/>
      <c r="AE37" s="83" t="n"/>
      <c r="AF37" s="83" t="n"/>
      <c r="AG37" s="83" t="n"/>
      <c r="AH37" s="84">
        <f>IF(OR($A37="",COUNT(AB37,AC37,AD37,AG37,AE37,AF37)&lt;1),"",AB37+AC37+AD37+AG37-AE37-AF37)</f>
        <v/>
      </c>
      <c r="AI37" s="84">
        <f>IF(OR($A37="",COUNT(AA37,AH37)&lt;2),"",AA37-AH37)</f>
        <v/>
      </c>
      <c r="AJ37" s="84">
        <f>IF(OR($A37="",COUNT(W37,AB37)&lt;2),"",W37-AB37)</f>
        <v/>
      </c>
      <c r="AK37" s="83" t="n"/>
      <c r="AL37" s="33" t="n"/>
      <c r="AM37" s="33" t="n"/>
      <c r="AN37" s="83" t="n"/>
      <c r="AO37" s="33" t="n"/>
      <c r="AP37" s="33" t="n"/>
      <c r="AQ37" s="33" t="n"/>
    </row>
    <row r="38">
      <c r="A38" s="33" t="n"/>
      <c r="B38" s="33" t="n"/>
      <c r="C38" s="33" t="n"/>
      <c r="D38" s="33" t="n"/>
      <c r="E38" s="33" t="n"/>
      <c r="F38" s="33" t="n"/>
      <c r="G38" s="33" t="n"/>
      <c r="H38" s="33" t="n"/>
      <c r="I38" s="33" t="n"/>
      <c r="J38" s="33" t="n"/>
      <c r="K38" s="34" t="n"/>
      <c r="L38" s="34" t="n"/>
      <c r="M38" s="34" t="n"/>
      <c r="N38" s="82" t="n"/>
      <c r="O38" s="82" t="n"/>
      <c r="P38" s="33" t="n"/>
      <c r="Q38" s="34" t="n"/>
      <c r="R38" s="83" t="n"/>
      <c r="S38" s="34" t="n"/>
      <c r="T38" s="33" t="n"/>
      <c r="U38" s="83" t="n"/>
      <c r="V38" s="33" t="n"/>
      <c r="W38" s="83" t="n"/>
      <c r="X38" s="83" t="n"/>
      <c r="Y38" s="83" t="n"/>
      <c r="Z38" s="83" t="n"/>
      <c r="AA38" s="84">
        <f>IF(OR($A38="",COUNT(W38,X38,Z38,Y38)&lt;1),"",W38+X38+Z38-Y38)</f>
        <v/>
      </c>
      <c r="AB38" s="83" t="n"/>
      <c r="AC38" s="83" t="n"/>
      <c r="AD38" s="83" t="n"/>
      <c r="AE38" s="83" t="n"/>
      <c r="AF38" s="83" t="n"/>
      <c r="AG38" s="83" t="n"/>
      <c r="AH38" s="84">
        <f>IF(OR($A38="",COUNT(AB38,AC38,AD38,AG38,AE38,AF38)&lt;1),"",AB38+AC38+AD38+AG38-AE38-AF38)</f>
        <v/>
      </c>
      <c r="AI38" s="84">
        <f>IF(OR($A38="",COUNT(AA38,AH38)&lt;2),"",AA38-AH38)</f>
        <v/>
      </c>
      <c r="AJ38" s="84">
        <f>IF(OR($A38="",COUNT(W38,AB38)&lt;2),"",W38-AB38)</f>
        <v/>
      </c>
      <c r="AK38" s="83" t="n"/>
      <c r="AL38" s="33" t="n"/>
      <c r="AM38" s="33" t="n"/>
      <c r="AN38" s="83" t="n"/>
      <c r="AO38" s="33" t="n"/>
      <c r="AP38" s="33" t="n"/>
      <c r="AQ38" s="33" t="n"/>
    </row>
    <row r="39">
      <c r="A39" s="33" t="n"/>
      <c r="B39" s="33" t="n"/>
      <c r="C39" s="33" t="n"/>
      <c r="D39" s="33" t="n"/>
      <c r="E39" s="33" t="n"/>
      <c r="F39" s="33" t="n"/>
      <c r="G39" s="33" t="n"/>
      <c r="H39" s="33" t="n"/>
      <c r="I39" s="33" t="n"/>
      <c r="J39" s="33" t="n"/>
      <c r="K39" s="34" t="n"/>
      <c r="L39" s="34" t="n"/>
      <c r="M39" s="34" t="n"/>
      <c r="N39" s="82" t="n"/>
      <c r="O39" s="82" t="n"/>
      <c r="P39" s="33" t="n"/>
      <c r="Q39" s="34" t="n"/>
      <c r="R39" s="83" t="n"/>
      <c r="S39" s="34" t="n"/>
      <c r="T39" s="33" t="n"/>
      <c r="U39" s="83" t="n"/>
      <c r="V39" s="33" t="n"/>
      <c r="W39" s="83" t="n"/>
      <c r="X39" s="83" t="n"/>
      <c r="Y39" s="83" t="n"/>
      <c r="Z39" s="83" t="n"/>
      <c r="AA39" s="84">
        <f>IF(OR($A39="",COUNT(W39,X39,Z39,Y39)&lt;1),"",W39+X39+Z39-Y39)</f>
        <v/>
      </c>
      <c r="AB39" s="83" t="n"/>
      <c r="AC39" s="83" t="n"/>
      <c r="AD39" s="83" t="n"/>
      <c r="AE39" s="83" t="n"/>
      <c r="AF39" s="83" t="n"/>
      <c r="AG39" s="83" t="n"/>
      <c r="AH39" s="84">
        <f>IF(OR($A39="",COUNT(AB39,AC39,AD39,AG39,AE39,AF39)&lt;1),"",AB39+AC39+AD39+AG39-AE39-AF39)</f>
        <v/>
      </c>
      <c r="AI39" s="84">
        <f>IF(OR($A39="",COUNT(AA39,AH39)&lt;2),"",AA39-AH39)</f>
        <v/>
      </c>
      <c r="AJ39" s="84">
        <f>IF(OR($A39="",COUNT(W39,AB39)&lt;2),"",W39-AB39)</f>
        <v/>
      </c>
      <c r="AK39" s="83" t="n"/>
      <c r="AL39" s="33" t="n"/>
      <c r="AM39" s="33" t="n"/>
      <c r="AN39" s="83" t="n"/>
      <c r="AO39" s="33" t="n"/>
      <c r="AP39" s="33" t="n"/>
      <c r="AQ39" s="33" t="n"/>
    </row>
    <row r="40">
      <c r="A40" s="33" t="n"/>
      <c r="B40" s="33" t="n"/>
      <c r="C40" s="33" t="n"/>
      <c r="D40" s="33" t="n"/>
      <c r="E40" s="33" t="n"/>
      <c r="F40" s="33" t="n"/>
      <c r="G40" s="33" t="n"/>
      <c r="H40" s="33" t="n"/>
      <c r="I40" s="33" t="n"/>
      <c r="J40" s="33" t="n"/>
      <c r="K40" s="34" t="n"/>
      <c r="L40" s="34" t="n"/>
      <c r="M40" s="34" t="n"/>
      <c r="N40" s="82" t="n"/>
      <c r="O40" s="82" t="n"/>
      <c r="P40" s="33" t="n"/>
      <c r="Q40" s="34" t="n"/>
      <c r="R40" s="83" t="n"/>
      <c r="S40" s="34" t="n"/>
      <c r="T40" s="33" t="n"/>
      <c r="U40" s="83" t="n"/>
      <c r="V40" s="33" t="n"/>
      <c r="W40" s="83" t="n"/>
      <c r="X40" s="83" t="n"/>
      <c r="Y40" s="83" t="n"/>
      <c r="Z40" s="83" t="n"/>
      <c r="AA40" s="84">
        <f>IF(OR($A40="",COUNT(W40,X40,Z40,Y40)&lt;1),"",W40+X40+Z40-Y40)</f>
        <v/>
      </c>
      <c r="AB40" s="83" t="n"/>
      <c r="AC40" s="83" t="n"/>
      <c r="AD40" s="83" t="n"/>
      <c r="AE40" s="83" t="n"/>
      <c r="AF40" s="83" t="n"/>
      <c r="AG40" s="83" t="n"/>
      <c r="AH40" s="84">
        <f>IF(OR($A40="",COUNT(AB40,AC40,AD40,AG40,AE40,AF40)&lt;1),"",AB40+AC40+AD40+AG40-AE40-AF40)</f>
        <v/>
      </c>
      <c r="AI40" s="84">
        <f>IF(OR($A40="",COUNT(AA40,AH40)&lt;2),"",AA40-AH40)</f>
        <v/>
      </c>
      <c r="AJ40" s="84">
        <f>IF(OR($A40="",COUNT(W40,AB40)&lt;2),"",W40-AB40)</f>
        <v/>
      </c>
      <c r="AK40" s="83" t="n"/>
      <c r="AL40" s="33" t="n"/>
      <c r="AM40" s="33" t="n"/>
      <c r="AN40" s="83" t="n"/>
      <c r="AO40" s="33" t="n"/>
      <c r="AP40" s="33" t="n"/>
      <c r="AQ40" s="33" t="n"/>
    </row>
    <row r="41">
      <c r="A41" s="33" t="n"/>
      <c r="B41" s="33" t="n"/>
      <c r="C41" s="33" t="n"/>
      <c r="D41" s="33" t="n"/>
      <c r="E41" s="33" t="n"/>
      <c r="F41" s="33" t="n"/>
      <c r="G41" s="33" t="n"/>
      <c r="H41" s="33" t="n"/>
      <c r="I41" s="33" t="n"/>
      <c r="J41" s="33" t="n"/>
      <c r="K41" s="34" t="n"/>
      <c r="L41" s="34" t="n"/>
      <c r="M41" s="34" t="n"/>
      <c r="N41" s="82" t="n"/>
      <c r="O41" s="82" t="n"/>
      <c r="P41" s="33" t="n"/>
      <c r="Q41" s="34" t="n"/>
      <c r="R41" s="83" t="n"/>
      <c r="S41" s="34" t="n"/>
      <c r="T41" s="33" t="n"/>
      <c r="U41" s="83" t="n"/>
      <c r="V41" s="33" t="n"/>
      <c r="W41" s="83" t="n"/>
      <c r="X41" s="83" t="n"/>
      <c r="Y41" s="83" t="n"/>
      <c r="Z41" s="83" t="n"/>
      <c r="AA41" s="84">
        <f>IF(OR($A41="",COUNT(W41,X41,Z41,Y41)&lt;1),"",W41+X41+Z41-Y41)</f>
        <v/>
      </c>
      <c r="AB41" s="83" t="n"/>
      <c r="AC41" s="83" t="n"/>
      <c r="AD41" s="83" t="n"/>
      <c r="AE41" s="83" t="n"/>
      <c r="AF41" s="83" t="n"/>
      <c r="AG41" s="83" t="n"/>
      <c r="AH41" s="84">
        <f>IF(OR($A41="",COUNT(AB41,AC41,AD41,AG41,AE41,AF41)&lt;1),"",AB41+AC41+AD41+AG41-AE41-AF41)</f>
        <v/>
      </c>
      <c r="AI41" s="84">
        <f>IF(OR($A41="",COUNT(AA41,AH41)&lt;2),"",AA41-AH41)</f>
        <v/>
      </c>
      <c r="AJ41" s="84">
        <f>IF(OR($A41="",COUNT(W41,AB41)&lt;2),"",W41-AB41)</f>
        <v/>
      </c>
      <c r="AK41" s="83" t="n"/>
      <c r="AL41" s="33" t="n"/>
      <c r="AM41" s="33" t="n"/>
      <c r="AN41" s="83" t="n"/>
      <c r="AO41" s="33" t="n"/>
      <c r="AP41" s="33" t="n"/>
      <c r="AQ41" s="33" t="n"/>
    </row>
    <row r="42">
      <c r="A42" s="33" t="n"/>
      <c r="B42" s="33" t="n"/>
      <c r="C42" s="33" t="n"/>
      <c r="D42" s="33" t="n"/>
      <c r="E42" s="33" t="n"/>
      <c r="F42" s="33" t="n"/>
      <c r="G42" s="33" t="n"/>
      <c r="H42" s="33" t="n"/>
      <c r="I42" s="33" t="n"/>
      <c r="J42" s="33" t="n"/>
      <c r="K42" s="34" t="n"/>
      <c r="L42" s="34" t="n"/>
      <c r="M42" s="34" t="n"/>
      <c r="N42" s="82" t="n"/>
      <c r="O42" s="82" t="n"/>
      <c r="P42" s="33" t="n"/>
      <c r="Q42" s="34" t="n"/>
      <c r="R42" s="83" t="n"/>
      <c r="S42" s="34" t="n"/>
      <c r="T42" s="33" t="n"/>
      <c r="U42" s="83" t="n"/>
      <c r="V42" s="33" t="n"/>
      <c r="W42" s="83" t="n"/>
      <c r="X42" s="83" t="n"/>
      <c r="Y42" s="83" t="n"/>
      <c r="Z42" s="83" t="n"/>
      <c r="AA42" s="84">
        <f>IF(OR($A42="",COUNT(W42,X42,Z42,Y42)&lt;1),"",W42+X42+Z42-Y42)</f>
        <v/>
      </c>
      <c r="AB42" s="83" t="n"/>
      <c r="AC42" s="83" t="n"/>
      <c r="AD42" s="83" t="n"/>
      <c r="AE42" s="83" t="n"/>
      <c r="AF42" s="83" t="n"/>
      <c r="AG42" s="83" t="n"/>
      <c r="AH42" s="84">
        <f>IF(OR($A42="",COUNT(AB42,AC42,AD42,AG42,AE42,AF42)&lt;1),"",AB42+AC42+AD42+AG42-AE42-AF42)</f>
        <v/>
      </c>
      <c r="AI42" s="84">
        <f>IF(OR($A42="",COUNT(AA42,AH42)&lt;2),"",AA42-AH42)</f>
        <v/>
      </c>
      <c r="AJ42" s="84">
        <f>IF(OR($A42="",COUNT(W42,AB42)&lt;2),"",W42-AB42)</f>
        <v/>
      </c>
      <c r="AK42" s="83" t="n"/>
      <c r="AL42" s="33" t="n"/>
      <c r="AM42" s="33" t="n"/>
      <c r="AN42" s="83" t="n"/>
      <c r="AO42" s="33" t="n"/>
      <c r="AP42" s="33" t="n"/>
      <c r="AQ42" s="33" t="n"/>
    </row>
    <row r="43">
      <c r="A43" s="33" t="n"/>
      <c r="B43" s="33" t="n"/>
      <c r="C43" s="33" t="n"/>
      <c r="D43" s="33" t="n"/>
      <c r="E43" s="33" t="n"/>
      <c r="F43" s="33" t="n"/>
      <c r="G43" s="33" t="n"/>
      <c r="H43" s="33" t="n"/>
      <c r="I43" s="33" t="n"/>
      <c r="J43" s="33" t="n"/>
      <c r="K43" s="34" t="n"/>
      <c r="L43" s="34" t="n"/>
      <c r="M43" s="34" t="n"/>
      <c r="N43" s="82" t="n"/>
      <c r="O43" s="82" t="n"/>
      <c r="P43" s="33" t="n"/>
      <c r="Q43" s="34" t="n"/>
      <c r="R43" s="83" t="n"/>
      <c r="S43" s="34" t="n"/>
      <c r="T43" s="33" t="n"/>
      <c r="U43" s="83" t="n"/>
      <c r="V43" s="33" t="n"/>
      <c r="W43" s="83" t="n"/>
      <c r="X43" s="83" t="n"/>
      <c r="Y43" s="83" t="n"/>
      <c r="Z43" s="83" t="n"/>
      <c r="AA43" s="84">
        <f>IF(OR($A43="",COUNT(W43,X43,Z43,Y43)&lt;1),"",W43+X43+Z43-Y43)</f>
        <v/>
      </c>
      <c r="AB43" s="83" t="n"/>
      <c r="AC43" s="83" t="n"/>
      <c r="AD43" s="83" t="n"/>
      <c r="AE43" s="83" t="n"/>
      <c r="AF43" s="83" t="n"/>
      <c r="AG43" s="83" t="n"/>
      <c r="AH43" s="84">
        <f>IF(OR($A43="",COUNT(AB43,AC43,AD43,AG43,AE43,AF43)&lt;1),"",AB43+AC43+AD43+AG43-AE43-AF43)</f>
        <v/>
      </c>
      <c r="AI43" s="84">
        <f>IF(OR($A43="",COUNT(AA43,AH43)&lt;2),"",AA43-AH43)</f>
        <v/>
      </c>
      <c r="AJ43" s="84">
        <f>IF(OR($A43="",COUNT(W43,AB43)&lt;2),"",W43-AB43)</f>
        <v/>
      </c>
      <c r="AK43" s="83" t="n"/>
      <c r="AL43" s="33" t="n"/>
      <c r="AM43" s="33" t="n"/>
      <c r="AN43" s="83" t="n"/>
      <c r="AO43" s="33" t="n"/>
      <c r="AP43" s="33" t="n"/>
      <c r="AQ43" s="33" t="n"/>
    </row>
    <row r="44">
      <c r="A44" s="33" t="n"/>
      <c r="B44" s="33" t="n"/>
      <c r="C44" s="33" t="n"/>
      <c r="D44" s="33" t="n"/>
      <c r="E44" s="33" t="n"/>
      <c r="F44" s="33" t="n"/>
      <c r="G44" s="33" t="n"/>
      <c r="H44" s="33" t="n"/>
      <c r="I44" s="33" t="n"/>
      <c r="J44" s="33" t="n"/>
      <c r="K44" s="34" t="n"/>
      <c r="L44" s="34" t="n"/>
      <c r="M44" s="34" t="n"/>
      <c r="N44" s="82" t="n"/>
      <c r="O44" s="82" t="n"/>
      <c r="P44" s="33" t="n"/>
      <c r="Q44" s="34" t="n"/>
      <c r="R44" s="83" t="n"/>
      <c r="S44" s="34" t="n"/>
      <c r="T44" s="33" t="n"/>
      <c r="U44" s="83" t="n"/>
      <c r="V44" s="33" t="n"/>
      <c r="W44" s="83" t="n"/>
      <c r="X44" s="83" t="n"/>
      <c r="Y44" s="83" t="n"/>
      <c r="Z44" s="83" t="n"/>
      <c r="AA44" s="84">
        <f>IF(OR($A44="",COUNT(W44,X44,Z44,Y44)&lt;1),"",W44+X44+Z44-Y44)</f>
        <v/>
      </c>
      <c r="AB44" s="83" t="n"/>
      <c r="AC44" s="83" t="n"/>
      <c r="AD44" s="83" t="n"/>
      <c r="AE44" s="83" t="n"/>
      <c r="AF44" s="83" t="n"/>
      <c r="AG44" s="83" t="n"/>
      <c r="AH44" s="84">
        <f>IF(OR($A44="",COUNT(AB44,AC44,AD44,AG44,AE44,AF44)&lt;1),"",AB44+AC44+AD44+AG44-AE44-AF44)</f>
        <v/>
      </c>
      <c r="AI44" s="84">
        <f>IF(OR($A44="",COUNT(AA44,AH44)&lt;2),"",AA44-AH44)</f>
        <v/>
      </c>
      <c r="AJ44" s="84">
        <f>IF(OR($A44="",COUNT(W44,AB44)&lt;2),"",W44-AB44)</f>
        <v/>
      </c>
      <c r="AK44" s="83" t="n"/>
      <c r="AL44" s="33" t="n"/>
      <c r="AM44" s="33" t="n"/>
      <c r="AN44" s="83" t="n"/>
      <c r="AO44" s="33" t="n"/>
      <c r="AP44" s="33" t="n"/>
      <c r="AQ44" s="33" t="n"/>
    </row>
    <row r="45">
      <c r="A45" s="33" t="n"/>
      <c r="B45" s="33" t="n"/>
      <c r="C45" s="33" t="n"/>
      <c r="D45" s="33" t="n"/>
      <c r="E45" s="33" t="n"/>
      <c r="F45" s="33" t="n"/>
      <c r="G45" s="33" t="n"/>
      <c r="H45" s="33" t="n"/>
      <c r="I45" s="33" t="n"/>
      <c r="J45" s="33" t="n"/>
      <c r="K45" s="34" t="n"/>
      <c r="L45" s="34" t="n"/>
      <c r="M45" s="34" t="n"/>
      <c r="N45" s="82" t="n"/>
      <c r="O45" s="82" t="n"/>
      <c r="P45" s="33" t="n"/>
      <c r="Q45" s="34" t="n"/>
      <c r="R45" s="83" t="n"/>
      <c r="S45" s="34" t="n"/>
      <c r="T45" s="33" t="n"/>
      <c r="U45" s="83" t="n"/>
      <c r="V45" s="33" t="n"/>
      <c r="W45" s="83" t="n"/>
      <c r="X45" s="83" t="n"/>
      <c r="Y45" s="83" t="n"/>
      <c r="Z45" s="83" t="n"/>
      <c r="AA45" s="84">
        <f>IF(OR($A45="",COUNT(W45,X45,Z45,Y45)&lt;1),"",W45+X45+Z45-Y45)</f>
        <v/>
      </c>
      <c r="AB45" s="83" t="n"/>
      <c r="AC45" s="83" t="n"/>
      <c r="AD45" s="83" t="n"/>
      <c r="AE45" s="83" t="n"/>
      <c r="AF45" s="83" t="n"/>
      <c r="AG45" s="83" t="n"/>
      <c r="AH45" s="84">
        <f>IF(OR($A45="",COUNT(AB45,AC45,AD45,AG45,AE45,AF45)&lt;1),"",AB45+AC45+AD45+AG45-AE45-AF45)</f>
        <v/>
      </c>
      <c r="AI45" s="84">
        <f>IF(OR($A45="",COUNT(AA45,AH45)&lt;2),"",AA45-AH45)</f>
        <v/>
      </c>
      <c r="AJ45" s="84">
        <f>IF(OR($A45="",COUNT(W45,AB45)&lt;2),"",W45-AB45)</f>
        <v/>
      </c>
      <c r="AK45" s="83" t="n"/>
      <c r="AL45" s="33" t="n"/>
      <c r="AM45" s="33" t="n"/>
      <c r="AN45" s="83" t="n"/>
      <c r="AO45" s="33" t="n"/>
      <c r="AP45" s="33" t="n"/>
      <c r="AQ45" s="33" t="n"/>
    </row>
    <row r="46">
      <c r="A46" s="33" t="n"/>
      <c r="B46" s="33" t="n"/>
      <c r="C46" s="33" t="n"/>
      <c r="D46" s="33" t="n"/>
      <c r="E46" s="33" t="n"/>
      <c r="F46" s="33" t="n"/>
      <c r="G46" s="33" t="n"/>
      <c r="H46" s="33" t="n"/>
      <c r="I46" s="33" t="n"/>
      <c r="J46" s="33" t="n"/>
      <c r="K46" s="34" t="n"/>
      <c r="L46" s="34" t="n"/>
      <c r="M46" s="34" t="n"/>
      <c r="N46" s="82" t="n"/>
      <c r="O46" s="82" t="n"/>
      <c r="P46" s="33" t="n"/>
      <c r="Q46" s="34" t="n"/>
      <c r="R46" s="83" t="n"/>
      <c r="S46" s="34" t="n"/>
      <c r="T46" s="33" t="n"/>
      <c r="U46" s="83" t="n"/>
      <c r="V46" s="33" t="n"/>
      <c r="W46" s="83" t="n"/>
      <c r="X46" s="83" t="n"/>
      <c r="Y46" s="83" t="n"/>
      <c r="Z46" s="83" t="n"/>
      <c r="AA46" s="84">
        <f>IF(OR($A46="",COUNT(W46,X46,Z46,Y46)&lt;1),"",W46+X46+Z46-Y46)</f>
        <v/>
      </c>
      <c r="AB46" s="83" t="n"/>
      <c r="AC46" s="83" t="n"/>
      <c r="AD46" s="83" t="n"/>
      <c r="AE46" s="83" t="n"/>
      <c r="AF46" s="83" t="n"/>
      <c r="AG46" s="83" t="n"/>
      <c r="AH46" s="84">
        <f>IF(OR($A46="",COUNT(AB46,AC46,AD46,AG46,AE46,AF46)&lt;1),"",AB46+AC46+AD46+AG46-AE46-AF46)</f>
        <v/>
      </c>
      <c r="AI46" s="84">
        <f>IF(OR($A46="",COUNT(AA46,AH46)&lt;2),"",AA46-AH46)</f>
        <v/>
      </c>
      <c r="AJ46" s="84">
        <f>IF(OR($A46="",COUNT(W46,AB46)&lt;2),"",W46-AB46)</f>
        <v/>
      </c>
      <c r="AK46" s="83" t="n"/>
      <c r="AL46" s="33" t="n"/>
      <c r="AM46" s="33" t="n"/>
      <c r="AN46" s="83" t="n"/>
      <c r="AO46" s="33" t="n"/>
      <c r="AP46" s="33" t="n"/>
      <c r="AQ46" s="33" t="n"/>
    </row>
    <row r="47">
      <c r="A47" s="33" t="n"/>
      <c r="B47" s="33" t="n"/>
      <c r="C47" s="33" t="n"/>
      <c r="D47" s="33" t="n"/>
      <c r="E47" s="33" t="n"/>
      <c r="F47" s="33" t="n"/>
      <c r="G47" s="33" t="n"/>
      <c r="H47" s="33" t="n"/>
      <c r="I47" s="33" t="n"/>
      <c r="J47" s="33" t="n"/>
      <c r="K47" s="34" t="n"/>
      <c r="L47" s="34" t="n"/>
      <c r="M47" s="34" t="n"/>
      <c r="N47" s="82" t="n"/>
      <c r="O47" s="82" t="n"/>
      <c r="P47" s="33" t="n"/>
      <c r="Q47" s="34" t="n"/>
      <c r="R47" s="83" t="n"/>
      <c r="S47" s="34" t="n"/>
      <c r="T47" s="33" t="n"/>
      <c r="U47" s="83" t="n"/>
      <c r="V47" s="33" t="n"/>
      <c r="W47" s="83" t="n"/>
      <c r="X47" s="83" t="n"/>
      <c r="Y47" s="83" t="n"/>
      <c r="Z47" s="83" t="n"/>
      <c r="AA47" s="84">
        <f>IF(OR($A47="",COUNT(W47,X47,Z47,Y47)&lt;1),"",W47+X47+Z47-Y47)</f>
        <v/>
      </c>
      <c r="AB47" s="83" t="n"/>
      <c r="AC47" s="83" t="n"/>
      <c r="AD47" s="83" t="n"/>
      <c r="AE47" s="83" t="n"/>
      <c r="AF47" s="83" t="n"/>
      <c r="AG47" s="83" t="n"/>
      <c r="AH47" s="84">
        <f>IF(OR($A47="",COUNT(AB47,AC47,AD47,AG47,AE47,AF47)&lt;1),"",AB47+AC47+AD47+AG47-AE47-AF47)</f>
        <v/>
      </c>
      <c r="AI47" s="84">
        <f>IF(OR($A47="",COUNT(AA47,AH47)&lt;2),"",AA47-AH47)</f>
        <v/>
      </c>
      <c r="AJ47" s="84">
        <f>IF(OR($A47="",COUNT(W47,AB47)&lt;2),"",W47-AB47)</f>
        <v/>
      </c>
      <c r="AK47" s="83" t="n"/>
      <c r="AL47" s="33" t="n"/>
      <c r="AM47" s="33" t="n"/>
      <c r="AN47" s="83" t="n"/>
      <c r="AO47" s="33" t="n"/>
      <c r="AP47" s="33" t="n"/>
      <c r="AQ47" s="33" t="n"/>
    </row>
    <row r="48">
      <c r="A48" s="33" t="n"/>
      <c r="B48" s="33" t="n"/>
      <c r="C48" s="33" t="n"/>
      <c r="D48" s="33" t="n"/>
      <c r="E48" s="33" t="n"/>
      <c r="F48" s="33" t="n"/>
      <c r="G48" s="33" t="n"/>
      <c r="H48" s="33" t="n"/>
      <c r="I48" s="33" t="n"/>
      <c r="J48" s="33" t="n"/>
      <c r="K48" s="34" t="n"/>
      <c r="L48" s="34" t="n"/>
      <c r="M48" s="34" t="n"/>
      <c r="N48" s="82" t="n"/>
      <c r="O48" s="82" t="n"/>
      <c r="P48" s="33" t="n"/>
      <c r="Q48" s="34" t="n"/>
      <c r="R48" s="83" t="n"/>
      <c r="S48" s="34" t="n"/>
      <c r="T48" s="33" t="n"/>
      <c r="U48" s="83" t="n"/>
      <c r="V48" s="33" t="n"/>
      <c r="W48" s="83" t="n"/>
      <c r="X48" s="83" t="n"/>
      <c r="Y48" s="83" t="n"/>
      <c r="Z48" s="83" t="n"/>
      <c r="AA48" s="84">
        <f>IF(OR($A48="",COUNT(W48,X48,Z48,Y48)&lt;1),"",W48+X48+Z48-Y48)</f>
        <v/>
      </c>
      <c r="AB48" s="83" t="n"/>
      <c r="AC48" s="83" t="n"/>
      <c r="AD48" s="83" t="n"/>
      <c r="AE48" s="83" t="n"/>
      <c r="AF48" s="83" t="n"/>
      <c r="AG48" s="83" t="n"/>
      <c r="AH48" s="84">
        <f>IF(OR($A48="",COUNT(AB48,AC48,AD48,AG48,AE48,AF48)&lt;1),"",AB48+AC48+AD48+AG48-AE48-AF48)</f>
        <v/>
      </c>
      <c r="AI48" s="84">
        <f>IF(OR($A48="",COUNT(AA48,AH48)&lt;2),"",AA48-AH48)</f>
        <v/>
      </c>
      <c r="AJ48" s="84">
        <f>IF(OR($A48="",COUNT(W48,AB48)&lt;2),"",W48-AB48)</f>
        <v/>
      </c>
      <c r="AK48" s="83" t="n"/>
      <c r="AL48" s="33" t="n"/>
      <c r="AM48" s="33" t="n"/>
      <c r="AN48" s="83" t="n"/>
      <c r="AO48" s="33" t="n"/>
      <c r="AP48" s="33" t="n"/>
      <c r="AQ48" s="33" t="n"/>
    </row>
    <row r="49">
      <c r="A49" s="33" t="n"/>
      <c r="B49" s="33" t="n"/>
      <c r="C49" s="33" t="n"/>
      <c r="D49" s="33" t="n"/>
      <c r="E49" s="33" t="n"/>
      <c r="F49" s="33" t="n"/>
      <c r="G49" s="33" t="n"/>
      <c r="H49" s="33" t="n"/>
      <c r="I49" s="33" t="n"/>
      <c r="J49" s="33" t="n"/>
      <c r="K49" s="34" t="n"/>
      <c r="L49" s="34" t="n"/>
      <c r="M49" s="34" t="n"/>
      <c r="N49" s="82" t="n"/>
      <c r="O49" s="82" t="n"/>
      <c r="P49" s="33" t="n"/>
      <c r="Q49" s="34" t="n"/>
      <c r="R49" s="83" t="n"/>
      <c r="S49" s="34" t="n"/>
      <c r="T49" s="33" t="n"/>
      <c r="U49" s="83" t="n"/>
      <c r="V49" s="33" t="n"/>
      <c r="W49" s="83" t="n"/>
      <c r="X49" s="83" t="n"/>
      <c r="Y49" s="83" t="n"/>
      <c r="Z49" s="83" t="n"/>
      <c r="AA49" s="84">
        <f>IF(OR($A49="",COUNT(W49,X49,Z49,Y49)&lt;1),"",W49+X49+Z49-Y49)</f>
        <v/>
      </c>
      <c r="AB49" s="83" t="n"/>
      <c r="AC49" s="83" t="n"/>
      <c r="AD49" s="83" t="n"/>
      <c r="AE49" s="83" t="n"/>
      <c r="AF49" s="83" t="n"/>
      <c r="AG49" s="83" t="n"/>
      <c r="AH49" s="84">
        <f>IF(OR($A49="",COUNT(AB49,AC49,AD49,AG49,AE49,AF49)&lt;1),"",AB49+AC49+AD49+AG49-AE49-AF49)</f>
        <v/>
      </c>
      <c r="AI49" s="84">
        <f>IF(OR($A49="",COUNT(AA49,AH49)&lt;2),"",AA49-AH49)</f>
        <v/>
      </c>
      <c r="AJ49" s="84">
        <f>IF(OR($A49="",COUNT(W49,AB49)&lt;2),"",W49-AB49)</f>
        <v/>
      </c>
      <c r="AK49" s="83" t="n"/>
      <c r="AL49" s="33" t="n"/>
      <c r="AM49" s="33" t="n"/>
      <c r="AN49" s="83" t="n"/>
      <c r="AO49" s="33" t="n"/>
      <c r="AP49" s="33" t="n"/>
      <c r="AQ49" s="33" t="n"/>
    </row>
    <row r="50">
      <c r="A50" s="33" t="n"/>
      <c r="B50" s="33" t="n"/>
      <c r="C50" s="33" t="n"/>
      <c r="D50" s="33" t="n"/>
      <c r="E50" s="33" t="n"/>
      <c r="F50" s="33" t="n"/>
      <c r="G50" s="33" t="n"/>
      <c r="H50" s="33" t="n"/>
      <c r="I50" s="33" t="n"/>
      <c r="J50" s="33" t="n"/>
      <c r="K50" s="34" t="n"/>
      <c r="L50" s="34" t="n"/>
      <c r="M50" s="34" t="n"/>
      <c r="N50" s="82" t="n"/>
      <c r="O50" s="82" t="n"/>
      <c r="P50" s="33" t="n"/>
      <c r="Q50" s="34" t="n"/>
      <c r="R50" s="83" t="n"/>
      <c r="S50" s="34" t="n"/>
      <c r="T50" s="33" t="n"/>
      <c r="U50" s="83" t="n"/>
      <c r="V50" s="33" t="n"/>
      <c r="W50" s="83" t="n"/>
      <c r="X50" s="83" t="n"/>
      <c r="Y50" s="83" t="n"/>
      <c r="Z50" s="83" t="n"/>
      <c r="AA50" s="84">
        <f>IF(OR($A50="",COUNT(W50,X50,Z50,Y50)&lt;1),"",W50+X50+Z50-Y50)</f>
        <v/>
      </c>
      <c r="AB50" s="83" t="n"/>
      <c r="AC50" s="83" t="n"/>
      <c r="AD50" s="83" t="n"/>
      <c r="AE50" s="83" t="n"/>
      <c r="AF50" s="83" t="n"/>
      <c r="AG50" s="83" t="n"/>
      <c r="AH50" s="84">
        <f>IF(OR($A50="",COUNT(AB50,AC50,AD50,AG50,AE50,AF50)&lt;1),"",AB50+AC50+AD50+AG50-AE50-AF50)</f>
        <v/>
      </c>
      <c r="AI50" s="84">
        <f>IF(OR($A50="",COUNT(AA50,AH50)&lt;2),"",AA50-AH50)</f>
        <v/>
      </c>
      <c r="AJ50" s="84">
        <f>IF(OR($A50="",COUNT(W50,AB50)&lt;2),"",W50-AB50)</f>
        <v/>
      </c>
      <c r="AK50" s="83" t="n"/>
      <c r="AL50" s="33" t="n"/>
      <c r="AM50" s="33" t="n"/>
      <c r="AN50" s="83" t="n"/>
      <c r="AO50" s="33" t="n"/>
      <c r="AP50" s="33" t="n"/>
      <c r="AQ50" s="33" t="n"/>
    </row>
    <row r="51">
      <c r="A51" s="33" t="n"/>
      <c r="B51" s="33" t="n"/>
      <c r="C51" s="33" t="n"/>
      <c r="D51" s="33" t="n"/>
      <c r="E51" s="33" t="n"/>
      <c r="F51" s="33" t="n"/>
      <c r="G51" s="33" t="n"/>
      <c r="H51" s="33" t="n"/>
      <c r="I51" s="33" t="n"/>
      <c r="J51" s="33" t="n"/>
      <c r="K51" s="34" t="n"/>
      <c r="L51" s="34" t="n"/>
      <c r="M51" s="34" t="n"/>
      <c r="N51" s="82" t="n"/>
      <c r="O51" s="82" t="n"/>
      <c r="P51" s="33" t="n"/>
      <c r="Q51" s="34" t="n"/>
      <c r="R51" s="83" t="n"/>
      <c r="S51" s="34" t="n"/>
      <c r="T51" s="33" t="n"/>
      <c r="U51" s="83" t="n"/>
      <c r="V51" s="33" t="n"/>
      <c r="W51" s="83" t="n"/>
      <c r="X51" s="83" t="n"/>
      <c r="Y51" s="83" t="n"/>
      <c r="Z51" s="83" t="n"/>
      <c r="AA51" s="84">
        <f>IF(OR($A51="",COUNT(W51,X51,Z51,Y51)&lt;1),"",W51+X51+Z51-Y51)</f>
        <v/>
      </c>
      <c r="AB51" s="83" t="n"/>
      <c r="AC51" s="83" t="n"/>
      <c r="AD51" s="83" t="n"/>
      <c r="AE51" s="83" t="n"/>
      <c r="AF51" s="83" t="n"/>
      <c r="AG51" s="83" t="n"/>
      <c r="AH51" s="84">
        <f>IF(OR($A51="",COUNT(AB51,AC51,AD51,AG51,AE51,AF51)&lt;1),"",AB51+AC51+AD51+AG51-AE51-AF51)</f>
        <v/>
      </c>
      <c r="AI51" s="84">
        <f>IF(OR($A51="",COUNT(AA51,AH51)&lt;2),"",AA51-AH51)</f>
        <v/>
      </c>
      <c r="AJ51" s="84">
        <f>IF(OR($A51="",COUNT(W51,AB51)&lt;2),"",W51-AB51)</f>
        <v/>
      </c>
      <c r="AK51" s="83" t="n"/>
      <c r="AL51" s="33" t="n"/>
      <c r="AM51" s="33" t="n"/>
      <c r="AN51" s="83" t="n"/>
      <c r="AO51" s="33" t="n"/>
      <c r="AP51" s="33" t="n"/>
      <c r="AQ51" s="33" t="n"/>
    </row>
    <row r="52">
      <c r="A52" s="33" t="n"/>
      <c r="B52" s="33" t="n"/>
      <c r="C52" s="33" t="n"/>
      <c r="D52" s="33" t="n"/>
      <c r="E52" s="33" t="n"/>
      <c r="F52" s="33" t="n"/>
      <c r="G52" s="33" t="n"/>
      <c r="H52" s="33" t="n"/>
      <c r="I52" s="33" t="n"/>
      <c r="J52" s="33" t="n"/>
      <c r="K52" s="34" t="n"/>
      <c r="L52" s="34" t="n"/>
      <c r="M52" s="34" t="n"/>
      <c r="N52" s="82" t="n"/>
      <c r="O52" s="82" t="n"/>
      <c r="P52" s="33" t="n"/>
      <c r="Q52" s="34" t="n"/>
      <c r="R52" s="83" t="n"/>
      <c r="S52" s="34" t="n"/>
      <c r="T52" s="33" t="n"/>
      <c r="U52" s="83" t="n"/>
      <c r="V52" s="33" t="n"/>
      <c r="W52" s="83" t="n"/>
      <c r="X52" s="83" t="n"/>
      <c r="Y52" s="83" t="n"/>
      <c r="Z52" s="83" t="n"/>
      <c r="AA52" s="84">
        <f>IF(OR($A52="",COUNT(W52,X52,Z52,Y52)&lt;1),"",W52+X52+Z52-Y52)</f>
        <v/>
      </c>
      <c r="AB52" s="83" t="n"/>
      <c r="AC52" s="83" t="n"/>
      <c r="AD52" s="83" t="n"/>
      <c r="AE52" s="83" t="n"/>
      <c r="AF52" s="83" t="n"/>
      <c r="AG52" s="83" t="n"/>
      <c r="AH52" s="84">
        <f>IF(OR($A52="",COUNT(AB52,AC52,AD52,AG52,AE52,AF52)&lt;1),"",AB52+AC52+AD52+AG52-AE52-AF52)</f>
        <v/>
      </c>
      <c r="AI52" s="84">
        <f>IF(OR($A52="",COUNT(AA52,AH52)&lt;2),"",AA52-AH52)</f>
        <v/>
      </c>
      <c r="AJ52" s="84">
        <f>IF(OR($A52="",COUNT(W52,AB52)&lt;2),"",W52-AB52)</f>
        <v/>
      </c>
      <c r="AK52" s="83" t="n"/>
      <c r="AL52" s="33" t="n"/>
      <c r="AM52" s="33" t="n"/>
      <c r="AN52" s="83" t="n"/>
      <c r="AO52" s="33" t="n"/>
      <c r="AP52" s="33" t="n"/>
      <c r="AQ52" s="33" t="n"/>
    </row>
    <row r="53">
      <c r="A53" s="33" t="n"/>
      <c r="B53" s="33" t="n"/>
      <c r="C53" s="33" t="n"/>
      <c r="D53" s="33" t="n"/>
      <c r="E53" s="33" t="n"/>
      <c r="F53" s="33" t="n"/>
      <c r="G53" s="33" t="n"/>
      <c r="H53" s="33" t="n"/>
      <c r="I53" s="33" t="n"/>
      <c r="J53" s="33" t="n"/>
      <c r="K53" s="34" t="n"/>
      <c r="L53" s="34" t="n"/>
      <c r="M53" s="34" t="n"/>
      <c r="N53" s="82" t="n"/>
      <c r="O53" s="82" t="n"/>
      <c r="P53" s="33" t="n"/>
      <c r="Q53" s="34" t="n"/>
      <c r="R53" s="83" t="n"/>
      <c r="S53" s="34" t="n"/>
      <c r="T53" s="33" t="n"/>
      <c r="U53" s="83" t="n"/>
      <c r="V53" s="33" t="n"/>
      <c r="W53" s="83" t="n"/>
      <c r="X53" s="83" t="n"/>
      <c r="Y53" s="83" t="n"/>
      <c r="Z53" s="83" t="n"/>
      <c r="AA53" s="84">
        <f>IF(OR($A53="",COUNT(W53,X53,Z53,Y53)&lt;1),"",W53+X53+Z53-Y53)</f>
        <v/>
      </c>
      <c r="AB53" s="83" t="n"/>
      <c r="AC53" s="83" t="n"/>
      <c r="AD53" s="83" t="n"/>
      <c r="AE53" s="83" t="n"/>
      <c r="AF53" s="83" t="n"/>
      <c r="AG53" s="83" t="n"/>
      <c r="AH53" s="84">
        <f>IF(OR($A53="",COUNT(AB53,AC53,AD53,AG53,AE53,AF53)&lt;1),"",AB53+AC53+AD53+AG53-AE53-AF53)</f>
        <v/>
      </c>
      <c r="AI53" s="84">
        <f>IF(OR($A53="",COUNT(AA53,AH53)&lt;2),"",AA53-AH53)</f>
        <v/>
      </c>
      <c r="AJ53" s="84">
        <f>IF(OR($A53="",COUNT(W53,AB53)&lt;2),"",W53-AB53)</f>
        <v/>
      </c>
      <c r="AK53" s="83" t="n"/>
      <c r="AL53" s="33" t="n"/>
      <c r="AM53" s="33" t="n"/>
      <c r="AN53" s="83" t="n"/>
      <c r="AO53" s="33" t="n"/>
      <c r="AP53" s="33" t="n"/>
      <c r="AQ53" s="33" t="n"/>
    </row>
    <row r="54">
      <c r="A54" s="33" t="n"/>
      <c r="B54" s="33" t="n"/>
      <c r="C54" s="33" t="n"/>
      <c r="D54" s="33" t="n"/>
      <c r="E54" s="33" t="n"/>
      <c r="F54" s="33" t="n"/>
      <c r="G54" s="33" t="n"/>
      <c r="H54" s="33" t="n"/>
      <c r="I54" s="33" t="n"/>
      <c r="J54" s="33" t="n"/>
      <c r="K54" s="34" t="n"/>
      <c r="L54" s="34" t="n"/>
      <c r="M54" s="34" t="n"/>
      <c r="N54" s="82" t="n"/>
      <c r="O54" s="82" t="n"/>
      <c r="P54" s="33" t="n"/>
      <c r="Q54" s="34" t="n"/>
      <c r="R54" s="83" t="n"/>
      <c r="S54" s="34" t="n"/>
      <c r="T54" s="33" t="n"/>
      <c r="U54" s="83" t="n"/>
      <c r="V54" s="33" t="n"/>
      <c r="W54" s="83" t="n"/>
      <c r="X54" s="83" t="n"/>
      <c r="Y54" s="83" t="n"/>
      <c r="Z54" s="83" t="n"/>
      <c r="AA54" s="84">
        <f>IF(OR($A54="",COUNT(W54,X54,Z54,Y54)&lt;1),"",W54+X54+Z54-Y54)</f>
        <v/>
      </c>
      <c r="AB54" s="83" t="n"/>
      <c r="AC54" s="83" t="n"/>
      <c r="AD54" s="83" t="n"/>
      <c r="AE54" s="83" t="n"/>
      <c r="AF54" s="83" t="n"/>
      <c r="AG54" s="83" t="n"/>
      <c r="AH54" s="84">
        <f>IF(OR($A54="",COUNT(AB54,AC54,AD54,AG54,AE54,AF54)&lt;1),"",AB54+AC54+AD54+AG54-AE54-AF54)</f>
        <v/>
      </c>
      <c r="AI54" s="84">
        <f>IF(OR($A54="",COUNT(AA54,AH54)&lt;2),"",AA54-AH54)</f>
        <v/>
      </c>
      <c r="AJ54" s="84">
        <f>IF(OR($A54="",COUNT(W54,AB54)&lt;2),"",W54-AB54)</f>
        <v/>
      </c>
      <c r="AK54" s="83" t="n"/>
      <c r="AL54" s="33" t="n"/>
      <c r="AM54" s="33" t="n"/>
      <c r="AN54" s="83" t="n"/>
      <c r="AO54" s="33" t="n"/>
      <c r="AP54" s="33" t="n"/>
      <c r="AQ54" s="33" t="n"/>
    </row>
    <row r="55">
      <c r="A55" s="33" t="n"/>
      <c r="B55" s="33" t="n"/>
      <c r="C55" s="33" t="n"/>
      <c r="D55" s="33" t="n"/>
      <c r="E55" s="33" t="n"/>
      <c r="F55" s="33" t="n"/>
      <c r="G55" s="33" t="n"/>
      <c r="H55" s="33" t="n"/>
      <c r="I55" s="33" t="n"/>
      <c r="J55" s="33" t="n"/>
      <c r="K55" s="34" t="n"/>
      <c r="L55" s="34" t="n"/>
      <c r="M55" s="34" t="n"/>
      <c r="N55" s="82" t="n"/>
      <c r="O55" s="82" t="n"/>
      <c r="P55" s="33" t="n"/>
      <c r="Q55" s="34" t="n"/>
      <c r="R55" s="83" t="n"/>
      <c r="S55" s="34" t="n"/>
      <c r="T55" s="33" t="n"/>
      <c r="U55" s="83" t="n"/>
      <c r="V55" s="33" t="n"/>
      <c r="W55" s="83" t="n"/>
      <c r="X55" s="83" t="n"/>
      <c r="Y55" s="83" t="n"/>
      <c r="Z55" s="83" t="n"/>
      <c r="AA55" s="84">
        <f>IF(OR($A55="",COUNT(W55,X55,Z55,Y55)&lt;1),"",W55+X55+Z55-Y55)</f>
        <v/>
      </c>
      <c r="AB55" s="83" t="n"/>
      <c r="AC55" s="83" t="n"/>
      <c r="AD55" s="83" t="n"/>
      <c r="AE55" s="83" t="n"/>
      <c r="AF55" s="83" t="n"/>
      <c r="AG55" s="83" t="n"/>
      <c r="AH55" s="84">
        <f>IF(OR($A55="",COUNT(AB55,AC55,AD55,AG55,AE55,AF55)&lt;1),"",AB55+AC55+AD55+AG55-AE55-AF55)</f>
        <v/>
      </c>
      <c r="AI55" s="84">
        <f>IF(OR($A55="",COUNT(AA55,AH55)&lt;2),"",AA55-AH55)</f>
        <v/>
      </c>
      <c r="AJ55" s="84">
        <f>IF(OR($A55="",COUNT(W55,AB55)&lt;2),"",W55-AB55)</f>
        <v/>
      </c>
      <c r="AK55" s="83" t="n"/>
      <c r="AL55" s="33" t="n"/>
      <c r="AM55" s="33" t="n"/>
      <c r="AN55" s="83" t="n"/>
      <c r="AO55" s="33" t="n"/>
      <c r="AP55" s="33" t="n"/>
      <c r="AQ55" s="33" t="n"/>
    </row>
    <row r="56">
      <c r="A56" s="33" t="n"/>
      <c r="B56" s="33" t="n"/>
      <c r="C56" s="33" t="n"/>
      <c r="D56" s="33" t="n"/>
      <c r="E56" s="33" t="n"/>
      <c r="F56" s="33" t="n"/>
      <c r="G56" s="33" t="n"/>
      <c r="H56" s="33" t="n"/>
      <c r="I56" s="33" t="n"/>
      <c r="J56" s="33" t="n"/>
      <c r="K56" s="34" t="n"/>
      <c r="L56" s="34" t="n"/>
      <c r="M56" s="34" t="n"/>
      <c r="N56" s="82" t="n"/>
      <c r="O56" s="82" t="n"/>
      <c r="P56" s="33" t="n"/>
      <c r="Q56" s="34" t="n"/>
      <c r="R56" s="83" t="n"/>
      <c r="S56" s="34" t="n"/>
      <c r="T56" s="33" t="n"/>
      <c r="U56" s="83" t="n"/>
      <c r="V56" s="33" t="n"/>
      <c r="W56" s="83" t="n"/>
      <c r="X56" s="83" t="n"/>
      <c r="Y56" s="83" t="n"/>
      <c r="Z56" s="83" t="n"/>
      <c r="AA56" s="84">
        <f>IF(OR($A56="",COUNT(W56,X56,Z56,Y56)&lt;1),"",W56+X56+Z56-Y56)</f>
        <v/>
      </c>
      <c r="AB56" s="83" t="n"/>
      <c r="AC56" s="83" t="n"/>
      <c r="AD56" s="83" t="n"/>
      <c r="AE56" s="83" t="n"/>
      <c r="AF56" s="83" t="n"/>
      <c r="AG56" s="83" t="n"/>
      <c r="AH56" s="84">
        <f>IF(OR($A56="",COUNT(AB56,AC56,AD56,AG56,AE56,AF56)&lt;1),"",AB56+AC56+AD56+AG56-AE56-AF56)</f>
        <v/>
      </c>
      <c r="AI56" s="84">
        <f>IF(OR($A56="",COUNT(AA56,AH56)&lt;2),"",AA56-AH56)</f>
        <v/>
      </c>
      <c r="AJ56" s="84">
        <f>IF(OR($A56="",COUNT(W56,AB56)&lt;2),"",W56-AB56)</f>
        <v/>
      </c>
      <c r="AK56" s="83" t="n"/>
      <c r="AL56" s="33" t="n"/>
      <c r="AM56" s="33" t="n"/>
      <c r="AN56" s="83" t="n"/>
      <c r="AO56" s="33" t="n"/>
      <c r="AP56" s="33" t="n"/>
      <c r="AQ56" s="33" t="n"/>
    </row>
    <row r="57">
      <c r="A57" s="33" t="n"/>
      <c r="B57" s="33" t="n"/>
      <c r="C57" s="33" t="n"/>
      <c r="D57" s="33" t="n"/>
      <c r="E57" s="33" t="n"/>
      <c r="F57" s="33" t="n"/>
      <c r="G57" s="33" t="n"/>
      <c r="H57" s="33" t="n"/>
      <c r="I57" s="33" t="n"/>
      <c r="J57" s="33" t="n"/>
      <c r="K57" s="34" t="n"/>
      <c r="L57" s="34" t="n"/>
      <c r="M57" s="34" t="n"/>
      <c r="N57" s="82" t="n"/>
      <c r="O57" s="82" t="n"/>
      <c r="P57" s="33" t="n"/>
      <c r="Q57" s="34" t="n"/>
      <c r="R57" s="83" t="n"/>
      <c r="S57" s="34" t="n"/>
      <c r="T57" s="33" t="n"/>
      <c r="U57" s="83" t="n"/>
      <c r="V57" s="33" t="n"/>
      <c r="W57" s="83" t="n"/>
      <c r="X57" s="83" t="n"/>
      <c r="Y57" s="83" t="n"/>
      <c r="Z57" s="83" t="n"/>
      <c r="AA57" s="84">
        <f>IF(OR($A57="",COUNT(W57,X57,Z57,Y57)&lt;1),"",W57+X57+Z57-Y57)</f>
        <v/>
      </c>
      <c r="AB57" s="83" t="n"/>
      <c r="AC57" s="83" t="n"/>
      <c r="AD57" s="83" t="n"/>
      <c r="AE57" s="83" t="n"/>
      <c r="AF57" s="83" t="n"/>
      <c r="AG57" s="83" t="n"/>
      <c r="AH57" s="84">
        <f>IF(OR($A57="",COUNT(AB57,AC57,AD57,AG57,AE57,AF57)&lt;1),"",AB57+AC57+AD57+AG57-AE57-AF57)</f>
        <v/>
      </c>
      <c r="AI57" s="84">
        <f>IF(OR($A57="",COUNT(AA57,AH57)&lt;2),"",AA57-AH57)</f>
        <v/>
      </c>
      <c r="AJ57" s="84">
        <f>IF(OR($A57="",COUNT(W57,AB57)&lt;2),"",W57-AB57)</f>
        <v/>
      </c>
      <c r="AK57" s="83" t="n"/>
      <c r="AL57" s="33" t="n"/>
      <c r="AM57" s="33" t="n"/>
      <c r="AN57" s="83" t="n"/>
      <c r="AO57" s="33" t="n"/>
      <c r="AP57" s="33" t="n"/>
      <c r="AQ57" s="33" t="n"/>
    </row>
    <row r="58">
      <c r="A58" s="33" t="n"/>
      <c r="B58" s="33" t="n"/>
      <c r="C58" s="33" t="n"/>
      <c r="D58" s="33" t="n"/>
      <c r="E58" s="33" t="n"/>
      <c r="F58" s="33" t="n"/>
      <c r="G58" s="33" t="n"/>
      <c r="H58" s="33" t="n"/>
      <c r="I58" s="33" t="n"/>
      <c r="J58" s="33" t="n"/>
      <c r="K58" s="34" t="n"/>
      <c r="L58" s="34" t="n"/>
      <c r="M58" s="34" t="n"/>
      <c r="N58" s="82" t="n"/>
      <c r="O58" s="82" t="n"/>
      <c r="P58" s="33" t="n"/>
      <c r="Q58" s="34" t="n"/>
      <c r="R58" s="83" t="n"/>
      <c r="S58" s="34" t="n"/>
      <c r="T58" s="33" t="n"/>
      <c r="U58" s="83" t="n"/>
      <c r="V58" s="33" t="n"/>
      <c r="W58" s="83" t="n"/>
      <c r="X58" s="83" t="n"/>
      <c r="Y58" s="83" t="n"/>
      <c r="Z58" s="83" t="n"/>
      <c r="AA58" s="84">
        <f>IF(OR($A58="",COUNT(W58,X58,Z58,Y58)&lt;1),"",W58+X58+Z58-Y58)</f>
        <v/>
      </c>
      <c r="AB58" s="83" t="n"/>
      <c r="AC58" s="83" t="n"/>
      <c r="AD58" s="83" t="n"/>
      <c r="AE58" s="83" t="n"/>
      <c r="AF58" s="83" t="n"/>
      <c r="AG58" s="83" t="n"/>
      <c r="AH58" s="84">
        <f>IF(OR($A58="",COUNT(AB58,AC58,AD58,AG58,AE58,AF58)&lt;1),"",AB58+AC58+AD58+AG58-AE58-AF58)</f>
        <v/>
      </c>
      <c r="AI58" s="84">
        <f>IF(OR($A58="",COUNT(AA58,AH58)&lt;2),"",AA58-AH58)</f>
        <v/>
      </c>
      <c r="AJ58" s="84">
        <f>IF(OR($A58="",COUNT(W58,AB58)&lt;2),"",W58-AB58)</f>
        <v/>
      </c>
      <c r="AK58" s="83" t="n"/>
      <c r="AL58" s="33" t="n"/>
      <c r="AM58" s="33" t="n"/>
      <c r="AN58" s="83" t="n"/>
      <c r="AO58" s="33" t="n"/>
      <c r="AP58" s="33" t="n"/>
      <c r="AQ58" s="33" t="n"/>
    </row>
    <row r="59">
      <c r="A59" s="33" t="n"/>
      <c r="B59" s="33" t="n"/>
      <c r="C59" s="33" t="n"/>
      <c r="D59" s="33" t="n"/>
      <c r="E59" s="33" t="n"/>
      <c r="F59" s="33" t="n"/>
      <c r="G59" s="33" t="n"/>
      <c r="H59" s="33" t="n"/>
      <c r="I59" s="33" t="n"/>
      <c r="J59" s="33" t="n"/>
      <c r="K59" s="34" t="n"/>
      <c r="L59" s="34" t="n"/>
      <c r="M59" s="34" t="n"/>
      <c r="N59" s="82" t="n"/>
      <c r="O59" s="82" t="n"/>
      <c r="P59" s="33" t="n"/>
      <c r="Q59" s="34" t="n"/>
      <c r="R59" s="83" t="n"/>
      <c r="S59" s="34" t="n"/>
      <c r="T59" s="33" t="n"/>
      <c r="U59" s="83" t="n"/>
      <c r="V59" s="33" t="n"/>
      <c r="W59" s="83" t="n"/>
      <c r="X59" s="83" t="n"/>
      <c r="Y59" s="83" t="n"/>
      <c r="Z59" s="83" t="n"/>
      <c r="AA59" s="84">
        <f>IF(OR($A59="",COUNT(W59,X59,Z59,Y59)&lt;1),"",W59+X59+Z59-Y59)</f>
        <v/>
      </c>
      <c r="AB59" s="83" t="n"/>
      <c r="AC59" s="83" t="n"/>
      <c r="AD59" s="83" t="n"/>
      <c r="AE59" s="83" t="n"/>
      <c r="AF59" s="83" t="n"/>
      <c r="AG59" s="83" t="n"/>
      <c r="AH59" s="84">
        <f>IF(OR($A59="",COUNT(AB59,AC59,AD59,AG59,AE59,AF59)&lt;1),"",AB59+AC59+AD59+AG59-AE59-AF59)</f>
        <v/>
      </c>
      <c r="AI59" s="84">
        <f>IF(OR($A59="",COUNT(AA59,AH59)&lt;2),"",AA59-AH59)</f>
        <v/>
      </c>
      <c r="AJ59" s="84">
        <f>IF(OR($A59="",COUNT(W59,AB59)&lt;2),"",W59-AB59)</f>
        <v/>
      </c>
      <c r="AK59" s="83" t="n"/>
      <c r="AL59" s="33" t="n"/>
      <c r="AM59" s="33" t="n"/>
      <c r="AN59" s="83" t="n"/>
      <c r="AO59" s="33" t="n"/>
      <c r="AP59" s="33" t="n"/>
      <c r="AQ59" s="33" t="n"/>
    </row>
    <row r="60">
      <c r="A60" s="33" t="n"/>
      <c r="B60" s="33" t="n"/>
      <c r="C60" s="33" t="n"/>
      <c r="D60" s="33" t="n"/>
      <c r="E60" s="33" t="n"/>
      <c r="F60" s="33" t="n"/>
      <c r="G60" s="33" t="n"/>
      <c r="H60" s="33" t="n"/>
      <c r="I60" s="33" t="n"/>
      <c r="J60" s="33" t="n"/>
      <c r="K60" s="34" t="n"/>
      <c r="L60" s="34" t="n"/>
      <c r="M60" s="34" t="n"/>
      <c r="N60" s="82" t="n"/>
      <c r="O60" s="82" t="n"/>
      <c r="P60" s="33" t="n"/>
      <c r="Q60" s="34" t="n"/>
      <c r="R60" s="83" t="n"/>
      <c r="S60" s="34" t="n"/>
      <c r="T60" s="33" t="n"/>
      <c r="U60" s="83" t="n"/>
      <c r="V60" s="33" t="n"/>
      <c r="W60" s="83" t="n"/>
      <c r="X60" s="83" t="n"/>
      <c r="Y60" s="83" t="n"/>
      <c r="Z60" s="83" t="n"/>
      <c r="AA60" s="84">
        <f>IF(OR($A60="",COUNT(W60,X60,Z60,Y60)&lt;1),"",W60+X60+Z60-Y60)</f>
        <v/>
      </c>
      <c r="AB60" s="83" t="n"/>
      <c r="AC60" s="83" t="n"/>
      <c r="AD60" s="83" t="n"/>
      <c r="AE60" s="83" t="n"/>
      <c r="AF60" s="83" t="n"/>
      <c r="AG60" s="83" t="n"/>
      <c r="AH60" s="84">
        <f>IF(OR($A60="",COUNT(AB60,AC60,AD60,AG60,AE60,AF60)&lt;1),"",AB60+AC60+AD60+AG60-AE60-AF60)</f>
        <v/>
      </c>
      <c r="AI60" s="84">
        <f>IF(OR($A60="",COUNT(AA60,AH60)&lt;2),"",AA60-AH60)</f>
        <v/>
      </c>
      <c r="AJ60" s="84">
        <f>IF(OR($A60="",COUNT(W60,AB60)&lt;2),"",W60-AB60)</f>
        <v/>
      </c>
      <c r="AK60" s="83" t="n"/>
      <c r="AL60" s="33" t="n"/>
      <c r="AM60" s="33" t="n"/>
      <c r="AN60" s="83" t="n"/>
      <c r="AO60" s="33" t="n"/>
      <c r="AP60" s="33" t="n"/>
      <c r="AQ60" s="33" t="n"/>
    </row>
    <row r="61">
      <c r="A61" s="33" t="n"/>
      <c r="B61" s="33" t="n"/>
      <c r="C61" s="33" t="n"/>
      <c r="D61" s="33" t="n"/>
      <c r="E61" s="33" t="n"/>
      <c r="F61" s="33" t="n"/>
      <c r="G61" s="33" t="n"/>
      <c r="H61" s="33" t="n"/>
      <c r="I61" s="33" t="n"/>
      <c r="J61" s="33" t="n"/>
      <c r="K61" s="34" t="n"/>
      <c r="L61" s="34" t="n"/>
      <c r="M61" s="34" t="n"/>
      <c r="N61" s="82" t="n"/>
      <c r="O61" s="82" t="n"/>
      <c r="P61" s="33" t="n"/>
      <c r="Q61" s="34" t="n"/>
      <c r="R61" s="83" t="n"/>
      <c r="S61" s="34" t="n"/>
      <c r="T61" s="33" t="n"/>
      <c r="U61" s="83" t="n"/>
      <c r="V61" s="33" t="n"/>
      <c r="W61" s="83" t="n"/>
      <c r="X61" s="83" t="n"/>
      <c r="Y61" s="83" t="n"/>
      <c r="Z61" s="83" t="n"/>
      <c r="AA61" s="84">
        <f>IF(OR($A61="",COUNT(W61,X61,Z61,Y61)&lt;1),"",W61+X61+Z61-Y61)</f>
        <v/>
      </c>
      <c r="AB61" s="83" t="n"/>
      <c r="AC61" s="83" t="n"/>
      <c r="AD61" s="83" t="n"/>
      <c r="AE61" s="83" t="n"/>
      <c r="AF61" s="83" t="n"/>
      <c r="AG61" s="83" t="n"/>
      <c r="AH61" s="84">
        <f>IF(OR($A61="",COUNT(AB61,AC61,AD61,AG61,AE61,AF61)&lt;1),"",AB61+AC61+AD61+AG61-AE61-AF61)</f>
        <v/>
      </c>
      <c r="AI61" s="84">
        <f>IF(OR($A61="",COUNT(AA61,AH61)&lt;2),"",AA61-AH61)</f>
        <v/>
      </c>
      <c r="AJ61" s="84">
        <f>IF(OR($A61="",COUNT(W61,AB61)&lt;2),"",W61-AB61)</f>
        <v/>
      </c>
      <c r="AK61" s="83" t="n"/>
      <c r="AL61" s="33" t="n"/>
      <c r="AM61" s="33" t="n"/>
      <c r="AN61" s="83" t="n"/>
      <c r="AO61" s="33" t="n"/>
      <c r="AP61" s="33" t="n"/>
      <c r="AQ61" s="33" t="n"/>
    </row>
    <row r="62">
      <c r="A62" s="33" t="n"/>
      <c r="B62" s="33" t="n"/>
      <c r="C62" s="33" t="n"/>
      <c r="D62" s="33" t="n"/>
      <c r="E62" s="33" t="n"/>
      <c r="F62" s="33" t="n"/>
      <c r="G62" s="33" t="n"/>
      <c r="H62" s="33" t="n"/>
      <c r="I62" s="33" t="n"/>
      <c r="J62" s="33" t="n"/>
      <c r="K62" s="34" t="n"/>
      <c r="L62" s="34" t="n"/>
      <c r="M62" s="34" t="n"/>
      <c r="N62" s="82" t="n"/>
      <c r="O62" s="82" t="n"/>
      <c r="P62" s="33" t="n"/>
      <c r="Q62" s="34" t="n"/>
      <c r="R62" s="83" t="n"/>
      <c r="S62" s="34" t="n"/>
      <c r="T62" s="33" t="n"/>
      <c r="U62" s="83" t="n"/>
      <c r="V62" s="33" t="n"/>
      <c r="W62" s="83" t="n"/>
      <c r="X62" s="83" t="n"/>
      <c r="Y62" s="83" t="n"/>
      <c r="Z62" s="83" t="n"/>
      <c r="AA62" s="84">
        <f>IF(OR($A62="",COUNT(W62,X62,Z62,Y62)&lt;1),"",W62+X62+Z62-Y62)</f>
        <v/>
      </c>
      <c r="AB62" s="83" t="n"/>
      <c r="AC62" s="83" t="n"/>
      <c r="AD62" s="83" t="n"/>
      <c r="AE62" s="83" t="n"/>
      <c r="AF62" s="83" t="n"/>
      <c r="AG62" s="83" t="n"/>
      <c r="AH62" s="84">
        <f>IF(OR($A62="",COUNT(AB62,AC62,AD62,AG62,AE62,AF62)&lt;1),"",AB62+AC62+AD62+AG62-AE62-AF62)</f>
        <v/>
      </c>
      <c r="AI62" s="84">
        <f>IF(OR($A62="",COUNT(AA62,AH62)&lt;2),"",AA62-AH62)</f>
        <v/>
      </c>
      <c r="AJ62" s="84">
        <f>IF(OR($A62="",COUNT(W62,AB62)&lt;2),"",W62-AB62)</f>
        <v/>
      </c>
      <c r="AK62" s="83" t="n"/>
      <c r="AL62" s="33" t="n"/>
      <c r="AM62" s="33" t="n"/>
      <c r="AN62" s="83" t="n"/>
      <c r="AO62" s="33" t="n"/>
      <c r="AP62" s="33" t="n"/>
      <c r="AQ62" s="33" t="n"/>
    </row>
    <row r="63">
      <c r="A63" s="33" t="n"/>
      <c r="B63" s="33" t="n"/>
      <c r="C63" s="33" t="n"/>
      <c r="D63" s="33" t="n"/>
      <c r="E63" s="33" t="n"/>
      <c r="F63" s="33" t="n"/>
      <c r="G63" s="33" t="n"/>
      <c r="H63" s="33" t="n"/>
      <c r="I63" s="33" t="n"/>
      <c r="J63" s="33" t="n"/>
      <c r="K63" s="34" t="n"/>
      <c r="L63" s="34" t="n"/>
      <c r="M63" s="34" t="n"/>
      <c r="N63" s="82" t="n"/>
      <c r="O63" s="82" t="n"/>
      <c r="P63" s="33" t="n"/>
      <c r="Q63" s="34" t="n"/>
      <c r="R63" s="83" t="n"/>
      <c r="S63" s="34" t="n"/>
      <c r="T63" s="33" t="n"/>
      <c r="U63" s="83" t="n"/>
      <c r="V63" s="33" t="n"/>
      <c r="W63" s="83" t="n"/>
      <c r="X63" s="83" t="n"/>
      <c r="Y63" s="83" t="n"/>
      <c r="Z63" s="83" t="n"/>
      <c r="AA63" s="84">
        <f>IF(OR($A63="",COUNT(W63,X63,Z63,Y63)&lt;1),"",W63+X63+Z63-Y63)</f>
        <v/>
      </c>
      <c r="AB63" s="83" t="n"/>
      <c r="AC63" s="83" t="n"/>
      <c r="AD63" s="83" t="n"/>
      <c r="AE63" s="83" t="n"/>
      <c r="AF63" s="83" t="n"/>
      <c r="AG63" s="83" t="n"/>
      <c r="AH63" s="84">
        <f>IF(OR($A63="",COUNT(AB63,AC63,AD63,AG63,AE63,AF63)&lt;1),"",AB63+AC63+AD63+AG63-AE63-AF63)</f>
        <v/>
      </c>
      <c r="AI63" s="84">
        <f>IF(OR($A63="",COUNT(AA63,AH63)&lt;2),"",AA63-AH63)</f>
        <v/>
      </c>
      <c r="AJ63" s="84">
        <f>IF(OR($A63="",COUNT(W63,AB63)&lt;2),"",W63-AB63)</f>
        <v/>
      </c>
      <c r="AK63" s="83" t="n"/>
      <c r="AL63" s="33" t="n"/>
      <c r="AM63" s="33" t="n"/>
      <c r="AN63" s="83" t="n"/>
      <c r="AO63" s="33" t="n"/>
      <c r="AP63" s="33" t="n"/>
      <c r="AQ63" s="33" t="n"/>
    </row>
    <row r="64">
      <c r="A64" s="33" t="n"/>
      <c r="B64" s="33" t="n"/>
      <c r="C64" s="33" t="n"/>
      <c r="D64" s="33" t="n"/>
      <c r="E64" s="33" t="n"/>
      <c r="F64" s="33" t="n"/>
      <c r="G64" s="33" t="n"/>
      <c r="H64" s="33" t="n"/>
      <c r="I64" s="33" t="n"/>
      <c r="J64" s="33" t="n"/>
      <c r="K64" s="34" t="n"/>
      <c r="L64" s="34" t="n"/>
      <c r="M64" s="34" t="n"/>
      <c r="N64" s="82" t="n"/>
      <c r="O64" s="82" t="n"/>
      <c r="P64" s="33" t="n"/>
      <c r="Q64" s="34" t="n"/>
      <c r="R64" s="83" t="n"/>
      <c r="S64" s="34" t="n"/>
      <c r="T64" s="33" t="n"/>
      <c r="U64" s="83" t="n"/>
      <c r="V64" s="33" t="n"/>
      <c r="W64" s="83" t="n"/>
      <c r="X64" s="83" t="n"/>
      <c r="Y64" s="83" t="n"/>
      <c r="Z64" s="83" t="n"/>
      <c r="AA64" s="84">
        <f>IF(OR($A64="",COUNT(W64,X64,Z64,Y64)&lt;1),"",W64+X64+Z64-Y64)</f>
        <v/>
      </c>
      <c r="AB64" s="83" t="n"/>
      <c r="AC64" s="83" t="n"/>
      <c r="AD64" s="83" t="n"/>
      <c r="AE64" s="83" t="n"/>
      <c r="AF64" s="83" t="n"/>
      <c r="AG64" s="83" t="n"/>
      <c r="AH64" s="84">
        <f>IF(OR($A64="",COUNT(AB64,AC64,AD64,AG64,AE64,AF64)&lt;1),"",AB64+AC64+AD64+AG64-AE64-AF64)</f>
        <v/>
      </c>
      <c r="AI64" s="84">
        <f>IF(OR($A64="",COUNT(AA64,AH64)&lt;2),"",AA64-AH64)</f>
        <v/>
      </c>
      <c r="AJ64" s="84">
        <f>IF(OR($A64="",COUNT(W64,AB64)&lt;2),"",W64-AB64)</f>
        <v/>
      </c>
      <c r="AK64" s="83" t="n"/>
      <c r="AL64" s="33" t="n"/>
      <c r="AM64" s="33" t="n"/>
      <c r="AN64" s="83" t="n"/>
      <c r="AO64" s="33" t="n"/>
      <c r="AP64" s="33" t="n"/>
      <c r="AQ64" s="33" t="n"/>
    </row>
    <row r="65">
      <c r="A65" s="33" t="n"/>
      <c r="B65" s="33" t="n"/>
      <c r="C65" s="33" t="n"/>
      <c r="D65" s="33" t="n"/>
      <c r="E65" s="33" t="n"/>
      <c r="F65" s="33" t="n"/>
      <c r="G65" s="33" t="n"/>
      <c r="H65" s="33" t="n"/>
      <c r="I65" s="33" t="n"/>
      <c r="J65" s="33" t="n"/>
      <c r="K65" s="34" t="n"/>
      <c r="L65" s="34" t="n"/>
      <c r="M65" s="34" t="n"/>
      <c r="N65" s="82" t="n"/>
      <c r="O65" s="82" t="n"/>
      <c r="P65" s="33" t="n"/>
      <c r="Q65" s="34" t="n"/>
      <c r="R65" s="83" t="n"/>
      <c r="S65" s="34" t="n"/>
      <c r="T65" s="33" t="n"/>
      <c r="U65" s="83" t="n"/>
      <c r="V65" s="33" t="n"/>
      <c r="W65" s="83" t="n"/>
      <c r="X65" s="83" t="n"/>
      <c r="Y65" s="83" t="n"/>
      <c r="Z65" s="83" t="n"/>
      <c r="AA65" s="84">
        <f>IF(OR($A65="",COUNT(W65,X65,Z65,Y65)&lt;1),"",W65+X65+Z65-Y65)</f>
        <v/>
      </c>
      <c r="AB65" s="83" t="n"/>
      <c r="AC65" s="83" t="n"/>
      <c r="AD65" s="83" t="n"/>
      <c r="AE65" s="83" t="n"/>
      <c r="AF65" s="83" t="n"/>
      <c r="AG65" s="83" t="n"/>
      <c r="AH65" s="84">
        <f>IF(OR($A65="",COUNT(AB65,AC65,AD65,AG65,AE65,AF65)&lt;1),"",AB65+AC65+AD65+AG65-AE65-AF65)</f>
        <v/>
      </c>
      <c r="AI65" s="84">
        <f>IF(OR($A65="",COUNT(AA65,AH65)&lt;2),"",AA65-AH65)</f>
        <v/>
      </c>
      <c r="AJ65" s="84">
        <f>IF(OR($A65="",COUNT(W65,AB65)&lt;2),"",W65-AB65)</f>
        <v/>
      </c>
      <c r="AK65" s="83" t="n"/>
      <c r="AL65" s="33" t="n"/>
      <c r="AM65" s="33" t="n"/>
      <c r="AN65" s="83" t="n"/>
      <c r="AO65" s="33" t="n"/>
      <c r="AP65" s="33" t="n"/>
      <c r="AQ65" s="33" t="n"/>
    </row>
    <row r="66">
      <c r="A66" s="33" t="n"/>
      <c r="B66" s="33" t="n"/>
      <c r="C66" s="33" t="n"/>
      <c r="D66" s="33" t="n"/>
      <c r="E66" s="33" t="n"/>
      <c r="F66" s="33" t="n"/>
      <c r="G66" s="33" t="n"/>
      <c r="H66" s="33" t="n"/>
      <c r="I66" s="33" t="n"/>
      <c r="J66" s="33" t="n"/>
      <c r="K66" s="34" t="n"/>
      <c r="L66" s="34" t="n"/>
      <c r="M66" s="34" t="n"/>
      <c r="N66" s="82" t="n"/>
      <c r="O66" s="82" t="n"/>
      <c r="P66" s="33" t="n"/>
      <c r="Q66" s="34" t="n"/>
      <c r="R66" s="83" t="n"/>
      <c r="S66" s="34" t="n"/>
      <c r="T66" s="33" t="n"/>
      <c r="U66" s="83" t="n"/>
      <c r="V66" s="33" t="n"/>
      <c r="W66" s="83" t="n"/>
      <c r="X66" s="83" t="n"/>
      <c r="Y66" s="83" t="n"/>
      <c r="Z66" s="83" t="n"/>
      <c r="AA66" s="84">
        <f>IF(OR($A66="",COUNT(W66,X66,Z66,Y66)&lt;1),"",W66+X66+Z66-Y66)</f>
        <v/>
      </c>
      <c r="AB66" s="83" t="n"/>
      <c r="AC66" s="83" t="n"/>
      <c r="AD66" s="83" t="n"/>
      <c r="AE66" s="83" t="n"/>
      <c r="AF66" s="83" t="n"/>
      <c r="AG66" s="83" t="n"/>
      <c r="AH66" s="84">
        <f>IF(OR($A66="",COUNT(AB66,AC66,AD66,AG66,AE66,AF66)&lt;1),"",AB66+AC66+AD66+AG66-AE66-AF66)</f>
        <v/>
      </c>
      <c r="AI66" s="84">
        <f>IF(OR($A66="",COUNT(AA66,AH66)&lt;2),"",AA66-AH66)</f>
        <v/>
      </c>
      <c r="AJ66" s="84">
        <f>IF(OR($A66="",COUNT(W66,AB66)&lt;2),"",W66-AB66)</f>
        <v/>
      </c>
      <c r="AK66" s="83" t="n"/>
      <c r="AL66" s="33" t="n"/>
      <c r="AM66" s="33" t="n"/>
      <c r="AN66" s="83" t="n"/>
      <c r="AO66" s="33" t="n"/>
      <c r="AP66" s="33" t="n"/>
      <c r="AQ66" s="33" t="n"/>
    </row>
    <row r="67">
      <c r="A67" s="33" t="n"/>
      <c r="B67" s="33" t="n"/>
      <c r="C67" s="33" t="n"/>
      <c r="D67" s="33" t="n"/>
      <c r="E67" s="33" t="n"/>
      <c r="F67" s="33" t="n"/>
      <c r="G67" s="33" t="n"/>
      <c r="H67" s="33" t="n"/>
      <c r="I67" s="33" t="n"/>
      <c r="J67" s="33" t="n"/>
      <c r="K67" s="34" t="n"/>
      <c r="L67" s="34" t="n"/>
      <c r="M67" s="34" t="n"/>
      <c r="N67" s="82" t="n"/>
      <c r="O67" s="82" t="n"/>
      <c r="P67" s="33" t="n"/>
      <c r="Q67" s="34" t="n"/>
      <c r="R67" s="83" t="n"/>
      <c r="S67" s="34" t="n"/>
      <c r="T67" s="33" t="n"/>
      <c r="U67" s="83" t="n"/>
      <c r="V67" s="33" t="n"/>
      <c r="W67" s="83" t="n"/>
      <c r="X67" s="83" t="n"/>
      <c r="Y67" s="83" t="n"/>
      <c r="Z67" s="83" t="n"/>
      <c r="AA67" s="84">
        <f>IF(OR($A67="",COUNT(W67,X67,Z67,Y67)&lt;1),"",W67+X67+Z67-Y67)</f>
        <v/>
      </c>
      <c r="AB67" s="83" t="n"/>
      <c r="AC67" s="83" t="n"/>
      <c r="AD67" s="83" t="n"/>
      <c r="AE67" s="83" t="n"/>
      <c r="AF67" s="83" t="n"/>
      <c r="AG67" s="83" t="n"/>
      <c r="AH67" s="84">
        <f>IF(OR($A67="",COUNT(AB67,AC67,AD67,AG67,AE67,AF67)&lt;1),"",AB67+AC67+AD67+AG67-AE67-AF67)</f>
        <v/>
      </c>
      <c r="AI67" s="84">
        <f>IF(OR($A67="",COUNT(AA67,AH67)&lt;2),"",AA67-AH67)</f>
        <v/>
      </c>
      <c r="AJ67" s="84">
        <f>IF(OR($A67="",COUNT(W67,AB67)&lt;2),"",W67-AB67)</f>
        <v/>
      </c>
      <c r="AK67" s="83" t="n"/>
      <c r="AL67" s="33" t="n"/>
      <c r="AM67" s="33" t="n"/>
      <c r="AN67" s="83" t="n"/>
      <c r="AO67" s="33" t="n"/>
      <c r="AP67" s="33" t="n"/>
      <c r="AQ67" s="33" t="n"/>
    </row>
    <row r="68">
      <c r="A68" s="33" t="n"/>
      <c r="B68" s="33" t="n"/>
      <c r="C68" s="33" t="n"/>
      <c r="D68" s="33" t="n"/>
      <c r="E68" s="33" t="n"/>
      <c r="F68" s="33" t="n"/>
      <c r="G68" s="33" t="n"/>
      <c r="H68" s="33" t="n"/>
      <c r="I68" s="33" t="n"/>
      <c r="J68" s="33" t="n"/>
      <c r="K68" s="34" t="n"/>
      <c r="L68" s="34" t="n"/>
      <c r="M68" s="34" t="n"/>
      <c r="N68" s="82" t="n"/>
      <c r="O68" s="82" t="n"/>
      <c r="P68" s="33" t="n"/>
      <c r="Q68" s="34" t="n"/>
      <c r="R68" s="83" t="n"/>
      <c r="S68" s="34" t="n"/>
      <c r="T68" s="33" t="n"/>
      <c r="U68" s="83" t="n"/>
      <c r="V68" s="33" t="n"/>
      <c r="W68" s="83" t="n"/>
      <c r="X68" s="83" t="n"/>
      <c r="Y68" s="83" t="n"/>
      <c r="Z68" s="83" t="n"/>
      <c r="AA68" s="84">
        <f>IF(OR($A68="",COUNT(W68,X68,Z68,Y68)&lt;1),"",W68+X68+Z68-Y68)</f>
        <v/>
      </c>
      <c r="AB68" s="83" t="n"/>
      <c r="AC68" s="83" t="n"/>
      <c r="AD68" s="83" t="n"/>
      <c r="AE68" s="83" t="n"/>
      <c r="AF68" s="83" t="n"/>
      <c r="AG68" s="83" t="n"/>
      <c r="AH68" s="84">
        <f>IF(OR($A68="",COUNT(AB68,AC68,AD68,AG68,AE68,AF68)&lt;1),"",AB68+AC68+AD68+AG68-AE68-AF68)</f>
        <v/>
      </c>
      <c r="AI68" s="84">
        <f>IF(OR($A68="",COUNT(AA68,AH68)&lt;2),"",AA68-AH68)</f>
        <v/>
      </c>
      <c r="AJ68" s="84">
        <f>IF(OR($A68="",COUNT(W68,AB68)&lt;2),"",W68-AB68)</f>
        <v/>
      </c>
      <c r="AK68" s="83" t="n"/>
      <c r="AL68" s="33" t="n"/>
      <c r="AM68" s="33" t="n"/>
      <c r="AN68" s="83" t="n"/>
      <c r="AO68" s="33" t="n"/>
      <c r="AP68" s="33" t="n"/>
      <c r="AQ68" s="33" t="n"/>
    </row>
    <row r="69">
      <c r="A69" s="33" t="n"/>
      <c r="B69" s="33" t="n"/>
      <c r="C69" s="33" t="n"/>
      <c r="D69" s="33" t="n"/>
      <c r="E69" s="33" t="n"/>
      <c r="F69" s="33" t="n"/>
      <c r="G69" s="33" t="n"/>
      <c r="H69" s="33" t="n"/>
      <c r="I69" s="33" t="n"/>
      <c r="J69" s="33" t="n"/>
      <c r="K69" s="34" t="n"/>
      <c r="L69" s="34" t="n"/>
      <c r="M69" s="34" t="n"/>
      <c r="N69" s="82" t="n"/>
      <c r="O69" s="82" t="n"/>
      <c r="P69" s="33" t="n"/>
      <c r="Q69" s="34" t="n"/>
      <c r="R69" s="83" t="n"/>
      <c r="S69" s="34" t="n"/>
      <c r="T69" s="33" t="n"/>
      <c r="U69" s="83" t="n"/>
      <c r="V69" s="33" t="n"/>
      <c r="W69" s="83" t="n"/>
      <c r="X69" s="83" t="n"/>
      <c r="Y69" s="83" t="n"/>
      <c r="Z69" s="83" t="n"/>
      <c r="AA69" s="84">
        <f>IF(OR($A69="",COUNT(W69,X69,Z69,Y69)&lt;1),"",W69+X69+Z69-Y69)</f>
        <v/>
      </c>
      <c r="AB69" s="83" t="n"/>
      <c r="AC69" s="83" t="n"/>
      <c r="AD69" s="83" t="n"/>
      <c r="AE69" s="83" t="n"/>
      <c r="AF69" s="83" t="n"/>
      <c r="AG69" s="83" t="n"/>
      <c r="AH69" s="84">
        <f>IF(OR($A69="",COUNT(AB69,AC69,AD69,AG69,AE69,AF69)&lt;1),"",AB69+AC69+AD69+AG69-AE69-AF69)</f>
        <v/>
      </c>
      <c r="AI69" s="84">
        <f>IF(OR($A69="",COUNT(AA69,AH69)&lt;2),"",AA69-AH69)</f>
        <v/>
      </c>
      <c r="AJ69" s="84">
        <f>IF(OR($A69="",COUNT(W69,AB69)&lt;2),"",W69-AB69)</f>
        <v/>
      </c>
      <c r="AK69" s="83" t="n"/>
      <c r="AL69" s="33" t="n"/>
      <c r="AM69" s="33" t="n"/>
      <c r="AN69" s="83" t="n"/>
      <c r="AO69" s="33" t="n"/>
      <c r="AP69" s="33" t="n"/>
      <c r="AQ69" s="33" t="n"/>
    </row>
    <row r="70">
      <c r="A70" s="33" t="n"/>
      <c r="B70" s="33" t="n"/>
      <c r="C70" s="33" t="n"/>
      <c r="D70" s="33" t="n"/>
      <c r="E70" s="33" t="n"/>
      <c r="F70" s="33" t="n"/>
      <c r="G70" s="33" t="n"/>
      <c r="H70" s="33" t="n"/>
      <c r="I70" s="33" t="n"/>
      <c r="J70" s="33" t="n"/>
      <c r="K70" s="34" t="n"/>
      <c r="L70" s="34" t="n"/>
      <c r="M70" s="34" t="n"/>
      <c r="N70" s="82" t="n"/>
      <c r="O70" s="82" t="n"/>
      <c r="P70" s="33" t="n"/>
      <c r="Q70" s="34" t="n"/>
      <c r="R70" s="83" t="n"/>
      <c r="S70" s="34" t="n"/>
      <c r="T70" s="33" t="n"/>
      <c r="U70" s="83" t="n"/>
      <c r="V70" s="33" t="n"/>
      <c r="W70" s="83" t="n"/>
      <c r="X70" s="83" t="n"/>
      <c r="Y70" s="83" t="n"/>
      <c r="Z70" s="83" t="n"/>
      <c r="AA70" s="84">
        <f>IF(OR($A70="",COUNT(W70,X70,Z70,Y70)&lt;1),"",W70+X70+Z70-Y70)</f>
        <v/>
      </c>
      <c r="AB70" s="83" t="n"/>
      <c r="AC70" s="83" t="n"/>
      <c r="AD70" s="83" t="n"/>
      <c r="AE70" s="83" t="n"/>
      <c r="AF70" s="83" t="n"/>
      <c r="AG70" s="83" t="n"/>
      <c r="AH70" s="84">
        <f>IF(OR($A70="",COUNT(AB70,AC70,AD70,AG70,AE70,AF70)&lt;1),"",AB70+AC70+AD70+AG70-AE70-AF70)</f>
        <v/>
      </c>
      <c r="AI70" s="84">
        <f>IF(OR($A70="",COUNT(AA70,AH70)&lt;2),"",AA70-AH70)</f>
        <v/>
      </c>
      <c r="AJ70" s="84">
        <f>IF(OR($A70="",COUNT(W70,AB70)&lt;2),"",W70-AB70)</f>
        <v/>
      </c>
      <c r="AK70" s="83" t="n"/>
      <c r="AL70" s="33" t="n"/>
      <c r="AM70" s="33" t="n"/>
      <c r="AN70" s="83" t="n"/>
      <c r="AO70" s="33" t="n"/>
      <c r="AP70" s="33" t="n"/>
      <c r="AQ70" s="33" t="n"/>
    </row>
    <row r="71">
      <c r="A71" s="33" t="n"/>
      <c r="B71" s="33" t="n"/>
      <c r="C71" s="33" t="n"/>
      <c r="D71" s="33" t="n"/>
      <c r="E71" s="33" t="n"/>
      <c r="F71" s="33" t="n"/>
      <c r="G71" s="33" t="n"/>
      <c r="H71" s="33" t="n"/>
      <c r="I71" s="33" t="n"/>
      <c r="J71" s="33" t="n"/>
      <c r="K71" s="34" t="n"/>
      <c r="L71" s="34" t="n"/>
      <c r="M71" s="34" t="n"/>
      <c r="N71" s="82" t="n"/>
      <c r="O71" s="82" t="n"/>
      <c r="P71" s="33" t="n"/>
      <c r="Q71" s="34" t="n"/>
      <c r="R71" s="83" t="n"/>
      <c r="S71" s="34" t="n"/>
      <c r="T71" s="33" t="n"/>
      <c r="U71" s="83" t="n"/>
      <c r="V71" s="33" t="n"/>
      <c r="W71" s="83" t="n"/>
      <c r="X71" s="83" t="n"/>
      <c r="Y71" s="83" t="n"/>
      <c r="Z71" s="83" t="n"/>
      <c r="AA71" s="84">
        <f>IF(OR($A71="",COUNT(W71,X71,Z71,Y71)&lt;1),"",W71+X71+Z71-Y71)</f>
        <v/>
      </c>
      <c r="AB71" s="83" t="n"/>
      <c r="AC71" s="83" t="n"/>
      <c r="AD71" s="83" t="n"/>
      <c r="AE71" s="83" t="n"/>
      <c r="AF71" s="83" t="n"/>
      <c r="AG71" s="83" t="n"/>
      <c r="AH71" s="84">
        <f>IF(OR($A71="",COUNT(AB71,AC71,AD71,AG71,AE71,AF71)&lt;1),"",AB71+AC71+AD71+AG71-AE71-AF71)</f>
        <v/>
      </c>
      <c r="AI71" s="84">
        <f>IF(OR($A71="",COUNT(AA71,AH71)&lt;2),"",AA71-AH71)</f>
        <v/>
      </c>
      <c r="AJ71" s="84">
        <f>IF(OR($A71="",COUNT(W71,AB71)&lt;2),"",W71-AB71)</f>
        <v/>
      </c>
      <c r="AK71" s="83" t="n"/>
      <c r="AL71" s="33" t="n"/>
      <c r="AM71" s="33" t="n"/>
      <c r="AN71" s="83" t="n"/>
      <c r="AO71" s="33" t="n"/>
      <c r="AP71" s="33" t="n"/>
      <c r="AQ71" s="33" t="n"/>
    </row>
    <row r="72">
      <c r="A72" s="33" t="n"/>
      <c r="B72" s="33" t="n"/>
      <c r="C72" s="33" t="n"/>
      <c r="D72" s="33" t="n"/>
      <c r="E72" s="33" t="n"/>
      <c r="F72" s="33" t="n"/>
      <c r="G72" s="33" t="n"/>
      <c r="H72" s="33" t="n"/>
      <c r="I72" s="33" t="n"/>
      <c r="J72" s="33" t="n"/>
      <c r="K72" s="34" t="n"/>
      <c r="L72" s="34" t="n"/>
      <c r="M72" s="34" t="n"/>
      <c r="N72" s="82" t="n"/>
      <c r="O72" s="82" t="n"/>
      <c r="P72" s="33" t="n"/>
      <c r="Q72" s="34" t="n"/>
      <c r="R72" s="83" t="n"/>
      <c r="S72" s="34" t="n"/>
      <c r="T72" s="33" t="n"/>
      <c r="U72" s="83" t="n"/>
      <c r="V72" s="33" t="n"/>
      <c r="W72" s="83" t="n"/>
      <c r="X72" s="83" t="n"/>
      <c r="Y72" s="83" t="n"/>
      <c r="Z72" s="83" t="n"/>
      <c r="AA72" s="84">
        <f>IF(OR($A72="",COUNT(W72,X72,Z72,Y72)&lt;1),"",W72+X72+Z72-Y72)</f>
        <v/>
      </c>
      <c r="AB72" s="83" t="n"/>
      <c r="AC72" s="83" t="n"/>
      <c r="AD72" s="83" t="n"/>
      <c r="AE72" s="83" t="n"/>
      <c r="AF72" s="83" t="n"/>
      <c r="AG72" s="83" t="n"/>
      <c r="AH72" s="84">
        <f>IF(OR($A72="",COUNT(AB72,AC72,AD72,AG72,AE72,AF72)&lt;1),"",AB72+AC72+AD72+AG72-AE72-AF72)</f>
        <v/>
      </c>
      <c r="AI72" s="84">
        <f>IF(OR($A72="",COUNT(AA72,AH72)&lt;2),"",AA72-AH72)</f>
        <v/>
      </c>
      <c r="AJ72" s="84">
        <f>IF(OR($A72="",COUNT(W72,AB72)&lt;2),"",W72-AB72)</f>
        <v/>
      </c>
      <c r="AK72" s="83" t="n"/>
      <c r="AL72" s="33" t="n"/>
      <c r="AM72" s="33" t="n"/>
      <c r="AN72" s="83" t="n"/>
      <c r="AO72" s="33" t="n"/>
      <c r="AP72" s="33" t="n"/>
      <c r="AQ72" s="33" t="n"/>
    </row>
    <row r="73">
      <c r="A73" s="33" t="n"/>
      <c r="B73" s="33" t="n"/>
      <c r="C73" s="33" t="n"/>
      <c r="D73" s="33" t="n"/>
      <c r="E73" s="33" t="n"/>
      <c r="F73" s="33" t="n"/>
      <c r="G73" s="33" t="n"/>
      <c r="H73" s="33" t="n"/>
      <c r="I73" s="33" t="n"/>
      <c r="J73" s="33" t="n"/>
      <c r="K73" s="34" t="n"/>
      <c r="L73" s="34" t="n"/>
      <c r="M73" s="34" t="n"/>
      <c r="N73" s="82" t="n"/>
      <c r="O73" s="82" t="n"/>
      <c r="P73" s="33" t="n"/>
      <c r="Q73" s="34" t="n"/>
      <c r="R73" s="83" t="n"/>
      <c r="S73" s="34" t="n"/>
      <c r="T73" s="33" t="n"/>
      <c r="U73" s="83" t="n"/>
      <c r="V73" s="33" t="n"/>
      <c r="W73" s="83" t="n"/>
      <c r="X73" s="83" t="n"/>
      <c r="Y73" s="83" t="n"/>
      <c r="Z73" s="83" t="n"/>
      <c r="AA73" s="84">
        <f>IF(OR($A73="",COUNT(W73,X73,Z73,Y73)&lt;1),"",W73+X73+Z73-Y73)</f>
        <v/>
      </c>
      <c r="AB73" s="83" t="n"/>
      <c r="AC73" s="83" t="n"/>
      <c r="AD73" s="83" t="n"/>
      <c r="AE73" s="83" t="n"/>
      <c r="AF73" s="83" t="n"/>
      <c r="AG73" s="83" t="n"/>
      <c r="AH73" s="84">
        <f>IF(OR($A73="",COUNT(AB73,AC73,AD73,AG73,AE73,AF73)&lt;1),"",AB73+AC73+AD73+AG73-AE73-AF73)</f>
        <v/>
      </c>
      <c r="AI73" s="84">
        <f>IF(OR($A73="",COUNT(AA73,AH73)&lt;2),"",AA73-AH73)</f>
        <v/>
      </c>
      <c r="AJ73" s="84">
        <f>IF(OR($A73="",COUNT(W73,AB73)&lt;2),"",W73-AB73)</f>
        <v/>
      </c>
      <c r="AK73" s="83" t="n"/>
      <c r="AL73" s="33" t="n"/>
      <c r="AM73" s="33" t="n"/>
      <c r="AN73" s="83" t="n"/>
      <c r="AO73" s="33" t="n"/>
      <c r="AP73" s="33" t="n"/>
      <c r="AQ73" s="33" t="n"/>
    </row>
    <row r="74">
      <c r="A74" s="33" t="n"/>
      <c r="B74" s="33" t="n"/>
      <c r="C74" s="33" t="n"/>
      <c r="D74" s="33" t="n"/>
      <c r="E74" s="33" t="n"/>
      <c r="F74" s="33" t="n"/>
      <c r="G74" s="33" t="n"/>
      <c r="H74" s="33" t="n"/>
      <c r="I74" s="33" t="n"/>
      <c r="J74" s="33" t="n"/>
      <c r="K74" s="34" t="n"/>
      <c r="L74" s="34" t="n"/>
      <c r="M74" s="34" t="n"/>
      <c r="N74" s="82" t="n"/>
      <c r="O74" s="82" t="n"/>
      <c r="P74" s="33" t="n"/>
      <c r="Q74" s="34" t="n"/>
      <c r="R74" s="83" t="n"/>
      <c r="S74" s="34" t="n"/>
      <c r="T74" s="33" t="n"/>
      <c r="U74" s="83" t="n"/>
      <c r="V74" s="33" t="n"/>
      <c r="W74" s="83" t="n"/>
      <c r="X74" s="83" t="n"/>
      <c r="Y74" s="83" t="n"/>
      <c r="Z74" s="83" t="n"/>
      <c r="AA74" s="84">
        <f>IF(OR($A74="",COUNT(W74,X74,Z74,Y74)&lt;1),"",W74+X74+Z74-Y74)</f>
        <v/>
      </c>
      <c r="AB74" s="83" t="n"/>
      <c r="AC74" s="83" t="n"/>
      <c r="AD74" s="83" t="n"/>
      <c r="AE74" s="83" t="n"/>
      <c r="AF74" s="83" t="n"/>
      <c r="AG74" s="83" t="n"/>
      <c r="AH74" s="84">
        <f>IF(OR($A74="",COUNT(AB74,AC74,AD74,AG74,AE74,AF74)&lt;1),"",AB74+AC74+AD74+AG74-AE74-AF74)</f>
        <v/>
      </c>
      <c r="AI74" s="84">
        <f>IF(OR($A74="",COUNT(AA74,AH74)&lt;2),"",AA74-AH74)</f>
        <v/>
      </c>
      <c r="AJ74" s="84">
        <f>IF(OR($A74="",COUNT(W74,AB74)&lt;2),"",W74-AB74)</f>
        <v/>
      </c>
      <c r="AK74" s="83" t="n"/>
      <c r="AL74" s="33" t="n"/>
      <c r="AM74" s="33" t="n"/>
      <c r="AN74" s="83" t="n"/>
      <c r="AO74" s="33" t="n"/>
      <c r="AP74" s="33" t="n"/>
      <c r="AQ74" s="33" t="n"/>
    </row>
    <row r="75">
      <c r="A75" s="33" t="n"/>
      <c r="B75" s="33" t="n"/>
      <c r="C75" s="33" t="n"/>
      <c r="D75" s="33" t="n"/>
      <c r="E75" s="33" t="n"/>
      <c r="F75" s="33" t="n"/>
      <c r="G75" s="33" t="n"/>
      <c r="H75" s="33" t="n"/>
      <c r="I75" s="33" t="n"/>
      <c r="J75" s="33" t="n"/>
      <c r="K75" s="34" t="n"/>
      <c r="L75" s="34" t="n"/>
      <c r="M75" s="34" t="n"/>
      <c r="N75" s="82" t="n"/>
      <c r="O75" s="82" t="n"/>
      <c r="P75" s="33" t="n"/>
      <c r="Q75" s="34" t="n"/>
      <c r="R75" s="83" t="n"/>
      <c r="S75" s="34" t="n"/>
      <c r="T75" s="33" t="n"/>
      <c r="U75" s="83" t="n"/>
      <c r="V75" s="33" t="n"/>
      <c r="W75" s="83" t="n"/>
      <c r="X75" s="83" t="n"/>
      <c r="Y75" s="83" t="n"/>
      <c r="Z75" s="83" t="n"/>
      <c r="AA75" s="84">
        <f>IF(OR($A75="",COUNT(W75,X75,Z75,Y75)&lt;1),"",W75+X75+Z75-Y75)</f>
        <v/>
      </c>
      <c r="AB75" s="83" t="n"/>
      <c r="AC75" s="83" t="n"/>
      <c r="AD75" s="83" t="n"/>
      <c r="AE75" s="83" t="n"/>
      <c r="AF75" s="83" t="n"/>
      <c r="AG75" s="83" t="n"/>
      <c r="AH75" s="84">
        <f>IF(OR($A75="",COUNT(AB75,AC75,AD75,AG75,AE75,AF75)&lt;1),"",AB75+AC75+AD75+AG75-AE75-AF75)</f>
        <v/>
      </c>
      <c r="AI75" s="84">
        <f>IF(OR($A75="",COUNT(AA75,AH75)&lt;2),"",AA75-AH75)</f>
        <v/>
      </c>
      <c r="AJ75" s="84">
        <f>IF(OR($A75="",COUNT(W75,AB75)&lt;2),"",W75-AB75)</f>
        <v/>
      </c>
      <c r="AK75" s="83" t="n"/>
      <c r="AL75" s="33" t="n"/>
      <c r="AM75" s="33" t="n"/>
      <c r="AN75" s="83" t="n"/>
      <c r="AO75" s="33" t="n"/>
      <c r="AP75" s="33" t="n"/>
      <c r="AQ75" s="33" t="n"/>
    </row>
    <row r="76">
      <c r="A76" s="33" t="n"/>
      <c r="B76" s="33" t="n"/>
      <c r="C76" s="33" t="n"/>
      <c r="D76" s="33" t="n"/>
      <c r="E76" s="33" t="n"/>
      <c r="F76" s="33" t="n"/>
      <c r="G76" s="33" t="n"/>
      <c r="H76" s="33" t="n"/>
      <c r="I76" s="33" t="n"/>
      <c r="J76" s="33" t="n"/>
      <c r="K76" s="34" t="n"/>
      <c r="L76" s="34" t="n"/>
      <c r="M76" s="34" t="n"/>
      <c r="N76" s="82" t="n"/>
      <c r="O76" s="82" t="n"/>
      <c r="P76" s="33" t="n"/>
      <c r="Q76" s="34" t="n"/>
      <c r="R76" s="83" t="n"/>
      <c r="S76" s="34" t="n"/>
      <c r="T76" s="33" t="n"/>
      <c r="U76" s="83" t="n"/>
      <c r="V76" s="33" t="n"/>
      <c r="W76" s="83" t="n"/>
      <c r="X76" s="83" t="n"/>
      <c r="Y76" s="83" t="n"/>
      <c r="Z76" s="83" t="n"/>
      <c r="AA76" s="84">
        <f>IF(OR($A76="",COUNT(W76,X76,Z76,Y76)&lt;1),"",W76+X76+Z76-Y76)</f>
        <v/>
      </c>
      <c r="AB76" s="83" t="n"/>
      <c r="AC76" s="83" t="n"/>
      <c r="AD76" s="83" t="n"/>
      <c r="AE76" s="83" t="n"/>
      <c r="AF76" s="83" t="n"/>
      <c r="AG76" s="83" t="n"/>
      <c r="AH76" s="84">
        <f>IF(OR($A76="",COUNT(AB76,AC76,AD76,AG76,AE76,AF76)&lt;1),"",AB76+AC76+AD76+AG76-AE76-AF76)</f>
        <v/>
      </c>
      <c r="AI76" s="84">
        <f>IF(OR($A76="",COUNT(AA76,AH76)&lt;2),"",AA76-AH76)</f>
        <v/>
      </c>
      <c r="AJ76" s="84">
        <f>IF(OR($A76="",COUNT(W76,AB76)&lt;2),"",W76-AB76)</f>
        <v/>
      </c>
      <c r="AK76" s="83" t="n"/>
      <c r="AL76" s="33" t="n"/>
      <c r="AM76" s="33" t="n"/>
      <c r="AN76" s="83" t="n"/>
      <c r="AO76" s="33" t="n"/>
      <c r="AP76" s="33" t="n"/>
      <c r="AQ76" s="33" t="n"/>
    </row>
    <row r="77">
      <c r="A77" s="33" t="n"/>
      <c r="B77" s="33" t="n"/>
      <c r="C77" s="33" t="n"/>
      <c r="D77" s="33" t="n"/>
      <c r="E77" s="33" t="n"/>
      <c r="F77" s="33" t="n"/>
      <c r="G77" s="33" t="n"/>
      <c r="H77" s="33" t="n"/>
      <c r="I77" s="33" t="n"/>
      <c r="J77" s="33" t="n"/>
      <c r="K77" s="34" t="n"/>
      <c r="L77" s="34" t="n"/>
      <c r="M77" s="34" t="n"/>
      <c r="N77" s="82" t="n"/>
      <c r="O77" s="82" t="n"/>
      <c r="P77" s="33" t="n"/>
      <c r="Q77" s="34" t="n"/>
      <c r="R77" s="83" t="n"/>
      <c r="S77" s="34" t="n"/>
      <c r="T77" s="33" t="n"/>
      <c r="U77" s="83" t="n"/>
      <c r="V77" s="33" t="n"/>
      <c r="W77" s="83" t="n"/>
      <c r="X77" s="83" t="n"/>
      <c r="Y77" s="83" t="n"/>
      <c r="Z77" s="83" t="n"/>
      <c r="AA77" s="84">
        <f>IF(OR($A77="",COUNT(W77,X77,Z77,Y77)&lt;1),"",W77+X77+Z77-Y77)</f>
        <v/>
      </c>
      <c r="AB77" s="83" t="n"/>
      <c r="AC77" s="83" t="n"/>
      <c r="AD77" s="83" t="n"/>
      <c r="AE77" s="83" t="n"/>
      <c r="AF77" s="83" t="n"/>
      <c r="AG77" s="83" t="n"/>
      <c r="AH77" s="84">
        <f>IF(OR($A77="",COUNT(AB77,AC77,AD77,AG77,AE77,AF77)&lt;1),"",AB77+AC77+AD77+AG77-AE77-AF77)</f>
        <v/>
      </c>
      <c r="AI77" s="84">
        <f>IF(OR($A77="",COUNT(AA77,AH77)&lt;2),"",AA77-AH77)</f>
        <v/>
      </c>
      <c r="AJ77" s="84">
        <f>IF(OR($A77="",COUNT(W77,AB77)&lt;2),"",W77-AB77)</f>
        <v/>
      </c>
      <c r="AK77" s="83" t="n"/>
      <c r="AL77" s="33" t="n"/>
      <c r="AM77" s="33" t="n"/>
      <c r="AN77" s="83" t="n"/>
      <c r="AO77" s="33" t="n"/>
      <c r="AP77" s="33" t="n"/>
      <c r="AQ77" s="33" t="n"/>
    </row>
    <row r="78">
      <c r="A78" s="33" t="n"/>
      <c r="B78" s="33" t="n"/>
      <c r="C78" s="33" t="n"/>
      <c r="D78" s="33" t="n"/>
      <c r="E78" s="33" t="n"/>
      <c r="F78" s="33" t="n"/>
      <c r="G78" s="33" t="n"/>
      <c r="H78" s="33" t="n"/>
      <c r="I78" s="33" t="n"/>
      <c r="J78" s="33" t="n"/>
      <c r="K78" s="34" t="n"/>
      <c r="L78" s="34" t="n"/>
      <c r="M78" s="34" t="n"/>
      <c r="N78" s="82" t="n"/>
      <c r="O78" s="82" t="n"/>
      <c r="P78" s="33" t="n"/>
      <c r="Q78" s="34" t="n"/>
      <c r="R78" s="83" t="n"/>
      <c r="S78" s="34" t="n"/>
      <c r="T78" s="33" t="n"/>
      <c r="U78" s="83" t="n"/>
      <c r="V78" s="33" t="n"/>
      <c r="W78" s="83" t="n"/>
      <c r="X78" s="83" t="n"/>
      <c r="Y78" s="83" t="n"/>
      <c r="Z78" s="83" t="n"/>
      <c r="AA78" s="84">
        <f>IF(OR($A78="",COUNT(W78,X78,Z78,Y78)&lt;1),"",W78+X78+Z78-Y78)</f>
        <v/>
      </c>
      <c r="AB78" s="83" t="n"/>
      <c r="AC78" s="83" t="n"/>
      <c r="AD78" s="83" t="n"/>
      <c r="AE78" s="83" t="n"/>
      <c r="AF78" s="83" t="n"/>
      <c r="AG78" s="83" t="n"/>
      <c r="AH78" s="84">
        <f>IF(OR($A78="",COUNT(AB78,AC78,AD78,AG78,AE78,AF78)&lt;1),"",AB78+AC78+AD78+AG78-AE78-AF78)</f>
        <v/>
      </c>
      <c r="AI78" s="84">
        <f>IF(OR($A78="",COUNT(AA78,AH78)&lt;2),"",AA78-AH78)</f>
        <v/>
      </c>
      <c r="AJ78" s="84">
        <f>IF(OR($A78="",COUNT(W78,AB78)&lt;2),"",W78-AB78)</f>
        <v/>
      </c>
      <c r="AK78" s="83" t="n"/>
      <c r="AL78" s="33" t="n"/>
      <c r="AM78" s="33" t="n"/>
      <c r="AN78" s="83" t="n"/>
      <c r="AO78" s="33" t="n"/>
      <c r="AP78" s="33" t="n"/>
      <c r="AQ78" s="33" t="n"/>
    </row>
    <row r="79">
      <c r="A79" s="33" t="n"/>
      <c r="B79" s="33" t="n"/>
      <c r="C79" s="33" t="n"/>
      <c r="D79" s="33" t="n"/>
      <c r="E79" s="33" t="n"/>
      <c r="F79" s="33" t="n"/>
      <c r="G79" s="33" t="n"/>
      <c r="H79" s="33" t="n"/>
      <c r="I79" s="33" t="n"/>
      <c r="J79" s="33" t="n"/>
      <c r="K79" s="34" t="n"/>
      <c r="L79" s="34" t="n"/>
      <c r="M79" s="34" t="n"/>
      <c r="N79" s="82" t="n"/>
      <c r="O79" s="82" t="n"/>
      <c r="P79" s="33" t="n"/>
      <c r="Q79" s="34" t="n"/>
      <c r="R79" s="83" t="n"/>
      <c r="S79" s="34" t="n"/>
      <c r="T79" s="33" t="n"/>
      <c r="U79" s="83" t="n"/>
      <c r="V79" s="33" t="n"/>
      <c r="W79" s="83" t="n"/>
      <c r="X79" s="83" t="n"/>
      <c r="Y79" s="83" t="n"/>
      <c r="Z79" s="83" t="n"/>
      <c r="AA79" s="84">
        <f>IF(OR($A79="",COUNT(W79,X79,Z79,Y79)&lt;1),"",W79+X79+Z79-Y79)</f>
        <v/>
      </c>
      <c r="AB79" s="83" t="n"/>
      <c r="AC79" s="83" t="n"/>
      <c r="AD79" s="83" t="n"/>
      <c r="AE79" s="83" t="n"/>
      <c r="AF79" s="83" t="n"/>
      <c r="AG79" s="83" t="n"/>
      <c r="AH79" s="84">
        <f>IF(OR($A79="",COUNT(AB79,AC79,AD79,AG79,AE79,AF79)&lt;1),"",AB79+AC79+AD79+AG79-AE79-AF79)</f>
        <v/>
      </c>
      <c r="AI79" s="84">
        <f>IF(OR($A79="",COUNT(AA79,AH79)&lt;2),"",AA79-AH79)</f>
        <v/>
      </c>
      <c r="AJ79" s="84">
        <f>IF(OR($A79="",COUNT(W79,AB79)&lt;2),"",W79-AB79)</f>
        <v/>
      </c>
      <c r="AK79" s="83" t="n"/>
      <c r="AL79" s="33" t="n"/>
      <c r="AM79" s="33" t="n"/>
      <c r="AN79" s="83" t="n"/>
      <c r="AO79" s="33" t="n"/>
      <c r="AP79" s="33" t="n"/>
      <c r="AQ79" s="33" t="n"/>
    </row>
    <row r="80">
      <c r="A80" s="33" t="n"/>
      <c r="B80" s="33" t="n"/>
      <c r="C80" s="33" t="n"/>
      <c r="D80" s="33" t="n"/>
      <c r="E80" s="33" t="n"/>
      <c r="F80" s="33" t="n"/>
      <c r="G80" s="33" t="n"/>
      <c r="H80" s="33" t="n"/>
      <c r="I80" s="33" t="n"/>
      <c r="J80" s="33" t="n"/>
      <c r="K80" s="34" t="n"/>
      <c r="L80" s="34" t="n"/>
      <c r="M80" s="34" t="n"/>
      <c r="N80" s="82" t="n"/>
      <c r="O80" s="82" t="n"/>
      <c r="P80" s="33" t="n"/>
      <c r="Q80" s="34" t="n"/>
      <c r="R80" s="83" t="n"/>
      <c r="S80" s="34" t="n"/>
      <c r="T80" s="33" t="n"/>
      <c r="U80" s="83" t="n"/>
      <c r="V80" s="33" t="n"/>
      <c r="W80" s="83" t="n"/>
      <c r="X80" s="83" t="n"/>
      <c r="Y80" s="83" t="n"/>
      <c r="Z80" s="83" t="n"/>
      <c r="AA80" s="84">
        <f>IF(OR($A80="",COUNT(W80,X80,Z80,Y80)&lt;1),"",W80+X80+Z80-Y80)</f>
        <v/>
      </c>
      <c r="AB80" s="83" t="n"/>
      <c r="AC80" s="83" t="n"/>
      <c r="AD80" s="83" t="n"/>
      <c r="AE80" s="83" t="n"/>
      <c r="AF80" s="83" t="n"/>
      <c r="AG80" s="83" t="n"/>
      <c r="AH80" s="84">
        <f>IF(OR($A80="",COUNT(AB80,AC80,AD80,AG80,AE80,AF80)&lt;1),"",AB80+AC80+AD80+AG80-AE80-AF80)</f>
        <v/>
      </c>
      <c r="AI80" s="84">
        <f>IF(OR($A80="",COUNT(AA80,AH80)&lt;2),"",AA80-AH80)</f>
        <v/>
      </c>
      <c r="AJ80" s="84">
        <f>IF(OR($A80="",COUNT(W80,AB80)&lt;2),"",W80-AB80)</f>
        <v/>
      </c>
      <c r="AK80" s="83" t="n"/>
      <c r="AL80" s="33" t="n"/>
      <c r="AM80" s="33" t="n"/>
      <c r="AN80" s="83" t="n"/>
      <c r="AO80" s="33" t="n"/>
      <c r="AP80" s="33" t="n"/>
      <c r="AQ80" s="33" t="n"/>
    </row>
    <row r="81">
      <c r="A81" s="33" t="n"/>
      <c r="B81" s="33" t="n"/>
      <c r="C81" s="33" t="n"/>
      <c r="D81" s="33" t="n"/>
      <c r="E81" s="33" t="n"/>
      <c r="F81" s="33" t="n"/>
      <c r="G81" s="33" t="n"/>
      <c r="H81" s="33" t="n"/>
      <c r="I81" s="33" t="n"/>
      <c r="J81" s="33" t="n"/>
      <c r="K81" s="34" t="n"/>
      <c r="L81" s="34" t="n"/>
      <c r="M81" s="34" t="n"/>
      <c r="N81" s="82" t="n"/>
      <c r="O81" s="82" t="n"/>
      <c r="P81" s="33" t="n"/>
      <c r="Q81" s="34" t="n"/>
      <c r="R81" s="83" t="n"/>
      <c r="S81" s="34" t="n"/>
      <c r="T81" s="33" t="n"/>
      <c r="U81" s="83" t="n"/>
      <c r="V81" s="33" t="n"/>
      <c r="W81" s="83" t="n"/>
      <c r="X81" s="83" t="n"/>
      <c r="Y81" s="83" t="n"/>
      <c r="Z81" s="83" t="n"/>
      <c r="AA81" s="84">
        <f>IF(OR($A81="",COUNT(W81,X81,Z81,Y81)&lt;1),"",W81+X81+Z81-Y81)</f>
        <v/>
      </c>
      <c r="AB81" s="83" t="n"/>
      <c r="AC81" s="83" t="n"/>
      <c r="AD81" s="83" t="n"/>
      <c r="AE81" s="83" t="n"/>
      <c r="AF81" s="83" t="n"/>
      <c r="AG81" s="83" t="n"/>
      <c r="AH81" s="84">
        <f>IF(OR($A81="",COUNT(AB81,AC81,AD81,AG81,AE81,AF81)&lt;1),"",AB81+AC81+AD81+AG81-AE81-AF81)</f>
        <v/>
      </c>
      <c r="AI81" s="84">
        <f>IF(OR($A81="",COUNT(AA81,AH81)&lt;2),"",AA81-AH81)</f>
        <v/>
      </c>
      <c r="AJ81" s="84">
        <f>IF(OR($A81="",COUNT(W81,AB81)&lt;2),"",W81-AB81)</f>
        <v/>
      </c>
      <c r="AK81" s="83" t="n"/>
      <c r="AL81" s="33" t="n"/>
      <c r="AM81" s="33" t="n"/>
      <c r="AN81" s="83" t="n"/>
      <c r="AO81" s="33" t="n"/>
      <c r="AP81" s="33" t="n"/>
      <c r="AQ81" s="33" t="n"/>
    </row>
    <row r="82">
      <c r="A82" s="33" t="n"/>
      <c r="B82" s="33" t="n"/>
      <c r="C82" s="33" t="n"/>
      <c r="D82" s="33" t="n"/>
      <c r="E82" s="33" t="n"/>
      <c r="F82" s="33" t="n"/>
      <c r="G82" s="33" t="n"/>
      <c r="H82" s="33" t="n"/>
      <c r="I82" s="33" t="n"/>
      <c r="J82" s="33" t="n"/>
      <c r="K82" s="34" t="n"/>
      <c r="L82" s="34" t="n"/>
      <c r="M82" s="34" t="n"/>
      <c r="N82" s="82" t="n"/>
      <c r="O82" s="82" t="n"/>
      <c r="P82" s="33" t="n"/>
      <c r="Q82" s="34" t="n"/>
      <c r="R82" s="83" t="n"/>
      <c r="S82" s="34" t="n"/>
      <c r="T82" s="33" t="n"/>
      <c r="U82" s="83" t="n"/>
      <c r="V82" s="33" t="n"/>
      <c r="W82" s="83" t="n"/>
      <c r="X82" s="83" t="n"/>
      <c r="Y82" s="83" t="n"/>
      <c r="Z82" s="83" t="n"/>
      <c r="AA82" s="84">
        <f>IF(OR($A82="",COUNT(W82,X82,Z82,Y82)&lt;1),"",W82+X82+Z82-Y82)</f>
        <v/>
      </c>
      <c r="AB82" s="83" t="n"/>
      <c r="AC82" s="83" t="n"/>
      <c r="AD82" s="83" t="n"/>
      <c r="AE82" s="83" t="n"/>
      <c r="AF82" s="83" t="n"/>
      <c r="AG82" s="83" t="n"/>
      <c r="AH82" s="84">
        <f>IF(OR($A82="",COUNT(AB82,AC82,AD82,AG82,AE82,AF82)&lt;1),"",AB82+AC82+AD82+AG82-AE82-AF82)</f>
        <v/>
      </c>
      <c r="AI82" s="84">
        <f>IF(OR($A82="",COUNT(AA82,AH82)&lt;2),"",AA82-AH82)</f>
        <v/>
      </c>
      <c r="AJ82" s="84">
        <f>IF(OR($A82="",COUNT(W82,AB82)&lt;2),"",W82-AB82)</f>
        <v/>
      </c>
      <c r="AK82" s="83" t="n"/>
      <c r="AL82" s="33" t="n"/>
      <c r="AM82" s="33" t="n"/>
      <c r="AN82" s="83" t="n"/>
      <c r="AO82" s="33" t="n"/>
      <c r="AP82" s="33" t="n"/>
      <c r="AQ82" s="33" t="n"/>
    </row>
    <row r="83">
      <c r="A83" s="33" t="n"/>
      <c r="B83" s="33" t="n"/>
      <c r="C83" s="33" t="n"/>
      <c r="D83" s="33" t="n"/>
      <c r="E83" s="33" t="n"/>
      <c r="F83" s="33" t="n"/>
      <c r="G83" s="33" t="n"/>
      <c r="H83" s="33" t="n"/>
      <c r="I83" s="33" t="n"/>
      <c r="J83" s="33" t="n"/>
      <c r="K83" s="34" t="n"/>
      <c r="L83" s="34" t="n"/>
      <c r="M83" s="34" t="n"/>
      <c r="N83" s="82" t="n"/>
      <c r="O83" s="82" t="n"/>
      <c r="P83" s="33" t="n"/>
      <c r="Q83" s="34" t="n"/>
      <c r="R83" s="83" t="n"/>
      <c r="S83" s="34" t="n"/>
      <c r="T83" s="33" t="n"/>
      <c r="U83" s="83" t="n"/>
      <c r="V83" s="33" t="n"/>
      <c r="W83" s="83" t="n"/>
      <c r="X83" s="83" t="n"/>
      <c r="Y83" s="83" t="n"/>
      <c r="Z83" s="83" t="n"/>
      <c r="AA83" s="84">
        <f>IF(OR($A83="",COUNT(W83,X83,Z83,Y83)&lt;1),"",W83+X83+Z83-Y83)</f>
        <v/>
      </c>
      <c r="AB83" s="83" t="n"/>
      <c r="AC83" s="83" t="n"/>
      <c r="AD83" s="83" t="n"/>
      <c r="AE83" s="83" t="n"/>
      <c r="AF83" s="83" t="n"/>
      <c r="AG83" s="83" t="n"/>
      <c r="AH83" s="84">
        <f>IF(OR($A83="",COUNT(AB83,AC83,AD83,AG83,AE83,AF83)&lt;1),"",AB83+AC83+AD83+AG83-AE83-AF83)</f>
        <v/>
      </c>
      <c r="AI83" s="84">
        <f>IF(OR($A83="",COUNT(AA83,AH83)&lt;2),"",AA83-AH83)</f>
        <v/>
      </c>
      <c r="AJ83" s="84">
        <f>IF(OR($A83="",COUNT(W83,AB83)&lt;2),"",W83-AB83)</f>
        <v/>
      </c>
      <c r="AK83" s="83" t="n"/>
      <c r="AL83" s="33" t="n"/>
      <c r="AM83" s="33" t="n"/>
      <c r="AN83" s="83" t="n"/>
      <c r="AO83" s="33" t="n"/>
      <c r="AP83" s="33" t="n"/>
      <c r="AQ83" s="33" t="n"/>
    </row>
    <row r="84">
      <c r="A84" s="33" t="n"/>
      <c r="B84" s="33" t="n"/>
      <c r="C84" s="33" t="n"/>
      <c r="D84" s="33" t="n"/>
      <c r="E84" s="33" t="n"/>
      <c r="F84" s="33" t="n"/>
      <c r="G84" s="33" t="n"/>
      <c r="H84" s="33" t="n"/>
      <c r="I84" s="33" t="n"/>
      <c r="J84" s="33" t="n"/>
      <c r="K84" s="34" t="n"/>
      <c r="L84" s="34" t="n"/>
      <c r="M84" s="34" t="n"/>
      <c r="N84" s="82" t="n"/>
      <c r="O84" s="82" t="n"/>
      <c r="P84" s="33" t="n"/>
      <c r="Q84" s="34" t="n"/>
      <c r="R84" s="83" t="n"/>
      <c r="S84" s="34" t="n"/>
      <c r="T84" s="33" t="n"/>
      <c r="U84" s="83" t="n"/>
      <c r="V84" s="33" t="n"/>
      <c r="W84" s="83" t="n"/>
      <c r="X84" s="83" t="n"/>
      <c r="Y84" s="83" t="n"/>
      <c r="Z84" s="83" t="n"/>
      <c r="AA84" s="84">
        <f>IF(OR($A84="",COUNT(W84,X84,Z84,Y84)&lt;1),"",W84+X84+Z84-Y84)</f>
        <v/>
      </c>
      <c r="AB84" s="83" t="n"/>
      <c r="AC84" s="83" t="n"/>
      <c r="AD84" s="83" t="n"/>
      <c r="AE84" s="83" t="n"/>
      <c r="AF84" s="83" t="n"/>
      <c r="AG84" s="83" t="n"/>
      <c r="AH84" s="84">
        <f>IF(OR($A84="",COUNT(AB84,AC84,AD84,AG84,AE84,AF84)&lt;1),"",AB84+AC84+AD84+AG84-AE84-AF84)</f>
        <v/>
      </c>
      <c r="AI84" s="84">
        <f>IF(OR($A84="",COUNT(AA84,AH84)&lt;2),"",AA84-AH84)</f>
        <v/>
      </c>
      <c r="AJ84" s="84">
        <f>IF(OR($A84="",COUNT(W84,AB84)&lt;2),"",W84-AB84)</f>
        <v/>
      </c>
      <c r="AK84" s="83" t="n"/>
      <c r="AL84" s="33" t="n"/>
      <c r="AM84" s="33" t="n"/>
      <c r="AN84" s="83" t="n"/>
      <c r="AO84" s="33" t="n"/>
      <c r="AP84" s="33" t="n"/>
      <c r="AQ84" s="33" t="n"/>
    </row>
    <row r="85">
      <c r="A85" s="33" t="n"/>
      <c r="B85" s="33" t="n"/>
      <c r="C85" s="33" t="n"/>
      <c r="D85" s="33" t="n"/>
      <c r="E85" s="33" t="n"/>
      <c r="F85" s="33" t="n"/>
      <c r="G85" s="33" t="n"/>
      <c r="H85" s="33" t="n"/>
      <c r="I85" s="33" t="n"/>
      <c r="J85" s="33" t="n"/>
      <c r="K85" s="34" t="n"/>
      <c r="L85" s="34" t="n"/>
      <c r="M85" s="34" t="n"/>
      <c r="N85" s="82" t="n"/>
      <c r="O85" s="82" t="n"/>
      <c r="P85" s="33" t="n"/>
      <c r="Q85" s="34" t="n"/>
      <c r="R85" s="83" t="n"/>
      <c r="S85" s="34" t="n"/>
      <c r="T85" s="33" t="n"/>
      <c r="U85" s="83" t="n"/>
      <c r="V85" s="33" t="n"/>
      <c r="W85" s="83" t="n"/>
      <c r="X85" s="83" t="n"/>
      <c r="Y85" s="83" t="n"/>
      <c r="Z85" s="83" t="n"/>
      <c r="AA85" s="84">
        <f>IF(OR($A85="",COUNT(W85,X85,Z85,Y85)&lt;1),"",W85+X85+Z85-Y85)</f>
        <v/>
      </c>
      <c r="AB85" s="83" t="n"/>
      <c r="AC85" s="83" t="n"/>
      <c r="AD85" s="83" t="n"/>
      <c r="AE85" s="83" t="n"/>
      <c r="AF85" s="83" t="n"/>
      <c r="AG85" s="83" t="n"/>
      <c r="AH85" s="84">
        <f>IF(OR($A85="",COUNT(AB85,AC85,AD85,AG85,AE85,AF85)&lt;1),"",AB85+AC85+AD85+AG85-AE85-AF85)</f>
        <v/>
      </c>
      <c r="AI85" s="84">
        <f>IF(OR($A85="",COUNT(AA85,AH85)&lt;2),"",AA85-AH85)</f>
        <v/>
      </c>
      <c r="AJ85" s="84">
        <f>IF(OR($A85="",COUNT(W85,AB85)&lt;2),"",W85-AB85)</f>
        <v/>
      </c>
      <c r="AK85" s="83" t="n"/>
      <c r="AL85" s="33" t="n"/>
      <c r="AM85" s="33" t="n"/>
      <c r="AN85" s="83" t="n"/>
      <c r="AO85" s="33" t="n"/>
      <c r="AP85" s="33" t="n"/>
      <c r="AQ85" s="33" t="n"/>
    </row>
    <row r="86">
      <c r="A86" s="33" t="n"/>
      <c r="B86" s="33" t="n"/>
      <c r="C86" s="33" t="n"/>
      <c r="D86" s="33" t="n"/>
      <c r="E86" s="33" t="n"/>
      <c r="F86" s="33" t="n"/>
      <c r="G86" s="33" t="n"/>
      <c r="H86" s="33" t="n"/>
      <c r="I86" s="33" t="n"/>
      <c r="J86" s="33" t="n"/>
      <c r="K86" s="34" t="n"/>
      <c r="L86" s="34" t="n"/>
      <c r="M86" s="34" t="n"/>
      <c r="N86" s="82" t="n"/>
      <c r="O86" s="82" t="n"/>
      <c r="P86" s="33" t="n"/>
      <c r="Q86" s="34" t="n"/>
      <c r="R86" s="83" t="n"/>
      <c r="S86" s="34" t="n"/>
      <c r="T86" s="33" t="n"/>
      <c r="U86" s="83" t="n"/>
      <c r="V86" s="33" t="n"/>
      <c r="W86" s="83" t="n"/>
      <c r="X86" s="83" t="n"/>
      <c r="Y86" s="83" t="n"/>
      <c r="Z86" s="83" t="n"/>
      <c r="AA86" s="84">
        <f>IF(OR($A86="",COUNT(W86,X86,Z86,Y86)&lt;1),"",W86+X86+Z86-Y86)</f>
        <v/>
      </c>
      <c r="AB86" s="83" t="n"/>
      <c r="AC86" s="83" t="n"/>
      <c r="AD86" s="83" t="n"/>
      <c r="AE86" s="83" t="n"/>
      <c r="AF86" s="83" t="n"/>
      <c r="AG86" s="83" t="n"/>
      <c r="AH86" s="84">
        <f>IF(OR($A86="",COUNT(AB86,AC86,AD86,AG86,AE86,AF86)&lt;1),"",AB86+AC86+AD86+AG86-AE86-AF86)</f>
        <v/>
      </c>
      <c r="AI86" s="84">
        <f>IF(OR($A86="",COUNT(AA86,AH86)&lt;2),"",AA86-AH86)</f>
        <v/>
      </c>
      <c r="AJ86" s="84">
        <f>IF(OR($A86="",COUNT(W86,AB86)&lt;2),"",W86-AB86)</f>
        <v/>
      </c>
      <c r="AK86" s="83" t="n"/>
      <c r="AL86" s="33" t="n"/>
      <c r="AM86" s="33" t="n"/>
      <c r="AN86" s="83" t="n"/>
      <c r="AO86" s="33" t="n"/>
      <c r="AP86" s="33" t="n"/>
      <c r="AQ86" s="33" t="n"/>
    </row>
    <row r="87">
      <c r="A87" s="33" t="n"/>
      <c r="B87" s="33" t="n"/>
      <c r="C87" s="33" t="n"/>
      <c r="D87" s="33" t="n"/>
      <c r="E87" s="33" t="n"/>
      <c r="F87" s="33" t="n"/>
      <c r="G87" s="33" t="n"/>
      <c r="H87" s="33" t="n"/>
      <c r="I87" s="33" t="n"/>
      <c r="J87" s="33" t="n"/>
      <c r="K87" s="34" t="n"/>
      <c r="L87" s="34" t="n"/>
      <c r="M87" s="34" t="n"/>
      <c r="N87" s="82" t="n"/>
      <c r="O87" s="82" t="n"/>
      <c r="P87" s="33" t="n"/>
      <c r="Q87" s="34" t="n"/>
      <c r="R87" s="83" t="n"/>
      <c r="S87" s="34" t="n"/>
      <c r="T87" s="33" t="n"/>
      <c r="U87" s="83" t="n"/>
      <c r="V87" s="33" t="n"/>
      <c r="W87" s="83" t="n"/>
      <c r="X87" s="83" t="n"/>
      <c r="Y87" s="83" t="n"/>
      <c r="Z87" s="83" t="n"/>
      <c r="AA87" s="84">
        <f>IF(OR($A87="",COUNT(W87,X87,Z87,Y87)&lt;1),"",W87+X87+Z87-Y87)</f>
        <v/>
      </c>
      <c r="AB87" s="83" t="n"/>
      <c r="AC87" s="83" t="n"/>
      <c r="AD87" s="83" t="n"/>
      <c r="AE87" s="83" t="n"/>
      <c r="AF87" s="83" t="n"/>
      <c r="AG87" s="83" t="n"/>
      <c r="AH87" s="84">
        <f>IF(OR($A87="",COUNT(AB87,AC87,AD87,AG87,AE87,AF87)&lt;1),"",AB87+AC87+AD87+AG87-AE87-AF87)</f>
        <v/>
      </c>
      <c r="AI87" s="84">
        <f>IF(OR($A87="",COUNT(AA87,AH87)&lt;2),"",AA87-AH87)</f>
        <v/>
      </c>
      <c r="AJ87" s="84">
        <f>IF(OR($A87="",COUNT(W87,AB87)&lt;2),"",W87-AB87)</f>
        <v/>
      </c>
      <c r="AK87" s="83" t="n"/>
      <c r="AL87" s="33" t="n"/>
      <c r="AM87" s="33" t="n"/>
      <c r="AN87" s="83" t="n"/>
      <c r="AO87" s="33" t="n"/>
      <c r="AP87" s="33" t="n"/>
      <c r="AQ87" s="33" t="n"/>
    </row>
    <row r="88">
      <c r="A88" s="33" t="n"/>
      <c r="B88" s="33" t="n"/>
      <c r="C88" s="33" t="n"/>
      <c r="D88" s="33" t="n"/>
      <c r="E88" s="33" t="n"/>
      <c r="F88" s="33" t="n"/>
      <c r="G88" s="33" t="n"/>
      <c r="H88" s="33" t="n"/>
      <c r="I88" s="33" t="n"/>
      <c r="J88" s="33" t="n"/>
      <c r="K88" s="34" t="n"/>
      <c r="L88" s="34" t="n"/>
      <c r="M88" s="34" t="n"/>
      <c r="N88" s="82" t="n"/>
      <c r="O88" s="82" t="n"/>
      <c r="P88" s="33" t="n"/>
      <c r="Q88" s="34" t="n"/>
      <c r="R88" s="83" t="n"/>
      <c r="S88" s="34" t="n"/>
      <c r="T88" s="33" t="n"/>
      <c r="U88" s="83" t="n"/>
      <c r="V88" s="33" t="n"/>
      <c r="W88" s="83" t="n"/>
      <c r="X88" s="83" t="n"/>
      <c r="Y88" s="83" t="n"/>
      <c r="Z88" s="83" t="n"/>
      <c r="AA88" s="84">
        <f>IF(OR($A88="",COUNT(W88,X88,Z88,Y88)&lt;1),"",W88+X88+Z88-Y88)</f>
        <v/>
      </c>
      <c r="AB88" s="83" t="n"/>
      <c r="AC88" s="83" t="n"/>
      <c r="AD88" s="83" t="n"/>
      <c r="AE88" s="83" t="n"/>
      <c r="AF88" s="83" t="n"/>
      <c r="AG88" s="83" t="n"/>
      <c r="AH88" s="84">
        <f>IF(OR($A88="",COUNT(AB88,AC88,AD88,AG88,AE88,AF88)&lt;1),"",AB88+AC88+AD88+AG88-AE88-AF88)</f>
        <v/>
      </c>
      <c r="AI88" s="84">
        <f>IF(OR($A88="",COUNT(AA88,AH88)&lt;2),"",AA88-AH88)</f>
        <v/>
      </c>
      <c r="AJ88" s="84">
        <f>IF(OR($A88="",COUNT(W88,AB88)&lt;2),"",W88-AB88)</f>
        <v/>
      </c>
      <c r="AK88" s="83" t="n"/>
      <c r="AL88" s="33" t="n"/>
      <c r="AM88" s="33" t="n"/>
      <c r="AN88" s="83" t="n"/>
      <c r="AO88" s="33" t="n"/>
      <c r="AP88" s="33" t="n"/>
      <c r="AQ88" s="33" t="n"/>
    </row>
    <row r="89">
      <c r="A89" s="33" t="n"/>
      <c r="B89" s="33" t="n"/>
      <c r="C89" s="33" t="n"/>
      <c r="D89" s="33" t="n"/>
      <c r="E89" s="33" t="n"/>
      <c r="F89" s="33" t="n"/>
      <c r="G89" s="33" t="n"/>
      <c r="H89" s="33" t="n"/>
      <c r="I89" s="33" t="n"/>
      <c r="J89" s="33" t="n"/>
      <c r="K89" s="34" t="n"/>
      <c r="L89" s="34" t="n"/>
      <c r="M89" s="34" t="n"/>
      <c r="N89" s="82" t="n"/>
      <c r="O89" s="82" t="n"/>
      <c r="P89" s="33" t="n"/>
      <c r="Q89" s="34" t="n"/>
      <c r="R89" s="83" t="n"/>
      <c r="S89" s="34" t="n"/>
      <c r="T89" s="33" t="n"/>
      <c r="U89" s="83" t="n"/>
      <c r="V89" s="33" t="n"/>
      <c r="W89" s="83" t="n"/>
      <c r="X89" s="83" t="n"/>
      <c r="Y89" s="83" t="n"/>
      <c r="Z89" s="83" t="n"/>
      <c r="AA89" s="84">
        <f>IF(OR($A89="",COUNT(W89,X89,Z89,Y89)&lt;1),"",W89+X89+Z89-Y89)</f>
        <v/>
      </c>
      <c r="AB89" s="83" t="n"/>
      <c r="AC89" s="83" t="n"/>
      <c r="AD89" s="83" t="n"/>
      <c r="AE89" s="83" t="n"/>
      <c r="AF89" s="83" t="n"/>
      <c r="AG89" s="83" t="n"/>
      <c r="AH89" s="84">
        <f>IF(OR($A89="",COUNT(AB89,AC89,AD89,AG89,AE89,AF89)&lt;1),"",AB89+AC89+AD89+AG89-AE89-AF89)</f>
        <v/>
      </c>
      <c r="AI89" s="84">
        <f>IF(OR($A89="",COUNT(AA89,AH89)&lt;2),"",AA89-AH89)</f>
        <v/>
      </c>
      <c r="AJ89" s="84">
        <f>IF(OR($A89="",COUNT(W89,AB89)&lt;2),"",W89-AB89)</f>
        <v/>
      </c>
      <c r="AK89" s="83" t="n"/>
      <c r="AL89" s="33" t="n"/>
      <c r="AM89" s="33" t="n"/>
      <c r="AN89" s="83" t="n"/>
      <c r="AO89" s="33" t="n"/>
      <c r="AP89" s="33" t="n"/>
      <c r="AQ89" s="33" t="n"/>
    </row>
    <row r="90">
      <c r="A90" s="33" t="n"/>
      <c r="B90" s="33" t="n"/>
      <c r="C90" s="33" t="n"/>
      <c r="D90" s="33" t="n"/>
      <c r="E90" s="33" t="n"/>
      <c r="F90" s="33" t="n"/>
      <c r="G90" s="33" t="n"/>
      <c r="H90" s="33" t="n"/>
      <c r="I90" s="33" t="n"/>
      <c r="J90" s="33" t="n"/>
      <c r="K90" s="34" t="n"/>
      <c r="L90" s="34" t="n"/>
      <c r="M90" s="34" t="n"/>
      <c r="N90" s="82" t="n"/>
      <c r="O90" s="82" t="n"/>
      <c r="P90" s="33" t="n"/>
      <c r="Q90" s="34" t="n"/>
      <c r="R90" s="83" t="n"/>
      <c r="S90" s="34" t="n"/>
      <c r="T90" s="33" t="n"/>
      <c r="U90" s="83" t="n"/>
      <c r="V90" s="33" t="n"/>
      <c r="W90" s="83" t="n"/>
      <c r="X90" s="83" t="n"/>
      <c r="Y90" s="83" t="n"/>
      <c r="Z90" s="83" t="n"/>
      <c r="AA90" s="84">
        <f>IF(OR($A90="",COUNT(W90,X90,Z90,Y90)&lt;1),"",W90+X90+Z90-Y90)</f>
        <v/>
      </c>
      <c r="AB90" s="83" t="n"/>
      <c r="AC90" s="83" t="n"/>
      <c r="AD90" s="83" t="n"/>
      <c r="AE90" s="83" t="n"/>
      <c r="AF90" s="83" t="n"/>
      <c r="AG90" s="83" t="n"/>
      <c r="AH90" s="84">
        <f>IF(OR($A90="",COUNT(AB90,AC90,AD90,AG90,AE90,AF90)&lt;1),"",AB90+AC90+AD90+AG90-AE90-AF90)</f>
        <v/>
      </c>
      <c r="AI90" s="84">
        <f>IF(OR($A90="",COUNT(AA90,AH90)&lt;2),"",AA90-AH90)</f>
        <v/>
      </c>
      <c r="AJ90" s="84">
        <f>IF(OR($A90="",COUNT(W90,AB90)&lt;2),"",W90-AB90)</f>
        <v/>
      </c>
      <c r="AK90" s="83" t="n"/>
      <c r="AL90" s="33" t="n"/>
      <c r="AM90" s="33" t="n"/>
      <c r="AN90" s="83" t="n"/>
      <c r="AO90" s="33" t="n"/>
      <c r="AP90" s="33" t="n"/>
      <c r="AQ90" s="33" t="n"/>
    </row>
    <row r="91">
      <c r="A91" s="33" t="n"/>
      <c r="B91" s="33" t="n"/>
      <c r="C91" s="33" t="n"/>
      <c r="D91" s="33" t="n"/>
      <c r="E91" s="33" t="n"/>
      <c r="F91" s="33" t="n"/>
      <c r="G91" s="33" t="n"/>
      <c r="H91" s="33" t="n"/>
      <c r="I91" s="33" t="n"/>
      <c r="J91" s="33" t="n"/>
      <c r="K91" s="34" t="n"/>
      <c r="L91" s="34" t="n"/>
      <c r="M91" s="34" t="n"/>
      <c r="N91" s="82" t="n"/>
      <c r="O91" s="82" t="n"/>
      <c r="P91" s="33" t="n"/>
      <c r="Q91" s="34" t="n"/>
      <c r="R91" s="83" t="n"/>
      <c r="S91" s="34" t="n"/>
      <c r="T91" s="33" t="n"/>
      <c r="U91" s="83" t="n"/>
      <c r="V91" s="33" t="n"/>
      <c r="W91" s="83" t="n"/>
      <c r="X91" s="83" t="n"/>
      <c r="Y91" s="83" t="n"/>
      <c r="Z91" s="83" t="n"/>
      <c r="AA91" s="84">
        <f>IF(OR($A91="",COUNT(W91,X91,Z91,Y91)&lt;1),"",W91+X91+Z91-Y91)</f>
        <v/>
      </c>
      <c r="AB91" s="83" t="n"/>
      <c r="AC91" s="83" t="n"/>
      <c r="AD91" s="83" t="n"/>
      <c r="AE91" s="83" t="n"/>
      <c r="AF91" s="83" t="n"/>
      <c r="AG91" s="83" t="n"/>
      <c r="AH91" s="84">
        <f>IF(OR($A91="",COUNT(AB91,AC91,AD91,AG91,AE91,AF91)&lt;1),"",AB91+AC91+AD91+AG91-AE91-AF91)</f>
        <v/>
      </c>
      <c r="AI91" s="84">
        <f>IF(OR($A91="",COUNT(AA91,AH91)&lt;2),"",AA91-AH91)</f>
        <v/>
      </c>
      <c r="AJ91" s="84">
        <f>IF(OR($A91="",COUNT(W91,AB91)&lt;2),"",W91-AB91)</f>
        <v/>
      </c>
      <c r="AK91" s="83" t="n"/>
      <c r="AL91" s="33" t="n"/>
      <c r="AM91" s="33" t="n"/>
      <c r="AN91" s="83" t="n"/>
      <c r="AO91" s="33" t="n"/>
      <c r="AP91" s="33" t="n"/>
      <c r="AQ91" s="33" t="n"/>
    </row>
    <row r="92">
      <c r="A92" s="33" t="n"/>
      <c r="B92" s="33" t="n"/>
      <c r="C92" s="33" t="n"/>
      <c r="D92" s="33" t="n"/>
      <c r="E92" s="33" t="n"/>
      <c r="F92" s="33" t="n"/>
      <c r="G92" s="33" t="n"/>
      <c r="H92" s="33" t="n"/>
      <c r="I92" s="33" t="n"/>
      <c r="J92" s="33" t="n"/>
      <c r="K92" s="34" t="n"/>
      <c r="L92" s="34" t="n"/>
      <c r="M92" s="34" t="n"/>
      <c r="N92" s="82" t="n"/>
      <c r="O92" s="82" t="n"/>
      <c r="P92" s="33" t="n"/>
      <c r="Q92" s="34" t="n"/>
      <c r="R92" s="83" t="n"/>
      <c r="S92" s="34" t="n"/>
      <c r="T92" s="33" t="n"/>
      <c r="U92" s="83" t="n"/>
      <c r="V92" s="33" t="n"/>
      <c r="W92" s="83" t="n"/>
      <c r="X92" s="83" t="n"/>
      <c r="Y92" s="83" t="n"/>
      <c r="Z92" s="83" t="n"/>
      <c r="AA92" s="84">
        <f>IF(OR($A92="",COUNT(W92,X92,Z92,Y92)&lt;1),"",W92+X92+Z92-Y92)</f>
        <v/>
      </c>
      <c r="AB92" s="83" t="n"/>
      <c r="AC92" s="83" t="n"/>
      <c r="AD92" s="83" t="n"/>
      <c r="AE92" s="83" t="n"/>
      <c r="AF92" s="83" t="n"/>
      <c r="AG92" s="83" t="n"/>
      <c r="AH92" s="84">
        <f>IF(OR($A92="",COUNT(AB92,AC92,AD92,AG92,AE92,AF92)&lt;1),"",AB92+AC92+AD92+AG92-AE92-AF92)</f>
        <v/>
      </c>
      <c r="AI92" s="84">
        <f>IF(OR($A92="",COUNT(AA92,AH92)&lt;2),"",AA92-AH92)</f>
        <v/>
      </c>
      <c r="AJ92" s="84">
        <f>IF(OR($A92="",COUNT(W92,AB92)&lt;2),"",W92-AB92)</f>
        <v/>
      </c>
      <c r="AK92" s="83" t="n"/>
      <c r="AL92" s="33" t="n"/>
      <c r="AM92" s="33" t="n"/>
      <c r="AN92" s="83" t="n"/>
      <c r="AO92" s="33" t="n"/>
      <c r="AP92" s="33" t="n"/>
      <c r="AQ92" s="33" t="n"/>
    </row>
    <row r="93">
      <c r="A93" s="33" t="n"/>
      <c r="B93" s="33" t="n"/>
      <c r="C93" s="33" t="n"/>
      <c r="D93" s="33" t="n"/>
      <c r="E93" s="33" t="n"/>
      <c r="F93" s="33" t="n"/>
      <c r="G93" s="33" t="n"/>
      <c r="H93" s="33" t="n"/>
      <c r="I93" s="33" t="n"/>
      <c r="J93" s="33" t="n"/>
      <c r="K93" s="34" t="n"/>
      <c r="L93" s="34" t="n"/>
      <c r="M93" s="34" t="n"/>
      <c r="N93" s="82" t="n"/>
      <c r="O93" s="82" t="n"/>
      <c r="P93" s="33" t="n"/>
      <c r="Q93" s="34" t="n"/>
      <c r="R93" s="83" t="n"/>
      <c r="S93" s="34" t="n"/>
      <c r="T93" s="33" t="n"/>
      <c r="U93" s="83" t="n"/>
      <c r="V93" s="33" t="n"/>
      <c r="W93" s="83" t="n"/>
      <c r="X93" s="83" t="n"/>
      <c r="Y93" s="83" t="n"/>
      <c r="Z93" s="83" t="n"/>
      <c r="AA93" s="84">
        <f>IF(OR($A93="",COUNT(W93,X93,Z93,Y93)&lt;1),"",W93+X93+Z93-Y93)</f>
        <v/>
      </c>
      <c r="AB93" s="83" t="n"/>
      <c r="AC93" s="83" t="n"/>
      <c r="AD93" s="83" t="n"/>
      <c r="AE93" s="83" t="n"/>
      <c r="AF93" s="83" t="n"/>
      <c r="AG93" s="83" t="n"/>
      <c r="AH93" s="84">
        <f>IF(OR($A93="",COUNT(AB93,AC93,AD93,AG93,AE93,AF93)&lt;1),"",AB93+AC93+AD93+AG93-AE93-AF93)</f>
        <v/>
      </c>
      <c r="AI93" s="84">
        <f>IF(OR($A93="",COUNT(AA93,AH93)&lt;2),"",AA93-AH93)</f>
        <v/>
      </c>
      <c r="AJ93" s="84">
        <f>IF(OR($A93="",COUNT(W93,AB93)&lt;2),"",W93-AB93)</f>
        <v/>
      </c>
      <c r="AK93" s="83" t="n"/>
      <c r="AL93" s="33" t="n"/>
      <c r="AM93" s="33" t="n"/>
      <c r="AN93" s="83" t="n"/>
      <c r="AO93" s="33" t="n"/>
      <c r="AP93" s="33" t="n"/>
      <c r="AQ93" s="33" t="n"/>
    </row>
    <row r="94">
      <c r="A94" s="33" t="n"/>
      <c r="B94" s="33" t="n"/>
      <c r="C94" s="33" t="n"/>
      <c r="D94" s="33" t="n"/>
      <c r="E94" s="33" t="n"/>
      <c r="F94" s="33" t="n"/>
      <c r="G94" s="33" t="n"/>
      <c r="H94" s="33" t="n"/>
      <c r="I94" s="33" t="n"/>
      <c r="J94" s="33" t="n"/>
      <c r="K94" s="34" t="n"/>
      <c r="L94" s="34" t="n"/>
      <c r="M94" s="34" t="n"/>
      <c r="N94" s="82" t="n"/>
      <c r="O94" s="82" t="n"/>
      <c r="P94" s="33" t="n"/>
      <c r="Q94" s="34" t="n"/>
      <c r="R94" s="83" t="n"/>
      <c r="S94" s="34" t="n"/>
      <c r="T94" s="33" t="n"/>
      <c r="U94" s="83" t="n"/>
      <c r="V94" s="33" t="n"/>
      <c r="W94" s="83" t="n"/>
      <c r="X94" s="83" t="n"/>
      <c r="Y94" s="83" t="n"/>
      <c r="Z94" s="83" t="n"/>
      <c r="AA94" s="84">
        <f>IF(OR($A94="",COUNT(W94,X94,Z94,Y94)&lt;1),"",W94+X94+Z94-Y94)</f>
        <v/>
      </c>
      <c r="AB94" s="83" t="n"/>
      <c r="AC94" s="83" t="n"/>
      <c r="AD94" s="83" t="n"/>
      <c r="AE94" s="83" t="n"/>
      <c r="AF94" s="83" t="n"/>
      <c r="AG94" s="83" t="n"/>
      <c r="AH94" s="84">
        <f>IF(OR($A94="",COUNT(AB94,AC94,AD94,AG94,AE94,AF94)&lt;1),"",AB94+AC94+AD94+AG94-AE94-AF94)</f>
        <v/>
      </c>
      <c r="AI94" s="84">
        <f>IF(OR($A94="",COUNT(AA94,AH94)&lt;2),"",AA94-AH94)</f>
        <v/>
      </c>
      <c r="AJ94" s="84">
        <f>IF(OR($A94="",COUNT(W94,AB94)&lt;2),"",W94-AB94)</f>
        <v/>
      </c>
      <c r="AK94" s="83" t="n"/>
      <c r="AL94" s="33" t="n"/>
      <c r="AM94" s="33" t="n"/>
      <c r="AN94" s="83" t="n"/>
      <c r="AO94" s="33" t="n"/>
      <c r="AP94" s="33" t="n"/>
      <c r="AQ94" s="33" t="n"/>
    </row>
    <row r="95">
      <c r="A95" s="33" t="n"/>
      <c r="B95" s="33" t="n"/>
      <c r="C95" s="33" t="n"/>
      <c r="D95" s="33" t="n"/>
      <c r="E95" s="33" t="n"/>
      <c r="F95" s="33" t="n"/>
      <c r="G95" s="33" t="n"/>
      <c r="H95" s="33" t="n"/>
      <c r="I95" s="33" t="n"/>
      <c r="J95" s="33" t="n"/>
      <c r="K95" s="34" t="n"/>
      <c r="L95" s="34" t="n"/>
      <c r="M95" s="34" t="n"/>
      <c r="N95" s="82" t="n"/>
      <c r="O95" s="82" t="n"/>
      <c r="P95" s="33" t="n"/>
      <c r="Q95" s="34" t="n"/>
      <c r="R95" s="83" t="n"/>
      <c r="S95" s="34" t="n"/>
      <c r="T95" s="33" t="n"/>
      <c r="U95" s="83" t="n"/>
      <c r="V95" s="33" t="n"/>
      <c r="W95" s="83" t="n"/>
      <c r="X95" s="83" t="n"/>
      <c r="Y95" s="83" t="n"/>
      <c r="Z95" s="83" t="n"/>
      <c r="AA95" s="84">
        <f>IF(OR($A95="",COUNT(W95,X95,Z95,Y95)&lt;1),"",W95+X95+Z95-Y95)</f>
        <v/>
      </c>
      <c r="AB95" s="83" t="n"/>
      <c r="AC95" s="83" t="n"/>
      <c r="AD95" s="83" t="n"/>
      <c r="AE95" s="83" t="n"/>
      <c r="AF95" s="83" t="n"/>
      <c r="AG95" s="83" t="n"/>
      <c r="AH95" s="84">
        <f>IF(OR($A95="",COUNT(AB95,AC95,AD95,AG95,AE95,AF95)&lt;1),"",AB95+AC95+AD95+AG95-AE95-AF95)</f>
        <v/>
      </c>
      <c r="AI95" s="84">
        <f>IF(OR($A95="",COUNT(AA95,AH95)&lt;2),"",AA95-AH95)</f>
        <v/>
      </c>
      <c r="AJ95" s="84">
        <f>IF(OR($A95="",COUNT(W95,AB95)&lt;2),"",W95-AB95)</f>
        <v/>
      </c>
      <c r="AK95" s="83" t="n"/>
      <c r="AL95" s="33" t="n"/>
      <c r="AM95" s="33" t="n"/>
      <c r="AN95" s="83" t="n"/>
      <c r="AO95" s="33" t="n"/>
      <c r="AP95" s="33" t="n"/>
      <c r="AQ95" s="33" t="n"/>
    </row>
    <row r="96">
      <c r="A96" s="33" t="n"/>
      <c r="B96" s="33" t="n"/>
      <c r="C96" s="33" t="n"/>
      <c r="D96" s="33" t="n"/>
      <c r="E96" s="33" t="n"/>
      <c r="F96" s="33" t="n"/>
      <c r="G96" s="33" t="n"/>
      <c r="H96" s="33" t="n"/>
      <c r="I96" s="33" t="n"/>
      <c r="J96" s="33" t="n"/>
      <c r="K96" s="34" t="n"/>
      <c r="L96" s="34" t="n"/>
      <c r="M96" s="34" t="n"/>
      <c r="N96" s="82" t="n"/>
      <c r="O96" s="82" t="n"/>
      <c r="P96" s="33" t="n"/>
      <c r="Q96" s="34" t="n"/>
      <c r="R96" s="83" t="n"/>
      <c r="S96" s="34" t="n"/>
      <c r="T96" s="33" t="n"/>
      <c r="U96" s="83" t="n"/>
      <c r="V96" s="33" t="n"/>
      <c r="W96" s="83" t="n"/>
      <c r="X96" s="83" t="n"/>
      <c r="Y96" s="83" t="n"/>
      <c r="Z96" s="83" t="n"/>
      <c r="AA96" s="84">
        <f>IF(OR($A96="",COUNT(W96,X96,Z96,Y96)&lt;1),"",W96+X96+Z96-Y96)</f>
        <v/>
      </c>
      <c r="AB96" s="83" t="n"/>
      <c r="AC96" s="83" t="n"/>
      <c r="AD96" s="83" t="n"/>
      <c r="AE96" s="83" t="n"/>
      <c r="AF96" s="83" t="n"/>
      <c r="AG96" s="83" t="n"/>
      <c r="AH96" s="84">
        <f>IF(OR($A96="",COUNT(AB96,AC96,AD96,AG96,AE96,AF96)&lt;1),"",AB96+AC96+AD96+AG96-AE96-AF96)</f>
        <v/>
      </c>
      <c r="AI96" s="84">
        <f>IF(OR($A96="",COUNT(AA96,AH96)&lt;2),"",AA96-AH96)</f>
        <v/>
      </c>
      <c r="AJ96" s="84">
        <f>IF(OR($A96="",COUNT(W96,AB96)&lt;2),"",W96-AB96)</f>
        <v/>
      </c>
      <c r="AK96" s="83" t="n"/>
      <c r="AL96" s="33" t="n"/>
      <c r="AM96" s="33" t="n"/>
      <c r="AN96" s="83" t="n"/>
      <c r="AO96" s="33" t="n"/>
      <c r="AP96" s="33" t="n"/>
      <c r="AQ96" s="33" t="n"/>
    </row>
    <row r="97">
      <c r="A97" s="33" t="n"/>
      <c r="B97" s="33" t="n"/>
      <c r="C97" s="33" t="n"/>
      <c r="D97" s="33" t="n"/>
      <c r="E97" s="33" t="n"/>
      <c r="F97" s="33" t="n"/>
      <c r="G97" s="33" t="n"/>
      <c r="H97" s="33" t="n"/>
      <c r="I97" s="33" t="n"/>
      <c r="J97" s="33" t="n"/>
      <c r="K97" s="34" t="n"/>
      <c r="L97" s="34" t="n"/>
      <c r="M97" s="34" t="n"/>
      <c r="N97" s="82" t="n"/>
      <c r="O97" s="82" t="n"/>
      <c r="P97" s="33" t="n"/>
      <c r="Q97" s="34" t="n"/>
      <c r="R97" s="83" t="n"/>
      <c r="S97" s="34" t="n"/>
      <c r="T97" s="33" t="n"/>
      <c r="U97" s="83" t="n"/>
      <c r="V97" s="33" t="n"/>
      <c r="W97" s="83" t="n"/>
      <c r="X97" s="83" t="n"/>
      <c r="Y97" s="83" t="n"/>
      <c r="Z97" s="83" t="n"/>
      <c r="AA97" s="84">
        <f>IF(OR($A97="",COUNT(W97,X97,Z97,Y97)&lt;1),"",W97+X97+Z97-Y97)</f>
        <v/>
      </c>
      <c r="AB97" s="83" t="n"/>
      <c r="AC97" s="83" t="n"/>
      <c r="AD97" s="83" t="n"/>
      <c r="AE97" s="83" t="n"/>
      <c r="AF97" s="83" t="n"/>
      <c r="AG97" s="83" t="n"/>
      <c r="AH97" s="84">
        <f>IF(OR($A97="",COUNT(AB97,AC97,AD97,AG97,AE97,AF97)&lt;1),"",AB97+AC97+AD97+AG97-AE97-AF97)</f>
        <v/>
      </c>
      <c r="AI97" s="84">
        <f>IF(OR($A97="",COUNT(AA97,AH97)&lt;2),"",AA97-AH97)</f>
        <v/>
      </c>
      <c r="AJ97" s="84">
        <f>IF(OR($A97="",COUNT(W97,AB97)&lt;2),"",W97-AB97)</f>
        <v/>
      </c>
      <c r="AK97" s="83" t="n"/>
      <c r="AL97" s="33" t="n"/>
      <c r="AM97" s="33" t="n"/>
      <c r="AN97" s="83" t="n"/>
      <c r="AO97" s="33" t="n"/>
      <c r="AP97" s="33" t="n"/>
      <c r="AQ97" s="33" t="n"/>
    </row>
    <row r="98">
      <c r="A98" s="33" t="n"/>
      <c r="B98" s="33" t="n"/>
      <c r="C98" s="33" t="n"/>
      <c r="D98" s="33" t="n"/>
      <c r="E98" s="33" t="n"/>
      <c r="F98" s="33" t="n"/>
      <c r="G98" s="33" t="n"/>
      <c r="H98" s="33" t="n"/>
      <c r="I98" s="33" t="n"/>
      <c r="J98" s="33" t="n"/>
      <c r="K98" s="34" t="n"/>
      <c r="L98" s="34" t="n"/>
      <c r="M98" s="34" t="n"/>
      <c r="N98" s="82" t="n"/>
      <c r="O98" s="82" t="n"/>
      <c r="P98" s="33" t="n"/>
      <c r="Q98" s="34" t="n"/>
      <c r="R98" s="83" t="n"/>
      <c r="S98" s="34" t="n"/>
      <c r="T98" s="33" t="n"/>
      <c r="U98" s="83" t="n"/>
      <c r="V98" s="33" t="n"/>
      <c r="W98" s="83" t="n"/>
      <c r="X98" s="83" t="n"/>
      <c r="Y98" s="83" t="n"/>
      <c r="Z98" s="83" t="n"/>
      <c r="AA98" s="84">
        <f>IF(OR($A98="",COUNT(W98,X98,Z98,Y98)&lt;1),"",W98+X98+Z98-Y98)</f>
        <v/>
      </c>
      <c r="AB98" s="83" t="n"/>
      <c r="AC98" s="83" t="n"/>
      <c r="AD98" s="83" t="n"/>
      <c r="AE98" s="83" t="n"/>
      <c r="AF98" s="83" t="n"/>
      <c r="AG98" s="83" t="n"/>
      <c r="AH98" s="84">
        <f>IF(OR($A98="",COUNT(AB98,AC98,AD98,AG98,AE98,AF98)&lt;1),"",AB98+AC98+AD98+AG98-AE98-AF98)</f>
        <v/>
      </c>
      <c r="AI98" s="84">
        <f>IF(OR($A98="",COUNT(AA98,AH98)&lt;2),"",AA98-AH98)</f>
        <v/>
      </c>
      <c r="AJ98" s="84">
        <f>IF(OR($A98="",COUNT(W98,AB98)&lt;2),"",W98-AB98)</f>
        <v/>
      </c>
      <c r="AK98" s="83" t="n"/>
      <c r="AL98" s="33" t="n"/>
      <c r="AM98" s="33" t="n"/>
      <c r="AN98" s="83" t="n"/>
      <c r="AO98" s="33" t="n"/>
      <c r="AP98" s="33" t="n"/>
      <c r="AQ98" s="33" t="n"/>
    </row>
    <row r="99">
      <c r="A99" s="33" t="n"/>
      <c r="B99" s="33" t="n"/>
      <c r="C99" s="33" t="n"/>
      <c r="D99" s="33" t="n"/>
      <c r="E99" s="33" t="n"/>
      <c r="F99" s="33" t="n"/>
      <c r="G99" s="33" t="n"/>
      <c r="H99" s="33" t="n"/>
      <c r="I99" s="33" t="n"/>
      <c r="J99" s="33" t="n"/>
      <c r="K99" s="34" t="n"/>
      <c r="L99" s="34" t="n"/>
      <c r="M99" s="34" t="n"/>
      <c r="N99" s="82" t="n"/>
      <c r="O99" s="82" t="n"/>
      <c r="P99" s="33" t="n"/>
      <c r="Q99" s="34" t="n"/>
      <c r="R99" s="83" t="n"/>
      <c r="S99" s="34" t="n"/>
      <c r="T99" s="33" t="n"/>
      <c r="U99" s="83" t="n"/>
      <c r="V99" s="33" t="n"/>
      <c r="W99" s="83" t="n"/>
      <c r="X99" s="83" t="n"/>
      <c r="Y99" s="83" t="n"/>
      <c r="Z99" s="83" t="n"/>
      <c r="AA99" s="84">
        <f>IF(OR($A99="",COUNT(W99,X99,Z99,Y99)&lt;1),"",W99+X99+Z99-Y99)</f>
        <v/>
      </c>
      <c r="AB99" s="83" t="n"/>
      <c r="AC99" s="83" t="n"/>
      <c r="AD99" s="83" t="n"/>
      <c r="AE99" s="83" t="n"/>
      <c r="AF99" s="83" t="n"/>
      <c r="AG99" s="83" t="n"/>
      <c r="AH99" s="84">
        <f>IF(OR($A99="",COUNT(AB99,AC99,AD99,AG99,AE99,AF99)&lt;1),"",AB99+AC99+AD99+AG99-AE99-AF99)</f>
        <v/>
      </c>
      <c r="AI99" s="84">
        <f>IF(OR($A99="",COUNT(AA99,AH99)&lt;2),"",AA99-AH99)</f>
        <v/>
      </c>
      <c r="AJ99" s="84">
        <f>IF(OR($A99="",COUNT(W99,AB99)&lt;2),"",W99-AB99)</f>
        <v/>
      </c>
      <c r="AK99" s="83" t="n"/>
      <c r="AL99" s="33" t="n"/>
      <c r="AM99" s="33" t="n"/>
      <c r="AN99" s="83" t="n"/>
      <c r="AO99" s="33" t="n"/>
      <c r="AP99" s="33" t="n"/>
      <c r="AQ99" s="33" t="n"/>
    </row>
    <row r="100">
      <c r="A100" s="33" t="n"/>
      <c r="B100" s="33" t="n"/>
      <c r="C100" s="33" t="n"/>
      <c r="D100" s="33" t="n"/>
      <c r="E100" s="33" t="n"/>
      <c r="F100" s="33" t="n"/>
      <c r="G100" s="33" t="n"/>
      <c r="H100" s="33" t="n"/>
      <c r="I100" s="33" t="n"/>
      <c r="J100" s="33" t="n"/>
      <c r="K100" s="34" t="n"/>
      <c r="L100" s="34" t="n"/>
      <c r="M100" s="34" t="n"/>
      <c r="N100" s="82" t="n"/>
      <c r="O100" s="82" t="n"/>
      <c r="P100" s="33" t="n"/>
      <c r="Q100" s="34" t="n"/>
      <c r="R100" s="83" t="n"/>
      <c r="S100" s="34" t="n"/>
      <c r="T100" s="33" t="n"/>
      <c r="U100" s="83" t="n"/>
      <c r="V100" s="33" t="n"/>
      <c r="W100" s="83" t="n"/>
      <c r="X100" s="83" t="n"/>
      <c r="Y100" s="83" t="n"/>
      <c r="Z100" s="83" t="n"/>
      <c r="AA100" s="84">
        <f>IF(OR($A100="",COUNT(W100,X100,Z100,Y100)&lt;1),"",W100+X100+Z100-Y100)</f>
        <v/>
      </c>
      <c r="AB100" s="83" t="n"/>
      <c r="AC100" s="83" t="n"/>
      <c r="AD100" s="83" t="n"/>
      <c r="AE100" s="83" t="n"/>
      <c r="AF100" s="83" t="n"/>
      <c r="AG100" s="83" t="n"/>
      <c r="AH100" s="84">
        <f>IF(OR($A100="",COUNT(AB100,AC100,AD100,AG100,AE100,AF100)&lt;1),"",AB100+AC100+AD100+AG100-AE100-AF100)</f>
        <v/>
      </c>
      <c r="AI100" s="84">
        <f>IF(OR($A100="",COUNT(AA100,AH100)&lt;2),"",AA100-AH100)</f>
        <v/>
      </c>
      <c r="AJ100" s="84">
        <f>IF(OR($A100="",COUNT(W100,AB100)&lt;2),"",W100-AB100)</f>
        <v/>
      </c>
      <c r="AK100" s="83" t="n"/>
      <c r="AL100" s="33" t="n"/>
      <c r="AM100" s="33" t="n"/>
      <c r="AN100" s="83" t="n"/>
      <c r="AO100" s="33" t="n"/>
      <c r="AP100" s="33" t="n"/>
      <c r="AQ100" s="33" t="n"/>
    </row>
    <row r="101">
      <c r="A101" s="33" t="n"/>
      <c r="B101" s="33" t="n"/>
      <c r="C101" s="33" t="n"/>
      <c r="D101" s="33" t="n"/>
      <c r="E101" s="33" t="n"/>
      <c r="F101" s="33" t="n"/>
      <c r="G101" s="33" t="n"/>
      <c r="H101" s="33" t="n"/>
      <c r="I101" s="33" t="n"/>
      <c r="J101" s="33" t="n"/>
      <c r="K101" s="34" t="n"/>
      <c r="L101" s="34" t="n"/>
      <c r="M101" s="34" t="n"/>
      <c r="N101" s="82" t="n"/>
      <c r="O101" s="82" t="n"/>
      <c r="P101" s="33" t="n"/>
      <c r="Q101" s="34" t="n"/>
      <c r="R101" s="83" t="n"/>
      <c r="S101" s="34" t="n"/>
      <c r="T101" s="33" t="n"/>
      <c r="U101" s="83" t="n"/>
      <c r="V101" s="33" t="n"/>
      <c r="W101" s="83" t="n"/>
      <c r="X101" s="83" t="n"/>
      <c r="Y101" s="83" t="n"/>
      <c r="Z101" s="83" t="n"/>
      <c r="AA101" s="84">
        <f>IF(OR($A101="",COUNT(W101,X101,Z101,Y101)&lt;1),"",W101+X101+Z101-Y101)</f>
        <v/>
      </c>
      <c r="AB101" s="83" t="n"/>
      <c r="AC101" s="83" t="n"/>
      <c r="AD101" s="83" t="n"/>
      <c r="AE101" s="83" t="n"/>
      <c r="AF101" s="83" t="n"/>
      <c r="AG101" s="83" t="n"/>
      <c r="AH101" s="84">
        <f>IF(OR($A101="",COUNT(AB101,AC101,AD101,AG101,AE101,AF101)&lt;1),"",AB101+AC101+AD101+AG101-AE101-AF101)</f>
        <v/>
      </c>
      <c r="AI101" s="84">
        <f>IF(OR($A101="",COUNT(AA101,AH101)&lt;2),"",AA101-AH101)</f>
        <v/>
      </c>
      <c r="AJ101" s="84">
        <f>IF(OR($A101="",COUNT(W101,AB101)&lt;2),"",W101-AB101)</f>
        <v/>
      </c>
      <c r="AK101" s="83" t="n"/>
      <c r="AL101" s="33" t="n"/>
      <c r="AM101" s="33" t="n"/>
      <c r="AN101" s="83" t="n"/>
      <c r="AO101" s="33" t="n"/>
      <c r="AP101" s="33" t="n"/>
      <c r="AQ101" s="33" t="n"/>
    </row>
    <row r="102">
      <c r="A102" s="33" t="n"/>
      <c r="B102" s="33" t="n"/>
      <c r="C102" s="33" t="n"/>
      <c r="D102" s="33" t="n"/>
      <c r="E102" s="33" t="n"/>
      <c r="F102" s="33" t="n"/>
      <c r="G102" s="33" t="n"/>
      <c r="H102" s="33" t="n"/>
      <c r="I102" s="33" t="n"/>
      <c r="J102" s="33" t="n"/>
      <c r="K102" s="34" t="n"/>
      <c r="L102" s="34" t="n"/>
      <c r="M102" s="34" t="n"/>
      <c r="N102" s="82" t="n"/>
      <c r="O102" s="82" t="n"/>
      <c r="P102" s="33" t="n"/>
      <c r="Q102" s="34" t="n"/>
      <c r="R102" s="83" t="n"/>
      <c r="S102" s="34" t="n"/>
      <c r="T102" s="33" t="n"/>
      <c r="U102" s="83" t="n"/>
      <c r="V102" s="33" t="n"/>
      <c r="W102" s="83" t="n"/>
      <c r="X102" s="83" t="n"/>
      <c r="Y102" s="83" t="n"/>
      <c r="Z102" s="83" t="n"/>
      <c r="AA102" s="84">
        <f>IF(OR($A102="",COUNT(W102,X102,Z102,Y102)&lt;1),"",W102+X102+Z102-Y102)</f>
        <v/>
      </c>
      <c r="AB102" s="83" t="n"/>
      <c r="AC102" s="83" t="n"/>
      <c r="AD102" s="83" t="n"/>
      <c r="AE102" s="83" t="n"/>
      <c r="AF102" s="83" t="n"/>
      <c r="AG102" s="83" t="n"/>
      <c r="AH102" s="84">
        <f>IF(OR($A102="",COUNT(AB102,AC102,AD102,AG102,AE102,AF102)&lt;1),"",AB102+AC102+AD102+AG102-AE102-AF102)</f>
        <v/>
      </c>
      <c r="AI102" s="84">
        <f>IF(OR($A102="",COUNT(AA102,AH102)&lt;2),"",AA102-AH102)</f>
        <v/>
      </c>
      <c r="AJ102" s="84">
        <f>IF(OR($A102="",COUNT(W102,AB102)&lt;2),"",W102-AB102)</f>
        <v/>
      </c>
      <c r="AK102" s="83" t="n"/>
      <c r="AL102" s="33" t="n"/>
      <c r="AM102" s="33" t="n"/>
      <c r="AN102" s="83" t="n"/>
      <c r="AO102" s="33" t="n"/>
      <c r="AP102" s="33" t="n"/>
      <c r="AQ102" s="33" t="n"/>
    </row>
    <row r="103">
      <c r="A103" s="33" t="n"/>
      <c r="B103" s="33" t="n"/>
      <c r="C103" s="33" t="n"/>
      <c r="D103" s="33" t="n"/>
      <c r="E103" s="33" t="n"/>
      <c r="F103" s="33" t="n"/>
      <c r="G103" s="33" t="n"/>
      <c r="H103" s="33" t="n"/>
      <c r="I103" s="33" t="n"/>
      <c r="J103" s="33" t="n"/>
      <c r="K103" s="34" t="n"/>
      <c r="L103" s="34" t="n"/>
      <c r="M103" s="34" t="n"/>
      <c r="N103" s="82" t="n"/>
      <c r="O103" s="82" t="n"/>
      <c r="P103" s="33" t="n"/>
      <c r="Q103" s="34" t="n"/>
      <c r="R103" s="83" t="n"/>
      <c r="S103" s="34" t="n"/>
      <c r="T103" s="33" t="n"/>
      <c r="U103" s="83" t="n"/>
      <c r="V103" s="33" t="n"/>
      <c r="W103" s="83" t="n"/>
      <c r="X103" s="83" t="n"/>
      <c r="Y103" s="83" t="n"/>
      <c r="Z103" s="83" t="n"/>
      <c r="AA103" s="84">
        <f>IF(OR($A103="",COUNT(W103,X103,Z103,Y103)&lt;1),"",W103+X103+Z103-Y103)</f>
        <v/>
      </c>
      <c r="AB103" s="83" t="n"/>
      <c r="AC103" s="83" t="n"/>
      <c r="AD103" s="83" t="n"/>
      <c r="AE103" s="83" t="n"/>
      <c r="AF103" s="83" t="n"/>
      <c r="AG103" s="83" t="n"/>
      <c r="AH103" s="84">
        <f>IF(OR($A103="",COUNT(AB103,AC103,AD103,AG103,AE103,AF103)&lt;1),"",AB103+AC103+AD103+AG103-AE103-AF103)</f>
        <v/>
      </c>
      <c r="AI103" s="84">
        <f>IF(OR($A103="",COUNT(AA103,AH103)&lt;2),"",AA103-AH103)</f>
        <v/>
      </c>
      <c r="AJ103" s="84">
        <f>IF(OR($A103="",COUNT(W103,AB103)&lt;2),"",W103-AB103)</f>
        <v/>
      </c>
      <c r="AK103" s="83" t="n"/>
      <c r="AL103" s="33" t="n"/>
      <c r="AM103" s="33" t="n"/>
      <c r="AN103" s="83" t="n"/>
      <c r="AO103" s="33" t="n"/>
      <c r="AP103" s="33" t="n"/>
      <c r="AQ103" s="33" t="n"/>
    </row>
    <row r="104">
      <c r="A104" s="33" t="n"/>
      <c r="B104" s="33" t="n"/>
      <c r="C104" s="33" t="n"/>
      <c r="D104" s="33" t="n"/>
      <c r="E104" s="33" t="n"/>
      <c r="F104" s="33" t="n"/>
      <c r="G104" s="33" t="n"/>
      <c r="H104" s="33" t="n"/>
      <c r="I104" s="33" t="n"/>
      <c r="J104" s="33" t="n"/>
      <c r="K104" s="34" t="n"/>
      <c r="L104" s="34" t="n"/>
      <c r="M104" s="34" t="n"/>
      <c r="N104" s="82" t="n"/>
      <c r="O104" s="82" t="n"/>
      <c r="P104" s="33" t="n"/>
      <c r="Q104" s="34" t="n"/>
      <c r="R104" s="83" t="n"/>
      <c r="S104" s="34" t="n"/>
      <c r="T104" s="33" t="n"/>
      <c r="U104" s="83" t="n"/>
      <c r="V104" s="33" t="n"/>
      <c r="W104" s="83" t="n"/>
      <c r="X104" s="83" t="n"/>
      <c r="Y104" s="83" t="n"/>
      <c r="Z104" s="83" t="n"/>
      <c r="AA104" s="84">
        <f>IF(OR($A104="",COUNT(W104,X104,Z104,Y104)&lt;1),"",W104+X104+Z104-Y104)</f>
        <v/>
      </c>
      <c r="AB104" s="83" t="n"/>
      <c r="AC104" s="83" t="n"/>
      <c r="AD104" s="83" t="n"/>
      <c r="AE104" s="83" t="n"/>
      <c r="AF104" s="83" t="n"/>
      <c r="AG104" s="83" t="n"/>
      <c r="AH104" s="84">
        <f>IF(OR($A104="",COUNT(AB104,AC104,AD104,AG104,AE104,AF104)&lt;1),"",AB104+AC104+AD104+AG104-AE104-AF104)</f>
        <v/>
      </c>
      <c r="AI104" s="84">
        <f>IF(OR($A104="",COUNT(AA104,AH104)&lt;2),"",AA104-AH104)</f>
        <v/>
      </c>
      <c r="AJ104" s="84">
        <f>IF(OR($A104="",COUNT(W104,AB104)&lt;2),"",W104-AB104)</f>
        <v/>
      </c>
      <c r="AK104" s="83" t="n"/>
      <c r="AL104" s="33" t="n"/>
      <c r="AM104" s="33" t="n"/>
      <c r="AN104" s="83" t="n"/>
      <c r="AO104" s="33" t="n"/>
      <c r="AP104" s="33" t="n"/>
      <c r="AQ104" s="33" t="n"/>
    </row>
    <row r="105">
      <c r="A105" s="33" t="n"/>
      <c r="B105" s="33" t="n"/>
      <c r="C105" s="33" t="n"/>
      <c r="D105" s="33" t="n"/>
      <c r="E105" s="33" t="n"/>
      <c r="F105" s="33" t="n"/>
      <c r="G105" s="33" t="n"/>
      <c r="H105" s="33" t="n"/>
      <c r="I105" s="33" t="n"/>
      <c r="J105" s="33" t="n"/>
      <c r="K105" s="34" t="n"/>
      <c r="L105" s="34" t="n"/>
      <c r="M105" s="34" t="n"/>
      <c r="N105" s="82" t="n"/>
      <c r="O105" s="82" t="n"/>
      <c r="P105" s="33" t="n"/>
      <c r="Q105" s="34" t="n"/>
      <c r="R105" s="83" t="n"/>
      <c r="S105" s="34" t="n"/>
      <c r="T105" s="33" t="n"/>
      <c r="U105" s="83" t="n"/>
      <c r="V105" s="33" t="n"/>
      <c r="W105" s="83" t="n"/>
      <c r="X105" s="83" t="n"/>
      <c r="Y105" s="83" t="n"/>
      <c r="Z105" s="83" t="n"/>
      <c r="AA105" s="84">
        <f>IF(OR($A105="",COUNT(W105,X105,Z105,Y105)&lt;1),"",W105+X105+Z105-Y105)</f>
        <v/>
      </c>
      <c r="AB105" s="83" t="n"/>
      <c r="AC105" s="83" t="n"/>
      <c r="AD105" s="83" t="n"/>
      <c r="AE105" s="83" t="n"/>
      <c r="AF105" s="83" t="n"/>
      <c r="AG105" s="83" t="n"/>
      <c r="AH105" s="84">
        <f>IF(OR($A105="",COUNT(AB105,AC105,AD105,AG105,AE105,AF105)&lt;1),"",AB105+AC105+AD105+AG105-AE105-AF105)</f>
        <v/>
      </c>
      <c r="AI105" s="84">
        <f>IF(OR($A105="",COUNT(AA105,AH105)&lt;2),"",AA105-AH105)</f>
        <v/>
      </c>
      <c r="AJ105" s="84">
        <f>IF(OR($A105="",COUNT(W105,AB105)&lt;2),"",W105-AB105)</f>
        <v/>
      </c>
      <c r="AK105" s="83" t="n"/>
      <c r="AL105" s="33" t="n"/>
      <c r="AM105" s="33" t="n"/>
      <c r="AN105" s="83" t="n"/>
      <c r="AO105" s="33" t="n"/>
      <c r="AP105" s="33" t="n"/>
      <c r="AQ105" s="33" t="n"/>
    </row>
    <row r="106">
      <c r="A106" s="33" t="n"/>
      <c r="B106" s="33" t="n"/>
      <c r="C106" s="33" t="n"/>
      <c r="D106" s="33" t="n"/>
      <c r="E106" s="33" t="n"/>
      <c r="F106" s="33" t="n"/>
      <c r="G106" s="33" t="n"/>
      <c r="H106" s="33" t="n"/>
      <c r="I106" s="33" t="n"/>
      <c r="J106" s="33" t="n"/>
      <c r="K106" s="34" t="n"/>
      <c r="L106" s="34" t="n"/>
      <c r="M106" s="34" t="n"/>
      <c r="N106" s="82" t="n"/>
      <c r="O106" s="82" t="n"/>
      <c r="P106" s="33" t="n"/>
      <c r="Q106" s="34" t="n"/>
      <c r="R106" s="83" t="n"/>
      <c r="S106" s="34" t="n"/>
      <c r="T106" s="33" t="n"/>
      <c r="U106" s="83" t="n"/>
      <c r="V106" s="33" t="n"/>
      <c r="W106" s="83" t="n"/>
      <c r="X106" s="83" t="n"/>
      <c r="Y106" s="83" t="n"/>
      <c r="Z106" s="83" t="n"/>
      <c r="AA106" s="84">
        <f>IF(OR($A106="",COUNT(W106,X106,Z106,Y106)&lt;1),"",W106+X106+Z106-Y106)</f>
        <v/>
      </c>
      <c r="AB106" s="83" t="n"/>
      <c r="AC106" s="83" t="n"/>
      <c r="AD106" s="83" t="n"/>
      <c r="AE106" s="83" t="n"/>
      <c r="AF106" s="83" t="n"/>
      <c r="AG106" s="83" t="n"/>
      <c r="AH106" s="84">
        <f>IF(OR($A106="",COUNT(AB106,AC106,AD106,AG106,AE106,AF106)&lt;1),"",AB106+AC106+AD106+AG106-AE106-AF106)</f>
        <v/>
      </c>
      <c r="AI106" s="84">
        <f>IF(OR($A106="",COUNT(AA106,AH106)&lt;2),"",AA106-AH106)</f>
        <v/>
      </c>
      <c r="AJ106" s="84">
        <f>IF(OR($A106="",COUNT(W106,AB106)&lt;2),"",W106-AB106)</f>
        <v/>
      </c>
      <c r="AK106" s="83" t="n"/>
      <c r="AL106" s="33" t="n"/>
      <c r="AM106" s="33" t="n"/>
      <c r="AN106" s="83" t="n"/>
      <c r="AO106" s="33" t="n"/>
      <c r="AP106" s="33" t="n"/>
      <c r="AQ106" s="33" t="n"/>
    </row>
    <row r="107">
      <c r="A107" s="33" t="n"/>
      <c r="B107" s="33" t="n"/>
      <c r="C107" s="33" t="n"/>
      <c r="D107" s="33" t="n"/>
      <c r="E107" s="33" t="n"/>
      <c r="F107" s="33" t="n"/>
      <c r="G107" s="33" t="n"/>
      <c r="H107" s="33" t="n"/>
      <c r="I107" s="33" t="n"/>
      <c r="J107" s="33" t="n"/>
      <c r="K107" s="34" t="n"/>
      <c r="L107" s="34" t="n"/>
      <c r="M107" s="34" t="n"/>
      <c r="N107" s="82" t="n"/>
      <c r="O107" s="82" t="n"/>
      <c r="P107" s="33" t="n"/>
      <c r="Q107" s="34" t="n"/>
      <c r="R107" s="83" t="n"/>
      <c r="S107" s="34" t="n"/>
      <c r="T107" s="33" t="n"/>
      <c r="U107" s="83" t="n"/>
      <c r="V107" s="33" t="n"/>
      <c r="W107" s="83" t="n"/>
      <c r="X107" s="83" t="n"/>
      <c r="Y107" s="83" t="n"/>
      <c r="Z107" s="83" t="n"/>
      <c r="AA107" s="84">
        <f>IF(OR($A107="",COUNT(W107,X107,Z107,Y107)&lt;1),"",W107+X107+Z107-Y107)</f>
        <v/>
      </c>
      <c r="AB107" s="83" t="n"/>
      <c r="AC107" s="83" t="n"/>
      <c r="AD107" s="83" t="n"/>
      <c r="AE107" s="83" t="n"/>
      <c r="AF107" s="83" t="n"/>
      <c r="AG107" s="83" t="n"/>
      <c r="AH107" s="84">
        <f>IF(OR($A107="",COUNT(AB107,AC107,AD107,AG107,AE107,AF107)&lt;1),"",AB107+AC107+AD107+AG107-AE107-AF107)</f>
        <v/>
      </c>
      <c r="AI107" s="84">
        <f>IF(OR($A107="",COUNT(AA107,AH107)&lt;2),"",AA107-AH107)</f>
        <v/>
      </c>
      <c r="AJ107" s="84">
        <f>IF(OR($A107="",COUNT(W107,AB107)&lt;2),"",W107-AB107)</f>
        <v/>
      </c>
      <c r="AK107" s="83" t="n"/>
      <c r="AL107" s="33" t="n"/>
      <c r="AM107" s="33" t="n"/>
      <c r="AN107" s="83" t="n"/>
      <c r="AO107" s="33" t="n"/>
      <c r="AP107" s="33" t="n"/>
      <c r="AQ107" s="33" t="n"/>
    </row>
    <row r="108">
      <c r="A108" s="33" t="n"/>
      <c r="B108" s="33" t="n"/>
      <c r="C108" s="33" t="n"/>
      <c r="D108" s="33" t="n"/>
      <c r="E108" s="33" t="n"/>
      <c r="F108" s="33" t="n"/>
      <c r="G108" s="33" t="n"/>
      <c r="H108" s="33" t="n"/>
      <c r="I108" s="33" t="n"/>
      <c r="J108" s="33" t="n"/>
      <c r="K108" s="34" t="n"/>
      <c r="L108" s="34" t="n"/>
      <c r="M108" s="34" t="n"/>
      <c r="N108" s="82" t="n"/>
      <c r="O108" s="82" t="n"/>
      <c r="P108" s="33" t="n"/>
      <c r="Q108" s="34" t="n"/>
      <c r="R108" s="83" t="n"/>
      <c r="S108" s="34" t="n"/>
      <c r="T108" s="33" t="n"/>
      <c r="U108" s="83" t="n"/>
      <c r="V108" s="33" t="n"/>
      <c r="W108" s="83" t="n"/>
      <c r="X108" s="83" t="n"/>
      <c r="Y108" s="83" t="n"/>
      <c r="Z108" s="83" t="n"/>
      <c r="AA108" s="84">
        <f>IF(OR($A108="",COUNT(W108,X108,Z108,Y108)&lt;1),"",W108+X108+Z108-Y108)</f>
        <v/>
      </c>
      <c r="AB108" s="83" t="n"/>
      <c r="AC108" s="83" t="n"/>
      <c r="AD108" s="83" t="n"/>
      <c r="AE108" s="83" t="n"/>
      <c r="AF108" s="83" t="n"/>
      <c r="AG108" s="83" t="n"/>
      <c r="AH108" s="84">
        <f>IF(OR($A108="",COUNT(AB108,AC108,AD108,AG108,AE108,AF108)&lt;1),"",AB108+AC108+AD108+AG108-AE108-AF108)</f>
        <v/>
      </c>
      <c r="AI108" s="84">
        <f>IF(OR($A108="",COUNT(AA108,AH108)&lt;2),"",AA108-AH108)</f>
        <v/>
      </c>
      <c r="AJ108" s="84">
        <f>IF(OR($A108="",COUNT(W108,AB108)&lt;2),"",W108-AB108)</f>
        <v/>
      </c>
      <c r="AK108" s="83" t="n"/>
      <c r="AL108" s="33" t="n"/>
      <c r="AM108" s="33" t="n"/>
      <c r="AN108" s="83" t="n"/>
      <c r="AO108" s="33" t="n"/>
      <c r="AP108" s="33" t="n"/>
      <c r="AQ108" s="33" t="n"/>
    </row>
    <row r="109">
      <c r="A109" s="33" t="n"/>
      <c r="B109" s="33" t="n"/>
      <c r="C109" s="33" t="n"/>
      <c r="D109" s="33" t="n"/>
      <c r="E109" s="33" t="n"/>
      <c r="F109" s="33" t="n"/>
      <c r="G109" s="33" t="n"/>
      <c r="H109" s="33" t="n"/>
      <c r="I109" s="33" t="n"/>
      <c r="J109" s="33" t="n"/>
      <c r="K109" s="34" t="n"/>
      <c r="L109" s="34" t="n"/>
      <c r="M109" s="34" t="n"/>
      <c r="N109" s="82" t="n"/>
      <c r="O109" s="82" t="n"/>
      <c r="P109" s="33" t="n"/>
      <c r="Q109" s="34" t="n"/>
      <c r="R109" s="83" t="n"/>
      <c r="S109" s="34" t="n"/>
      <c r="T109" s="33" t="n"/>
      <c r="U109" s="83" t="n"/>
      <c r="V109" s="33" t="n"/>
      <c r="W109" s="83" t="n"/>
      <c r="X109" s="83" t="n"/>
      <c r="Y109" s="83" t="n"/>
      <c r="Z109" s="83" t="n"/>
      <c r="AA109" s="84">
        <f>IF(OR($A109="",COUNT(W109,X109,Z109,Y109)&lt;1),"",W109+X109+Z109-Y109)</f>
        <v/>
      </c>
      <c r="AB109" s="83" t="n"/>
      <c r="AC109" s="83" t="n"/>
      <c r="AD109" s="83" t="n"/>
      <c r="AE109" s="83" t="n"/>
      <c r="AF109" s="83" t="n"/>
      <c r="AG109" s="83" t="n"/>
      <c r="AH109" s="84">
        <f>IF(OR($A109="",COUNT(AB109,AC109,AD109,AG109,AE109,AF109)&lt;1),"",AB109+AC109+AD109+AG109-AE109-AF109)</f>
        <v/>
      </c>
      <c r="AI109" s="84">
        <f>IF(OR($A109="",COUNT(AA109,AH109)&lt;2),"",AA109-AH109)</f>
        <v/>
      </c>
      <c r="AJ109" s="84">
        <f>IF(OR($A109="",COUNT(W109,AB109)&lt;2),"",W109-AB109)</f>
        <v/>
      </c>
      <c r="AK109" s="83" t="n"/>
      <c r="AL109" s="33" t="n"/>
      <c r="AM109" s="33" t="n"/>
      <c r="AN109" s="83" t="n"/>
      <c r="AO109" s="33" t="n"/>
      <c r="AP109" s="33" t="n"/>
      <c r="AQ109" s="33" t="n"/>
    </row>
    <row r="110">
      <c r="A110" s="33" t="n"/>
      <c r="B110" s="33" t="n"/>
      <c r="C110" s="33" t="n"/>
      <c r="D110" s="33" t="n"/>
      <c r="E110" s="33" t="n"/>
      <c r="F110" s="33" t="n"/>
      <c r="G110" s="33" t="n"/>
      <c r="H110" s="33" t="n"/>
      <c r="I110" s="33" t="n"/>
      <c r="J110" s="33" t="n"/>
      <c r="K110" s="34" t="n"/>
      <c r="L110" s="34" t="n"/>
      <c r="M110" s="34" t="n"/>
      <c r="N110" s="82" t="n"/>
      <c r="O110" s="82" t="n"/>
      <c r="P110" s="33" t="n"/>
      <c r="Q110" s="34" t="n"/>
      <c r="R110" s="83" t="n"/>
      <c r="S110" s="34" t="n"/>
      <c r="T110" s="33" t="n"/>
      <c r="U110" s="83" t="n"/>
      <c r="V110" s="33" t="n"/>
      <c r="W110" s="83" t="n"/>
      <c r="X110" s="83" t="n"/>
      <c r="Y110" s="83" t="n"/>
      <c r="Z110" s="83" t="n"/>
      <c r="AA110" s="84">
        <f>IF(OR($A110="",COUNT(W110,X110,Z110,Y110)&lt;1),"",W110+X110+Z110-Y110)</f>
        <v/>
      </c>
      <c r="AB110" s="83" t="n"/>
      <c r="AC110" s="83" t="n"/>
      <c r="AD110" s="83" t="n"/>
      <c r="AE110" s="83" t="n"/>
      <c r="AF110" s="83" t="n"/>
      <c r="AG110" s="83" t="n"/>
      <c r="AH110" s="84">
        <f>IF(OR($A110="",COUNT(AB110,AC110,AD110,AG110,AE110,AF110)&lt;1),"",AB110+AC110+AD110+AG110-AE110-AF110)</f>
        <v/>
      </c>
      <c r="AI110" s="84">
        <f>IF(OR($A110="",COUNT(AA110,AH110)&lt;2),"",AA110-AH110)</f>
        <v/>
      </c>
      <c r="AJ110" s="84">
        <f>IF(OR($A110="",COUNT(W110,AB110)&lt;2),"",W110-AB110)</f>
        <v/>
      </c>
      <c r="AK110" s="83" t="n"/>
      <c r="AL110" s="33" t="n"/>
      <c r="AM110" s="33" t="n"/>
      <c r="AN110" s="83" t="n"/>
      <c r="AO110" s="33" t="n"/>
      <c r="AP110" s="33" t="n"/>
      <c r="AQ110" s="33" t="n"/>
    </row>
    <row r="111">
      <c r="A111" s="33" t="n"/>
      <c r="B111" s="33" t="n"/>
      <c r="C111" s="33" t="n"/>
      <c r="D111" s="33" t="n"/>
      <c r="E111" s="33" t="n"/>
      <c r="F111" s="33" t="n"/>
      <c r="G111" s="33" t="n"/>
      <c r="H111" s="33" t="n"/>
      <c r="I111" s="33" t="n"/>
      <c r="J111" s="33" t="n"/>
      <c r="K111" s="34" t="n"/>
      <c r="L111" s="34" t="n"/>
      <c r="M111" s="34" t="n"/>
      <c r="N111" s="82" t="n"/>
      <c r="O111" s="82" t="n"/>
      <c r="P111" s="33" t="n"/>
      <c r="Q111" s="34" t="n"/>
      <c r="R111" s="83" t="n"/>
      <c r="S111" s="34" t="n"/>
      <c r="T111" s="33" t="n"/>
      <c r="U111" s="83" t="n"/>
      <c r="V111" s="33" t="n"/>
      <c r="W111" s="83" t="n"/>
      <c r="X111" s="83" t="n"/>
      <c r="Y111" s="83" t="n"/>
      <c r="Z111" s="83" t="n"/>
      <c r="AA111" s="84">
        <f>IF(OR($A111="",COUNT(W111,X111,Z111,Y111)&lt;1),"",W111+X111+Z111-Y111)</f>
        <v/>
      </c>
      <c r="AB111" s="83" t="n"/>
      <c r="AC111" s="83" t="n"/>
      <c r="AD111" s="83" t="n"/>
      <c r="AE111" s="83" t="n"/>
      <c r="AF111" s="83" t="n"/>
      <c r="AG111" s="83" t="n"/>
      <c r="AH111" s="84">
        <f>IF(OR($A111="",COUNT(AB111,AC111,AD111,AG111,AE111,AF111)&lt;1),"",AB111+AC111+AD111+AG111-AE111-AF111)</f>
        <v/>
      </c>
      <c r="AI111" s="84">
        <f>IF(OR($A111="",COUNT(AA111,AH111)&lt;2),"",AA111-AH111)</f>
        <v/>
      </c>
      <c r="AJ111" s="84">
        <f>IF(OR($A111="",COUNT(W111,AB111)&lt;2),"",W111-AB111)</f>
        <v/>
      </c>
      <c r="AK111" s="83" t="n"/>
      <c r="AL111" s="33" t="n"/>
      <c r="AM111" s="33" t="n"/>
      <c r="AN111" s="83" t="n"/>
      <c r="AO111" s="33" t="n"/>
      <c r="AP111" s="33" t="n"/>
      <c r="AQ111" s="33" t="n"/>
    </row>
    <row r="112">
      <c r="A112" s="33" t="n"/>
      <c r="B112" s="33" t="n"/>
      <c r="C112" s="33" t="n"/>
      <c r="D112" s="33" t="n"/>
      <c r="E112" s="33" t="n"/>
      <c r="F112" s="33" t="n"/>
      <c r="G112" s="33" t="n"/>
      <c r="H112" s="33" t="n"/>
      <c r="I112" s="33" t="n"/>
      <c r="J112" s="33" t="n"/>
      <c r="K112" s="34" t="n"/>
      <c r="L112" s="34" t="n"/>
      <c r="M112" s="34" t="n"/>
      <c r="N112" s="82" t="n"/>
      <c r="O112" s="82" t="n"/>
      <c r="P112" s="33" t="n"/>
      <c r="Q112" s="34" t="n"/>
      <c r="R112" s="83" t="n"/>
      <c r="S112" s="34" t="n"/>
      <c r="T112" s="33" t="n"/>
      <c r="U112" s="83" t="n"/>
      <c r="V112" s="33" t="n"/>
      <c r="W112" s="83" t="n"/>
      <c r="X112" s="83" t="n"/>
      <c r="Y112" s="83" t="n"/>
      <c r="Z112" s="83" t="n"/>
      <c r="AA112" s="84">
        <f>IF(OR($A112="",COUNT(W112,X112,Z112,Y112)&lt;1),"",W112+X112+Z112-Y112)</f>
        <v/>
      </c>
      <c r="AB112" s="83" t="n"/>
      <c r="AC112" s="83" t="n"/>
      <c r="AD112" s="83" t="n"/>
      <c r="AE112" s="83" t="n"/>
      <c r="AF112" s="83" t="n"/>
      <c r="AG112" s="83" t="n"/>
      <c r="AH112" s="84">
        <f>IF(OR($A112="",COUNT(AB112,AC112,AD112,AG112,AE112,AF112)&lt;1),"",AB112+AC112+AD112+AG112-AE112-AF112)</f>
        <v/>
      </c>
      <c r="AI112" s="84">
        <f>IF(OR($A112="",COUNT(AA112,AH112)&lt;2),"",AA112-AH112)</f>
        <v/>
      </c>
      <c r="AJ112" s="84">
        <f>IF(OR($A112="",COUNT(W112,AB112)&lt;2),"",W112-AB112)</f>
        <v/>
      </c>
      <c r="AK112" s="83" t="n"/>
      <c r="AL112" s="33" t="n"/>
      <c r="AM112" s="33" t="n"/>
      <c r="AN112" s="83" t="n"/>
      <c r="AO112" s="33" t="n"/>
      <c r="AP112" s="33" t="n"/>
      <c r="AQ112" s="33" t="n"/>
    </row>
    <row r="113">
      <c r="A113" s="33" t="n"/>
      <c r="B113" s="33" t="n"/>
      <c r="C113" s="33" t="n"/>
      <c r="D113" s="33" t="n"/>
      <c r="E113" s="33" t="n"/>
      <c r="F113" s="33" t="n"/>
      <c r="G113" s="33" t="n"/>
      <c r="H113" s="33" t="n"/>
      <c r="I113" s="33" t="n"/>
      <c r="J113" s="33" t="n"/>
      <c r="K113" s="34" t="n"/>
      <c r="L113" s="34" t="n"/>
      <c r="M113" s="34" t="n"/>
      <c r="N113" s="82" t="n"/>
      <c r="O113" s="82" t="n"/>
      <c r="P113" s="33" t="n"/>
      <c r="Q113" s="34" t="n"/>
      <c r="R113" s="83" t="n"/>
      <c r="S113" s="34" t="n"/>
      <c r="T113" s="33" t="n"/>
      <c r="U113" s="83" t="n"/>
      <c r="V113" s="33" t="n"/>
      <c r="W113" s="83" t="n"/>
      <c r="X113" s="83" t="n"/>
      <c r="Y113" s="83" t="n"/>
      <c r="Z113" s="83" t="n"/>
      <c r="AA113" s="84">
        <f>IF(OR($A113="",COUNT(W113,X113,Z113,Y113)&lt;1),"",W113+X113+Z113-Y113)</f>
        <v/>
      </c>
      <c r="AB113" s="83" t="n"/>
      <c r="AC113" s="83" t="n"/>
      <c r="AD113" s="83" t="n"/>
      <c r="AE113" s="83" t="n"/>
      <c r="AF113" s="83" t="n"/>
      <c r="AG113" s="83" t="n"/>
      <c r="AH113" s="84">
        <f>IF(OR($A113="",COUNT(AB113,AC113,AD113,AG113,AE113,AF113)&lt;1),"",AB113+AC113+AD113+AG113-AE113-AF113)</f>
        <v/>
      </c>
      <c r="AI113" s="84">
        <f>IF(OR($A113="",COUNT(AA113,AH113)&lt;2),"",AA113-AH113)</f>
        <v/>
      </c>
      <c r="AJ113" s="84">
        <f>IF(OR($A113="",COUNT(W113,AB113)&lt;2),"",W113-AB113)</f>
        <v/>
      </c>
      <c r="AK113" s="83" t="n"/>
      <c r="AL113" s="33" t="n"/>
      <c r="AM113" s="33" t="n"/>
      <c r="AN113" s="83" t="n"/>
      <c r="AO113" s="33" t="n"/>
      <c r="AP113" s="33" t="n"/>
      <c r="AQ113" s="33" t="n"/>
    </row>
    <row r="114">
      <c r="A114" s="33" t="n"/>
      <c r="B114" s="33" t="n"/>
      <c r="C114" s="33" t="n"/>
      <c r="D114" s="33" t="n"/>
      <c r="E114" s="33" t="n"/>
      <c r="F114" s="33" t="n"/>
      <c r="G114" s="33" t="n"/>
      <c r="H114" s="33" t="n"/>
      <c r="I114" s="33" t="n"/>
      <c r="J114" s="33" t="n"/>
      <c r="K114" s="34" t="n"/>
      <c r="L114" s="34" t="n"/>
      <c r="M114" s="34" t="n"/>
      <c r="N114" s="82" t="n"/>
      <c r="O114" s="82" t="n"/>
      <c r="P114" s="33" t="n"/>
      <c r="Q114" s="34" t="n"/>
      <c r="R114" s="83" t="n"/>
      <c r="S114" s="34" t="n"/>
      <c r="T114" s="33" t="n"/>
      <c r="U114" s="83" t="n"/>
      <c r="V114" s="33" t="n"/>
      <c r="W114" s="83" t="n"/>
      <c r="X114" s="83" t="n"/>
      <c r="Y114" s="83" t="n"/>
      <c r="Z114" s="83" t="n"/>
      <c r="AA114" s="84">
        <f>IF(OR($A114="",COUNT(W114,X114,Z114,Y114)&lt;1),"",W114+X114+Z114-Y114)</f>
        <v/>
      </c>
      <c r="AB114" s="83" t="n"/>
      <c r="AC114" s="83" t="n"/>
      <c r="AD114" s="83" t="n"/>
      <c r="AE114" s="83" t="n"/>
      <c r="AF114" s="83" t="n"/>
      <c r="AG114" s="83" t="n"/>
      <c r="AH114" s="84">
        <f>IF(OR($A114="",COUNT(AB114,AC114,AD114,AG114,AE114,AF114)&lt;1),"",AB114+AC114+AD114+AG114-AE114-AF114)</f>
        <v/>
      </c>
      <c r="AI114" s="84">
        <f>IF(OR($A114="",COUNT(AA114,AH114)&lt;2),"",AA114-AH114)</f>
        <v/>
      </c>
      <c r="AJ114" s="84">
        <f>IF(OR($A114="",COUNT(W114,AB114)&lt;2),"",W114-AB114)</f>
        <v/>
      </c>
      <c r="AK114" s="83" t="n"/>
      <c r="AL114" s="33" t="n"/>
      <c r="AM114" s="33" t="n"/>
      <c r="AN114" s="83" t="n"/>
      <c r="AO114" s="33" t="n"/>
      <c r="AP114" s="33" t="n"/>
      <c r="AQ114" s="33" t="n"/>
    </row>
    <row r="115">
      <c r="A115" s="33" t="n"/>
      <c r="B115" s="33" t="n"/>
      <c r="C115" s="33" t="n"/>
      <c r="D115" s="33" t="n"/>
      <c r="E115" s="33" t="n"/>
      <c r="F115" s="33" t="n"/>
      <c r="G115" s="33" t="n"/>
      <c r="H115" s="33" t="n"/>
      <c r="I115" s="33" t="n"/>
      <c r="J115" s="33" t="n"/>
      <c r="K115" s="34" t="n"/>
      <c r="L115" s="34" t="n"/>
      <c r="M115" s="34" t="n"/>
      <c r="N115" s="82" t="n"/>
      <c r="O115" s="82" t="n"/>
      <c r="P115" s="33" t="n"/>
      <c r="Q115" s="34" t="n"/>
      <c r="R115" s="83" t="n"/>
      <c r="S115" s="34" t="n"/>
      <c r="T115" s="33" t="n"/>
      <c r="U115" s="83" t="n"/>
      <c r="V115" s="33" t="n"/>
      <c r="W115" s="83" t="n"/>
      <c r="X115" s="83" t="n"/>
      <c r="Y115" s="83" t="n"/>
      <c r="Z115" s="83" t="n"/>
      <c r="AA115" s="84">
        <f>IF(OR($A115="",COUNT(W115,X115,Z115,Y115)&lt;1),"",W115+X115+Z115-Y115)</f>
        <v/>
      </c>
      <c r="AB115" s="83" t="n"/>
      <c r="AC115" s="83" t="n"/>
      <c r="AD115" s="83" t="n"/>
      <c r="AE115" s="83" t="n"/>
      <c r="AF115" s="83" t="n"/>
      <c r="AG115" s="83" t="n"/>
      <c r="AH115" s="84">
        <f>IF(OR($A115="",COUNT(AB115,AC115,AD115,AG115,AE115,AF115)&lt;1),"",AB115+AC115+AD115+AG115-AE115-AF115)</f>
        <v/>
      </c>
      <c r="AI115" s="84">
        <f>IF(OR($A115="",COUNT(AA115,AH115)&lt;2),"",AA115-AH115)</f>
        <v/>
      </c>
      <c r="AJ115" s="84">
        <f>IF(OR($A115="",COUNT(W115,AB115)&lt;2),"",W115-AB115)</f>
        <v/>
      </c>
      <c r="AK115" s="83" t="n"/>
      <c r="AL115" s="33" t="n"/>
      <c r="AM115" s="33" t="n"/>
      <c r="AN115" s="83" t="n"/>
      <c r="AO115" s="33" t="n"/>
      <c r="AP115" s="33" t="n"/>
      <c r="AQ115" s="33" t="n"/>
    </row>
    <row r="116">
      <c r="A116" s="33" t="n"/>
      <c r="B116" s="33" t="n"/>
      <c r="C116" s="33" t="n"/>
      <c r="D116" s="33" t="n"/>
      <c r="E116" s="33" t="n"/>
      <c r="F116" s="33" t="n"/>
      <c r="G116" s="33" t="n"/>
      <c r="H116" s="33" t="n"/>
      <c r="I116" s="33" t="n"/>
      <c r="J116" s="33" t="n"/>
      <c r="K116" s="34" t="n"/>
      <c r="L116" s="34" t="n"/>
      <c r="M116" s="34" t="n"/>
      <c r="N116" s="82" t="n"/>
      <c r="O116" s="82" t="n"/>
      <c r="P116" s="33" t="n"/>
      <c r="Q116" s="34" t="n"/>
      <c r="R116" s="83" t="n"/>
      <c r="S116" s="34" t="n"/>
      <c r="T116" s="33" t="n"/>
      <c r="U116" s="83" t="n"/>
      <c r="V116" s="33" t="n"/>
      <c r="W116" s="83" t="n"/>
      <c r="X116" s="83" t="n"/>
      <c r="Y116" s="83" t="n"/>
      <c r="Z116" s="83" t="n"/>
      <c r="AA116" s="84">
        <f>IF(OR($A116="",COUNT(W116,X116,Z116,Y116)&lt;1),"",W116+X116+Z116-Y116)</f>
        <v/>
      </c>
      <c r="AB116" s="83" t="n"/>
      <c r="AC116" s="83" t="n"/>
      <c r="AD116" s="83" t="n"/>
      <c r="AE116" s="83" t="n"/>
      <c r="AF116" s="83" t="n"/>
      <c r="AG116" s="83" t="n"/>
      <c r="AH116" s="84">
        <f>IF(OR($A116="",COUNT(AB116,AC116,AD116,AG116,AE116,AF116)&lt;1),"",AB116+AC116+AD116+AG116-AE116-AF116)</f>
        <v/>
      </c>
      <c r="AI116" s="84">
        <f>IF(OR($A116="",COUNT(AA116,AH116)&lt;2),"",AA116-AH116)</f>
        <v/>
      </c>
      <c r="AJ116" s="84">
        <f>IF(OR($A116="",COUNT(W116,AB116)&lt;2),"",W116-AB116)</f>
        <v/>
      </c>
      <c r="AK116" s="83" t="n"/>
      <c r="AL116" s="33" t="n"/>
      <c r="AM116" s="33" t="n"/>
      <c r="AN116" s="83" t="n"/>
      <c r="AO116" s="33" t="n"/>
      <c r="AP116" s="33" t="n"/>
      <c r="AQ116" s="33" t="n"/>
    </row>
    <row r="117">
      <c r="A117" s="33" t="n"/>
      <c r="B117" s="33" t="n"/>
      <c r="C117" s="33" t="n"/>
      <c r="D117" s="33" t="n"/>
      <c r="E117" s="33" t="n"/>
      <c r="F117" s="33" t="n"/>
      <c r="G117" s="33" t="n"/>
      <c r="H117" s="33" t="n"/>
      <c r="I117" s="33" t="n"/>
      <c r="J117" s="33" t="n"/>
      <c r="K117" s="34" t="n"/>
      <c r="L117" s="34" t="n"/>
      <c r="M117" s="34" t="n"/>
      <c r="N117" s="82" t="n"/>
      <c r="O117" s="82" t="n"/>
      <c r="P117" s="33" t="n"/>
      <c r="Q117" s="34" t="n"/>
      <c r="R117" s="83" t="n"/>
      <c r="S117" s="34" t="n"/>
      <c r="T117" s="33" t="n"/>
      <c r="U117" s="83" t="n"/>
      <c r="V117" s="33" t="n"/>
      <c r="W117" s="83" t="n"/>
      <c r="X117" s="83" t="n"/>
      <c r="Y117" s="83" t="n"/>
      <c r="Z117" s="83" t="n"/>
      <c r="AA117" s="84">
        <f>IF(OR($A117="",COUNT(W117,X117,Z117,Y117)&lt;1),"",W117+X117+Z117-Y117)</f>
        <v/>
      </c>
      <c r="AB117" s="83" t="n"/>
      <c r="AC117" s="83" t="n"/>
      <c r="AD117" s="83" t="n"/>
      <c r="AE117" s="83" t="n"/>
      <c r="AF117" s="83" t="n"/>
      <c r="AG117" s="83" t="n"/>
      <c r="AH117" s="84">
        <f>IF(OR($A117="",COUNT(AB117,AC117,AD117,AG117,AE117,AF117)&lt;1),"",AB117+AC117+AD117+AG117-AE117-AF117)</f>
        <v/>
      </c>
      <c r="AI117" s="84">
        <f>IF(OR($A117="",COUNT(AA117,AH117)&lt;2),"",AA117-AH117)</f>
        <v/>
      </c>
      <c r="AJ117" s="84">
        <f>IF(OR($A117="",COUNT(W117,AB117)&lt;2),"",W117-AB117)</f>
        <v/>
      </c>
      <c r="AK117" s="83" t="n"/>
      <c r="AL117" s="33" t="n"/>
      <c r="AM117" s="33" t="n"/>
      <c r="AN117" s="83" t="n"/>
      <c r="AO117" s="33" t="n"/>
      <c r="AP117" s="33" t="n"/>
      <c r="AQ117" s="33" t="n"/>
    </row>
    <row r="118">
      <c r="A118" s="33" t="n"/>
      <c r="B118" s="33" t="n"/>
      <c r="C118" s="33" t="n"/>
      <c r="D118" s="33" t="n"/>
      <c r="E118" s="33" t="n"/>
      <c r="F118" s="33" t="n"/>
      <c r="G118" s="33" t="n"/>
      <c r="H118" s="33" t="n"/>
      <c r="I118" s="33" t="n"/>
      <c r="J118" s="33" t="n"/>
      <c r="K118" s="34" t="n"/>
      <c r="L118" s="34" t="n"/>
      <c r="M118" s="34" t="n"/>
      <c r="N118" s="82" t="n"/>
      <c r="O118" s="82" t="n"/>
      <c r="P118" s="33" t="n"/>
      <c r="Q118" s="34" t="n"/>
      <c r="R118" s="83" t="n"/>
      <c r="S118" s="34" t="n"/>
      <c r="T118" s="33" t="n"/>
      <c r="U118" s="83" t="n"/>
      <c r="V118" s="33" t="n"/>
      <c r="W118" s="83" t="n"/>
      <c r="X118" s="83" t="n"/>
      <c r="Y118" s="83" t="n"/>
      <c r="Z118" s="83" t="n"/>
      <c r="AA118" s="84">
        <f>IF(OR($A118="",COUNT(W118,X118,Z118,Y118)&lt;1),"",W118+X118+Z118-Y118)</f>
        <v/>
      </c>
      <c r="AB118" s="83" t="n"/>
      <c r="AC118" s="83" t="n"/>
      <c r="AD118" s="83" t="n"/>
      <c r="AE118" s="83" t="n"/>
      <c r="AF118" s="83" t="n"/>
      <c r="AG118" s="83" t="n"/>
      <c r="AH118" s="84">
        <f>IF(OR($A118="",COUNT(AB118,AC118,AD118,AG118,AE118,AF118)&lt;1),"",AB118+AC118+AD118+AG118-AE118-AF118)</f>
        <v/>
      </c>
      <c r="AI118" s="84">
        <f>IF(OR($A118="",COUNT(AA118,AH118)&lt;2),"",AA118-AH118)</f>
        <v/>
      </c>
      <c r="AJ118" s="84">
        <f>IF(OR($A118="",COUNT(W118,AB118)&lt;2),"",W118-AB118)</f>
        <v/>
      </c>
      <c r="AK118" s="83" t="n"/>
      <c r="AL118" s="33" t="n"/>
      <c r="AM118" s="33" t="n"/>
      <c r="AN118" s="83" t="n"/>
      <c r="AO118" s="33" t="n"/>
      <c r="AP118" s="33" t="n"/>
      <c r="AQ118" s="33" t="n"/>
    </row>
    <row r="119">
      <c r="A119" s="33" t="n"/>
      <c r="B119" s="33" t="n"/>
      <c r="C119" s="33" t="n"/>
      <c r="D119" s="33" t="n"/>
      <c r="E119" s="33" t="n"/>
      <c r="F119" s="33" t="n"/>
      <c r="G119" s="33" t="n"/>
      <c r="H119" s="33" t="n"/>
      <c r="I119" s="33" t="n"/>
      <c r="J119" s="33" t="n"/>
      <c r="K119" s="34" t="n"/>
      <c r="L119" s="34" t="n"/>
      <c r="M119" s="34" t="n"/>
      <c r="N119" s="82" t="n"/>
      <c r="O119" s="82" t="n"/>
      <c r="P119" s="33" t="n"/>
      <c r="Q119" s="34" t="n"/>
      <c r="R119" s="83" t="n"/>
      <c r="S119" s="34" t="n"/>
      <c r="T119" s="33" t="n"/>
      <c r="U119" s="83" t="n"/>
      <c r="V119" s="33" t="n"/>
      <c r="W119" s="83" t="n"/>
      <c r="X119" s="83" t="n"/>
      <c r="Y119" s="83" t="n"/>
      <c r="Z119" s="83" t="n"/>
      <c r="AA119" s="84">
        <f>IF(OR($A119="",COUNT(W119,X119,Z119,Y119)&lt;1),"",W119+X119+Z119-Y119)</f>
        <v/>
      </c>
      <c r="AB119" s="83" t="n"/>
      <c r="AC119" s="83" t="n"/>
      <c r="AD119" s="83" t="n"/>
      <c r="AE119" s="83" t="n"/>
      <c r="AF119" s="83" t="n"/>
      <c r="AG119" s="83" t="n"/>
      <c r="AH119" s="84">
        <f>IF(OR($A119="",COUNT(AB119,AC119,AD119,AG119,AE119,AF119)&lt;1),"",AB119+AC119+AD119+AG119-AE119-AF119)</f>
        <v/>
      </c>
      <c r="AI119" s="84">
        <f>IF(OR($A119="",COUNT(AA119,AH119)&lt;2),"",AA119-AH119)</f>
        <v/>
      </c>
      <c r="AJ119" s="84">
        <f>IF(OR($A119="",COUNT(W119,AB119)&lt;2),"",W119-AB119)</f>
        <v/>
      </c>
      <c r="AK119" s="83" t="n"/>
      <c r="AL119" s="33" t="n"/>
      <c r="AM119" s="33" t="n"/>
      <c r="AN119" s="83" t="n"/>
      <c r="AO119" s="33" t="n"/>
      <c r="AP119" s="33" t="n"/>
      <c r="AQ119" s="33" t="n"/>
    </row>
    <row r="120">
      <c r="A120" s="33" t="n"/>
      <c r="B120" s="33" t="n"/>
      <c r="C120" s="33" t="n"/>
      <c r="D120" s="33" t="n"/>
      <c r="E120" s="33" t="n"/>
      <c r="F120" s="33" t="n"/>
      <c r="G120" s="33" t="n"/>
      <c r="H120" s="33" t="n"/>
      <c r="I120" s="33" t="n"/>
      <c r="J120" s="33" t="n"/>
      <c r="K120" s="34" t="n"/>
      <c r="L120" s="34" t="n"/>
      <c r="M120" s="34" t="n"/>
      <c r="N120" s="82" t="n"/>
      <c r="O120" s="82" t="n"/>
      <c r="P120" s="33" t="n"/>
      <c r="Q120" s="34" t="n"/>
      <c r="R120" s="83" t="n"/>
      <c r="S120" s="34" t="n"/>
      <c r="T120" s="33" t="n"/>
      <c r="U120" s="83" t="n"/>
      <c r="V120" s="33" t="n"/>
      <c r="W120" s="83" t="n"/>
      <c r="X120" s="83" t="n"/>
      <c r="Y120" s="83" t="n"/>
      <c r="Z120" s="83" t="n"/>
      <c r="AA120" s="84">
        <f>IF(OR($A120="",COUNT(W120,X120,Z120,Y120)&lt;1),"",W120+X120+Z120-Y120)</f>
        <v/>
      </c>
      <c r="AB120" s="83" t="n"/>
      <c r="AC120" s="83" t="n"/>
      <c r="AD120" s="83" t="n"/>
      <c r="AE120" s="83" t="n"/>
      <c r="AF120" s="83" t="n"/>
      <c r="AG120" s="83" t="n"/>
      <c r="AH120" s="84">
        <f>IF(OR($A120="",COUNT(AB120,AC120,AD120,AG120,AE120,AF120)&lt;1),"",AB120+AC120+AD120+AG120-AE120-AF120)</f>
        <v/>
      </c>
      <c r="AI120" s="84">
        <f>IF(OR($A120="",COUNT(AA120,AH120)&lt;2),"",AA120-AH120)</f>
        <v/>
      </c>
      <c r="AJ120" s="84">
        <f>IF(OR($A120="",COUNT(W120,AB120)&lt;2),"",W120-AB120)</f>
        <v/>
      </c>
      <c r="AK120" s="83" t="n"/>
      <c r="AL120" s="33" t="n"/>
      <c r="AM120" s="33" t="n"/>
      <c r="AN120" s="83" t="n"/>
      <c r="AO120" s="33" t="n"/>
      <c r="AP120" s="33" t="n"/>
      <c r="AQ120" s="33" t="n"/>
    </row>
    <row r="121">
      <c r="A121" s="33" t="n"/>
      <c r="B121" s="33" t="n"/>
      <c r="C121" s="33" t="n"/>
      <c r="D121" s="33" t="n"/>
      <c r="E121" s="33" t="n"/>
      <c r="F121" s="33" t="n"/>
      <c r="G121" s="33" t="n"/>
      <c r="H121" s="33" t="n"/>
      <c r="I121" s="33" t="n"/>
      <c r="J121" s="33" t="n"/>
      <c r="K121" s="34" t="n"/>
      <c r="L121" s="34" t="n"/>
      <c r="M121" s="34" t="n"/>
      <c r="N121" s="82" t="n"/>
      <c r="O121" s="82" t="n"/>
      <c r="P121" s="33" t="n"/>
      <c r="Q121" s="34" t="n"/>
      <c r="R121" s="83" t="n"/>
      <c r="S121" s="34" t="n"/>
      <c r="T121" s="33" t="n"/>
      <c r="U121" s="83" t="n"/>
      <c r="V121" s="33" t="n"/>
      <c r="W121" s="83" t="n"/>
      <c r="X121" s="83" t="n"/>
      <c r="Y121" s="83" t="n"/>
      <c r="Z121" s="83" t="n"/>
      <c r="AA121" s="84">
        <f>IF(OR($A121="",COUNT(W121,X121,Z121,Y121)&lt;1),"",W121+X121+Z121-Y121)</f>
        <v/>
      </c>
      <c r="AB121" s="83" t="n"/>
      <c r="AC121" s="83" t="n"/>
      <c r="AD121" s="83" t="n"/>
      <c r="AE121" s="83" t="n"/>
      <c r="AF121" s="83" t="n"/>
      <c r="AG121" s="83" t="n"/>
      <c r="AH121" s="84">
        <f>IF(OR($A121="",COUNT(AB121,AC121,AD121,AG121,AE121,AF121)&lt;1),"",AB121+AC121+AD121+AG121-AE121-AF121)</f>
        <v/>
      </c>
      <c r="AI121" s="84">
        <f>IF(OR($A121="",COUNT(AA121,AH121)&lt;2),"",AA121-AH121)</f>
        <v/>
      </c>
      <c r="AJ121" s="84">
        <f>IF(OR($A121="",COUNT(W121,AB121)&lt;2),"",W121-AB121)</f>
        <v/>
      </c>
      <c r="AK121" s="83" t="n"/>
      <c r="AL121" s="33" t="n"/>
      <c r="AM121" s="33" t="n"/>
      <c r="AN121" s="83" t="n"/>
      <c r="AO121" s="33" t="n"/>
      <c r="AP121" s="33" t="n"/>
      <c r="AQ121" s="33" t="n"/>
    </row>
    <row r="122">
      <c r="A122" s="33" t="n"/>
      <c r="B122" s="33" t="n"/>
      <c r="C122" s="33" t="n"/>
      <c r="D122" s="33" t="n"/>
      <c r="E122" s="33" t="n"/>
      <c r="F122" s="33" t="n"/>
      <c r="G122" s="33" t="n"/>
      <c r="H122" s="33" t="n"/>
      <c r="I122" s="33" t="n"/>
      <c r="J122" s="33" t="n"/>
      <c r="K122" s="34" t="n"/>
      <c r="L122" s="34" t="n"/>
      <c r="M122" s="34" t="n"/>
      <c r="N122" s="82" t="n"/>
      <c r="O122" s="82" t="n"/>
      <c r="P122" s="33" t="n"/>
      <c r="Q122" s="34" t="n"/>
      <c r="R122" s="83" t="n"/>
      <c r="S122" s="34" t="n"/>
      <c r="T122" s="33" t="n"/>
      <c r="U122" s="83" t="n"/>
      <c r="V122" s="33" t="n"/>
      <c r="W122" s="83" t="n"/>
      <c r="X122" s="83" t="n"/>
      <c r="Y122" s="83" t="n"/>
      <c r="Z122" s="83" t="n"/>
      <c r="AA122" s="84">
        <f>IF(OR($A122="",COUNT(W122,X122,Z122,Y122)&lt;1),"",W122+X122+Z122-Y122)</f>
        <v/>
      </c>
      <c r="AB122" s="83" t="n"/>
      <c r="AC122" s="83" t="n"/>
      <c r="AD122" s="83" t="n"/>
      <c r="AE122" s="83" t="n"/>
      <c r="AF122" s="83" t="n"/>
      <c r="AG122" s="83" t="n"/>
      <c r="AH122" s="84">
        <f>IF(OR($A122="",COUNT(AB122,AC122,AD122,AG122,AE122,AF122)&lt;1),"",AB122+AC122+AD122+AG122-AE122-AF122)</f>
        <v/>
      </c>
      <c r="AI122" s="84">
        <f>IF(OR($A122="",COUNT(AA122,AH122)&lt;2),"",AA122-AH122)</f>
        <v/>
      </c>
      <c r="AJ122" s="84">
        <f>IF(OR($A122="",COUNT(W122,AB122)&lt;2),"",W122-AB122)</f>
        <v/>
      </c>
      <c r="AK122" s="83" t="n"/>
      <c r="AL122" s="33" t="n"/>
      <c r="AM122" s="33" t="n"/>
      <c r="AN122" s="83" t="n"/>
      <c r="AO122" s="33" t="n"/>
      <c r="AP122" s="33" t="n"/>
      <c r="AQ122" s="33" t="n"/>
    </row>
    <row r="123">
      <c r="A123" s="33" t="n"/>
      <c r="B123" s="33" t="n"/>
      <c r="C123" s="33" t="n"/>
      <c r="D123" s="33" t="n"/>
      <c r="E123" s="33" t="n"/>
      <c r="F123" s="33" t="n"/>
      <c r="G123" s="33" t="n"/>
      <c r="H123" s="33" t="n"/>
      <c r="I123" s="33" t="n"/>
      <c r="J123" s="33" t="n"/>
      <c r="K123" s="34" t="n"/>
      <c r="L123" s="34" t="n"/>
      <c r="M123" s="34" t="n"/>
      <c r="N123" s="82" t="n"/>
      <c r="O123" s="82" t="n"/>
      <c r="P123" s="33" t="n"/>
      <c r="Q123" s="34" t="n"/>
      <c r="R123" s="83" t="n"/>
      <c r="S123" s="34" t="n"/>
      <c r="T123" s="33" t="n"/>
      <c r="U123" s="83" t="n"/>
      <c r="V123" s="33" t="n"/>
      <c r="W123" s="83" t="n"/>
      <c r="X123" s="83" t="n"/>
      <c r="Y123" s="83" t="n"/>
      <c r="Z123" s="83" t="n"/>
      <c r="AA123" s="84">
        <f>IF(OR($A123="",COUNT(W123,X123,Z123,Y123)&lt;1),"",W123+X123+Z123-Y123)</f>
        <v/>
      </c>
      <c r="AB123" s="83" t="n"/>
      <c r="AC123" s="83" t="n"/>
      <c r="AD123" s="83" t="n"/>
      <c r="AE123" s="83" t="n"/>
      <c r="AF123" s="83" t="n"/>
      <c r="AG123" s="83" t="n"/>
      <c r="AH123" s="84">
        <f>IF(OR($A123="",COUNT(AB123,AC123,AD123,AG123,AE123,AF123)&lt;1),"",AB123+AC123+AD123+AG123-AE123-AF123)</f>
        <v/>
      </c>
      <c r="AI123" s="84">
        <f>IF(OR($A123="",COUNT(AA123,AH123)&lt;2),"",AA123-AH123)</f>
        <v/>
      </c>
      <c r="AJ123" s="84">
        <f>IF(OR($A123="",COUNT(W123,AB123)&lt;2),"",W123-AB123)</f>
        <v/>
      </c>
      <c r="AK123" s="83" t="n"/>
      <c r="AL123" s="33" t="n"/>
      <c r="AM123" s="33" t="n"/>
      <c r="AN123" s="83" t="n"/>
      <c r="AO123" s="33" t="n"/>
      <c r="AP123" s="33" t="n"/>
      <c r="AQ123" s="33" t="n"/>
    </row>
    <row r="124">
      <c r="A124" s="33" t="n"/>
      <c r="B124" s="33" t="n"/>
      <c r="C124" s="33" t="n"/>
      <c r="D124" s="33" t="n"/>
      <c r="E124" s="33" t="n"/>
      <c r="F124" s="33" t="n"/>
      <c r="G124" s="33" t="n"/>
      <c r="H124" s="33" t="n"/>
      <c r="I124" s="33" t="n"/>
      <c r="J124" s="33" t="n"/>
      <c r="K124" s="34" t="n"/>
      <c r="L124" s="34" t="n"/>
      <c r="M124" s="34" t="n"/>
      <c r="N124" s="82" t="n"/>
      <c r="O124" s="82" t="n"/>
      <c r="P124" s="33" t="n"/>
      <c r="Q124" s="34" t="n"/>
      <c r="R124" s="83" t="n"/>
      <c r="S124" s="34" t="n"/>
      <c r="T124" s="33" t="n"/>
      <c r="U124" s="83" t="n"/>
      <c r="V124" s="33" t="n"/>
      <c r="W124" s="83" t="n"/>
      <c r="X124" s="83" t="n"/>
      <c r="Y124" s="83" t="n"/>
      <c r="Z124" s="83" t="n"/>
      <c r="AA124" s="84">
        <f>IF(OR($A124="",COUNT(W124,X124,Z124,Y124)&lt;1),"",W124+X124+Z124-Y124)</f>
        <v/>
      </c>
      <c r="AB124" s="83" t="n"/>
      <c r="AC124" s="83" t="n"/>
      <c r="AD124" s="83" t="n"/>
      <c r="AE124" s="83" t="n"/>
      <c r="AF124" s="83" t="n"/>
      <c r="AG124" s="83" t="n"/>
      <c r="AH124" s="84">
        <f>IF(OR($A124="",COUNT(AB124,AC124,AD124,AG124,AE124,AF124)&lt;1),"",AB124+AC124+AD124+AG124-AE124-AF124)</f>
        <v/>
      </c>
      <c r="AI124" s="84">
        <f>IF(OR($A124="",COUNT(AA124,AH124)&lt;2),"",AA124-AH124)</f>
        <v/>
      </c>
      <c r="AJ124" s="84">
        <f>IF(OR($A124="",COUNT(W124,AB124)&lt;2),"",W124-AB124)</f>
        <v/>
      </c>
      <c r="AK124" s="83" t="n"/>
      <c r="AL124" s="33" t="n"/>
      <c r="AM124" s="33" t="n"/>
      <c r="AN124" s="83" t="n"/>
      <c r="AO124" s="33" t="n"/>
      <c r="AP124" s="33" t="n"/>
      <c r="AQ124" s="33" t="n"/>
    </row>
    <row r="125">
      <c r="A125" s="33" t="n"/>
      <c r="B125" s="33" t="n"/>
      <c r="C125" s="33" t="n"/>
      <c r="D125" s="33" t="n"/>
      <c r="E125" s="33" t="n"/>
      <c r="F125" s="33" t="n"/>
      <c r="G125" s="33" t="n"/>
      <c r="H125" s="33" t="n"/>
      <c r="I125" s="33" t="n"/>
      <c r="J125" s="33" t="n"/>
      <c r="K125" s="34" t="n"/>
      <c r="L125" s="34" t="n"/>
      <c r="M125" s="34" t="n"/>
      <c r="N125" s="82" t="n"/>
      <c r="O125" s="82" t="n"/>
      <c r="P125" s="33" t="n"/>
      <c r="Q125" s="34" t="n"/>
      <c r="R125" s="83" t="n"/>
      <c r="S125" s="34" t="n"/>
      <c r="T125" s="33" t="n"/>
      <c r="U125" s="83" t="n"/>
      <c r="V125" s="33" t="n"/>
      <c r="W125" s="83" t="n"/>
      <c r="X125" s="83" t="n"/>
      <c r="Y125" s="83" t="n"/>
      <c r="Z125" s="83" t="n"/>
      <c r="AA125" s="84">
        <f>IF(OR($A125="",COUNT(W125,X125,Z125,Y125)&lt;1),"",W125+X125+Z125-Y125)</f>
        <v/>
      </c>
      <c r="AB125" s="83" t="n"/>
      <c r="AC125" s="83" t="n"/>
      <c r="AD125" s="83" t="n"/>
      <c r="AE125" s="83" t="n"/>
      <c r="AF125" s="83" t="n"/>
      <c r="AG125" s="83" t="n"/>
      <c r="AH125" s="84">
        <f>IF(OR($A125="",COUNT(AB125,AC125,AD125,AG125,AE125,AF125)&lt;1),"",AB125+AC125+AD125+AG125-AE125-AF125)</f>
        <v/>
      </c>
      <c r="AI125" s="84">
        <f>IF(OR($A125="",COUNT(AA125,AH125)&lt;2),"",AA125-AH125)</f>
        <v/>
      </c>
      <c r="AJ125" s="84">
        <f>IF(OR($A125="",COUNT(W125,AB125)&lt;2),"",W125-AB125)</f>
        <v/>
      </c>
      <c r="AK125" s="83" t="n"/>
      <c r="AL125" s="33" t="n"/>
      <c r="AM125" s="33" t="n"/>
      <c r="AN125" s="83" t="n"/>
      <c r="AO125" s="33" t="n"/>
      <c r="AP125" s="33" t="n"/>
      <c r="AQ125" s="33" t="n"/>
    </row>
    <row r="126">
      <c r="A126" s="33" t="n"/>
      <c r="B126" s="33" t="n"/>
      <c r="C126" s="33" t="n"/>
      <c r="D126" s="33" t="n"/>
      <c r="E126" s="33" t="n"/>
      <c r="F126" s="33" t="n"/>
      <c r="G126" s="33" t="n"/>
      <c r="H126" s="33" t="n"/>
      <c r="I126" s="33" t="n"/>
      <c r="J126" s="33" t="n"/>
      <c r="K126" s="34" t="n"/>
      <c r="L126" s="34" t="n"/>
      <c r="M126" s="34" t="n"/>
      <c r="N126" s="82" t="n"/>
      <c r="O126" s="82" t="n"/>
      <c r="P126" s="33" t="n"/>
      <c r="Q126" s="34" t="n"/>
      <c r="R126" s="83" t="n"/>
      <c r="S126" s="34" t="n"/>
      <c r="T126" s="33" t="n"/>
      <c r="U126" s="83" t="n"/>
      <c r="V126" s="33" t="n"/>
      <c r="W126" s="83" t="n"/>
      <c r="X126" s="83" t="n"/>
      <c r="Y126" s="83" t="n"/>
      <c r="Z126" s="83" t="n"/>
      <c r="AA126" s="84">
        <f>IF(OR($A126="",COUNT(W126,X126,Z126,Y126)&lt;1),"",W126+X126+Z126-Y126)</f>
        <v/>
      </c>
      <c r="AB126" s="83" t="n"/>
      <c r="AC126" s="83" t="n"/>
      <c r="AD126" s="83" t="n"/>
      <c r="AE126" s="83" t="n"/>
      <c r="AF126" s="83" t="n"/>
      <c r="AG126" s="83" t="n"/>
      <c r="AH126" s="84">
        <f>IF(OR($A126="",COUNT(AB126,AC126,AD126,AG126,AE126,AF126)&lt;1),"",AB126+AC126+AD126+AG126-AE126-AF126)</f>
        <v/>
      </c>
      <c r="AI126" s="84">
        <f>IF(OR($A126="",COUNT(AA126,AH126)&lt;2),"",AA126-AH126)</f>
        <v/>
      </c>
      <c r="AJ126" s="84">
        <f>IF(OR($A126="",COUNT(W126,AB126)&lt;2),"",W126-AB126)</f>
        <v/>
      </c>
      <c r="AK126" s="83" t="n"/>
      <c r="AL126" s="33" t="n"/>
      <c r="AM126" s="33" t="n"/>
      <c r="AN126" s="83" t="n"/>
      <c r="AO126" s="33" t="n"/>
      <c r="AP126" s="33" t="n"/>
      <c r="AQ126" s="33" t="n"/>
    </row>
    <row r="127">
      <c r="A127" s="33" t="n"/>
      <c r="B127" s="33" t="n"/>
      <c r="C127" s="33" t="n"/>
      <c r="D127" s="33" t="n"/>
      <c r="E127" s="33" t="n"/>
      <c r="F127" s="33" t="n"/>
      <c r="G127" s="33" t="n"/>
      <c r="H127" s="33" t="n"/>
      <c r="I127" s="33" t="n"/>
      <c r="J127" s="33" t="n"/>
      <c r="K127" s="34" t="n"/>
      <c r="L127" s="34" t="n"/>
      <c r="M127" s="34" t="n"/>
      <c r="N127" s="82" t="n"/>
      <c r="O127" s="82" t="n"/>
      <c r="P127" s="33" t="n"/>
      <c r="Q127" s="34" t="n"/>
      <c r="R127" s="83" t="n"/>
      <c r="S127" s="34" t="n"/>
      <c r="T127" s="33" t="n"/>
      <c r="U127" s="83" t="n"/>
      <c r="V127" s="33" t="n"/>
      <c r="W127" s="83" t="n"/>
      <c r="X127" s="83" t="n"/>
      <c r="Y127" s="83" t="n"/>
      <c r="Z127" s="83" t="n"/>
      <c r="AA127" s="84">
        <f>IF(OR($A127="",COUNT(W127,X127,Z127,Y127)&lt;1),"",W127+X127+Z127-Y127)</f>
        <v/>
      </c>
      <c r="AB127" s="83" t="n"/>
      <c r="AC127" s="83" t="n"/>
      <c r="AD127" s="83" t="n"/>
      <c r="AE127" s="83" t="n"/>
      <c r="AF127" s="83" t="n"/>
      <c r="AG127" s="83" t="n"/>
      <c r="AH127" s="84">
        <f>IF(OR($A127="",COUNT(AB127,AC127,AD127,AG127,AE127,AF127)&lt;1),"",AB127+AC127+AD127+AG127-AE127-AF127)</f>
        <v/>
      </c>
      <c r="AI127" s="84">
        <f>IF(OR($A127="",COUNT(AA127,AH127)&lt;2),"",AA127-AH127)</f>
        <v/>
      </c>
      <c r="AJ127" s="84">
        <f>IF(OR($A127="",COUNT(W127,AB127)&lt;2),"",W127-AB127)</f>
        <v/>
      </c>
      <c r="AK127" s="83" t="n"/>
      <c r="AL127" s="33" t="n"/>
      <c r="AM127" s="33" t="n"/>
      <c r="AN127" s="83" t="n"/>
      <c r="AO127" s="33" t="n"/>
      <c r="AP127" s="33" t="n"/>
      <c r="AQ127" s="33" t="n"/>
    </row>
    <row r="128">
      <c r="A128" s="33" t="n"/>
      <c r="B128" s="33" t="n"/>
      <c r="C128" s="33" t="n"/>
      <c r="D128" s="33" t="n"/>
      <c r="E128" s="33" t="n"/>
      <c r="F128" s="33" t="n"/>
      <c r="G128" s="33" t="n"/>
      <c r="H128" s="33" t="n"/>
      <c r="I128" s="33" t="n"/>
      <c r="J128" s="33" t="n"/>
      <c r="K128" s="34" t="n"/>
      <c r="L128" s="34" t="n"/>
      <c r="M128" s="34" t="n"/>
      <c r="N128" s="82" t="n"/>
      <c r="O128" s="82" t="n"/>
      <c r="P128" s="33" t="n"/>
      <c r="Q128" s="34" t="n"/>
      <c r="R128" s="83" t="n"/>
      <c r="S128" s="34" t="n"/>
      <c r="T128" s="33" t="n"/>
      <c r="U128" s="83" t="n"/>
      <c r="V128" s="33" t="n"/>
      <c r="W128" s="83" t="n"/>
      <c r="X128" s="83" t="n"/>
      <c r="Y128" s="83" t="n"/>
      <c r="Z128" s="83" t="n"/>
      <c r="AA128" s="84">
        <f>IF(OR($A128="",COUNT(W128,X128,Z128,Y128)&lt;1),"",W128+X128+Z128-Y128)</f>
        <v/>
      </c>
      <c r="AB128" s="83" t="n"/>
      <c r="AC128" s="83" t="n"/>
      <c r="AD128" s="83" t="n"/>
      <c r="AE128" s="83" t="n"/>
      <c r="AF128" s="83" t="n"/>
      <c r="AG128" s="83" t="n"/>
      <c r="AH128" s="84">
        <f>IF(OR($A128="",COUNT(AB128,AC128,AD128,AG128,AE128,AF128)&lt;1),"",AB128+AC128+AD128+AG128-AE128-AF128)</f>
        <v/>
      </c>
      <c r="AI128" s="84">
        <f>IF(OR($A128="",COUNT(AA128,AH128)&lt;2),"",AA128-AH128)</f>
        <v/>
      </c>
      <c r="AJ128" s="84">
        <f>IF(OR($A128="",COUNT(W128,AB128)&lt;2),"",W128-AB128)</f>
        <v/>
      </c>
      <c r="AK128" s="83" t="n"/>
      <c r="AL128" s="33" t="n"/>
      <c r="AM128" s="33" t="n"/>
      <c r="AN128" s="83" t="n"/>
      <c r="AO128" s="33" t="n"/>
      <c r="AP128" s="33" t="n"/>
      <c r="AQ128" s="33" t="n"/>
    </row>
    <row r="129">
      <c r="A129" s="33" t="n"/>
      <c r="B129" s="33" t="n"/>
      <c r="C129" s="33" t="n"/>
      <c r="D129" s="33" t="n"/>
      <c r="E129" s="33" t="n"/>
      <c r="F129" s="33" t="n"/>
      <c r="G129" s="33" t="n"/>
      <c r="H129" s="33" t="n"/>
      <c r="I129" s="33" t="n"/>
      <c r="J129" s="33" t="n"/>
      <c r="K129" s="34" t="n"/>
      <c r="L129" s="34" t="n"/>
      <c r="M129" s="34" t="n"/>
      <c r="N129" s="82" t="n"/>
      <c r="O129" s="82" t="n"/>
      <c r="P129" s="33" t="n"/>
      <c r="Q129" s="34" t="n"/>
      <c r="R129" s="83" t="n"/>
      <c r="S129" s="34" t="n"/>
      <c r="T129" s="33" t="n"/>
      <c r="U129" s="83" t="n"/>
      <c r="V129" s="33" t="n"/>
      <c r="W129" s="83" t="n"/>
      <c r="X129" s="83" t="n"/>
      <c r="Y129" s="83" t="n"/>
      <c r="Z129" s="83" t="n"/>
      <c r="AA129" s="84">
        <f>IF(OR($A129="",COUNT(W129,X129,Z129,Y129)&lt;1),"",W129+X129+Z129-Y129)</f>
        <v/>
      </c>
      <c r="AB129" s="83" t="n"/>
      <c r="AC129" s="83" t="n"/>
      <c r="AD129" s="83" t="n"/>
      <c r="AE129" s="83" t="n"/>
      <c r="AF129" s="83" t="n"/>
      <c r="AG129" s="83" t="n"/>
      <c r="AH129" s="84">
        <f>IF(OR($A129="",COUNT(AB129,AC129,AD129,AG129,AE129,AF129)&lt;1),"",AB129+AC129+AD129+AG129-AE129-AF129)</f>
        <v/>
      </c>
      <c r="AI129" s="84">
        <f>IF(OR($A129="",COUNT(AA129,AH129)&lt;2),"",AA129-AH129)</f>
        <v/>
      </c>
      <c r="AJ129" s="84">
        <f>IF(OR($A129="",COUNT(W129,AB129)&lt;2),"",W129-AB129)</f>
        <v/>
      </c>
      <c r="AK129" s="83" t="n"/>
      <c r="AL129" s="33" t="n"/>
      <c r="AM129" s="33" t="n"/>
      <c r="AN129" s="83" t="n"/>
      <c r="AO129" s="33" t="n"/>
      <c r="AP129" s="33" t="n"/>
      <c r="AQ129" s="33" t="n"/>
    </row>
    <row r="130">
      <c r="A130" s="33" t="n"/>
      <c r="B130" s="33" t="n"/>
      <c r="C130" s="33" t="n"/>
      <c r="D130" s="33" t="n"/>
      <c r="E130" s="33" t="n"/>
      <c r="F130" s="33" t="n"/>
      <c r="G130" s="33" t="n"/>
      <c r="H130" s="33" t="n"/>
      <c r="I130" s="33" t="n"/>
      <c r="J130" s="33" t="n"/>
      <c r="K130" s="34" t="n"/>
      <c r="L130" s="34" t="n"/>
      <c r="M130" s="34" t="n"/>
      <c r="N130" s="82" t="n"/>
      <c r="O130" s="82" t="n"/>
      <c r="P130" s="33" t="n"/>
      <c r="Q130" s="34" t="n"/>
      <c r="R130" s="83" t="n"/>
      <c r="S130" s="34" t="n"/>
      <c r="T130" s="33" t="n"/>
      <c r="U130" s="83" t="n"/>
      <c r="V130" s="33" t="n"/>
      <c r="W130" s="83" t="n"/>
      <c r="X130" s="83" t="n"/>
      <c r="Y130" s="83" t="n"/>
      <c r="Z130" s="83" t="n"/>
      <c r="AA130" s="84">
        <f>IF(OR($A130="",COUNT(W130,X130,Z130,Y130)&lt;1),"",W130+X130+Z130-Y130)</f>
        <v/>
      </c>
      <c r="AB130" s="83" t="n"/>
      <c r="AC130" s="83" t="n"/>
      <c r="AD130" s="83" t="n"/>
      <c r="AE130" s="83" t="n"/>
      <c r="AF130" s="83" t="n"/>
      <c r="AG130" s="83" t="n"/>
      <c r="AH130" s="84">
        <f>IF(OR($A130="",COUNT(AB130,AC130,AD130,AG130,AE130,AF130)&lt;1),"",AB130+AC130+AD130+AG130-AE130-AF130)</f>
        <v/>
      </c>
      <c r="AI130" s="84">
        <f>IF(OR($A130="",COUNT(AA130,AH130)&lt;2),"",AA130-AH130)</f>
        <v/>
      </c>
      <c r="AJ130" s="84">
        <f>IF(OR($A130="",COUNT(W130,AB130)&lt;2),"",W130-AB130)</f>
        <v/>
      </c>
      <c r="AK130" s="83" t="n"/>
      <c r="AL130" s="33" t="n"/>
      <c r="AM130" s="33" t="n"/>
      <c r="AN130" s="83" t="n"/>
      <c r="AO130" s="33" t="n"/>
      <c r="AP130" s="33" t="n"/>
      <c r="AQ130" s="33" t="n"/>
    </row>
    <row r="131">
      <c r="A131" s="33" t="n"/>
      <c r="B131" s="33" t="n"/>
      <c r="C131" s="33" t="n"/>
      <c r="D131" s="33" t="n"/>
      <c r="E131" s="33" t="n"/>
      <c r="F131" s="33" t="n"/>
      <c r="G131" s="33" t="n"/>
      <c r="H131" s="33" t="n"/>
      <c r="I131" s="33" t="n"/>
      <c r="J131" s="33" t="n"/>
      <c r="K131" s="34" t="n"/>
      <c r="L131" s="34" t="n"/>
      <c r="M131" s="34" t="n"/>
      <c r="N131" s="82" t="n"/>
      <c r="O131" s="82" t="n"/>
      <c r="P131" s="33" t="n"/>
      <c r="Q131" s="34" t="n"/>
      <c r="R131" s="83" t="n"/>
      <c r="S131" s="34" t="n"/>
      <c r="T131" s="33" t="n"/>
      <c r="U131" s="83" t="n"/>
      <c r="V131" s="33" t="n"/>
      <c r="W131" s="83" t="n"/>
      <c r="X131" s="83" t="n"/>
      <c r="Y131" s="83" t="n"/>
      <c r="Z131" s="83" t="n"/>
      <c r="AA131" s="84">
        <f>IF(OR($A131="",COUNT(W131,X131,Z131,Y131)&lt;1),"",W131+X131+Z131-Y131)</f>
        <v/>
      </c>
      <c r="AB131" s="83" t="n"/>
      <c r="AC131" s="83" t="n"/>
      <c r="AD131" s="83" t="n"/>
      <c r="AE131" s="83" t="n"/>
      <c r="AF131" s="83" t="n"/>
      <c r="AG131" s="83" t="n"/>
      <c r="AH131" s="84">
        <f>IF(OR($A131="",COUNT(AB131,AC131,AD131,AG131,AE131,AF131)&lt;1),"",AB131+AC131+AD131+AG131-AE131-AF131)</f>
        <v/>
      </c>
      <c r="AI131" s="84">
        <f>IF(OR($A131="",COUNT(AA131,AH131)&lt;2),"",AA131-AH131)</f>
        <v/>
      </c>
      <c r="AJ131" s="84">
        <f>IF(OR($A131="",COUNT(W131,AB131)&lt;2),"",W131-AB131)</f>
        <v/>
      </c>
      <c r="AK131" s="83" t="n"/>
      <c r="AL131" s="33" t="n"/>
      <c r="AM131" s="33" t="n"/>
      <c r="AN131" s="83" t="n"/>
      <c r="AO131" s="33" t="n"/>
      <c r="AP131" s="33" t="n"/>
      <c r="AQ131" s="33" t="n"/>
    </row>
    <row r="132">
      <c r="A132" s="33" t="n"/>
      <c r="B132" s="33" t="n"/>
      <c r="C132" s="33" t="n"/>
      <c r="D132" s="33" t="n"/>
      <c r="E132" s="33" t="n"/>
      <c r="F132" s="33" t="n"/>
      <c r="G132" s="33" t="n"/>
      <c r="H132" s="33" t="n"/>
      <c r="I132" s="33" t="n"/>
      <c r="J132" s="33" t="n"/>
      <c r="K132" s="34" t="n"/>
      <c r="L132" s="34" t="n"/>
      <c r="M132" s="34" t="n"/>
      <c r="N132" s="82" t="n"/>
      <c r="O132" s="82" t="n"/>
      <c r="P132" s="33" t="n"/>
      <c r="Q132" s="34" t="n"/>
      <c r="R132" s="83" t="n"/>
      <c r="S132" s="34" t="n"/>
      <c r="T132" s="33" t="n"/>
      <c r="U132" s="83" t="n"/>
      <c r="V132" s="33" t="n"/>
      <c r="W132" s="83" t="n"/>
      <c r="X132" s="83" t="n"/>
      <c r="Y132" s="83" t="n"/>
      <c r="Z132" s="83" t="n"/>
      <c r="AA132" s="84">
        <f>IF(OR($A132="",COUNT(W132,X132,Z132,Y132)&lt;1),"",W132+X132+Z132-Y132)</f>
        <v/>
      </c>
      <c r="AB132" s="83" t="n"/>
      <c r="AC132" s="83" t="n"/>
      <c r="AD132" s="83" t="n"/>
      <c r="AE132" s="83" t="n"/>
      <c r="AF132" s="83" t="n"/>
      <c r="AG132" s="83" t="n"/>
      <c r="AH132" s="84">
        <f>IF(OR($A132="",COUNT(AB132,AC132,AD132,AG132,AE132,AF132)&lt;1),"",AB132+AC132+AD132+AG132-AE132-AF132)</f>
        <v/>
      </c>
      <c r="AI132" s="84">
        <f>IF(OR($A132="",COUNT(AA132,AH132)&lt;2),"",AA132-AH132)</f>
        <v/>
      </c>
      <c r="AJ132" s="84">
        <f>IF(OR($A132="",COUNT(W132,AB132)&lt;2),"",W132-AB132)</f>
        <v/>
      </c>
      <c r="AK132" s="83" t="n"/>
      <c r="AL132" s="33" t="n"/>
      <c r="AM132" s="33" t="n"/>
      <c r="AN132" s="83" t="n"/>
      <c r="AO132" s="33" t="n"/>
      <c r="AP132" s="33" t="n"/>
      <c r="AQ132" s="33" t="n"/>
    </row>
    <row r="133">
      <c r="A133" s="33" t="n"/>
      <c r="B133" s="33" t="n"/>
      <c r="C133" s="33" t="n"/>
      <c r="D133" s="33" t="n"/>
      <c r="E133" s="33" t="n"/>
      <c r="F133" s="33" t="n"/>
      <c r="G133" s="33" t="n"/>
      <c r="H133" s="33" t="n"/>
      <c r="I133" s="33" t="n"/>
      <c r="J133" s="33" t="n"/>
      <c r="K133" s="34" t="n"/>
      <c r="L133" s="34" t="n"/>
      <c r="M133" s="34" t="n"/>
      <c r="N133" s="82" t="n"/>
      <c r="O133" s="82" t="n"/>
      <c r="P133" s="33" t="n"/>
      <c r="Q133" s="34" t="n"/>
      <c r="R133" s="83" t="n"/>
      <c r="S133" s="34" t="n"/>
      <c r="T133" s="33" t="n"/>
      <c r="U133" s="83" t="n"/>
      <c r="V133" s="33" t="n"/>
      <c r="W133" s="83" t="n"/>
      <c r="X133" s="83" t="n"/>
      <c r="Y133" s="83" t="n"/>
      <c r="Z133" s="83" t="n"/>
      <c r="AA133" s="84">
        <f>IF(OR($A133="",COUNT(W133,X133,Z133,Y133)&lt;1),"",W133+X133+Z133-Y133)</f>
        <v/>
      </c>
      <c r="AB133" s="83" t="n"/>
      <c r="AC133" s="83" t="n"/>
      <c r="AD133" s="83" t="n"/>
      <c r="AE133" s="83" t="n"/>
      <c r="AF133" s="83" t="n"/>
      <c r="AG133" s="83" t="n"/>
      <c r="AH133" s="84">
        <f>IF(OR($A133="",COUNT(AB133,AC133,AD133,AG133,AE133,AF133)&lt;1),"",AB133+AC133+AD133+AG133-AE133-AF133)</f>
        <v/>
      </c>
      <c r="AI133" s="84">
        <f>IF(OR($A133="",COUNT(AA133,AH133)&lt;2),"",AA133-AH133)</f>
        <v/>
      </c>
      <c r="AJ133" s="84">
        <f>IF(OR($A133="",COUNT(W133,AB133)&lt;2),"",W133-AB133)</f>
        <v/>
      </c>
      <c r="AK133" s="83" t="n"/>
      <c r="AL133" s="33" t="n"/>
      <c r="AM133" s="33" t="n"/>
      <c r="AN133" s="83" t="n"/>
      <c r="AO133" s="33" t="n"/>
      <c r="AP133" s="33" t="n"/>
      <c r="AQ133" s="33" t="n"/>
    </row>
    <row r="134">
      <c r="A134" s="33" t="n"/>
      <c r="B134" s="33" t="n"/>
      <c r="C134" s="33" t="n"/>
      <c r="D134" s="33" t="n"/>
      <c r="E134" s="33" t="n"/>
      <c r="F134" s="33" t="n"/>
      <c r="G134" s="33" t="n"/>
      <c r="H134" s="33" t="n"/>
      <c r="I134" s="33" t="n"/>
      <c r="J134" s="33" t="n"/>
      <c r="K134" s="34" t="n"/>
      <c r="L134" s="34" t="n"/>
      <c r="M134" s="34" t="n"/>
      <c r="N134" s="82" t="n"/>
      <c r="O134" s="82" t="n"/>
      <c r="P134" s="33" t="n"/>
      <c r="Q134" s="34" t="n"/>
      <c r="R134" s="83" t="n"/>
      <c r="S134" s="34" t="n"/>
      <c r="T134" s="33" t="n"/>
      <c r="U134" s="83" t="n"/>
      <c r="V134" s="33" t="n"/>
      <c r="W134" s="83" t="n"/>
      <c r="X134" s="83" t="n"/>
      <c r="Y134" s="83" t="n"/>
      <c r="Z134" s="83" t="n"/>
      <c r="AA134" s="84">
        <f>IF(OR($A134="",COUNT(W134,X134,Z134,Y134)&lt;1),"",W134+X134+Z134-Y134)</f>
        <v/>
      </c>
      <c r="AB134" s="83" t="n"/>
      <c r="AC134" s="83" t="n"/>
      <c r="AD134" s="83" t="n"/>
      <c r="AE134" s="83" t="n"/>
      <c r="AF134" s="83" t="n"/>
      <c r="AG134" s="83" t="n"/>
      <c r="AH134" s="84">
        <f>IF(OR($A134="",COUNT(AB134,AC134,AD134,AG134,AE134,AF134)&lt;1),"",AB134+AC134+AD134+AG134-AE134-AF134)</f>
        <v/>
      </c>
      <c r="AI134" s="84">
        <f>IF(OR($A134="",COUNT(AA134,AH134)&lt;2),"",AA134-AH134)</f>
        <v/>
      </c>
      <c r="AJ134" s="84">
        <f>IF(OR($A134="",COUNT(W134,AB134)&lt;2),"",W134-AB134)</f>
        <v/>
      </c>
      <c r="AK134" s="83" t="n"/>
      <c r="AL134" s="33" t="n"/>
      <c r="AM134" s="33" t="n"/>
      <c r="AN134" s="83" t="n"/>
      <c r="AO134" s="33" t="n"/>
      <c r="AP134" s="33" t="n"/>
      <c r="AQ134" s="33" t="n"/>
    </row>
    <row r="135">
      <c r="A135" s="33" t="n"/>
      <c r="B135" s="33" t="n"/>
      <c r="C135" s="33" t="n"/>
      <c r="D135" s="33" t="n"/>
      <c r="E135" s="33" t="n"/>
      <c r="F135" s="33" t="n"/>
      <c r="G135" s="33" t="n"/>
      <c r="H135" s="33" t="n"/>
      <c r="I135" s="33" t="n"/>
      <c r="J135" s="33" t="n"/>
      <c r="K135" s="34" t="n"/>
      <c r="L135" s="34" t="n"/>
      <c r="M135" s="34" t="n"/>
      <c r="N135" s="82" t="n"/>
      <c r="O135" s="82" t="n"/>
      <c r="P135" s="33" t="n"/>
      <c r="Q135" s="34" t="n"/>
      <c r="R135" s="83" t="n"/>
      <c r="S135" s="34" t="n"/>
      <c r="T135" s="33" t="n"/>
      <c r="U135" s="83" t="n"/>
      <c r="V135" s="33" t="n"/>
      <c r="W135" s="83" t="n"/>
      <c r="X135" s="83" t="n"/>
      <c r="Y135" s="83" t="n"/>
      <c r="Z135" s="83" t="n"/>
      <c r="AA135" s="84">
        <f>IF(OR($A135="",COUNT(W135,X135,Z135,Y135)&lt;1),"",W135+X135+Z135-Y135)</f>
        <v/>
      </c>
      <c r="AB135" s="83" t="n"/>
      <c r="AC135" s="83" t="n"/>
      <c r="AD135" s="83" t="n"/>
      <c r="AE135" s="83" t="n"/>
      <c r="AF135" s="83" t="n"/>
      <c r="AG135" s="83" t="n"/>
      <c r="AH135" s="84">
        <f>IF(OR($A135="",COUNT(AB135,AC135,AD135,AG135,AE135,AF135)&lt;1),"",AB135+AC135+AD135+AG135-AE135-AF135)</f>
        <v/>
      </c>
      <c r="AI135" s="84">
        <f>IF(OR($A135="",COUNT(AA135,AH135)&lt;2),"",AA135-AH135)</f>
        <v/>
      </c>
      <c r="AJ135" s="84">
        <f>IF(OR($A135="",COUNT(W135,AB135)&lt;2),"",W135-AB135)</f>
        <v/>
      </c>
      <c r="AK135" s="83" t="n"/>
      <c r="AL135" s="33" t="n"/>
      <c r="AM135" s="33" t="n"/>
      <c r="AN135" s="83" t="n"/>
      <c r="AO135" s="33" t="n"/>
      <c r="AP135" s="33" t="n"/>
      <c r="AQ135" s="33" t="n"/>
    </row>
    <row r="136">
      <c r="A136" s="33" t="n"/>
      <c r="B136" s="33" t="n"/>
      <c r="C136" s="33" t="n"/>
      <c r="D136" s="33" t="n"/>
      <c r="E136" s="33" t="n"/>
      <c r="F136" s="33" t="n"/>
      <c r="G136" s="33" t="n"/>
      <c r="H136" s="33" t="n"/>
      <c r="I136" s="33" t="n"/>
      <c r="J136" s="33" t="n"/>
      <c r="K136" s="34" t="n"/>
      <c r="L136" s="34" t="n"/>
      <c r="M136" s="34" t="n"/>
      <c r="N136" s="82" t="n"/>
      <c r="O136" s="82" t="n"/>
      <c r="P136" s="33" t="n"/>
      <c r="Q136" s="34" t="n"/>
      <c r="R136" s="83" t="n"/>
      <c r="S136" s="34" t="n"/>
      <c r="T136" s="33" t="n"/>
      <c r="U136" s="83" t="n"/>
      <c r="V136" s="33" t="n"/>
      <c r="W136" s="83" t="n"/>
      <c r="X136" s="83" t="n"/>
      <c r="Y136" s="83" t="n"/>
      <c r="Z136" s="83" t="n"/>
      <c r="AA136" s="84">
        <f>IF(OR($A136="",COUNT(W136,X136,Z136,Y136)&lt;1),"",W136+X136+Z136-Y136)</f>
        <v/>
      </c>
      <c r="AB136" s="83" t="n"/>
      <c r="AC136" s="83" t="n"/>
      <c r="AD136" s="83" t="n"/>
      <c r="AE136" s="83" t="n"/>
      <c r="AF136" s="83" t="n"/>
      <c r="AG136" s="83" t="n"/>
      <c r="AH136" s="84">
        <f>IF(OR($A136="",COUNT(AB136,AC136,AD136,AG136,AE136,AF136)&lt;1),"",AB136+AC136+AD136+AG136-AE136-AF136)</f>
        <v/>
      </c>
      <c r="AI136" s="84">
        <f>IF(OR($A136="",COUNT(AA136,AH136)&lt;2),"",AA136-AH136)</f>
        <v/>
      </c>
      <c r="AJ136" s="84">
        <f>IF(OR($A136="",COUNT(W136,AB136)&lt;2),"",W136-AB136)</f>
        <v/>
      </c>
      <c r="AK136" s="83" t="n"/>
      <c r="AL136" s="33" t="n"/>
      <c r="AM136" s="33" t="n"/>
      <c r="AN136" s="83" t="n"/>
      <c r="AO136" s="33" t="n"/>
      <c r="AP136" s="33" t="n"/>
      <c r="AQ136" s="33" t="n"/>
    </row>
    <row r="137">
      <c r="A137" s="33" t="n"/>
      <c r="B137" s="33" t="n"/>
      <c r="C137" s="33" t="n"/>
      <c r="D137" s="33" t="n"/>
      <c r="E137" s="33" t="n"/>
      <c r="F137" s="33" t="n"/>
      <c r="G137" s="33" t="n"/>
      <c r="H137" s="33" t="n"/>
      <c r="I137" s="33" t="n"/>
      <c r="J137" s="33" t="n"/>
      <c r="K137" s="34" t="n"/>
      <c r="L137" s="34" t="n"/>
      <c r="M137" s="34" t="n"/>
      <c r="N137" s="82" t="n"/>
      <c r="O137" s="82" t="n"/>
      <c r="P137" s="33" t="n"/>
      <c r="Q137" s="34" t="n"/>
      <c r="R137" s="83" t="n"/>
      <c r="S137" s="34" t="n"/>
      <c r="T137" s="33" t="n"/>
      <c r="U137" s="83" t="n"/>
      <c r="V137" s="33" t="n"/>
      <c r="W137" s="83" t="n"/>
      <c r="X137" s="83" t="n"/>
      <c r="Y137" s="83" t="n"/>
      <c r="Z137" s="83" t="n"/>
      <c r="AA137" s="84">
        <f>IF(OR($A137="",COUNT(W137,X137,Z137,Y137)&lt;1),"",W137+X137+Z137-Y137)</f>
        <v/>
      </c>
      <c r="AB137" s="83" t="n"/>
      <c r="AC137" s="83" t="n"/>
      <c r="AD137" s="83" t="n"/>
      <c r="AE137" s="83" t="n"/>
      <c r="AF137" s="83" t="n"/>
      <c r="AG137" s="83" t="n"/>
      <c r="AH137" s="84">
        <f>IF(OR($A137="",COUNT(AB137,AC137,AD137,AG137,AE137,AF137)&lt;1),"",AB137+AC137+AD137+AG137-AE137-AF137)</f>
        <v/>
      </c>
      <c r="AI137" s="84">
        <f>IF(OR($A137="",COUNT(AA137,AH137)&lt;2),"",AA137-AH137)</f>
        <v/>
      </c>
      <c r="AJ137" s="84">
        <f>IF(OR($A137="",COUNT(W137,AB137)&lt;2),"",W137-AB137)</f>
        <v/>
      </c>
      <c r="AK137" s="83" t="n"/>
      <c r="AL137" s="33" t="n"/>
      <c r="AM137" s="33" t="n"/>
      <c r="AN137" s="83" t="n"/>
      <c r="AO137" s="33" t="n"/>
      <c r="AP137" s="33" t="n"/>
      <c r="AQ137" s="33" t="n"/>
    </row>
    <row r="138">
      <c r="A138" s="33" t="n"/>
      <c r="B138" s="33" t="n"/>
      <c r="C138" s="33" t="n"/>
      <c r="D138" s="33" t="n"/>
      <c r="E138" s="33" t="n"/>
      <c r="F138" s="33" t="n"/>
      <c r="G138" s="33" t="n"/>
      <c r="H138" s="33" t="n"/>
      <c r="I138" s="33" t="n"/>
      <c r="J138" s="33" t="n"/>
      <c r="K138" s="34" t="n"/>
      <c r="L138" s="34" t="n"/>
      <c r="M138" s="34" t="n"/>
      <c r="N138" s="82" t="n"/>
      <c r="O138" s="82" t="n"/>
      <c r="P138" s="33" t="n"/>
      <c r="Q138" s="34" t="n"/>
      <c r="R138" s="83" t="n"/>
      <c r="S138" s="34" t="n"/>
      <c r="T138" s="33" t="n"/>
      <c r="U138" s="83" t="n"/>
      <c r="V138" s="33" t="n"/>
      <c r="W138" s="83" t="n"/>
      <c r="X138" s="83" t="n"/>
      <c r="Y138" s="83" t="n"/>
      <c r="Z138" s="83" t="n"/>
      <c r="AA138" s="84">
        <f>IF(OR($A138="",COUNT(W138,X138,Z138,Y138)&lt;1),"",W138+X138+Z138-Y138)</f>
        <v/>
      </c>
      <c r="AB138" s="83" t="n"/>
      <c r="AC138" s="83" t="n"/>
      <c r="AD138" s="83" t="n"/>
      <c r="AE138" s="83" t="n"/>
      <c r="AF138" s="83" t="n"/>
      <c r="AG138" s="83" t="n"/>
      <c r="AH138" s="84">
        <f>IF(OR($A138="",COUNT(AB138,AC138,AD138,AG138,AE138,AF138)&lt;1),"",AB138+AC138+AD138+AG138-AE138-AF138)</f>
        <v/>
      </c>
      <c r="AI138" s="84">
        <f>IF(OR($A138="",COUNT(AA138,AH138)&lt;2),"",AA138-AH138)</f>
        <v/>
      </c>
      <c r="AJ138" s="84">
        <f>IF(OR($A138="",COUNT(W138,AB138)&lt;2),"",W138-AB138)</f>
        <v/>
      </c>
      <c r="AK138" s="83" t="n"/>
      <c r="AL138" s="33" t="n"/>
      <c r="AM138" s="33" t="n"/>
      <c r="AN138" s="83" t="n"/>
      <c r="AO138" s="33" t="n"/>
      <c r="AP138" s="33" t="n"/>
      <c r="AQ138" s="33" t="n"/>
    </row>
    <row r="139">
      <c r="A139" s="33" t="n"/>
      <c r="B139" s="33" t="n"/>
      <c r="C139" s="33" t="n"/>
      <c r="D139" s="33" t="n"/>
      <c r="E139" s="33" t="n"/>
      <c r="F139" s="33" t="n"/>
      <c r="G139" s="33" t="n"/>
      <c r="H139" s="33" t="n"/>
      <c r="I139" s="33" t="n"/>
      <c r="J139" s="33" t="n"/>
      <c r="K139" s="34" t="n"/>
      <c r="L139" s="34" t="n"/>
      <c r="M139" s="34" t="n"/>
      <c r="N139" s="82" t="n"/>
      <c r="O139" s="82" t="n"/>
      <c r="P139" s="33" t="n"/>
      <c r="Q139" s="34" t="n"/>
      <c r="R139" s="83" t="n"/>
      <c r="S139" s="34" t="n"/>
      <c r="T139" s="33" t="n"/>
      <c r="U139" s="83" t="n"/>
      <c r="V139" s="33" t="n"/>
      <c r="W139" s="83" t="n"/>
      <c r="X139" s="83" t="n"/>
      <c r="Y139" s="83" t="n"/>
      <c r="Z139" s="83" t="n"/>
      <c r="AA139" s="84">
        <f>IF(OR($A139="",COUNT(W139,X139,Z139,Y139)&lt;1),"",W139+X139+Z139-Y139)</f>
        <v/>
      </c>
      <c r="AB139" s="83" t="n"/>
      <c r="AC139" s="83" t="n"/>
      <c r="AD139" s="83" t="n"/>
      <c r="AE139" s="83" t="n"/>
      <c r="AF139" s="83" t="n"/>
      <c r="AG139" s="83" t="n"/>
      <c r="AH139" s="84">
        <f>IF(OR($A139="",COUNT(AB139,AC139,AD139,AG139,AE139,AF139)&lt;1),"",AB139+AC139+AD139+AG139-AE139-AF139)</f>
        <v/>
      </c>
      <c r="AI139" s="84">
        <f>IF(OR($A139="",COUNT(AA139,AH139)&lt;2),"",AA139-AH139)</f>
        <v/>
      </c>
      <c r="AJ139" s="84">
        <f>IF(OR($A139="",COUNT(W139,AB139)&lt;2),"",W139-AB139)</f>
        <v/>
      </c>
      <c r="AK139" s="83" t="n"/>
      <c r="AL139" s="33" t="n"/>
      <c r="AM139" s="33" t="n"/>
      <c r="AN139" s="83" t="n"/>
      <c r="AO139" s="33" t="n"/>
      <c r="AP139" s="33" t="n"/>
      <c r="AQ139" s="33" t="n"/>
    </row>
    <row r="140">
      <c r="A140" s="33" t="n"/>
      <c r="B140" s="33" t="n"/>
      <c r="C140" s="33" t="n"/>
      <c r="D140" s="33" t="n"/>
      <c r="E140" s="33" t="n"/>
      <c r="F140" s="33" t="n"/>
      <c r="G140" s="33" t="n"/>
      <c r="H140" s="33" t="n"/>
      <c r="I140" s="33" t="n"/>
      <c r="J140" s="33" t="n"/>
      <c r="K140" s="34" t="n"/>
      <c r="L140" s="34" t="n"/>
      <c r="M140" s="34" t="n"/>
      <c r="N140" s="82" t="n"/>
      <c r="O140" s="82" t="n"/>
      <c r="P140" s="33" t="n"/>
      <c r="Q140" s="34" t="n"/>
      <c r="R140" s="83" t="n"/>
      <c r="S140" s="34" t="n"/>
      <c r="T140" s="33" t="n"/>
      <c r="U140" s="83" t="n"/>
      <c r="V140" s="33" t="n"/>
      <c r="W140" s="83" t="n"/>
      <c r="X140" s="83" t="n"/>
      <c r="Y140" s="83" t="n"/>
      <c r="Z140" s="83" t="n"/>
      <c r="AA140" s="84">
        <f>IF(OR($A140="",COUNT(W140,X140,Z140,Y140)&lt;1),"",W140+X140+Z140-Y140)</f>
        <v/>
      </c>
      <c r="AB140" s="83" t="n"/>
      <c r="AC140" s="83" t="n"/>
      <c r="AD140" s="83" t="n"/>
      <c r="AE140" s="83" t="n"/>
      <c r="AF140" s="83" t="n"/>
      <c r="AG140" s="83" t="n"/>
      <c r="AH140" s="84">
        <f>IF(OR($A140="",COUNT(AB140,AC140,AD140,AG140,AE140,AF140)&lt;1),"",AB140+AC140+AD140+AG140-AE140-AF140)</f>
        <v/>
      </c>
      <c r="AI140" s="84">
        <f>IF(OR($A140="",COUNT(AA140,AH140)&lt;2),"",AA140-AH140)</f>
        <v/>
      </c>
      <c r="AJ140" s="84">
        <f>IF(OR($A140="",COUNT(W140,AB140)&lt;2),"",W140-AB140)</f>
        <v/>
      </c>
      <c r="AK140" s="83" t="n"/>
      <c r="AL140" s="33" t="n"/>
      <c r="AM140" s="33" t="n"/>
      <c r="AN140" s="83" t="n"/>
      <c r="AO140" s="33" t="n"/>
      <c r="AP140" s="33" t="n"/>
      <c r="AQ140" s="33" t="n"/>
    </row>
    <row r="141">
      <c r="A141" s="33" t="n"/>
      <c r="B141" s="33" t="n"/>
      <c r="C141" s="33" t="n"/>
      <c r="D141" s="33" t="n"/>
      <c r="E141" s="33" t="n"/>
      <c r="F141" s="33" t="n"/>
      <c r="G141" s="33" t="n"/>
      <c r="H141" s="33" t="n"/>
      <c r="I141" s="33" t="n"/>
      <c r="J141" s="33" t="n"/>
      <c r="K141" s="34" t="n"/>
      <c r="L141" s="34" t="n"/>
      <c r="M141" s="34" t="n"/>
      <c r="N141" s="82" t="n"/>
      <c r="O141" s="82" t="n"/>
      <c r="P141" s="33" t="n"/>
      <c r="Q141" s="34" t="n"/>
      <c r="R141" s="83" t="n"/>
      <c r="S141" s="34" t="n"/>
      <c r="T141" s="33" t="n"/>
      <c r="U141" s="83" t="n"/>
      <c r="V141" s="33" t="n"/>
      <c r="W141" s="83" t="n"/>
      <c r="X141" s="83" t="n"/>
      <c r="Y141" s="83" t="n"/>
      <c r="Z141" s="83" t="n"/>
      <c r="AA141" s="84">
        <f>IF(OR($A141="",COUNT(W141,X141,Z141,Y141)&lt;1),"",W141+X141+Z141-Y141)</f>
        <v/>
      </c>
      <c r="AB141" s="83" t="n"/>
      <c r="AC141" s="83" t="n"/>
      <c r="AD141" s="83" t="n"/>
      <c r="AE141" s="83" t="n"/>
      <c r="AF141" s="83" t="n"/>
      <c r="AG141" s="83" t="n"/>
      <c r="AH141" s="84">
        <f>IF(OR($A141="",COUNT(AB141,AC141,AD141,AG141,AE141,AF141)&lt;1),"",AB141+AC141+AD141+AG141-AE141-AF141)</f>
        <v/>
      </c>
      <c r="AI141" s="84">
        <f>IF(OR($A141="",COUNT(AA141,AH141)&lt;2),"",AA141-AH141)</f>
        <v/>
      </c>
      <c r="AJ141" s="84">
        <f>IF(OR($A141="",COUNT(W141,AB141)&lt;2),"",W141-AB141)</f>
        <v/>
      </c>
      <c r="AK141" s="83" t="n"/>
      <c r="AL141" s="33" t="n"/>
      <c r="AM141" s="33" t="n"/>
      <c r="AN141" s="83" t="n"/>
      <c r="AO141" s="33" t="n"/>
      <c r="AP141" s="33" t="n"/>
      <c r="AQ141" s="33" t="n"/>
    </row>
    <row r="142">
      <c r="A142" s="33" t="n"/>
      <c r="B142" s="33" t="n"/>
      <c r="C142" s="33" t="n"/>
      <c r="D142" s="33" t="n"/>
      <c r="E142" s="33" t="n"/>
      <c r="F142" s="33" t="n"/>
      <c r="G142" s="33" t="n"/>
      <c r="H142" s="33" t="n"/>
      <c r="I142" s="33" t="n"/>
      <c r="J142" s="33" t="n"/>
      <c r="K142" s="34" t="n"/>
      <c r="L142" s="34" t="n"/>
      <c r="M142" s="34" t="n"/>
      <c r="N142" s="82" t="n"/>
      <c r="O142" s="82" t="n"/>
      <c r="P142" s="33" t="n"/>
      <c r="Q142" s="34" t="n"/>
      <c r="R142" s="83" t="n"/>
      <c r="S142" s="34" t="n"/>
      <c r="T142" s="33" t="n"/>
      <c r="U142" s="83" t="n"/>
      <c r="V142" s="33" t="n"/>
      <c r="W142" s="83" t="n"/>
      <c r="X142" s="83" t="n"/>
      <c r="Y142" s="83" t="n"/>
      <c r="Z142" s="83" t="n"/>
      <c r="AA142" s="84">
        <f>IF(OR($A142="",COUNT(W142,X142,Z142,Y142)&lt;1),"",W142+X142+Z142-Y142)</f>
        <v/>
      </c>
      <c r="AB142" s="83" t="n"/>
      <c r="AC142" s="83" t="n"/>
      <c r="AD142" s="83" t="n"/>
      <c r="AE142" s="83" t="n"/>
      <c r="AF142" s="83" t="n"/>
      <c r="AG142" s="83" t="n"/>
      <c r="AH142" s="84">
        <f>IF(OR($A142="",COUNT(AB142,AC142,AD142,AG142,AE142,AF142)&lt;1),"",AB142+AC142+AD142+AG142-AE142-AF142)</f>
        <v/>
      </c>
      <c r="AI142" s="84">
        <f>IF(OR($A142="",COUNT(AA142,AH142)&lt;2),"",AA142-AH142)</f>
        <v/>
      </c>
      <c r="AJ142" s="84">
        <f>IF(OR($A142="",COUNT(W142,AB142)&lt;2),"",W142-AB142)</f>
        <v/>
      </c>
      <c r="AK142" s="83" t="n"/>
      <c r="AL142" s="33" t="n"/>
      <c r="AM142" s="33" t="n"/>
      <c r="AN142" s="83" t="n"/>
      <c r="AO142" s="33" t="n"/>
      <c r="AP142" s="33" t="n"/>
      <c r="AQ142" s="33" t="n"/>
    </row>
    <row r="143">
      <c r="A143" s="33" t="n"/>
      <c r="B143" s="33" t="n"/>
      <c r="C143" s="33" t="n"/>
      <c r="D143" s="33" t="n"/>
      <c r="E143" s="33" t="n"/>
      <c r="F143" s="33" t="n"/>
      <c r="G143" s="33" t="n"/>
      <c r="H143" s="33" t="n"/>
      <c r="I143" s="33" t="n"/>
      <c r="J143" s="33" t="n"/>
      <c r="K143" s="34" t="n"/>
      <c r="L143" s="34" t="n"/>
      <c r="M143" s="34" t="n"/>
      <c r="N143" s="82" t="n"/>
      <c r="O143" s="82" t="n"/>
      <c r="P143" s="33" t="n"/>
      <c r="Q143" s="34" t="n"/>
      <c r="R143" s="83" t="n"/>
      <c r="S143" s="34" t="n"/>
      <c r="T143" s="33" t="n"/>
      <c r="U143" s="83" t="n"/>
      <c r="V143" s="33" t="n"/>
      <c r="W143" s="83" t="n"/>
      <c r="X143" s="83" t="n"/>
      <c r="Y143" s="83" t="n"/>
      <c r="Z143" s="83" t="n"/>
      <c r="AA143" s="84">
        <f>IF(OR($A143="",COUNT(W143,X143,Z143,Y143)&lt;1),"",W143+X143+Z143-Y143)</f>
        <v/>
      </c>
      <c r="AB143" s="83" t="n"/>
      <c r="AC143" s="83" t="n"/>
      <c r="AD143" s="83" t="n"/>
      <c r="AE143" s="83" t="n"/>
      <c r="AF143" s="83" t="n"/>
      <c r="AG143" s="83" t="n"/>
      <c r="AH143" s="84">
        <f>IF(OR($A143="",COUNT(AB143,AC143,AD143,AG143,AE143,AF143)&lt;1),"",AB143+AC143+AD143+AG143-AE143-AF143)</f>
        <v/>
      </c>
      <c r="AI143" s="84">
        <f>IF(OR($A143="",COUNT(AA143,AH143)&lt;2),"",AA143-AH143)</f>
        <v/>
      </c>
      <c r="AJ143" s="84">
        <f>IF(OR($A143="",COUNT(W143,AB143)&lt;2),"",W143-AB143)</f>
        <v/>
      </c>
      <c r="AK143" s="83" t="n"/>
      <c r="AL143" s="33" t="n"/>
      <c r="AM143" s="33" t="n"/>
      <c r="AN143" s="83" t="n"/>
      <c r="AO143" s="33" t="n"/>
      <c r="AP143" s="33" t="n"/>
      <c r="AQ143" s="33" t="n"/>
    </row>
    <row r="144">
      <c r="A144" s="33" t="n"/>
      <c r="B144" s="33" t="n"/>
      <c r="C144" s="33" t="n"/>
      <c r="D144" s="33" t="n"/>
      <c r="E144" s="33" t="n"/>
      <c r="F144" s="33" t="n"/>
      <c r="G144" s="33" t="n"/>
      <c r="H144" s="33" t="n"/>
      <c r="I144" s="33" t="n"/>
      <c r="J144" s="33" t="n"/>
      <c r="K144" s="34" t="n"/>
      <c r="L144" s="34" t="n"/>
      <c r="M144" s="34" t="n"/>
      <c r="N144" s="82" t="n"/>
      <c r="O144" s="82" t="n"/>
      <c r="P144" s="33" t="n"/>
      <c r="Q144" s="34" t="n"/>
      <c r="R144" s="83" t="n"/>
      <c r="S144" s="34" t="n"/>
      <c r="T144" s="33" t="n"/>
      <c r="U144" s="83" t="n"/>
      <c r="V144" s="33" t="n"/>
      <c r="W144" s="83" t="n"/>
      <c r="X144" s="83" t="n"/>
      <c r="Y144" s="83" t="n"/>
      <c r="Z144" s="83" t="n"/>
      <c r="AA144" s="84">
        <f>IF(OR($A144="",COUNT(W144,X144,Z144,Y144)&lt;1),"",W144+X144+Z144-Y144)</f>
        <v/>
      </c>
      <c r="AB144" s="83" t="n"/>
      <c r="AC144" s="83" t="n"/>
      <c r="AD144" s="83" t="n"/>
      <c r="AE144" s="83" t="n"/>
      <c r="AF144" s="83" t="n"/>
      <c r="AG144" s="83" t="n"/>
      <c r="AH144" s="84">
        <f>IF(OR($A144="",COUNT(AB144,AC144,AD144,AG144,AE144,AF144)&lt;1),"",AB144+AC144+AD144+AG144-AE144-AF144)</f>
        <v/>
      </c>
      <c r="AI144" s="84">
        <f>IF(OR($A144="",COUNT(AA144,AH144)&lt;2),"",AA144-AH144)</f>
        <v/>
      </c>
      <c r="AJ144" s="84">
        <f>IF(OR($A144="",COUNT(W144,AB144)&lt;2),"",W144-AB144)</f>
        <v/>
      </c>
      <c r="AK144" s="83" t="n"/>
      <c r="AL144" s="33" t="n"/>
      <c r="AM144" s="33" t="n"/>
      <c r="AN144" s="83" t="n"/>
      <c r="AO144" s="33" t="n"/>
      <c r="AP144" s="33" t="n"/>
      <c r="AQ144" s="33" t="n"/>
    </row>
    <row r="145">
      <c r="A145" s="33" t="n"/>
      <c r="B145" s="33" t="n"/>
      <c r="C145" s="33" t="n"/>
      <c r="D145" s="33" t="n"/>
      <c r="E145" s="33" t="n"/>
      <c r="F145" s="33" t="n"/>
      <c r="G145" s="33" t="n"/>
      <c r="H145" s="33" t="n"/>
      <c r="I145" s="33" t="n"/>
      <c r="J145" s="33" t="n"/>
      <c r="K145" s="34" t="n"/>
      <c r="L145" s="34" t="n"/>
      <c r="M145" s="34" t="n"/>
      <c r="N145" s="82" t="n"/>
      <c r="O145" s="82" t="n"/>
      <c r="P145" s="33" t="n"/>
      <c r="Q145" s="34" t="n"/>
      <c r="R145" s="83" t="n"/>
      <c r="S145" s="34" t="n"/>
      <c r="T145" s="33" t="n"/>
      <c r="U145" s="83" t="n"/>
      <c r="V145" s="33" t="n"/>
      <c r="W145" s="83" t="n"/>
      <c r="X145" s="83" t="n"/>
      <c r="Y145" s="83" t="n"/>
      <c r="Z145" s="83" t="n"/>
      <c r="AA145" s="84">
        <f>IF(OR($A145="",COUNT(W145,X145,Z145,Y145)&lt;1),"",W145+X145+Z145-Y145)</f>
        <v/>
      </c>
      <c r="AB145" s="83" t="n"/>
      <c r="AC145" s="83" t="n"/>
      <c r="AD145" s="83" t="n"/>
      <c r="AE145" s="83" t="n"/>
      <c r="AF145" s="83" t="n"/>
      <c r="AG145" s="83" t="n"/>
      <c r="AH145" s="84">
        <f>IF(OR($A145="",COUNT(AB145,AC145,AD145,AG145,AE145,AF145)&lt;1),"",AB145+AC145+AD145+AG145-AE145-AF145)</f>
        <v/>
      </c>
      <c r="AI145" s="84">
        <f>IF(OR($A145="",COUNT(AA145,AH145)&lt;2),"",AA145-AH145)</f>
        <v/>
      </c>
      <c r="AJ145" s="84">
        <f>IF(OR($A145="",COUNT(W145,AB145)&lt;2),"",W145-AB145)</f>
        <v/>
      </c>
      <c r="AK145" s="83" t="n"/>
      <c r="AL145" s="33" t="n"/>
      <c r="AM145" s="33" t="n"/>
      <c r="AN145" s="83" t="n"/>
      <c r="AO145" s="33" t="n"/>
      <c r="AP145" s="33" t="n"/>
      <c r="AQ145" s="33" t="n"/>
    </row>
    <row r="146">
      <c r="A146" s="33" t="n"/>
      <c r="B146" s="33" t="n"/>
      <c r="C146" s="33" t="n"/>
      <c r="D146" s="33" t="n"/>
      <c r="E146" s="33" t="n"/>
      <c r="F146" s="33" t="n"/>
      <c r="G146" s="33" t="n"/>
      <c r="H146" s="33" t="n"/>
      <c r="I146" s="33" t="n"/>
      <c r="J146" s="33" t="n"/>
      <c r="K146" s="34" t="n"/>
      <c r="L146" s="34" t="n"/>
      <c r="M146" s="34" t="n"/>
      <c r="N146" s="82" t="n"/>
      <c r="O146" s="82" t="n"/>
      <c r="P146" s="33" t="n"/>
      <c r="Q146" s="34" t="n"/>
      <c r="R146" s="83" t="n"/>
      <c r="S146" s="34" t="n"/>
      <c r="T146" s="33" t="n"/>
      <c r="U146" s="83" t="n"/>
      <c r="V146" s="33" t="n"/>
      <c r="W146" s="83" t="n"/>
      <c r="X146" s="83" t="n"/>
      <c r="Y146" s="83" t="n"/>
      <c r="Z146" s="83" t="n"/>
      <c r="AA146" s="84">
        <f>IF(OR($A146="",COUNT(W146,X146,Z146,Y146)&lt;1),"",W146+X146+Z146-Y146)</f>
        <v/>
      </c>
      <c r="AB146" s="83" t="n"/>
      <c r="AC146" s="83" t="n"/>
      <c r="AD146" s="83" t="n"/>
      <c r="AE146" s="83" t="n"/>
      <c r="AF146" s="83" t="n"/>
      <c r="AG146" s="83" t="n"/>
      <c r="AH146" s="84">
        <f>IF(OR($A146="",COUNT(AB146,AC146,AD146,AG146,AE146,AF146)&lt;1),"",AB146+AC146+AD146+AG146-AE146-AF146)</f>
        <v/>
      </c>
      <c r="AI146" s="84">
        <f>IF(OR($A146="",COUNT(AA146,AH146)&lt;2),"",AA146-AH146)</f>
        <v/>
      </c>
      <c r="AJ146" s="84">
        <f>IF(OR($A146="",COUNT(W146,AB146)&lt;2),"",W146-AB146)</f>
        <v/>
      </c>
      <c r="AK146" s="83" t="n"/>
      <c r="AL146" s="33" t="n"/>
      <c r="AM146" s="33" t="n"/>
      <c r="AN146" s="83" t="n"/>
      <c r="AO146" s="33" t="n"/>
      <c r="AP146" s="33" t="n"/>
      <c r="AQ146" s="33" t="n"/>
    </row>
    <row r="147">
      <c r="A147" s="33" t="n"/>
      <c r="B147" s="33" t="n"/>
      <c r="C147" s="33" t="n"/>
      <c r="D147" s="33" t="n"/>
      <c r="E147" s="33" t="n"/>
      <c r="F147" s="33" t="n"/>
      <c r="G147" s="33" t="n"/>
      <c r="H147" s="33" t="n"/>
      <c r="I147" s="33" t="n"/>
      <c r="J147" s="33" t="n"/>
      <c r="K147" s="34" t="n"/>
      <c r="L147" s="34" t="n"/>
      <c r="M147" s="34" t="n"/>
      <c r="N147" s="82" t="n"/>
      <c r="O147" s="82" t="n"/>
      <c r="P147" s="33" t="n"/>
      <c r="Q147" s="34" t="n"/>
      <c r="R147" s="83" t="n"/>
      <c r="S147" s="34" t="n"/>
      <c r="T147" s="33" t="n"/>
      <c r="U147" s="83" t="n"/>
      <c r="V147" s="33" t="n"/>
      <c r="W147" s="83" t="n"/>
      <c r="X147" s="83" t="n"/>
      <c r="Y147" s="83" t="n"/>
      <c r="Z147" s="83" t="n"/>
      <c r="AA147" s="84">
        <f>IF(OR($A147="",COUNT(W147,X147,Z147,Y147)&lt;1),"",W147+X147+Z147-Y147)</f>
        <v/>
      </c>
      <c r="AB147" s="83" t="n"/>
      <c r="AC147" s="83" t="n"/>
      <c r="AD147" s="83" t="n"/>
      <c r="AE147" s="83" t="n"/>
      <c r="AF147" s="83" t="n"/>
      <c r="AG147" s="83" t="n"/>
      <c r="AH147" s="84">
        <f>IF(OR($A147="",COUNT(AB147,AC147,AD147,AG147,AE147,AF147)&lt;1),"",AB147+AC147+AD147+AG147-AE147-AF147)</f>
        <v/>
      </c>
      <c r="AI147" s="84">
        <f>IF(OR($A147="",COUNT(AA147,AH147)&lt;2),"",AA147-AH147)</f>
        <v/>
      </c>
      <c r="AJ147" s="84">
        <f>IF(OR($A147="",COUNT(W147,AB147)&lt;2),"",W147-AB147)</f>
        <v/>
      </c>
      <c r="AK147" s="83" t="n"/>
      <c r="AL147" s="33" t="n"/>
      <c r="AM147" s="33" t="n"/>
      <c r="AN147" s="83" t="n"/>
      <c r="AO147" s="33" t="n"/>
      <c r="AP147" s="33" t="n"/>
      <c r="AQ147" s="33" t="n"/>
    </row>
    <row r="148">
      <c r="A148" s="33" t="n"/>
      <c r="B148" s="33" t="n"/>
      <c r="C148" s="33" t="n"/>
      <c r="D148" s="33" t="n"/>
      <c r="E148" s="33" t="n"/>
      <c r="F148" s="33" t="n"/>
      <c r="G148" s="33" t="n"/>
      <c r="H148" s="33" t="n"/>
      <c r="I148" s="33" t="n"/>
      <c r="J148" s="33" t="n"/>
      <c r="K148" s="34" t="n"/>
      <c r="L148" s="34" t="n"/>
      <c r="M148" s="34" t="n"/>
      <c r="N148" s="82" t="n"/>
      <c r="O148" s="82" t="n"/>
      <c r="P148" s="33" t="n"/>
      <c r="Q148" s="34" t="n"/>
      <c r="R148" s="83" t="n"/>
      <c r="S148" s="34" t="n"/>
      <c r="T148" s="33" t="n"/>
      <c r="U148" s="83" t="n"/>
      <c r="V148" s="33" t="n"/>
      <c r="W148" s="83" t="n"/>
      <c r="X148" s="83" t="n"/>
      <c r="Y148" s="83" t="n"/>
      <c r="Z148" s="83" t="n"/>
      <c r="AA148" s="84">
        <f>IF(OR($A148="",COUNT(W148,X148,Z148,Y148)&lt;1),"",W148+X148+Z148-Y148)</f>
        <v/>
      </c>
      <c r="AB148" s="83" t="n"/>
      <c r="AC148" s="83" t="n"/>
      <c r="AD148" s="83" t="n"/>
      <c r="AE148" s="83" t="n"/>
      <c r="AF148" s="83" t="n"/>
      <c r="AG148" s="83" t="n"/>
      <c r="AH148" s="84">
        <f>IF(OR($A148="",COUNT(AB148,AC148,AD148,AG148,AE148,AF148)&lt;1),"",AB148+AC148+AD148+AG148-AE148-AF148)</f>
        <v/>
      </c>
      <c r="AI148" s="84">
        <f>IF(OR($A148="",COUNT(AA148,AH148)&lt;2),"",AA148-AH148)</f>
        <v/>
      </c>
      <c r="AJ148" s="84">
        <f>IF(OR($A148="",COUNT(W148,AB148)&lt;2),"",W148-AB148)</f>
        <v/>
      </c>
      <c r="AK148" s="83" t="n"/>
      <c r="AL148" s="33" t="n"/>
      <c r="AM148" s="33" t="n"/>
      <c r="AN148" s="83" t="n"/>
      <c r="AO148" s="33" t="n"/>
      <c r="AP148" s="33" t="n"/>
      <c r="AQ148" s="33" t="n"/>
    </row>
    <row r="149">
      <c r="A149" s="33" t="n"/>
      <c r="B149" s="33" t="n"/>
      <c r="C149" s="33" t="n"/>
      <c r="D149" s="33" t="n"/>
      <c r="E149" s="33" t="n"/>
      <c r="F149" s="33" t="n"/>
      <c r="G149" s="33" t="n"/>
      <c r="H149" s="33" t="n"/>
      <c r="I149" s="33" t="n"/>
      <c r="J149" s="33" t="n"/>
      <c r="K149" s="34" t="n"/>
      <c r="L149" s="34" t="n"/>
      <c r="M149" s="34" t="n"/>
      <c r="N149" s="82" t="n"/>
      <c r="O149" s="82" t="n"/>
      <c r="P149" s="33" t="n"/>
      <c r="Q149" s="34" t="n"/>
      <c r="R149" s="83" t="n"/>
      <c r="S149" s="34" t="n"/>
      <c r="T149" s="33" t="n"/>
      <c r="U149" s="83" t="n"/>
      <c r="V149" s="33" t="n"/>
      <c r="W149" s="83" t="n"/>
      <c r="X149" s="83" t="n"/>
      <c r="Y149" s="83" t="n"/>
      <c r="Z149" s="83" t="n"/>
      <c r="AA149" s="84">
        <f>IF(OR($A149="",COUNT(W149,X149,Z149,Y149)&lt;1),"",W149+X149+Z149-Y149)</f>
        <v/>
      </c>
      <c r="AB149" s="83" t="n"/>
      <c r="AC149" s="83" t="n"/>
      <c r="AD149" s="83" t="n"/>
      <c r="AE149" s="83" t="n"/>
      <c r="AF149" s="83" t="n"/>
      <c r="AG149" s="83" t="n"/>
      <c r="AH149" s="84">
        <f>IF(OR($A149="",COUNT(AB149,AC149,AD149,AG149,AE149,AF149)&lt;1),"",AB149+AC149+AD149+AG149-AE149-AF149)</f>
        <v/>
      </c>
      <c r="AI149" s="84">
        <f>IF(OR($A149="",COUNT(AA149,AH149)&lt;2),"",AA149-AH149)</f>
        <v/>
      </c>
      <c r="AJ149" s="84">
        <f>IF(OR($A149="",COUNT(W149,AB149)&lt;2),"",W149-AB149)</f>
        <v/>
      </c>
      <c r="AK149" s="83" t="n"/>
      <c r="AL149" s="33" t="n"/>
      <c r="AM149" s="33" t="n"/>
      <c r="AN149" s="83" t="n"/>
      <c r="AO149" s="33" t="n"/>
      <c r="AP149" s="33" t="n"/>
      <c r="AQ149" s="33" t="n"/>
    </row>
    <row r="150">
      <c r="A150" s="33" t="n"/>
      <c r="B150" s="33" t="n"/>
      <c r="C150" s="33" t="n"/>
      <c r="D150" s="33" t="n"/>
      <c r="E150" s="33" t="n"/>
      <c r="F150" s="33" t="n"/>
      <c r="G150" s="33" t="n"/>
      <c r="H150" s="33" t="n"/>
      <c r="I150" s="33" t="n"/>
      <c r="J150" s="33" t="n"/>
      <c r="K150" s="34" t="n"/>
      <c r="L150" s="34" t="n"/>
      <c r="M150" s="34" t="n"/>
      <c r="N150" s="82" t="n"/>
      <c r="O150" s="82" t="n"/>
      <c r="P150" s="33" t="n"/>
      <c r="Q150" s="34" t="n"/>
      <c r="R150" s="83" t="n"/>
      <c r="S150" s="34" t="n"/>
      <c r="T150" s="33" t="n"/>
      <c r="U150" s="83" t="n"/>
      <c r="V150" s="33" t="n"/>
      <c r="W150" s="83" t="n"/>
      <c r="X150" s="83" t="n"/>
      <c r="Y150" s="83" t="n"/>
      <c r="Z150" s="83" t="n"/>
      <c r="AA150" s="84">
        <f>IF(OR($A150="",COUNT(W150,X150,Z150,Y150)&lt;1),"",W150+X150+Z150-Y150)</f>
        <v/>
      </c>
      <c r="AB150" s="83" t="n"/>
      <c r="AC150" s="83" t="n"/>
      <c r="AD150" s="83" t="n"/>
      <c r="AE150" s="83" t="n"/>
      <c r="AF150" s="83" t="n"/>
      <c r="AG150" s="83" t="n"/>
      <c r="AH150" s="84">
        <f>IF(OR($A150="",COUNT(AB150,AC150,AD150,AG150,AE150,AF150)&lt;1),"",AB150+AC150+AD150+AG150-AE150-AF150)</f>
        <v/>
      </c>
      <c r="AI150" s="84">
        <f>IF(OR($A150="",COUNT(AA150,AH150)&lt;2),"",AA150-AH150)</f>
        <v/>
      </c>
      <c r="AJ150" s="84">
        <f>IF(OR($A150="",COUNT(W150,AB150)&lt;2),"",W150-AB150)</f>
        <v/>
      </c>
      <c r="AK150" s="83" t="n"/>
      <c r="AL150" s="33" t="n"/>
      <c r="AM150" s="33" t="n"/>
      <c r="AN150" s="83" t="n"/>
      <c r="AO150" s="33" t="n"/>
      <c r="AP150" s="33" t="n"/>
      <c r="AQ150" s="33" t="n"/>
    </row>
    <row r="151">
      <c r="A151" s="33" t="n"/>
      <c r="B151" s="33" t="n"/>
      <c r="C151" s="33" t="n"/>
      <c r="D151" s="33" t="n"/>
      <c r="E151" s="33" t="n"/>
      <c r="F151" s="33" t="n"/>
      <c r="G151" s="33" t="n"/>
      <c r="H151" s="33" t="n"/>
      <c r="I151" s="33" t="n"/>
      <c r="J151" s="33" t="n"/>
      <c r="K151" s="34" t="n"/>
      <c r="L151" s="34" t="n"/>
      <c r="M151" s="34" t="n"/>
      <c r="N151" s="82" t="n"/>
      <c r="O151" s="82" t="n"/>
      <c r="P151" s="33" t="n"/>
      <c r="Q151" s="34" t="n"/>
      <c r="R151" s="83" t="n"/>
      <c r="S151" s="34" t="n"/>
      <c r="T151" s="33" t="n"/>
      <c r="U151" s="83" t="n"/>
      <c r="V151" s="33" t="n"/>
      <c r="W151" s="83" t="n"/>
      <c r="X151" s="83" t="n"/>
      <c r="Y151" s="83" t="n"/>
      <c r="Z151" s="83" t="n"/>
      <c r="AA151" s="84">
        <f>IF(OR($A151="",COUNT(W151,X151,Z151,Y151)&lt;1),"",W151+X151+Z151-Y151)</f>
        <v/>
      </c>
      <c r="AB151" s="83" t="n"/>
      <c r="AC151" s="83" t="n"/>
      <c r="AD151" s="83" t="n"/>
      <c r="AE151" s="83" t="n"/>
      <c r="AF151" s="83" t="n"/>
      <c r="AG151" s="83" t="n"/>
      <c r="AH151" s="84">
        <f>IF(OR($A151="",COUNT(AB151,AC151,AD151,AG151,AE151,AF151)&lt;1),"",AB151+AC151+AD151+AG151-AE151-AF151)</f>
        <v/>
      </c>
      <c r="AI151" s="84">
        <f>IF(OR($A151="",COUNT(AA151,AH151)&lt;2),"",AA151-AH151)</f>
        <v/>
      </c>
      <c r="AJ151" s="84">
        <f>IF(OR($A151="",COUNT(W151,AB151)&lt;2),"",W151-AB151)</f>
        <v/>
      </c>
      <c r="AK151" s="83" t="n"/>
      <c r="AL151" s="33" t="n"/>
      <c r="AM151" s="33" t="n"/>
      <c r="AN151" s="83" t="n"/>
      <c r="AO151" s="33" t="n"/>
      <c r="AP151" s="33" t="n"/>
      <c r="AQ151" s="33" t="n"/>
    </row>
    <row r="152">
      <c r="A152" s="33" t="n"/>
      <c r="B152" s="33" t="n"/>
      <c r="C152" s="33" t="n"/>
      <c r="D152" s="33" t="n"/>
      <c r="E152" s="33" t="n"/>
      <c r="F152" s="33" t="n"/>
      <c r="G152" s="33" t="n"/>
      <c r="H152" s="33" t="n"/>
      <c r="I152" s="33" t="n"/>
      <c r="J152" s="33" t="n"/>
      <c r="K152" s="34" t="n"/>
      <c r="L152" s="34" t="n"/>
      <c r="M152" s="34" t="n"/>
      <c r="N152" s="82" t="n"/>
      <c r="O152" s="82" t="n"/>
      <c r="P152" s="33" t="n"/>
      <c r="Q152" s="34" t="n"/>
      <c r="R152" s="83" t="n"/>
      <c r="S152" s="34" t="n"/>
      <c r="T152" s="33" t="n"/>
      <c r="U152" s="83" t="n"/>
      <c r="V152" s="33" t="n"/>
      <c r="W152" s="83" t="n"/>
      <c r="X152" s="83" t="n"/>
      <c r="Y152" s="83" t="n"/>
      <c r="Z152" s="83" t="n"/>
      <c r="AA152" s="84">
        <f>IF(OR($A152="",COUNT(W152,X152,Z152,Y152)&lt;1),"",W152+X152+Z152-Y152)</f>
        <v/>
      </c>
      <c r="AB152" s="83" t="n"/>
      <c r="AC152" s="83" t="n"/>
      <c r="AD152" s="83" t="n"/>
      <c r="AE152" s="83" t="n"/>
      <c r="AF152" s="83" t="n"/>
      <c r="AG152" s="83" t="n"/>
      <c r="AH152" s="84">
        <f>IF(OR($A152="",COUNT(AB152,AC152,AD152,AG152,AE152,AF152)&lt;1),"",AB152+AC152+AD152+AG152-AE152-AF152)</f>
        <v/>
      </c>
      <c r="AI152" s="84">
        <f>IF(OR($A152="",COUNT(AA152,AH152)&lt;2),"",AA152-AH152)</f>
        <v/>
      </c>
      <c r="AJ152" s="84">
        <f>IF(OR($A152="",COUNT(W152,AB152)&lt;2),"",W152-AB152)</f>
        <v/>
      </c>
      <c r="AK152" s="83" t="n"/>
      <c r="AL152" s="33" t="n"/>
      <c r="AM152" s="33" t="n"/>
      <c r="AN152" s="83" t="n"/>
      <c r="AO152" s="33" t="n"/>
      <c r="AP152" s="33" t="n"/>
      <c r="AQ152" s="33" t="n"/>
    </row>
    <row r="153">
      <c r="A153" s="33" t="n"/>
      <c r="B153" s="33" t="n"/>
      <c r="C153" s="33" t="n"/>
      <c r="D153" s="33" t="n"/>
      <c r="E153" s="33" t="n"/>
      <c r="F153" s="33" t="n"/>
      <c r="G153" s="33" t="n"/>
      <c r="H153" s="33" t="n"/>
      <c r="I153" s="33" t="n"/>
      <c r="J153" s="33" t="n"/>
      <c r="K153" s="34" t="n"/>
      <c r="L153" s="34" t="n"/>
      <c r="M153" s="34" t="n"/>
      <c r="N153" s="82" t="n"/>
      <c r="O153" s="82" t="n"/>
      <c r="P153" s="33" t="n"/>
      <c r="Q153" s="34" t="n"/>
      <c r="R153" s="83" t="n"/>
      <c r="S153" s="34" t="n"/>
      <c r="T153" s="33" t="n"/>
      <c r="U153" s="83" t="n"/>
      <c r="V153" s="33" t="n"/>
      <c r="W153" s="83" t="n"/>
      <c r="X153" s="83" t="n"/>
      <c r="Y153" s="83" t="n"/>
      <c r="Z153" s="83" t="n"/>
      <c r="AA153" s="84">
        <f>IF(OR($A153="",COUNT(W153,X153,Z153,Y153)&lt;1),"",W153+X153+Z153-Y153)</f>
        <v/>
      </c>
      <c r="AB153" s="83" t="n"/>
      <c r="AC153" s="83" t="n"/>
      <c r="AD153" s="83" t="n"/>
      <c r="AE153" s="83" t="n"/>
      <c r="AF153" s="83" t="n"/>
      <c r="AG153" s="83" t="n"/>
      <c r="AH153" s="84">
        <f>IF(OR($A153="",COUNT(AB153,AC153,AD153,AG153,AE153,AF153)&lt;1),"",AB153+AC153+AD153+AG153-AE153-AF153)</f>
        <v/>
      </c>
      <c r="AI153" s="84">
        <f>IF(OR($A153="",COUNT(AA153,AH153)&lt;2),"",AA153-AH153)</f>
        <v/>
      </c>
      <c r="AJ153" s="84">
        <f>IF(OR($A153="",COUNT(W153,AB153)&lt;2),"",W153-AB153)</f>
        <v/>
      </c>
      <c r="AK153" s="83" t="n"/>
      <c r="AL153" s="33" t="n"/>
      <c r="AM153" s="33" t="n"/>
      <c r="AN153" s="83" t="n"/>
      <c r="AO153" s="33" t="n"/>
      <c r="AP153" s="33" t="n"/>
      <c r="AQ153" s="33" t="n"/>
    </row>
    <row r="154">
      <c r="A154" s="33" t="n"/>
      <c r="B154" s="33" t="n"/>
      <c r="C154" s="33" t="n"/>
      <c r="D154" s="33" t="n"/>
      <c r="E154" s="33" t="n"/>
      <c r="F154" s="33" t="n"/>
      <c r="G154" s="33" t="n"/>
      <c r="H154" s="33" t="n"/>
      <c r="I154" s="33" t="n"/>
      <c r="J154" s="33" t="n"/>
      <c r="K154" s="34" t="n"/>
      <c r="L154" s="34" t="n"/>
      <c r="M154" s="34" t="n"/>
      <c r="N154" s="82" t="n"/>
      <c r="O154" s="82" t="n"/>
      <c r="P154" s="33" t="n"/>
      <c r="Q154" s="34" t="n"/>
      <c r="R154" s="83" t="n"/>
      <c r="S154" s="34" t="n"/>
      <c r="T154" s="33" t="n"/>
      <c r="U154" s="83" t="n"/>
      <c r="V154" s="33" t="n"/>
      <c r="W154" s="83" t="n"/>
      <c r="X154" s="83" t="n"/>
      <c r="Y154" s="83" t="n"/>
      <c r="Z154" s="83" t="n"/>
      <c r="AA154" s="84">
        <f>IF(OR($A154="",COUNT(W154,X154,Z154,Y154)&lt;1),"",W154+X154+Z154-Y154)</f>
        <v/>
      </c>
      <c r="AB154" s="83" t="n"/>
      <c r="AC154" s="83" t="n"/>
      <c r="AD154" s="83" t="n"/>
      <c r="AE154" s="83" t="n"/>
      <c r="AF154" s="83" t="n"/>
      <c r="AG154" s="83" t="n"/>
      <c r="AH154" s="84">
        <f>IF(OR($A154="",COUNT(AB154,AC154,AD154,AG154,AE154,AF154)&lt;1),"",AB154+AC154+AD154+AG154-AE154-AF154)</f>
        <v/>
      </c>
      <c r="AI154" s="84">
        <f>IF(OR($A154="",COUNT(AA154,AH154)&lt;2),"",AA154-AH154)</f>
        <v/>
      </c>
      <c r="AJ154" s="84">
        <f>IF(OR($A154="",COUNT(W154,AB154)&lt;2),"",W154-AB154)</f>
        <v/>
      </c>
      <c r="AK154" s="83" t="n"/>
      <c r="AL154" s="33" t="n"/>
      <c r="AM154" s="33" t="n"/>
      <c r="AN154" s="83" t="n"/>
      <c r="AO154" s="33" t="n"/>
      <c r="AP154" s="33" t="n"/>
      <c r="AQ154" s="33" t="n"/>
    </row>
    <row r="155">
      <c r="A155" s="33" t="n"/>
      <c r="B155" s="33" t="n"/>
      <c r="C155" s="33" t="n"/>
      <c r="D155" s="33" t="n"/>
      <c r="E155" s="33" t="n"/>
      <c r="F155" s="33" t="n"/>
      <c r="G155" s="33" t="n"/>
      <c r="H155" s="33" t="n"/>
      <c r="I155" s="33" t="n"/>
      <c r="J155" s="33" t="n"/>
      <c r="K155" s="34" t="n"/>
      <c r="L155" s="34" t="n"/>
      <c r="M155" s="34" t="n"/>
      <c r="N155" s="82" t="n"/>
      <c r="O155" s="82" t="n"/>
      <c r="P155" s="33" t="n"/>
      <c r="Q155" s="34" t="n"/>
      <c r="R155" s="83" t="n"/>
      <c r="S155" s="34" t="n"/>
      <c r="T155" s="33" t="n"/>
      <c r="U155" s="83" t="n"/>
      <c r="V155" s="33" t="n"/>
      <c r="W155" s="83" t="n"/>
      <c r="X155" s="83" t="n"/>
      <c r="Y155" s="83" t="n"/>
      <c r="Z155" s="83" t="n"/>
      <c r="AA155" s="84">
        <f>IF(OR($A155="",COUNT(W155,X155,Z155,Y155)&lt;1),"",W155+X155+Z155-Y155)</f>
        <v/>
      </c>
      <c r="AB155" s="83" t="n"/>
      <c r="AC155" s="83" t="n"/>
      <c r="AD155" s="83" t="n"/>
      <c r="AE155" s="83" t="n"/>
      <c r="AF155" s="83" t="n"/>
      <c r="AG155" s="83" t="n"/>
      <c r="AH155" s="84">
        <f>IF(OR($A155="",COUNT(AB155,AC155,AD155,AG155,AE155,AF155)&lt;1),"",AB155+AC155+AD155+AG155-AE155-AF155)</f>
        <v/>
      </c>
      <c r="AI155" s="84">
        <f>IF(OR($A155="",COUNT(AA155,AH155)&lt;2),"",AA155-AH155)</f>
        <v/>
      </c>
      <c r="AJ155" s="84">
        <f>IF(OR($A155="",COUNT(W155,AB155)&lt;2),"",W155-AB155)</f>
        <v/>
      </c>
      <c r="AK155" s="83" t="n"/>
      <c r="AL155" s="33" t="n"/>
      <c r="AM155" s="33" t="n"/>
      <c r="AN155" s="83" t="n"/>
      <c r="AO155" s="33" t="n"/>
      <c r="AP155" s="33" t="n"/>
      <c r="AQ155" s="33" t="n"/>
    </row>
    <row r="156">
      <c r="A156" s="33" t="n"/>
      <c r="B156" s="33" t="n"/>
      <c r="C156" s="33" t="n"/>
      <c r="D156" s="33" t="n"/>
      <c r="E156" s="33" t="n"/>
      <c r="F156" s="33" t="n"/>
      <c r="G156" s="33" t="n"/>
      <c r="H156" s="33" t="n"/>
      <c r="I156" s="33" t="n"/>
      <c r="J156" s="33" t="n"/>
      <c r="K156" s="34" t="n"/>
      <c r="L156" s="34" t="n"/>
      <c r="M156" s="34" t="n"/>
      <c r="N156" s="82" t="n"/>
      <c r="O156" s="82" t="n"/>
      <c r="P156" s="33" t="n"/>
      <c r="Q156" s="34" t="n"/>
      <c r="R156" s="83" t="n"/>
      <c r="S156" s="34" t="n"/>
      <c r="T156" s="33" t="n"/>
      <c r="U156" s="83" t="n"/>
      <c r="V156" s="33" t="n"/>
      <c r="W156" s="83" t="n"/>
      <c r="X156" s="83" t="n"/>
      <c r="Y156" s="83" t="n"/>
      <c r="Z156" s="83" t="n"/>
      <c r="AA156" s="84">
        <f>IF(OR($A156="",COUNT(W156,X156,Z156,Y156)&lt;1),"",W156+X156+Z156-Y156)</f>
        <v/>
      </c>
      <c r="AB156" s="83" t="n"/>
      <c r="AC156" s="83" t="n"/>
      <c r="AD156" s="83" t="n"/>
      <c r="AE156" s="83" t="n"/>
      <c r="AF156" s="83" t="n"/>
      <c r="AG156" s="83" t="n"/>
      <c r="AH156" s="84">
        <f>IF(OR($A156="",COUNT(AB156,AC156,AD156,AG156,AE156,AF156)&lt;1),"",AB156+AC156+AD156+AG156-AE156-AF156)</f>
        <v/>
      </c>
      <c r="AI156" s="84">
        <f>IF(OR($A156="",COUNT(AA156,AH156)&lt;2),"",AA156-AH156)</f>
        <v/>
      </c>
      <c r="AJ156" s="84">
        <f>IF(OR($A156="",COUNT(W156,AB156)&lt;2),"",W156-AB156)</f>
        <v/>
      </c>
      <c r="AK156" s="83" t="n"/>
      <c r="AL156" s="33" t="n"/>
      <c r="AM156" s="33" t="n"/>
      <c r="AN156" s="83" t="n"/>
      <c r="AO156" s="33" t="n"/>
      <c r="AP156" s="33" t="n"/>
      <c r="AQ156" s="33" t="n"/>
    </row>
    <row r="157">
      <c r="A157" s="33" t="n"/>
      <c r="B157" s="33" t="n"/>
      <c r="C157" s="33" t="n"/>
      <c r="D157" s="33" t="n"/>
      <c r="E157" s="33" t="n"/>
      <c r="F157" s="33" t="n"/>
      <c r="G157" s="33" t="n"/>
      <c r="H157" s="33" t="n"/>
      <c r="I157" s="33" t="n"/>
      <c r="J157" s="33" t="n"/>
      <c r="K157" s="34" t="n"/>
      <c r="L157" s="34" t="n"/>
      <c r="M157" s="34" t="n"/>
      <c r="N157" s="82" t="n"/>
      <c r="O157" s="82" t="n"/>
      <c r="P157" s="33" t="n"/>
      <c r="Q157" s="34" t="n"/>
      <c r="R157" s="83" t="n"/>
      <c r="S157" s="34" t="n"/>
      <c r="T157" s="33" t="n"/>
      <c r="U157" s="83" t="n"/>
      <c r="V157" s="33" t="n"/>
      <c r="W157" s="83" t="n"/>
      <c r="X157" s="83" t="n"/>
      <c r="Y157" s="83" t="n"/>
      <c r="Z157" s="83" t="n"/>
      <c r="AA157" s="84">
        <f>IF(OR($A157="",COUNT(W157,X157,Z157,Y157)&lt;1),"",W157+X157+Z157-Y157)</f>
        <v/>
      </c>
      <c r="AB157" s="83" t="n"/>
      <c r="AC157" s="83" t="n"/>
      <c r="AD157" s="83" t="n"/>
      <c r="AE157" s="83" t="n"/>
      <c r="AF157" s="83" t="n"/>
      <c r="AG157" s="83" t="n"/>
      <c r="AH157" s="84">
        <f>IF(OR($A157="",COUNT(AB157,AC157,AD157,AG157,AE157,AF157)&lt;1),"",AB157+AC157+AD157+AG157-AE157-AF157)</f>
        <v/>
      </c>
      <c r="AI157" s="84">
        <f>IF(OR($A157="",COUNT(AA157,AH157)&lt;2),"",AA157-AH157)</f>
        <v/>
      </c>
      <c r="AJ157" s="84">
        <f>IF(OR($A157="",COUNT(W157,AB157)&lt;2),"",W157-AB157)</f>
        <v/>
      </c>
      <c r="AK157" s="83" t="n"/>
      <c r="AL157" s="33" t="n"/>
      <c r="AM157" s="33" t="n"/>
      <c r="AN157" s="83" t="n"/>
      <c r="AO157" s="33" t="n"/>
      <c r="AP157" s="33" t="n"/>
      <c r="AQ157" s="33" t="n"/>
    </row>
    <row r="158">
      <c r="A158" s="33" t="n"/>
      <c r="B158" s="33" t="n"/>
      <c r="C158" s="33" t="n"/>
      <c r="D158" s="33" t="n"/>
      <c r="E158" s="33" t="n"/>
      <c r="F158" s="33" t="n"/>
      <c r="G158" s="33" t="n"/>
      <c r="H158" s="33" t="n"/>
      <c r="I158" s="33" t="n"/>
      <c r="J158" s="33" t="n"/>
      <c r="K158" s="34" t="n"/>
      <c r="L158" s="34" t="n"/>
      <c r="M158" s="34" t="n"/>
      <c r="N158" s="82" t="n"/>
      <c r="O158" s="82" t="n"/>
      <c r="P158" s="33" t="n"/>
      <c r="Q158" s="34" t="n"/>
      <c r="R158" s="83" t="n"/>
      <c r="S158" s="34" t="n"/>
      <c r="T158" s="33" t="n"/>
      <c r="U158" s="83" t="n"/>
      <c r="V158" s="33" t="n"/>
      <c r="W158" s="83" t="n"/>
      <c r="X158" s="83" t="n"/>
      <c r="Y158" s="83" t="n"/>
      <c r="Z158" s="83" t="n"/>
      <c r="AA158" s="84">
        <f>IF(OR($A158="",COUNT(W158,X158,Z158,Y158)&lt;1),"",W158+X158+Z158-Y158)</f>
        <v/>
      </c>
      <c r="AB158" s="83" t="n"/>
      <c r="AC158" s="83" t="n"/>
      <c r="AD158" s="83" t="n"/>
      <c r="AE158" s="83" t="n"/>
      <c r="AF158" s="83" t="n"/>
      <c r="AG158" s="83" t="n"/>
      <c r="AH158" s="84">
        <f>IF(OR($A158="",COUNT(AB158,AC158,AD158,AG158,AE158,AF158)&lt;1),"",AB158+AC158+AD158+AG158-AE158-AF158)</f>
        <v/>
      </c>
      <c r="AI158" s="84">
        <f>IF(OR($A158="",COUNT(AA158,AH158)&lt;2),"",AA158-AH158)</f>
        <v/>
      </c>
      <c r="AJ158" s="84">
        <f>IF(OR($A158="",COUNT(W158,AB158)&lt;2),"",W158-AB158)</f>
        <v/>
      </c>
      <c r="AK158" s="83" t="n"/>
      <c r="AL158" s="33" t="n"/>
      <c r="AM158" s="33" t="n"/>
      <c r="AN158" s="83" t="n"/>
      <c r="AO158" s="33" t="n"/>
      <c r="AP158" s="33" t="n"/>
      <c r="AQ158" s="33" t="n"/>
    </row>
    <row r="159">
      <c r="A159" s="33" t="n"/>
      <c r="B159" s="33" t="n"/>
      <c r="C159" s="33" t="n"/>
      <c r="D159" s="33" t="n"/>
      <c r="E159" s="33" t="n"/>
      <c r="F159" s="33" t="n"/>
      <c r="G159" s="33" t="n"/>
      <c r="H159" s="33" t="n"/>
      <c r="I159" s="33" t="n"/>
      <c r="J159" s="33" t="n"/>
      <c r="K159" s="34" t="n"/>
      <c r="L159" s="34" t="n"/>
      <c r="M159" s="34" t="n"/>
      <c r="N159" s="82" t="n"/>
      <c r="O159" s="82" t="n"/>
      <c r="P159" s="33" t="n"/>
      <c r="Q159" s="34" t="n"/>
      <c r="R159" s="83" t="n"/>
      <c r="S159" s="34" t="n"/>
      <c r="T159" s="33" t="n"/>
      <c r="U159" s="83" t="n"/>
      <c r="V159" s="33" t="n"/>
      <c r="W159" s="83" t="n"/>
      <c r="X159" s="83" t="n"/>
      <c r="Y159" s="83" t="n"/>
      <c r="Z159" s="83" t="n"/>
      <c r="AA159" s="84">
        <f>IF(OR($A159="",COUNT(W159,X159,Z159,Y159)&lt;1),"",W159+X159+Z159-Y159)</f>
        <v/>
      </c>
      <c r="AB159" s="83" t="n"/>
      <c r="AC159" s="83" t="n"/>
      <c r="AD159" s="83" t="n"/>
      <c r="AE159" s="83" t="n"/>
      <c r="AF159" s="83" t="n"/>
      <c r="AG159" s="83" t="n"/>
      <c r="AH159" s="84">
        <f>IF(OR($A159="",COUNT(AB159,AC159,AD159,AG159,AE159,AF159)&lt;1),"",AB159+AC159+AD159+AG159-AE159-AF159)</f>
        <v/>
      </c>
      <c r="AI159" s="84">
        <f>IF(OR($A159="",COUNT(AA159,AH159)&lt;2),"",AA159-AH159)</f>
        <v/>
      </c>
      <c r="AJ159" s="84">
        <f>IF(OR($A159="",COUNT(W159,AB159)&lt;2),"",W159-AB159)</f>
        <v/>
      </c>
      <c r="AK159" s="83" t="n"/>
      <c r="AL159" s="33" t="n"/>
      <c r="AM159" s="33" t="n"/>
      <c r="AN159" s="83" t="n"/>
      <c r="AO159" s="33" t="n"/>
      <c r="AP159" s="33" t="n"/>
      <c r="AQ159" s="33" t="n"/>
    </row>
    <row r="160">
      <c r="A160" s="33" t="n"/>
      <c r="B160" s="33" t="n"/>
      <c r="C160" s="33" t="n"/>
      <c r="D160" s="33" t="n"/>
      <c r="E160" s="33" t="n"/>
      <c r="F160" s="33" t="n"/>
      <c r="G160" s="33" t="n"/>
      <c r="H160" s="33" t="n"/>
      <c r="I160" s="33" t="n"/>
      <c r="J160" s="33" t="n"/>
      <c r="K160" s="34" t="n"/>
      <c r="L160" s="34" t="n"/>
      <c r="M160" s="34" t="n"/>
      <c r="N160" s="82" t="n"/>
      <c r="O160" s="82" t="n"/>
      <c r="P160" s="33" t="n"/>
      <c r="Q160" s="34" t="n"/>
      <c r="R160" s="83" t="n"/>
      <c r="S160" s="34" t="n"/>
      <c r="T160" s="33" t="n"/>
      <c r="U160" s="83" t="n"/>
      <c r="V160" s="33" t="n"/>
      <c r="W160" s="83" t="n"/>
      <c r="X160" s="83" t="n"/>
      <c r="Y160" s="83" t="n"/>
      <c r="Z160" s="83" t="n"/>
      <c r="AA160" s="84">
        <f>IF(OR($A160="",COUNT(W160,X160,Z160,Y160)&lt;1),"",W160+X160+Z160-Y160)</f>
        <v/>
      </c>
      <c r="AB160" s="83" t="n"/>
      <c r="AC160" s="83" t="n"/>
      <c r="AD160" s="83" t="n"/>
      <c r="AE160" s="83" t="n"/>
      <c r="AF160" s="83" t="n"/>
      <c r="AG160" s="83" t="n"/>
      <c r="AH160" s="84">
        <f>IF(OR($A160="",COUNT(AB160,AC160,AD160,AG160,AE160,AF160)&lt;1),"",AB160+AC160+AD160+AG160-AE160-AF160)</f>
        <v/>
      </c>
      <c r="AI160" s="84">
        <f>IF(OR($A160="",COUNT(AA160,AH160)&lt;2),"",AA160-AH160)</f>
        <v/>
      </c>
      <c r="AJ160" s="84">
        <f>IF(OR($A160="",COUNT(W160,AB160)&lt;2),"",W160-AB160)</f>
        <v/>
      </c>
      <c r="AK160" s="83" t="n"/>
      <c r="AL160" s="33" t="n"/>
      <c r="AM160" s="33" t="n"/>
      <c r="AN160" s="83" t="n"/>
      <c r="AO160" s="33" t="n"/>
      <c r="AP160" s="33" t="n"/>
      <c r="AQ160" s="33" t="n"/>
    </row>
    <row r="161">
      <c r="A161" s="33" t="n"/>
      <c r="B161" s="33" t="n"/>
      <c r="C161" s="33" t="n"/>
      <c r="D161" s="33" t="n"/>
      <c r="E161" s="33" t="n"/>
      <c r="F161" s="33" t="n"/>
      <c r="G161" s="33" t="n"/>
      <c r="H161" s="33" t="n"/>
      <c r="I161" s="33" t="n"/>
      <c r="J161" s="33" t="n"/>
      <c r="K161" s="34" t="n"/>
      <c r="L161" s="34" t="n"/>
      <c r="M161" s="34" t="n"/>
      <c r="N161" s="82" t="n"/>
      <c r="O161" s="82" t="n"/>
      <c r="P161" s="33" t="n"/>
      <c r="Q161" s="34" t="n"/>
      <c r="R161" s="83" t="n"/>
      <c r="S161" s="34" t="n"/>
      <c r="T161" s="33" t="n"/>
      <c r="U161" s="83" t="n"/>
      <c r="V161" s="33" t="n"/>
      <c r="W161" s="83" t="n"/>
      <c r="X161" s="83" t="n"/>
      <c r="Y161" s="83" t="n"/>
      <c r="Z161" s="83" t="n"/>
      <c r="AA161" s="84">
        <f>IF(OR($A161="",COUNT(W161,X161,Z161,Y161)&lt;1),"",W161+X161+Z161-Y161)</f>
        <v/>
      </c>
      <c r="AB161" s="83" t="n"/>
      <c r="AC161" s="83" t="n"/>
      <c r="AD161" s="83" t="n"/>
      <c r="AE161" s="83" t="n"/>
      <c r="AF161" s="83" t="n"/>
      <c r="AG161" s="83" t="n"/>
      <c r="AH161" s="84">
        <f>IF(OR($A161="",COUNT(AB161,AC161,AD161,AG161,AE161,AF161)&lt;1),"",AB161+AC161+AD161+AG161-AE161-AF161)</f>
        <v/>
      </c>
      <c r="AI161" s="84">
        <f>IF(OR($A161="",COUNT(AA161,AH161)&lt;2),"",AA161-AH161)</f>
        <v/>
      </c>
      <c r="AJ161" s="84">
        <f>IF(OR($A161="",COUNT(W161,AB161)&lt;2),"",W161-AB161)</f>
        <v/>
      </c>
      <c r="AK161" s="83" t="n"/>
      <c r="AL161" s="33" t="n"/>
      <c r="AM161" s="33" t="n"/>
      <c r="AN161" s="83" t="n"/>
      <c r="AO161" s="33" t="n"/>
      <c r="AP161" s="33" t="n"/>
      <c r="AQ161" s="33" t="n"/>
    </row>
    <row r="162">
      <c r="A162" s="33" t="n"/>
      <c r="B162" s="33" t="n"/>
      <c r="C162" s="33" t="n"/>
      <c r="D162" s="33" t="n"/>
      <c r="E162" s="33" t="n"/>
      <c r="F162" s="33" t="n"/>
      <c r="G162" s="33" t="n"/>
      <c r="H162" s="33" t="n"/>
      <c r="I162" s="33" t="n"/>
      <c r="J162" s="33" t="n"/>
      <c r="K162" s="34" t="n"/>
      <c r="L162" s="34" t="n"/>
      <c r="M162" s="34" t="n"/>
      <c r="N162" s="82" t="n"/>
      <c r="O162" s="82" t="n"/>
      <c r="P162" s="33" t="n"/>
      <c r="Q162" s="34" t="n"/>
      <c r="R162" s="83" t="n"/>
      <c r="S162" s="34" t="n"/>
      <c r="T162" s="33" t="n"/>
      <c r="U162" s="83" t="n"/>
      <c r="V162" s="33" t="n"/>
      <c r="W162" s="83" t="n"/>
      <c r="X162" s="83" t="n"/>
      <c r="Y162" s="83" t="n"/>
      <c r="Z162" s="83" t="n"/>
      <c r="AA162" s="84">
        <f>IF(OR($A162="",COUNT(W162,X162,Z162,Y162)&lt;1),"",W162+X162+Z162-Y162)</f>
        <v/>
      </c>
      <c r="AB162" s="83" t="n"/>
      <c r="AC162" s="83" t="n"/>
      <c r="AD162" s="83" t="n"/>
      <c r="AE162" s="83" t="n"/>
      <c r="AF162" s="83" t="n"/>
      <c r="AG162" s="83" t="n"/>
      <c r="AH162" s="84">
        <f>IF(OR($A162="",COUNT(AB162,AC162,AD162,AG162,AE162,AF162)&lt;1),"",AB162+AC162+AD162+AG162-AE162-AF162)</f>
        <v/>
      </c>
      <c r="AI162" s="84">
        <f>IF(OR($A162="",COUNT(AA162,AH162)&lt;2),"",AA162-AH162)</f>
        <v/>
      </c>
      <c r="AJ162" s="84">
        <f>IF(OR($A162="",COUNT(W162,AB162)&lt;2),"",W162-AB162)</f>
        <v/>
      </c>
      <c r="AK162" s="83" t="n"/>
      <c r="AL162" s="33" t="n"/>
      <c r="AM162" s="33" t="n"/>
      <c r="AN162" s="83" t="n"/>
      <c r="AO162" s="33" t="n"/>
      <c r="AP162" s="33" t="n"/>
      <c r="AQ162" s="33" t="n"/>
    </row>
    <row r="163">
      <c r="A163" s="33" t="n"/>
      <c r="B163" s="33" t="n"/>
      <c r="C163" s="33" t="n"/>
      <c r="D163" s="33" t="n"/>
      <c r="E163" s="33" t="n"/>
      <c r="F163" s="33" t="n"/>
      <c r="G163" s="33" t="n"/>
      <c r="H163" s="33" t="n"/>
      <c r="I163" s="33" t="n"/>
      <c r="J163" s="33" t="n"/>
      <c r="K163" s="34" t="n"/>
      <c r="L163" s="34" t="n"/>
      <c r="M163" s="34" t="n"/>
      <c r="N163" s="82" t="n"/>
      <c r="O163" s="82" t="n"/>
      <c r="P163" s="33" t="n"/>
      <c r="Q163" s="34" t="n"/>
      <c r="R163" s="83" t="n"/>
      <c r="S163" s="34" t="n"/>
      <c r="T163" s="33" t="n"/>
      <c r="U163" s="83" t="n"/>
      <c r="V163" s="33" t="n"/>
      <c r="W163" s="83" t="n"/>
      <c r="X163" s="83" t="n"/>
      <c r="Y163" s="83" t="n"/>
      <c r="Z163" s="83" t="n"/>
      <c r="AA163" s="84">
        <f>IF(OR($A163="",COUNT(W163,X163,Z163,Y163)&lt;1),"",W163+X163+Z163-Y163)</f>
        <v/>
      </c>
      <c r="AB163" s="83" t="n"/>
      <c r="AC163" s="83" t="n"/>
      <c r="AD163" s="83" t="n"/>
      <c r="AE163" s="83" t="n"/>
      <c r="AF163" s="83" t="n"/>
      <c r="AG163" s="83" t="n"/>
      <c r="AH163" s="84">
        <f>IF(OR($A163="",COUNT(AB163,AC163,AD163,AG163,AE163,AF163)&lt;1),"",AB163+AC163+AD163+AG163-AE163-AF163)</f>
        <v/>
      </c>
      <c r="AI163" s="84">
        <f>IF(OR($A163="",COUNT(AA163,AH163)&lt;2),"",AA163-AH163)</f>
        <v/>
      </c>
      <c r="AJ163" s="84">
        <f>IF(OR($A163="",COUNT(W163,AB163)&lt;2),"",W163-AB163)</f>
        <v/>
      </c>
      <c r="AK163" s="83" t="n"/>
      <c r="AL163" s="33" t="n"/>
      <c r="AM163" s="33" t="n"/>
      <c r="AN163" s="83" t="n"/>
      <c r="AO163" s="33" t="n"/>
      <c r="AP163" s="33" t="n"/>
      <c r="AQ163" s="33" t="n"/>
    </row>
    <row r="164">
      <c r="A164" s="33" t="n"/>
      <c r="B164" s="33" t="n"/>
      <c r="C164" s="33" t="n"/>
      <c r="D164" s="33" t="n"/>
      <c r="E164" s="33" t="n"/>
      <c r="F164" s="33" t="n"/>
      <c r="G164" s="33" t="n"/>
      <c r="H164" s="33" t="n"/>
      <c r="I164" s="33" t="n"/>
      <c r="J164" s="33" t="n"/>
      <c r="K164" s="34" t="n"/>
      <c r="L164" s="34" t="n"/>
      <c r="M164" s="34" t="n"/>
      <c r="N164" s="82" t="n"/>
      <c r="O164" s="82" t="n"/>
      <c r="P164" s="33" t="n"/>
      <c r="Q164" s="34" t="n"/>
      <c r="R164" s="83" t="n"/>
      <c r="S164" s="34" t="n"/>
      <c r="T164" s="33" t="n"/>
      <c r="U164" s="83" t="n"/>
      <c r="V164" s="33" t="n"/>
      <c r="W164" s="83" t="n"/>
      <c r="X164" s="83" t="n"/>
      <c r="Y164" s="83" t="n"/>
      <c r="Z164" s="83" t="n"/>
      <c r="AA164" s="84">
        <f>IF(OR($A164="",COUNT(W164,X164,Z164,Y164)&lt;1),"",W164+X164+Z164-Y164)</f>
        <v/>
      </c>
      <c r="AB164" s="83" t="n"/>
      <c r="AC164" s="83" t="n"/>
      <c r="AD164" s="83" t="n"/>
      <c r="AE164" s="83" t="n"/>
      <c r="AF164" s="83" t="n"/>
      <c r="AG164" s="83" t="n"/>
      <c r="AH164" s="84">
        <f>IF(OR($A164="",COUNT(AB164,AC164,AD164,AG164,AE164,AF164)&lt;1),"",AB164+AC164+AD164+AG164-AE164-AF164)</f>
        <v/>
      </c>
      <c r="AI164" s="84">
        <f>IF(OR($A164="",COUNT(AA164,AH164)&lt;2),"",AA164-AH164)</f>
        <v/>
      </c>
      <c r="AJ164" s="84">
        <f>IF(OR($A164="",COUNT(W164,AB164)&lt;2),"",W164-AB164)</f>
        <v/>
      </c>
      <c r="AK164" s="83" t="n"/>
      <c r="AL164" s="33" t="n"/>
      <c r="AM164" s="33" t="n"/>
      <c r="AN164" s="83" t="n"/>
      <c r="AO164" s="33" t="n"/>
      <c r="AP164" s="33" t="n"/>
      <c r="AQ164" s="33" t="n"/>
    </row>
    <row r="165">
      <c r="A165" s="33" t="n"/>
      <c r="B165" s="33" t="n"/>
      <c r="C165" s="33" t="n"/>
      <c r="D165" s="33" t="n"/>
      <c r="E165" s="33" t="n"/>
      <c r="F165" s="33" t="n"/>
      <c r="G165" s="33" t="n"/>
      <c r="H165" s="33" t="n"/>
      <c r="I165" s="33" t="n"/>
      <c r="J165" s="33" t="n"/>
      <c r="K165" s="34" t="n"/>
      <c r="L165" s="34" t="n"/>
      <c r="M165" s="34" t="n"/>
      <c r="N165" s="82" t="n"/>
      <c r="O165" s="82" t="n"/>
      <c r="P165" s="33" t="n"/>
      <c r="Q165" s="34" t="n"/>
      <c r="R165" s="83" t="n"/>
      <c r="S165" s="34" t="n"/>
      <c r="T165" s="33" t="n"/>
      <c r="U165" s="83" t="n"/>
      <c r="V165" s="33" t="n"/>
      <c r="W165" s="83" t="n"/>
      <c r="X165" s="83" t="n"/>
      <c r="Y165" s="83" t="n"/>
      <c r="Z165" s="83" t="n"/>
      <c r="AA165" s="84">
        <f>IF(OR($A165="",COUNT(W165,X165,Z165,Y165)&lt;1),"",W165+X165+Z165-Y165)</f>
        <v/>
      </c>
      <c r="AB165" s="83" t="n"/>
      <c r="AC165" s="83" t="n"/>
      <c r="AD165" s="83" t="n"/>
      <c r="AE165" s="83" t="n"/>
      <c r="AF165" s="83" t="n"/>
      <c r="AG165" s="83" t="n"/>
      <c r="AH165" s="84">
        <f>IF(OR($A165="",COUNT(AB165,AC165,AD165,AG165,AE165,AF165)&lt;1),"",AB165+AC165+AD165+AG165-AE165-AF165)</f>
        <v/>
      </c>
      <c r="AI165" s="84">
        <f>IF(OR($A165="",COUNT(AA165,AH165)&lt;2),"",AA165-AH165)</f>
        <v/>
      </c>
      <c r="AJ165" s="84">
        <f>IF(OR($A165="",COUNT(W165,AB165)&lt;2),"",W165-AB165)</f>
        <v/>
      </c>
      <c r="AK165" s="83" t="n"/>
      <c r="AL165" s="33" t="n"/>
      <c r="AM165" s="33" t="n"/>
      <c r="AN165" s="83" t="n"/>
      <c r="AO165" s="33" t="n"/>
      <c r="AP165" s="33" t="n"/>
      <c r="AQ165" s="33" t="n"/>
    </row>
    <row r="166">
      <c r="A166" s="33" t="n"/>
      <c r="B166" s="33" t="n"/>
      <c r="C166" s="33" t="n"/>
      <c r="D166" s="33" t="n"/>
      <c r="E166" s="33" t="n"/>
      <c r="F166" s="33" t="n"/>
      <c r="G166" s="33" t="n"/>
      <c r="H166" s="33" t="n"/>
      <c r="I166" s="33" t="n"/>
      <c r="J166" s="33" t="n"/>
      <c r="K166" s="34" t="n"/>
      <c r="L166" s="34" t="n"/>
      <c r="M166" s="34" t="n"/>
      <c r="N166" s="82" t="n"/>
      <c r="O166" s="82" t="n"/>
      <c r="P166" s="33" t="n"/>
      <c r="Q166" s="34" t="n"/>
      <c r="R166" s="83" t="n"/>
      <c r="S166" s="34" t="n"/>
      <c r="T166" s="33" t="n"/>
      <c r="U166" s="83" t="n"/>
      <c r="V166" s="33" t="n"/>
      <c r="W166" s="83" t="n"/>
      <c r="X166" s="83" t="n"/>
      <c r="Y166" s="83" t="n"/>
      <c r="Z166" s="83" t="n"/>
      <c r="AA166" s="84">
        <f>IF(OR($A166="",COUNT(W166,X166,Z166,Y166)&lt;1),"",W166+X166+Z166-Y166)</f>
        <v/>
      </c>
      <c r="AB166" s="83" t="n"/>
      <c r="AC166" s="83" t="n"/>
      <c r="AD166" s="83" t="n"/>
      <c r="AE166" s="83" t="n"/>
      <c r="AF166" s="83" t="n"/>
      <c r="AG166" s="83" t="n"/>
      <c r="AH166" s="84">
        <f>IF(OR($A166="",COUNT(AB166,AC166,AD166,AG166,AE166,AF166)&lt;1),"",AB166+AC166+AD166+AG166-AE166-AF166)</f>
        <v/>
      </c>
      <c r="AI166" s="84">
        <f>IF(OR($A166="",COUNT(AA166,AH166)&lt;2),"",AA166-AH166)</f>
        <v/>
      </c>
      <c r="AJ166" s="84">
        <f>IF(OR($A166="",COUNT(W166,AB166)&lt;2),"",W166-AB166)</f>
        <v/>
      </c>
      <c r="AK166" s="83" t="n"/>
      <c r="AL166" s="33" t="n"/>
      <c r="AM166" s="33" t="n"/>
      <c r="AN166" s="83" t="n"/>
      <c r="AO166" s="33" t="n"/>
      <c r="AP166" s="33" t="n"/>
      <c r="AQ166" s="33" t="n"/>
    </row>
    <row r="167">
      <c r="A167" s="33" t="n"/>
      <c r="B167" s="33" t="n"/>
      <c r="C167" s="33" t="n"/>
      <c r="D167" s="33" t="n"/>
      <c r="E167" s="33" t="n"/>
      <c r="F167" s="33" t="n"/>
      <c r="G167" s="33" t="n"/>
      <c r="H167" s="33" t="n"/>
      <c r="I167" s="33" t="n"/>
      <c r="J167" s="33" t="n"/>
      <c r="K167" s="34" t="n"/>
      <c r="L167" s="34" t="n"/>
      <c r="M167" s="34" t="n"/>
      <c r="N167" s="82" t="n"/>
      <c r="O167" s="82" t="n"/>
      <c r="P167" s="33" t="n"/>
      <c r="Q167" s="34" t="n"/>
      <c r="R167" s="83" t="n"/>
      <c r="S167" s="34" t="n"/>
      <c r="T167" s="33" t="n"/>
      <c r="U167" s="83" t="n"/>
      <c r="V167" s="33" t="n"/>
      <c r="W167" s="83" t="n"/>
      <c r="X167" s="83" t="n"/>
      <c r="Y167" s="83" t="n"/>
      <c r="Z167" s="83" t="n"/>
      <c r="AA167" s="84">
        <f>IF(OR($A167="",COUNT(W167,X167,Z167,Y167)&lt;1),"",W167+X167+Z167-Y167)</f>
        <v/>
      </c>
      <c r="AB167" s="83" t="n"/>
      <c r="AC167" s="83" t="n"/>
      <c r="AD167" s="83" t="n"/>
      <c r="AE167" s="83" t="n"/>
      <c r="AF167" s="83" t="n"/>
      <c r="AG167" s="83" t="n"/>
      <c r="AH167" s="84">
        <f>IF(OR($A167="",COUNT(AB167,AC167,AD167,AG167,AE167,AF167)&lt;1),"",AB167+AC167+AD167+AG167-AE167-AF167)</f>
        <v/>
      </c>
      <c r="AI167" s="84">
        <f>IF(OR($A167="",COUNT(AA167,AH167)&lt;2),"",AA167-AH167)</f>
        <v/>
      </c>
      <c r="AJ167" s="84">
        <f>IF(OR($A167="",COUNT(W167,AB167)&lt;2),"",W167-AB167)</f>
        <v/>
      </c>
      <c r="AK167" s="83" t="n"/>
      <c r="AL167" s="33" t="n"/>
      <c r="AM167" s="33" t="n"/>
      <c r="AN167" s="83" t="n"/>
      <c r="AO167" s="33" t="n"/>
      <c r="AP167" s="33" t="n"/>
      <c r="AQ167" s="33" t="n"/>
    </row>
    <row r="168">
      <c r="A168" s="33" t="n"/>
      <c r="B168" s="33" t="n"/>
      <c r="C168" s="33" t="n"/>
      <c r="D168" s="33" t="n"/>
      <c r="E168" s="33" t="n"/>
      <c r="F168" s="33" t="n"/>
      <c r="G168" s="33" t="n"/>
      <c r="H168" s="33" t="n"/>
      <c r="I168" s="33" t="n"/>
      <c r="J168" s="33" t="n"/>
      <c r="K168" s="34" t="n"/>
      <c r="L168" s="34" t="n"/>
      <c r="M168" s="34" t="n"/>
      <c r="N168" s="82" t="n"/>
      <c r="O168" s="82" t="n"/>
      <c r="P168" s="33" t="n"/>
      <c r="Q168" s="34" t="n"/>
      <c r="R168" s="83" t="n"/>
      <c r="S168" s="34" t="n"/>
      <c r="T168" s="33" t="n"/>
      <c r="U168" s="83" t="n"/>
      <c r="V168" s="33" t="n"/>
      <c r="W168" s="83" t="n"/>
      <c r="X168" s="83" t="n"/>
      <c r="Y168" s="83" t="n"/>
      <c r="Z168" s="83" t="n"/>
      <c r="AA168" s="84">
        <f>IF(OR($A168="",COUNT(W168,X168,Z168,Y168)&lt;1),"",W168+X168+Z168-Y168)</f>
        <v/>
      </c>
      <c r="AB168" s="83" t="n"/>
      <c r="AC168" s="83" t="n"/>
      <c r="AD168" s="83" t="n"/>
      <c r="AE168" s="83" t="n"/>
      <c r="AF168" s="83" t="n"/>
      <c r="AG168" s="83" t="n"/>
      <c r="AH168" s="84">
        <f>IF(OR($A168="",COUNT(AB168,AC168,AD168,AG168,AE168,AF168)&lt;1),"",AB168+AC168+AD168+AG168-AE168-AF168)</f>
        <v/>
      </c>
      <c r="AI168" s="84">
        <f>IF(OR($A168="",COUNT(AA168,AH168)&lt;2),"",AA168-AH168)</f>
        <v/>
      </c>
      <c r="AJ168" s="84">
        <f>IF(OR($A168="",COUNT(W168,AB168)&lt;2),"",W168-AB168)</f>
        <v/>
      </c>
      <c r="AK168" s="83" t="n"/>
      <c r="AL168" s="33" t="n"/>
      <c r="AM168" s="33" t="n"/>
      <c r="AN168" s="83" t="n"/>
      <c r="AO168" s="33" t="n"/>
      <c r="AP168" s="33" t="n"/>
      <c r="AQ168" s="33" t="n"/>
    </row>
    <row r="169">
      <c r="A169" s="33" t="n"/>
      <c r="B169" s="33" t="n"/>
      <c r="C169" s="33" t="n"/>
      <c r="D169" s="33" t="n"/>
      <c r="E169" s="33" t="n"/>
      <c r="F169" s="33" t="n"/>
      <c r="G169" s="33" t="n"/>
      <c r="H169" s="33" t="n"/>
      <c r="I169" s="33" t="n"/>
      <c r="J169" s="33" t="n"/>
      <c r="K169" s="34" t="n"/>
      <c r="L169" s="34" t="n"/>
      <c r="M169" s="34" t="n"/>
      <c r="N169" s="82" t="n"/>
      <c r="O169" s="82" t="n"/>
      <c r="P169" s="33" t="n"/>
      <c r="Q169" s="34" t="n"/>
      <c r="R169" s="83" t="n"/>
      <c r="S169" s="34" t="n"/>
      <c r="T169" s="33" t="n"/>
      <c r="U169" s="83" t="n"/>
      <c r="V169" s="33" t="n"/>
      <c r="W169" s="83" t="n"/>
      <c r="X169" s="83" t="n"/>
      <c r="Y169" s="83" t="n"/>
      <c r="Z169" s="83" t="n"/>
      <c r="AA169" s="84">
        <f>IF(OR($A169="",COUNT(W169,X169,Z169,Y169)&lt;1),"",W169+X169+Z169-Y169)</f>
        <v/>
      </c>
      <c r="AB169" s="83" t="n"/>
      <c r="AC169" s="83" t="n"/>
      <c r="AD169" s="83" t="n"/>
      <c r="AE169" s="83" t="n"/>
      <c r="AF169" s="83" t="n"/>
      <c r="AG169" s="83" t="n"/>
      <c r="AH169" s="84">
        <f>IF(OR($A169="",COUNT(AB169,AC169,AD169,AG169,AE169,AF169)&lt;1),"",AB169+AC169+AD169+AG169-AE169-AF169)</f>
        <v/>
      </c>
      <c r="AI169" s="84">
        <f>IF(OR($A169="",COUNT(AA169,AH169)&lt;2),"",AA169-AH169)</f>
        <v/>
      </c>
      <c r="AJ169" s="84">
        <f>IF(OR($A169="",COUNT(W169,AB169)&lt;2),"",W169-AB169)</f>
        <v/>
      </c>
      <c r="AK169" s="83" t="n"/>
      <c r="AL169" s="33" t="n"/>
      <c r="AM169" s="33" t="n"/>
      <c r="AN169" s="83" t="n"/>
      <c r="AO169" s="33" t="n"/>
      <c r="AP169" s="33" t="n"/>
      <c r="AQ169" s="33" t="n"/>
    </row>
    <row r="170">
      <c r="A170" s="33" t="n"/>
      <c r="B170" s="33" t="n"/>
      <c r="C170" s="33" t="n"/>
      <c r="D170" s="33" t="n"/>
      <c r="E170" s="33" t="n"/>
      <c r="F170" s="33" t="n"/>
      <c r="G170" s="33" t="n"/>
      <c r="H170" s="33" t="n"/>
      <c r="I170" s="33" t="n"/>
      <c r="J170" s="33" t="n"/>
      <c r="K170" s="34" t="n"/>
      <c r="L170" s="34" t="n"/>
      <c r="M170" s="34" t="n"/>
      <c r="N170" s="82" t="n"/>
      <c r="O170" s="82" t="n"/>
      <c r="P170" s="33" t="n"/>
      <c r="Q170" s="34" t="n"/>
      <c r="R170" s="83" t="n"/>
      <c r="S170" s="34" t="n"/>
      <c r="T170" s="33" t="n"/>
      <c r="U170" s="83" t="n"/>
      <c r="V170" s="33" t="n"/>
      <c r="W170" s="83" t="n"/>
      <c r="X170" s="83" t="n"/>
      <c r="Y170" s="83" t="n"/>
      <c r="Z170" s="83" t="n"/>
      <c r="AA170" s="84">
        <f>IF(OR($A170="",COUNT(W170,X170,Z170,Y170)&lt;1),"",W170+X170+Z170-Y170)</f>
        <v/>
      </c>
      <c r="AB170" s="83" t="n"/>
      <c r="AC170" s="83" t="n"/>
      <c r="AD170" s="83" t="n"/>
      <c r="AE170" s="83" t="n"/>
      <c r="AF170" s="83" t="n"/>
      <c r="AG170" s="83" t="n"/>
      <c r="AH170" s="84">
        <f>IF(OR($A170="",COUNT(AB170,AC170,AD170,AG170,AE170,AF170)&lt;1),"",AB170+AC170+AD170+AG170-AE170-AF170)</f>
        <v/>
      </c>
      <c r="AI170" s="84">
        <f>IF(OR($A170="",COUNT(AA170,AH170)&lt;2),"",AA170-AH170)</f>
        <v/>
      </c>
      <c r="AJ170" s="84">
        <f>IF(OR($A170="",COUNT(W170,AB170)&lt;2),"",W170-AB170)</f>
        <v/>
      </c>
      <c r="AK170" s="83" t="n"/>
      <c r="AL170" s="33" t="n"/>
      <c r="AM170" s="33" t="n"/>
      <c r="AN170" s="83" t="n"/>
      <c r="AO170" s="33" t="n"/>
      <c r="AP170" s="33" t="n"/>
      <c r="AQ170" s="33" t="n"/>
    </row>
    <row r="171">
      <c r="A171" s="33" t="n"/>
      <c r="B171" s="33" t="n"/>
      <c r="C171" s="33" t="n"/>
      <c r="D171" s="33" t="n"/>
      <c r="E171" s="33" t="n"/>
      <c r="F171" s="33" t="n"/>
      <c r="G171" s="33" t="n"/>
      <c r="H171" s="33" t="n"/>
      <c r="I171" s="33" t="n"/>
      <c r="J171" s="33" t="n"/>
      <c r="K171" s="34" t="n"/>
      <c r="L171" s="34" t="n"/>
      <c r="M171" s="34" t="n"/>
      <c r="N171" s="82" t="n"/>
      <c r="O171" s="82" t="n"/>
      <c r="P171" s="33" t="n"/>
      <c r="Q171" s="34" t="n"/>
      <c r="R171" s="83" t="n"/>
      <c r="S171" s="34" t="n"/>
      <c r="T171" s="33" t="n"/>
      <c r="U171" s="83" t="n"/>
      <c r="V171" s="33" t="n"/>
      <c r="W171" s="83" t="n"/>
      <c r="X171" s="83" t="n"/>
      <c r="Y171" s="83" t="n"/>
      <c r="Z171" s="83" t="n"/>
      <c r="AA171" s="84">
        <f>IF(OR($A171="",COUNT(W171,X171,Z171,Y171)&lt;1),"",W171+X171+Z171-Y171)</f>
        <v/>
      </c>
      <c r="AB171" s="83" t="n"/>
      <c r="AC171" s="83" t="n"/>
      <c r="AD171" s="83" t="n"/>
      <c r="AE171" s="83" t="n"/>
      <c r="AF171" s="83" t="n"/>
      <c r="AG171" s="83" t="n"/>
      <c r="AH171" s="84">
        <f>IF(OR($A171="",COUNT(AB171,AC171,AD171,AG171,AE171,AF171)&lt;1),"",AB171+AC171+AD171+AG171-AE171-AF171)</f>
        <v/>
      </c>
      <c r="AI171" s="84">
        <f>IF(OR($A171="",COUNT(AA171,AH171)&lt;2),"",AA171-AH171)</f>
        <v/>
      </c>
      <c r="AJ171" s="84">
        <f>IF(OR($A171="",COUNT(W171,AB171)&lt;2),"",W171-AB171)</f>
        <v/>
      </c>
      <c r="AK171" s="83" t="n"/>
      <c r="AL171" s="33" t="n"/>
      <c r="AM171" s="33" t="n"/>
      <c r="AN171" s="83" t="n"/>
      <c r="AO171" s="33" t="n"/>
      <c r="AP171" s="33" t="n"/>
      <c r="AQ171" s="33" t="n"/>
    </row>
    <row r="172">
      <c r="A172" s="33" t="n"/>
      <c r="B172" s="33" t="n"/>
      <c r="C172" s="33" t="n"/>
      <c r="D172" s="33" t="n"/>
      <c r="E172" s="33" t="n"/>
      <c r="F172" s="33" t="n"/>
      <c r="G172" s="33" t="n"/>
      <c r="H172" s="33" t="n"/>
      <c r="I172" s="33" t="n"/>
      <c r="J172" s="33" t="n"/>
      <c r="K172" s="34" t="n"/>
      <c r="L172" s="34" t="n"/>
      <c r="M172" s="34" t="n"/>
      <c r="N172" s="82" t="n"/>
      <c r="O172" s="82" t="n"/>
      <c r="P172" s="33" t="n"/>
      <c r="Q172" s="34" t="n"/>
      <c r="R172" s="83" t="n"/>
      <c r="S172" s="34" t="n"/>
      <c r="T172" s="33" t="n"/>
      <c r="U172" s="83" t="n"/>
      <c r="V172" s="33" t="n"/>
      <c r="W172" s="83" t="n"/>
      <c r="X172" s="83" t="n"/>
      <c r="Y172" s="83" t="n"/>
      <c r="Z172" s="83" t="n"/>
      <c r="AA172" s="84">
        <f>IF(OR($A172="",COUNT(W172,X172,Z172,Y172)&lt;1),"",W172+X172+Z172-Y172)</f>
        <v/>
      </c>
      <c r="AB172" s="83" t="n"/>
      <c r="AC172" s="83" t="n"/>
      <c r="AD172" s="83" t="n"/>
      <c r="AE172" s="83" t="n"/>
      <c r="AF172" s="83" t="n"/>
      <c r="AG172" s="83" t="n"/>
      <c r="AH172" s="84">
        <f>IF(OR($A172="",COUNT(AB172,AC172,AD172,AG172,AE172,AF172)&lt;1),"",AB172+AC172+AD172+AG172-AE172-AF172)</f>
        <v/>
      </c>
      <c r="AI172" s="84">
        <f>IF(OR($A172="",COUNT(AA172,AH172)&lt;2),"",AA172-AH172)</f>
        <v/>
      </c>
      <c r="AJ172" s="84">
        <f>IF(OR($A172="",COUNT(W172,AB172)&lt;2),"",W172-AB172)</f>
        <v/>
      </c>
      <c r="AK172" s="83" t="n"/>
      <c r="AL172" s="33" t="n"/>
      <c r="AM172" s="33" t="n"/>
      <c r="AN172" s="83" t="n"/>
      <c r="AO172" s="33" t="n"/>
      <c r="AP172" s="33" t="n"/>
      <c r="AQ172" s="33" t="n"/>
    </row>
    <row r="173">
      <c r="A173" s="33" t="n"/>
      <c r="B173" s="33" t="n"/>
      <c r="C173" s="33" t="n"/>
      <c r="D173" s="33" t="n"/>
      <c r="E173" s="33" t="n"/>
      <c r="F173" s="33" t="n"/>
      <c r="G173" s="33" t="n"/>
      <c r="H173" s="33" t="n"/>
      <c r="I173" s="33" t="n"/>
      <c r="J173" s="33" t="n"/>
      <c r="K173" s="34" t="n"/>
      <c r="L173" s="34" t="n"/>
      <c r="M173" s="34" t="n"/>
      <c r="N173" s="82" t="n"/>
      <c r="O173" s="82" t="n"/>
      <c r="P173" s="33" t="n"/>
      <c r="Q173" s="34" t="n"/>
      <c r="R173" s="83" t="n"/>
      <c r="S173" s="34" t="n"/>
      <c r="T173" s="33" t="n"/>
      <c r="U173" s="83" t="n"/>
      <c r="V173" s="33" t="n"/>
      <c r="W173" s="83" t="n"/>
      <c r="X173" s="83" t="n"/>
      <c r="Y173" s="83" t="n"/>
      <c r="Z173" s="83" t="n"/>
      <c r="AA173" s="84">
        <f>IF(OR($A173="",COUNT(W173,X173,Z173,Y173)&lt;1),"",W173+X173+Z173-Y173)</f>
        <v/>
      </c>
      <c r="AB173" s="83" t="n"/>
      <c r="AC173" s="83" t="n"/>
      <c r="AD173" s="83" t="n"/>
      <c r="AE173" s="83" t="n"/>
      <c r="AF173" s="83" t="n"/>
      <c r="AG173" s="83" t="n"/>
      <c r="AH173" s="84">
        <f>IF(OR($A173="",COUNT(AB173,AC173,AD173,AG173,AE173,AF173)&lt;1),"",AB173+AC173+AD173+AG173-AE173-AF173)</f>
        <v/>
      </c>
      <c r="AI173" s="84">
        <f>IF(OR($A173="",COUNT(AA173,AH173)&lt;2),"",AA173-AH173)</f>
        <v/>
      </c>
      <c r="AJ173" s="84">
        <f>IF(OR($A173="",COUNT(W173,AB173)&lt;2),"",W173-AB173)</f>
        <v/>
      </c>
      <c r="AK173" s="83" t="n"/>
      <c r="AL173" s="33" t="n"/>
      <c r="AM173" s="33" t="n"/>
      <c r="AN173" s="83" t="n"/>
      <c r="AO173" s="33" t="n"/>
      <c r="AP173" s="33" t="n"/>
      <c r="AQ173" s="33" t="n"/>
    </row>
    <row r="174">
      <c r="A174" s="33" t="n"/>
      <c r="B174" s="33" t="n"/>
      <c r="C174" s="33" t="n"/>
      <c r="D174" s="33" t="n"/>
      <c r="E174" s="33" t="n"/>
      <c r="F174" s="33" t="n"/>
      <c r="G174" s="33" t="n"/>
      <c r="H174" s="33" t="n"/>
      <c r="I174" s="33" t="n"/>
      <c r="J174" s="33" t="n"/>
      <c r="K174" s="34" t="n"/>
      <c r="L174" s="34" t="n"/>
      <c r="M174" s="34" t="n"/>
      <c r="N174" s="82" t="n"/>
      <c r="O174" s="82" t="n"/>
      <c r="P174" s="33" t="n"/>
      <c r="Q174" s="34" t="n"/>
      <c r="R174" s="83" t="n"/>
      <c r="S174" s="34" t="n"/>
      <c r="T174" s="33" t="n"/>
      <c r="U174" s="83" t="n"/>
      <c r="V174" s="33" t="n"/>
      <c r="W174" s="83" t="n"/>
      <c r="X174" s="83" t="n"/>
      <c r="Y174" s="83" t="n"/>
      <c r="Z174" s="83" t="n"/>
      <c r="AA174" s="84">
        <f>IF(OR($A174="",COUNT(W174,X174,Z174,Y174)&lt;1),"",W174+X174+Z174-Y174)</f>
        <v/>
      </c>
      <c r="AB174" s="83" t="n"/>
      <c r="AC174" s="83" t="n"/>
      <c r="AD174" s="83" t="n"/>
      <c r="AE174" s="83" t="n"/>
      <c r="AF174" s="83" t="n"/>
      <c r="AG174" s="83" t="n"/>
      <c r="AH174" s="84">
        <f>IF(OR($A174="",COUNT(AB174,AC174,AD174,AG174,AE174,AF174)&lt;1),"",AB174+AC174+AD174+AG174-AE174-AF174)</f>
        <v/>
      </c>
      <c r="AI174" s="84">
        <f>IF(OR($A174="",COUNT(AA174,AH174)&lt;2),"",AA174-AH174)</f>
        <v/>
      </c>
      <c r="AJ174" s="84">
        <f>IF(OR($A174="",COUNT(W174,AB174)&lt;2),"",W174-AB174)</f>
        <v/>
      </c>
      <c r="AK174" s="83" t="n"/>
      <c r="AL174" s="33" t="n"/>
      <c r="AM174" s="33" t="n"/>
      <c r="AN174" s="83" t="n"/>
      <c r="AO174" s="33" t="n"/>
      <c r="AP174" s="33" t="n"/>
      <c r="AQ174" s="33" t="n"/>
    </row>
    <row r="175">
      <c r="A175" s="33" t="n"/>
      <c r="B175" s="33" t="n"/>
      <c r="C175" s="33" t="n"/>
      <c r="D175" s="33" t="n"/>
      <c r="E175" s="33" t="n"/>
      <c r="F175" s="33" t="n"/>
      <c r="G175" s="33" t="n"/>
      <c r="H175" s="33" t="n"/>
      <c r="I175" s="33" t="n"/>
      <c r="J175" s="33" t="n"/>
      <c r="K175" s="34" t="n"/>
      <c r="L175" s="34" t="n"/>
      <c r="M175" s="34" t="n"/>
      <c r="N175" s="82" t="n"/>
      <c r="O175" s="82" t="n"/>
      <c r="P175" s="33" t="n"/>
      <c r="Q175" s="34" t="n"/>
      <c r="R175" s="83" t="n"/>
      <c r="S175" s="34" t="n"/>
      <c r="T175" s="33" t="n"/>
      <c r="U175" s="83" t="n"/>
      <c r="V175" s="33" t="n"/>
      <c r="W175" s="83" t="n"/>
      <c r="X175" s="83" t="n"/>
      <c r="Y175" s="83" t="n"/>
      <c r="Z175" s="83" t="n"/>
      <c r="AA175" s="84">
        <f>IF(OR($A175="",COUNT(W175,X175,Z175,Y175)&lt;1),"",W175+X175+Z175-Y175)</f>
        <v/>
      </c>
      <c r="AB175" s="83" t="n"/>
      <c r="AC175" s="83" t="n"/>
      <c r="AD175" s="83" t="n"/>
      <c r="AE175" s="83" t="n"/>
      <c r="AF175" s="83" t="n"/>
      <c r="AG175" s="83" t="n"/>
      <c r="AH175" s="84">
        <f>IF(OR($A175="",COUNT(AB175,AC175,AD175,AG175,AE175,AF175)&lt;1),"",AB175+AC175+AD175+AG175-AE175-AF175)</f>
        <v/>
      </c>
      <c r="AI175" s="84">
        <f>IF(OR($A175="",COUNT(AA175,AH175)&lt;2),"",AA175-AH175)</f>
        <v/>
      </c>
      <c r="AJ175" s="84">
        <f>IF(OR($A175="",COUNT(W175,AB175)&lt;2),"",W175-AB175)</f>
        <v/>
      </c>
      <c r="AK175" s="83" t="n"/>
      <c r="AL175" s="33" t="n"/>
      <c r="AM175" s="33" t="n"/>
      <c r="AN175" s="83" t="n"/>
      <c r="AO175" s="33" t="n"/>
      <c r="AP175" s="33" t="n"/>
      <c r="AQ175" s="33" t="n"/>
    </row>
    <row r="176">
      <c r="A176" s="33" t="n"/>
      <c r="B176" s="33" t="n"/>
      <c r="C176" s="33" t="n"/>
      <c r="D176" s="33" t="n"/>
      <c r="E176" s="33" t="n"/>
      <c r="F176" s="33" t="n"/>
      <c r="G176" s="33" t="n"/>
      <c r="H176" s="33" t="n"/>
      <c r="I176" s="33" t="n"/>
      <c r="J176" s="33" t="n"/>
      <c r="K176" s="34" t="n"/>
      <c r="L176" s="34" t="n"/>
      <c r="M176" s="34" t="n"/>
      <c r="N176" s="82" t="n"/>
      <c r="O176" s="82" t="n"/>
      <c r="P176" s="33" t="n"/>
      <c r="Q176" s="34" t="n"/>
      <c r="R176" s="83" t="n"/>
      <c r="S176" s="34" t="n"/>
      <c r="T176" s="33" t="n"/>
      <c r="U176" s="83" t="n"/>
      <c r="V176" s="33" t="n"/>
      <c r="W176" s="83" t="n"/>
      <c r="X176" s="83" t="n"/>
      <c r="Y176" s="83" t="n"/>
      <c r="Z176" s="83" t="n"/>
      <c r="AA176" s="84">
        <f>IF(OR($A176="",COUNT(W176,X176,Z176,Y176)&lt;1),"",W176+X176+Z176-Y176)</f>
        <v/>
      </c>
      <c r="AB176" s="83" t="n"/>
      <c r="AC176" s="83" t="n"/>
      <c r="AD176" s="83" t="n"/>
      <c r="AE176" s="83" t="n"/>
      <c r="AF176" s="83" t="n"/>
      <c r="AG176" s="83" t="n"/>
      <c r="AH176" s="84">
        <f>IF(OR($A176="",COUNT(AB176,AC176,AD176,AG176,AE176,AF176)&lt;1),"",AB176+AC176+AD176+AG176-AE176-AF176)</f>
        <v/>
      </c>
      <c r="AI176" s="84">
        <f>IF(OR($A176="",COUNT(AA176,AH176)&lt;2),"",AA176-AH176)</f>
        <v/>
      </c>
      <c r="AJ176" s="84">
        <f>IF(OR($A176="",COUNT(W176,AB176)&lt;2),"",W176-AB176)</f>
        <v/>
      </c>
      <c r="AK176" s="83" t="n"/>
      <c r="AL176" s="33" t="n"/>
      <c r="AM176" s="33" t="n"/>
      <c r="AN176" s="83" t="n"/>
      <c r="AO176" s="33" t="n"/>
      <c r="AP176" s="33" t="n"/>
      <c r="AQ176" s="33" t="n"/>
    </row>
    <row r="177">
      <c r="A177" s="33" t="n"/>
      <c r="B177" s="33" t="n"/>
      <c r="C177" s="33" t="n"/>
      <c r="D177" s="33" t="n"/>
      <c r="E177" s="33" t="n"/>
      <c r="F177" s="33" t="n"/>
      <c r="G177" s="33" t="n"/>
      <c r="H177" s="33" t="n"/>
      <c r="I177" s="33" t="n"/>
      <c r="J177" s="33" t="n"/>
      <c r="K177" s="34" t="n"/>
      <c r="L177" s="34" t="n"/>
      <c r="M177" s="34" t="n"/>
      <c r="N177" s="82" t="n"/>
      <c r="O177" s="82" t="n"/>
      <c r="P177" s="33" t="n"/>
      <c r="Q177" s="34" t="n"/>
      <c r="R177" s="83" t="n"/>
      <c r="S177" s="34" t="n"/>
      <c r="T177" s="33" t="n"/>
      <c r="U177" s="83" t="n"/>
      <c r="V177" s="33" t="n"/>
      <c r="W177" s="83" t="n"/>
      <c r="X177" s="83" t="n"/>
      <c r="Y177" s="83" t="n"/>
      <c r="Z177" s="83" t="n"/>
      <c r="AA177" s="84">
        <f>IF(OR($A177="",COUNT(W177,X177,Z177,Y177)&lt;1),"",W177+X177+Z177-Y177)</f>
        <v/>
      </c>
      <c r="AB177" s="83" t="n"/>
      <c r="AC177" s="83" t="n"/>
      <c r="AD177" s="83" t="n"/>
      <c r="AE177" s="83" t="n"/>
      <c r="AF177" s="83" t="n"/>
      <c r="AG177" s="83" t="n"/>
      <c r="AH177" s="84">
        <f>IF(OR($A177="",COUNT(AB177,AC177,AD177,AG177,AE177,AF177)&lt;1),"",AB177+AC177+AD177+AG177-AE177-AF177)</f>
        <v/>
      </c>
      <c r="AI177" s="84">
        <f>IF(OR($A177="",COUNT(AA177,AH177)&lt;2),"",AA177-AH177)</f>
        <v/>
      </c>
      <c r="AJ177" s="84">
        <f>IF(OR($A177="",COUNT(W177,AB177)&lt;2),"",W177-AB177)</f>
        <v/>
      </c>
      <c r="AK177" s="83" t="n"/>
      <c r="AL177" s="33" t="n"/>
      <c r="AM177" s="33" t="n"/>
      <c r="AN177" s="83" t="n"/>
      <c r="AO177" s="33" t="n"/>
      <c r="AP177" s="33" t="n"/>
      <c r="AQ177" s="33" t="n"/>
    </row>
    <row r="178">
      <c r="A178" s="33" t="n"/>
      <c r="B178" s="33" t="n"/>
      <c r="C178" s="33" t="n"/>
      <c r="D178" s="33" t="n"/>
      <c r="E178" s="33" t="n"/>
      <c r="F178" s="33" t="n"/>
      <c r="G178" s="33" t="n"/>
      <c r="H178" s="33" t="n"/>
      <c r="I178" s="33" t="n"/>
      <c r="J178" s="33" t="n"/>
      <c r="K178" s="34" t="n"/>
      <c r="L178" s="34" t="n"/>
      <c r="M178" s="34" t="n"/>
      <c r="N178" s="82" t="n"/>
      <c r="O178" s="82" t="n"/>
      <c r="P178" s="33" t="n"/>
      <c r="Q178" s="34" t="n"/>
      <c r="R178" s="83" t="n"/>
      <c r="S178" s="34" t="n"/>
      <c r="T178" s="33" t="n"/>
      <c r="U178" s="83" t="n"/>
      <c r="V178" s="33" t="n"/>
      <c r="W178" s="83" t="n"/>
      <c r="X178" s="83" t="n"/>
      <c r="Y178" s="83" t="n"/>
      <c r="Z178" s="83" t="n"/>
      <c r="AA178" s="84">
        <f>IF(OR($A178="",COUNT(W178,X178,Z178,Y178)&lt;1),"",W178+X178+Z178-Y178)</f>
        <v/>
      </c>
      <c r="AB178" s="83" t="n"/>
      <c r="AC178" s="83" t="n"/>
      <c r="AD178" s="83" t="n"/>
      <c r="AE178" s="83" t="n"/>
      <c r="AF178" s="83" t="n"/>
      <c r="AG178" s="83" t="n"/>
      <c r="AH178" s="84">
        <f>IF(OR($A178="",COUNT(AB178,AC178,AD178,AG178,AE178,AF178)&lt;1),"",AB178+AC178+AD178+AG178-AE178-AF178)</f>
        <v/>
      </c>
      <c r="AI178" s="84">
        <f>IF(OR($A178="",COUNT(AA178,AH178)&lt;2),"",AA178-AH178)</f>
        <v/>
      </c>
      <c r="AJ178" s="84">
        <f>IF(OR($A178="",COUNT(W178,AB178)&lt;2),"",W178-AB178)</f>
        <v/>
      </c>
      <c r="AK178" s="83" t="n"/>
      <c r="AL178" s="33" t="n"/>
      <c r="AM178" s="33" t="n"/>
      <c r="AN178" s="83" t="n"/>
      <c r="AO178" s="33" t="n"/>
      <c r="AP178" s="33" t="n"/>
      <c r="AQ178" s="33" t="n"/>
    </row>
    <row r="179">
      <c r="A179" s="33" t="n"/>
      <c r="B179" s="33" t="n"/>
      <c r="C179" s="33" t="n"/>
      <c r="D179" s="33" t="n"/>
      <c r="E179" s="33" t="n"/>
      <c r="F179" s="33" t="n"/>
      <c r="G179" s="33" t="n"/>
      <c r="H179" s="33" t="n"/>
      <c r="I179" s="33" t="n"/>
      <c r="J179" s="33" t="n"/>
      <c r="K179" s="34" t="n"/>
      <c r="L179" s="34" t="n"/>
      <c r="M179" s="34" t="n"/>
      <c r="N179" s="82" t="n"/>
      <c r="O179" s="82" t="n"/>
      <c r="P179" s="33" t="n"/>
      <c r="Q179" s="34" t="n"/>
      <c r="R179" s="83" t="n"/>
      <c r="S179" s="34" t="n"/>
      <c r="T179" s="33" t="n"/>
      <c r="U179" s="83" t="n"/>
      <c r="V179" s="33" t="n"/>
      <c r="W179" s="83" t="n"/>
      <c r="X179" s="83" t="n"/>
      <c r="Y179" s="83" t="n"/>
      <c r="Z179" s="83" t="n"/>
      <c r="AA179" s="84">
        <f>IF(OR($A179="",COUNT(W179,X179,Z179,Y179)&lt;1),"",W179+X179+Z179-Y179)</f>
        <v/>
      </c>
      <c r="AB179" s="83" t="n"/>
      <c r="AC179" s="83" t="n"/>
      <c r="AD179" s="83" t="n"/>
      <c r="AE179" s="83" t="n"/>
      <c r="AF179" s="83" t="n"/>
      <c r="AG179" s="83" t="n"/>
      <c r="AH179" s="84">
        <f>IF(OR($A179="",COUNT(AB179,AC179,AD179,AG179,AE179,AF179)&lt;1),"",AB179+AC179+AD179+AG179-AE179-AF179)</f>
        <v/>
      </c>
      <c r="AI179" s="84">
        <f>IF(OR($A179="",COUNT(AA179,AH179)&lt;2),"",AA179-AH179)</f>
        <v/>
      </c>
      <c r="AJ179" s="84">
        <f>IF(OR($A179="",COUNT(W179,AB179)&lt;2),"",W179-AB179)</f>
        <v/>
      </c>
      <c r="AK179" s="83" t="n"/>
      <c r="AL179" s="33" t="n"/>
      <c r="AM179" s="33" t="n"/>
      <c r="AN179" s="83" t="n"/>
      <c r="AO179" s="33" t="n"/>
      <c r="AP179" s="33" t="n"/>
      <c r="AQ179" s="33" t="n"/>
    </row>
    <row r="180">
      <c r="A180" s="33" t="n"/>
      <c r="B180" s="33" t="n"/>
      <c r="C180" s="33" t="n"/>
      <c r="D180" s="33" t="n"/>
      <c r="E180" s="33" t="n"/>
      <c r="F180" s="33" t="n"/>
      <c r="G180" s="33" t="n"/>
      <c r="H180" s="33" t="n"/>
      <c r="I180" s="33" t="n"/>
      <c r="J180" s="33" t="n"/>
      <c r="K180" s="34" t="n"/>
      <c r="L180" s="34" t="n"/>
      <c r="M180" s="34" t="n"/>
      <c r="N180" s="82" t="n"/>
      <c r="O180" s="82" t="n"/>
      <c r="P180" s="33" t="n"/>
      <c r="Q180" s="34" t="n"/>
      <c r="R180" s="83" t="n"/>
      <c r="S180" s="34" t="n"/>
      <c r="T180" s="33" t="n"/>
      <c r="U180" s="83" t="n"/>
      <c r="V180" s="33" t="n"/>
      <c r="W180" s="83" t="n"/>
      <c r="X180" s="83" t="n"/>
      <c r="Y180" s="83" t="n"/>
      <c r="Z180" s="83" t="n"/>
      <c r="AA180" s="84">
        <f>IF(OR($A180="",COUNT(W180,X180,Z180,Y180)&lt;1),"",W180+X180+Z180-Y180)</f>
        <v/>
      </c>
      <c r="AB180" s="83" t="n"/>
      <c r="AC180" s="83" t="n"/>
      <c r="AD180" s="83" t="n"/>
      <c r="AE180" s="83" t="n"/>
      <c r="AF180" s="83" t="n"/>
      <c r="AG180" s="83" t="n"/>
      <c r="AH180" s="84">
        <f>IF(OR($A180="",COUNT(AB180,AC180,AD180,AG180,AE180,AF180)&lt;1),"",AB180+AC180+AD180+AG180-AE180-AF180)</f>
        <v/>
      </c>
      <c r="AI180" s="84">
        <f>IF(OR($A180="",COUNT(AA180,AH180)&lt;2),"",AA180-AH180)</f>
        <v/>
      </c>
      <c r="AJ180" s="84">
        <f>IF(OR($A180="",COUNT(W180,AB180)&lt;2),"",W180-AB180)</f>
        <v/>
      </c>
      <c r="AK180" s="83" t="n"/>
      <c r="AL180" s="33" t="n"/>
      <c r="AM180" s="33" t="n"/>
      <c r="AN180" s="83" t="n"/>
      <c r="AO180" s="33" t="n"/>
      <c r="AP180" s="33" t="n"/>
      <c r="AQ180" s="33" t="n"/>
    </row>
    <row r="181">
      <c r="A181" s="33" t="n"/>
      <c r="B181" s="33" t="n"/>
      <c r="C181" s="33" t="n"/>
      <c r="D181" s="33" t="n"/>
      <c r="E181" s="33" t="n"/>
      <c r="F181" s="33" t="n"/>
      <c r="G181" s="33" t="n"/>
      <c r="H181" s="33" t="n"/>
      <c r="I181" s="33" t="n"/>
      <c r="J181" s="33" t="n"/>
      <c r="K181" s="34" t="n"/>
      <c r="L181" s="34" t="n"/>
      <c r="M181" s="34" t="n"/>
      <c r="N181" s="82" t="n"/>
      <c r="O181" s="82" t="n"/>
      <c r="P181" s="33" t="n"/>
      <c r="Q181" s="34" t="n"/>
      <c r="R181" s="83" t="n"/>
      <c r="S181" s="34" t="n"/>
      <c r="T181" s="33" t="n"/>
      <c r="U181" s="83" t="n"/>
      <c r="V181" s="33" t="n"/>
      <c r="W181" s="83" t="n"/>
      <c r="X181" s="83" t="n"/>
      <c r="Y181" s="83" t="n"/>
      <c r="Z181" s="83" t="n"/>
      <c r="AA181" s="84">
        <f>IF(OR($A181="",COUNT(W181,X181,Z181,Y181)&lt;1),"",W181+X181+Z181-Y181)</f>
        <v/>
      </c>
      <c r="AB181" s="83" t="n"/>
      <c r="AC181" s="83" t="n"/>
      <c r="AD181" s="83" t="n"/>
      <c r="AE181" s="83" t="n"/>
      <c r="AF181" s="83" t="n"/>
      <c r="AG181" s="83" t="n"/>
      <c r="AH181" s="84">
        <f>IF(OR($A181="",COUNT(AB181,AC181,AD181,AG181,AE181,AF181)&lt;1),"",AB181+AC181+AD181+AG181-AE181-AF181)</f>
        <v/>
      </c>
      <c r="AI181" s="84">
        <f>IF(OR($A181="",COUNT(AA181,AH181)&lt;2),"",AA181-AH181)</f>
        <v/>
      </c>
      <c r="AJ181" s="84">
        <f>IF(OR($A181="",COUNT(W181,AB181)&lt;2),"",W181-AB181)</f>
        <v/>
      </c>
      <c r="AK181" s="83" t="n"/>
      <c r="AL181" s="33" t="n"/>
      <c r="AM181" s="33" t="n"/>
      <c r="AN181" s="83" t="n"/>
      <c r="AO181" s="33" t="n"/>
      <c r="AP181" s="33" t="n"/>
      <c r="AQ181" s="33" t="n"/>
    </row>
    <row r="182">
      <c r="A182" s="33" t="n"/>
      <c r="B182" s="33" t="n"/>
      <c r="C182" s="33" t="n"/>
      <c r="D182" s="33" t="n"/>
      <c r="E182" s="33" t="n"/>
      <c r="F182" s="33" t="n"/>
      <c r="G182" s="33" t="n"/>
      <c r="H182" s="33" t="n"/>
      <c r="I182" s="33" t="n"/>
      <c r="J182" s="33" t="n"/>
      <c r="K182" s="34" t="n"/>
      <c r="L182" s="34" t="n"/>
      <c r="M182" s="34" t="n"/>
      <c r="N182" s="82" t="n"/>
      <c r="O182" s="82" t="n"/>
      <c r="P182" s="33" t="n"/>
      <c r="Q182" s="34" t="n"/>
      <c r="R182" s="83" t="n"/>
      <c r="S182" s="34" t="n"/>
      <c r="T182" s="33" t="n"/>
      <c r="U182" s="83" t="n"/>
      <c r="V182" s="33" t="n"/>
      <c r="W182" s="83" t="n"/>
      <c r="X182" s="83" t="n"/>
      <c r="Y182" s="83" t="n"/>
      <c r="Z182" s="83" t="n"/>
      <c r="AA182" s="84">
        <f>IF(OR($A182="",COUNT(W182,X182,Z182,Y182)&lt;1),"",W182+X182+Z182-Y182)</f>
        <v/>
      </c>
      <c r="AB182" s="83" t="n"/>
      <c r="AC182" s="83" t="n"/>
      <c r="AD182" s="83" t="n"/>
      <c r="AE182" s="83" t="n"/>
      <c r="AF182" s="83" t="n"/>
      <c r="AG182" s="83" t="n"/>
      <c r="AH182" s="84">
        <f>IF(OR($A182="",COUNT(AB182,AC182,AD182,AG182,AE182,AF182)&lt;1),"",AB182+AC182+AD182+AG182-AE182-AF182)</f>
        <v/>
      </c>
      <c r="AI182" s="84">
        <f>IF(OR($A182="",COUNT(AA182,AH182)&lt;2),"",AA182-AH182)</f>
        <v/>
      </c>
      <c r="AJ182" s="84">
        <f>IF(OR($A182="",COUNT(W182,AB182)&lt;2),"",W182-AB182)</f>
        <v/>
      </c>
      <c r="AK182" s="83" t="n"/>
      <c r="AL182" s="33" t="n"/>
      <c r="AM182" s="33" t="n"/>
      <c r="AN182" s="83" t="n"/>
      <c r="AO182" s="33" t="n"/>
      <c r="AP182" s="33" t="n"/>
      <c r="AQ182" s="33" t="n"/>
    </row>
    <row r="183">
      <c r="A183" s="33" t="n"/>
      <c r="B183" s="33" t="n"/>
      <c r="C183" s="33" t="n"/>
      <c r="D183" s="33" t="n"/>
      <c r="E183" s="33" t="n"/>
      <c r="F183" s="33" t="n"/>
      <c r="G183" s="33" t="n"/>
      <c r="H183" s="33" t="n"/>
      <c r="I183" s="33" t="n"/>
      <c r="J183" s="33" t="n"/>
      <c r="K183" s="34" t="n"/>
      <c r="L183" s="34" t="n"/>
      <c r="M183" s="34" t="n"/>
      <c r="N183" s="82" t="n"/>
      <c r="O183" s="82" t="n"/>
      <c r="P183" s="33" t="n"/>
      <c r="Q183" s="34" t="n"/>
      <c r="R183" s="83" t="n"/>
      <c r="S183" s="34" t="n"/>
      <c r="T183" s="33" t="n"/>
      <c r="U183" s="83" t="n"/>
      <c r="V183" s="33" t="n"/>
      <c r="W183" s="83" t="n"/>
      <c r="X183" s="83" t="n"/>
      <c r="Y183" s="83" t="n"/>
      <c r="Z183" s="83" t="n"/>
      <c r="AA183" s="84">
        <f>IF(OR($A183="",COUNT(W183,X183,Z183,Y183)&lt;1),"",W183+X183+Z183-Y183)</f>
        <v/>
      </c>
      <c r="AB183" s="83" t="n"/>
      <c r="AC183" s="83" t="n"/>
      <c r="AD183" s="83" t="n"/>
      <c r="AE183" s="83" t="n"/>
      <c r="AF183" s="83" t="n"/>
      <c r="AG183" s="83" t="n"/>
      <c r="AH183" s="84">
        <f>IF(OR($A183="",COUNT(AB183,AC183,AD183,AG183,AE183,AF183)&lt;1),"",AB183+AC183+AD183+AG183-AE183-AF183)</f>
        <v/>
      </c>
      <c r="AI183" s="84">
        <f>IF(OR($A183="",COUNT(AA183,AH183)&lt;2),"",AA183-AH183)</f>
        <v/>
      </c>
      <c r="AJ183" s="84">
        <f>IF(OR($A183="",COUNT(W183,AB183)&lt;2),"",W183-AB183)</f>
        <v/>
      </c>
      <c r="AK183" s="83" t="n"/>
      <c r="AL183" s="33" t="n"/>
      <c r="AM183" s="33" t="n"/>
      <c r="AN183" s="83" t="n"/>
      <c r="AO183" s="33" t="n"/>
      <c r="AP183" s="33" t="n"/>
      <c r="AQ183" s="33" t="n"/>
    </row>
    <row r="184">
      <c r="A184" s="33" t="n"/>
      <c r="B184" s="33" t="n"/>
      <c r="C184" s="33" t="n"/>
      <c r="D184" s="33" t="n"/>
      <c r="E184" s="33" t="n"/>
      <c r="F184" s="33" t="n"/>
      <c r="G184" s="33" t="n"/>
      <c r="H184" s="33" t="n"/>
      <c r="I184" s="33" t="n"/>
      <c r="J184" s="33" t="n"/>
      <c r="K184" s="34" t="n"/>
      <c r="L184" s="34" t="n"/>
      <c r="M184" s="34" t="n"/>
      <c r="N184" s="82" t="n"/>
      <c r="O184" s="82" t="n"/>
      <c r="P184" s="33" t="n"/>
      <c r="Q184" s="34" t="n"/>
      <c r="R184" s="83" t="n"/>
      <c r="S184" s="34" t="n"/>
      <c r="T184" s="33" t="n"/>
      <c r="U184" s="83" t="n"/>
      <c r="V184" s="33" t="n"/>
      <c r="W184" s="83" t="n"/>
      <c r="X184" s="83" t="n"/>
      <c r="Y184" s="83" t="n"/>
      <c r="Z184" s="83" t="n"/>
      <c r="AA184" s="84">
        <f>IF(OR($A184="",COUNT(W184,X184,Z184,Y184)&lt;1),"",W184+X184+Z184-Y184)</f>
        <v/>
      </c>
      <c r="AB184" s="83" t="n"/>
      <c r="AC184" s="83" t="n"/>
      <c r="AD184" s="83" t="n"/>
      <c r="AE184" s="83" t="n"/>
      <c r="AF184" s="83" t="n"/>
      <c r="AG184" s="83" t="n"/>
      <c r="AH184" s="84">
        <f>IF(OR($A184="",COUNT(AB184,AC184,AD184,AG184,AE184,AF184)&lt;1),"",AB184+AC184+AD184+AG184-AE184-AF184)</f>
        <v/>
      </c>
      <c r="AI184" s="84">
        <f>IF(OR($A184="",COUNT(AA184,AH184)&lt;2),"",AA184-AH184)</f>
        <v/>
      </c>
      <c r="AJ184" s="84">
        <f>IF(OR($A184="",COUNT(W184,AB184)&lt;2),"",W184-AB184)</f>
        <v/>
      </c>
      <c r="AK184" s="83" t="n"/>
      <c r="AL184" s="33" t="n"/>
      <c r="AM184" s="33" t="n"/>
      <c r="AN184" s="83" t="n"/>
      <c r="AO184" s="33" t="n"/>
      <c r="AP184" s="33" t="n"/>
      <c r="AQ184" s="33" t="n"/>
    </row>
    <row r="185">
      <c r="A185" s="33" t="n"/>
      <c r="B185" s="33" t="n"/>
      <c r="C185" s="33" t="n"/>
      <c r="D185" s="33" t="n"/>
      <c r="E185" s="33" t="n"/>
      <c r="F185" s="33" t="n"/>
      <c r="G185" s="33" t="n"/>
      <c r="H185" s="33" t="n"/>
      <c r="I185" s="33" t="n"/>
      <c r="J185" s="33" t="n"/>
      <c r="K185" s="34" t="n"/>
      <c r="L185" s="34" t="n"/>
      <c r="M185" s="34" t="n"/>
      <c r="N185" s="82" t="n"/>
      <c r="O185" s="82" t="n"/>
      <c r="P185" s="33" t="n"/>
      <c r="Q185" s="34" t="n"/>
      <c r="R185" s="83" t="n"/>
      <c r="S185" s="34" t="n"/>
      <c r="T185" s="33" t="n"/>
      <c r="U185" s="83" t="n"/>
      <c r="V185" s="33" t="n"/>
      <c r="W185" s="83" t="n"/>
      <c r="X185" s="83" t="n"/>
      <c r="Y185" s="83" t="n"/>
      <c r="Z185" s="83" t="n"/>
      <c r="AA185" s="84">
        <f>IF(OR($A185="",COUNT(W185,X185,Z185,Y185)&lt;1),"",W185+X185+Z185-Y185)</f>
        <v/>
      </c>
      <c r="AB185" s="83" t="n"/>
      <c r="AC185" s="83" t="n"/>
      <c r="AD185" s="83" t="n"/>
      <c r="AE185" s="83" t="n"/>
      <c r="AF185" s="83" t="n"/>
      <c r="AG185" s="83" t="n"/>
      <c r="AH185" s="84">
        <f>IF(OR($A185="",COUNT(AB185,AC185,AD185,AG185,AE185,AF185)&lt;1),"",AB185+AC185+AD185+AG185-AE185-AF185)</f>
        <v/>
      </c>
      <c r="AI185" s="84">
        <f>IF(OR($A185="",COUNT(AA185,AH185)&lt;2),"",AA185-AH185)</f>
        <v/>
      </c>
      <c r="AJ185" s="84">
        <f>IF(OR($A185="",COUNT(W185,AB185)&lt;2),"",W185-AB185)</f>
        <v/>
      </c>
      <c r="AK185" s="83" t="n"/>
      <c r="AL185" s="33" t="n"/>
      <c r="AM185" s="33" t="n"/>
      <c r="AN185" s="83" t="n"/>
      <c r="AO185" s="33" t="n"/>
      <c r="AP185" s="33" t="n"/>
      <c r="AQ185" s="33" t="n"/>
    </row>
    <row r="186">
      <c r="A186" s="33" t="n"/>
      <c r="B186" s="33" t="n"/>
      <c r="C186" s="33" t="n"/>
      <c r="D186" s="33" t="n"/>
      <c r="E186" s="33" t="n"/>
      <c r="F186" s="33" t="n"/>
      <c r="G186" s="33" t="n"/>
      <c r="H186" s="33" t="n"/>
      <c r="I186" s="33" t="n"/>
      <c r="J186" s="33" t="n"/>
      <c r="K186" s="34" t="n"/>
      <c r="L186" s="34" t="n"/>
      <c r="M186" s="34" t="n"/>
      <c r="N186" s="82" t="n"/>
      <c r="O186" s="82" t="n"/>
      <c r="P186" s="33" t="n"/>
      <c r="Q186" s="34" t="n"/>
      <c r="R186" s="83" t="n"/>
      <c r="S186" s="34" t="n"/>
      <c r="T186" s="33" t="n"/>
      <c r="U186" s="83" t="n"/>
      <c r="V186" s="33" t="n"/>
      <c r="W186" s="83" t="n"/>
      <c r="X186" s="83" t="n"/>
      <c r="Y186" s="83" t="n"/>
      <c r="Z186" s="83" t="n"/>
      <c r="AA186" s="84">
        <f>IF(OR($A186="",COUNT(W186,X186,Z186,Y186)&lt;1),"",W186+X186+Z186-Y186)</f>
        <v/>
      </c>
      <c r="AB186" s="83" t="n"/>
      <c r="AC186" s="83" t="n"/>
      <c r="AD186" s="83" t="n"/>
      <c r="AE186" s="83" t="n"/>
      <c r="AF186" s="83" t="n"/>
      <c r="AG186" s="83" t="n"/>
      <c r="AH186" s="84">
        <f>IF(OR($A186="",COUNT(AB186,AC186,AD186,AG186,AE186,AF186)&lt;1),"",AB186+AC186+AD186+AG186-AE186-AF186)</f>
        <v/>
      </c>
      <c r="AI186" s="84">
        <f>IF(OR($A186="",COUNT(AA186,AH186)&lt;2),"",AA186-AH186)</f>
        <v/>
      </c>
      <c r="AJ186" s="84">
        <f>IF(OR($A186="",COUNT(W186,AB186)&lt;2),"",W186-AB186)</f>
        <v/>
      </c>
      <c r="AK186" s="83" t="n"/>
      <c r="AL186" s="33" t="n"/>
      <c r="AM186" s="33" t="n"/>
      <c r="AN186" s="83" t="n"/>
      <c r="AO186" s="33" t="n"/>
      <c r="AP186" s="33" t="n"/>
      <c r="AQ186" s="33" t="n"/>
    </row>
    <row r="187">
      <c r="A187" s="33" t="n"/>
      <c r="B187" s="33" t="n"/>
      <c r="C187" s="33" t="n"/>
      <c r="D187" s="33" t="n"/>
      <c r="E187" s="33" t="n"/>
      <c r="F187" s="33" t="n"/>
      <c r="G187" s="33" t="n"/>
      <c r="H187" s="33" t="n"/>
      <c r="I187" s="33" t="n"/>
      <c r="J187" s="33" t="n"/>
      <c r="K187" s="34" t="n"/>
      <c r="L187" s="34" t="n"/>
      <c r="M187" s="34" t="n"/>
      <c r="N187" s="82" t="n"/>
      <c r="O187" s="82" t="n"/>
      <c r="P187" s="33" t="n"/>
      <c r="Q187" s="34" t="n"/>
      <c r="R187" s="83" t="n"/>
      <c r="S187" s="34" t="n"/>
      <c r="T187" s="33" t="n"/>
      <c r="U187" s="83" t="n"/>
      <c r="V187" s="33" t="n"/>
      <c r="W187" s="83" t="n"/>
      <c r="X187" s="83" t="n"/>
      <c r="Y187" s="83" t="n"/>
      <c r="Z187" s="83" t="n"/>
      <c r="AA187" s="84">
        <f>IF(OR($A187="",COUNT(W187,X187,Z187,Y187)&lt;1),"",W187+X187+Z187-Y187)</f>
        <v/>
      </c>
      <c r="AB187" s="83" t="n"/>
      <c r="AC187" s="83" t="n"/>
      <c r="AD187" s="83" t="n"/>
      <c r="AE187" s="83" t="n"/>
      <c r="AF187" s="83" t="n"/>
      <c r="AG187" s="83" t="n"/>
      <c r="AH187" s="84">
        <f>IF(OR($A187="",COUNT(AB187,AC187,AD187,AG187,AE187,AF187)&lt;1),"",AB187+AC187+AD187+AG187-AE187-AF187)</f>
        <v/>
      </c>
      <c r="AI187" s="84">
        <f>IF(OR($A187="",COUNT(AA187,AH187)&lt;2),"",AA187-AH187)</f>
        <v/>
      </c>
      <c r="AJ187" s="84">
        <f>IF(OR($A187="",COUNT(W187,AB187)&lt;2),"",W187-AB187)</f>
        <v/>
      </c>
      <c r="AK187" s="83" t="n"/>
      <c r="AL187" s="33" t="n"/>
      <c r="AM187" s="33" t="n"/>
      <c r="AN187" s="83" t="n"/>
      <c r="AO187" s="33" t="n"/>
      <c r="AP187" s="33" t="n"/>
      <c r="AQ187" s="33" t="n"/>
    </row>
    <row r="188">
      <c r="A188" s="33" t="n"/>
      <c r="B188" s="33" t="n"/>
      <c r="C188" s="33" t="n"/>
      <c r="D188" s="33" t="n"/>
      <c r="E188" s="33" t="n"/>
      <c r="F188" s="33" t="n"/>
      <c r="G188" s="33" t="n"/>
      <c r="H188" s="33" t="n"/>
      <c r="I188" s="33" t="n"/>
      <c r="J188" s="33" t="n"/>
      <c r="K188" s="34" t="n"/>
      <c r="L188" s="34" t="n"/>
      <c r="M188" s="34" t="n"/>
      <c r="N188" s="82" t="n"/>
      <c r="O188" s="82" t="n"/>
      <c r="P188" s="33" t="n"/>
      <c r="Q188" s="34" t="n"/>
      <c r="R188" s="83" t="n"/>
      <c r="S188" s="34" t="n"/>
      <c r="T188" s="33" t="n"/>
      <c r="U188" s="83" t="n"/>
      <c r="V188" s="33" t="n"/>
      <c r="W188" s="83" t="n"/>
      <c r="X188" s="83" t="n"/>
      <c r="Y188" s="83" t="n"/>
      <c r="Z188" s="83" t="n"/>
      <c r="AA188" s="84">
        <f>IF(OR($A188="",COUNT(W188,X188,Z188,Y188)&lt;1),"",W188+X188+Z188-Y188)</f>
        <v/>
      </c>
      <c r="AB188" s="83" t="n"/>
      <c r="AC188" s="83" t="n"/>
      <c r="AD188" s="83" t="n"/>
      <c r="AE188" s="83" t="n"/>
      <c r="AF188" s="83" t="n"/>
      <c r="AG188" s="83" t="n"/>
      <c r="AH188" s="84">
        <f>IF(OR($A188="",COUNT(AB188,AC188,AD188,AG188,AE188,AF188)&lt;1),"",AB188+AC188+AD188+AG188-AE188-AF188)</f>
        <v/>
      </c>
      <c r="AI188" s="84">
        <f>IF(OR($A188="",COUNT(AA188,AH188)&lt;2),"",AA188-AH188)</f>
        <v/>
      </c>
      <c r="AJ188" s="84">
        <f>IF(OR($A188="",COUNT(W188,AB188)&lt;2),"",W188-AB188)</f>
        <v/>
      </c>
      <c r="AK188" s="83" t="n"/>
      <c r="AL188" s="33" t="n"/>
      <c r="AM188" s="33" t="n"/>
      <c r="AN188" s="83" t="n"/>
      <c r="AO188" s="33" t="n"/>
      <c r="AP188" s="33" t="n"/>
      <c r="AQ188" s="33" t="n"/>
    </row>
    <row r="189">
      <c r="A189" s="33" t="n"/>
      <c r="B189" s="33" t="n"/>
      <c r="C189" s="33" t="n"/>
      <c r="D189" s="33" t="n"/>
      <c r="E189" s="33" t="n"/>
      <c r="F189" s="33" t="n"/>
      <c r="G189" s="33" t="n"/>
      <c r="H189" s="33" t="n"/>
      <c r="I189" s="33" t="n"/>
      <c r="J189" s="33" t="n"/>
      <c r="K189" s="34" t="n"/>
      <c r="L189" s="34" t="n"/>
      <c r="M189" s="34" t="n"/>
      <c r="N189" s="82" t="n"/>
      <c r="O189" s="82" t="n"/>
      <c r="P189" s="33" t="n"/>
      <c r="Q189" s="34" t="n"/>
      <c r="R189" s="83" t="n"/>
      <c r="S189" s="34" t="n"/>
      <c r="T189" s="33" t="n"/>
      <c r="U189" s="83" t="n"/>
      <c r="V189" s="33" t="n"/>
      <c r="W189" s="83" t="n"/>
      <c r="X189" s="83" t="n"/>
      <c r="Y189" s="83" t="n"/>
      <c r="Z189" s="83" t="n"/>
      <c r="AA189" s="84">
        <f>IF(OR($A189="",COUNT(W189,X189,Z189,Y189)&lt;1),"",W189+X189+Z189-Y189)</f>
        <v/>
      </c>
      <c r="AB189" s="83" t="n"/>
      <c r="AC189" s="83" t="n"/>
      <c r="AD189" s="83" t="n"/>
      <c r="AE189" s="83" t="n"/>
      <c r="AF189" s="83" t="n"/>
      <c r="AG189" s="83" t="n"/>
      <c r="AH189" s="84">
        <f>IF(OR($A189="",COUNT(AB189,AC189,AD189,AG189,AE189,AF189)&lt;1),"",AB189+AC189+AD189+AG189-AE189-AF189)</f>
        <v/>
      </c>
      <c r="AI189" s="84">
        <f>IF(OR($A189="",COUNT(AA189,AH189)&lt;2),"",AA189-AH189)</f>
        <v/>
      </c>
      <c r="AJ189" s="84">
        <f>IF(OR($A189="",COUNT(W189,AB189)&lt;2),"",W189-AB189)</f>
        <v/>
      </c>
      <c r="AK189" s="83" t="n"/>
      <c r="AL189" s="33" t="n"/>
      <c r="AM189" s="33" t="n"/>
      <c r="AN189" s="83" t="n"/>
      <c r="AO189" s="33" t="n"/>
      <c r="AP189" s="33" t="n"/>
      <c r="AQ189" s="33" t="n"/>
    </row>
    <row r="190">
      <c r="A190" s="33" t="n"/>
      <c r="B190" s="33" t="n"/>
      <c r="C190" s="33" t="n"/>
      <c r="D190" s="33" t="n"/>
      <c r="E190" s="33" t="n"/>
      <c r="F190" s="33" t="n"/>
      <c r="G190" s="33" t="n"/>
      <c r="H190" s="33" t="n"/>
      <c r="I190" s="33" t="n"/>
      <c r="J190" s="33" t="n"/>
      <c r="K190" s="34" t="n"/>
      <c r="L190" s="34" t="n"/>
      <c r="M190" s="34" t="n"/>
      <c r="N190" s="82" t="n"/>
      <c r="O190" s="82" t="n"/>
      <c r="P190" s="33" t="n"/>
      <c r="Q190" s="34" t="n"/>
      <c r="R190" s="83" t="n"/>
      <c r="S190" s="34" t="n"/>
      <c r="T190" s="33" t="n"/>
      <c r="U190" s="83" t="n"/>
      <c r="V190" s="33" t="n"/>
      <c r="W190" s="83" t="n"/>
      <c r="X190" s="83" t="n"/>
      <c r="Y190" s="83" t="n"/>
      <c r="Z190" s="83" t="n"/>
      <c r="AA190" s="84">
        <f>IF(OR($A190="",COUNT(W190,X190,Z190,Y190)&lt;1),"",W190+X190+Z190-Y190)</f>
        <v/>
      </c>
      <c r="AB190" s="83" t="n"/>
      <c r="AC190" s="83" t="n"/>
      <c r="AD190" s="83" t="n"/>
      <c r="AE190" s="83" t="n"/>
      <c r="AF190" s="83" t="n"/>
      <c r="AG190" s="83" t="n"/>
      <c r="AH190" s="84">
        <f>IF(OR($A190="",COUNT(AB190,AC190,AD190,AG190,AE190,AF190)&lt;1),"",AB190+AC190+AD190+AG190-AE190-AF190)</f>
        <v/>
      </c>
      <c r="AI190" s="84">
        <f>IF(OR($A190="",COUNT(AA190,AH190)&lt;2),"",AA190-AH190)</f>
        <v/>
      </c>
      <c r="AJ190" s="84">
        <f>IF(OR($A190="",COUNT(W190,AB190)&lt;2),"",W190-AB190)</f>
        <v/>
      </c>
      <c r="AK190" s="83" t="n"/>
      <c r="AL190" s="33" t="n"/>
      <c r="AM190" s="33" t="n"/>
      <c r="AN190" s="83" t="n"/>
      <c r="AO190" s="33" t="n"/>
      <c r="AP190" s="33" t="n"/>
      <c r="AQ190" s="33" t="n"/>
    </row>
    <row r="191">
      <c r="A191" s="33" t="n"/>
      <c r="B191" s="33" t="n"/>
      <c r="C191" s="33" t="n"/>
      <c r="D191" s="33" t="n"/>
      <c r="E191" s="33" t="n"/>
      <c r="F191" s="33" t="n"/>
      <c r="G191" s="33" t="n"/>
      <c r="H191" s="33" t="n"/>
      <c r="I191" s="33" t="n"/>
      <c r="J191" s="33" t="n"/>
      <c r="K191" s="34" t="n"/>
      <c r="L191" s="34" t="n"/>
      <c r="M191" s="34" t="n"/>
      <c r="N191" s="82" t="n"/>
      <c r="O191" s="82" t="n"/>
      <c r="P191" s="33" t="n"/>
      <c r="Q191" s="34" t="n"/>
      <c r="R191" s="83" t="n"/>
      <c r="S191" s="34" t="n"/>
      <c r="T191" s="33" t="n"/>
      <c r="U191" s="83" t="n"/>
      <c r="V191" s="33" t="n"/>
      <c r="W191" s="83" t="n"/>
      <c r="X191" s="83" t="n"/>
      <c r="Y191" s="83" t="n"/>
      <c r="Z191" s="83" t="n"/>
      <c r="AA191" s="84">
        <f>IF(OR($A191="",COUNT(W191,X191,Z191,Y191)&lt;1),"",W191+X191+Z191-Y191)</f>
        <v/>
      </c>
      <c r="AB191" s="83" t="n"/>
      <c r="AC191" s="83" t="n"/>
      <c r="AD191" s="83" t="n"/>
      <c r="AE191" s="83" t="n"/>
      <c r="AF191" s="83" t="n"/>
      <c r="AG191" s="83" t="n"/>
      <c r="AH191" s="84">
        <f>IF(OR($A191="",COUNT(AB191,AC191,AD191,AG191,AE191,AF191)&lt;1),"",AB191+AC191+AD191+AG191-AE191-AF191)</f>
        <v/>
      </c>
      <c r="AI191" s="84">
        <f>IF(OR($A191="",COUNT(AA191,AH191)&lt;2),"",AA191-AH191)</f>
        <v/>
      </c>
      <c r="AJ191" s="84">
        <f>IF(OR($A191="",COUNT(W191,AB191)&lt;2),"",W191-AB191)</f>
        <v/>
      </c>
      <c r="AK191" s="83" t="n"/>
      <c r="AL191" s="33" t="n"/>
      <c r="AM191" s="33" t="n"/>
      <c r="AN191" s="83" t="n"/>
      <c r="AO191" s="33" t="n"/>
      <c r="AP191" s="33" t="n"/>
      <c r="AQ191" s="33" t="n"/>
    </row>
    <row r="192">
      <c r="A192" s="33" t="n"/>
      <c r="B192" s="33" t="n"/>
      <c r="C192" s="33" t="n"/>
      <c r="D192" s="33" t="n"/>
      <c r="E192" s="33" t="n"/>
      <c r="F192" s="33" t="n"/>
      <c r="G192" s="33" t="n"/>
      <c r="H192" s="33" t="n"/>
      <c r="I192" s="33" t="n"/>
      <c r="J192" s="33" t="n"/>
      <c r="K192" s="34" t="n"/>
      <c r="L192" s="34" t="n"/>
      <c r="M192" s="34" t="n"/>
      <c r="N192" s="82" t="n"/>
      <c r="O192" s="82" t="n"/>
      <c r="P192" s="33" t="n"/>
      <c r="Q192" s="34" t="n"/>
      <c r="R192" s="83" t="n"/>
      <c r="S192" s="34" t="n"/>
      <c r="T192" s="33" t="n"/>
      <c r="U192" s="83" t="n"/>
      <c r="V192" s="33" t="n"/>
      <c r="W192" s="83" t="n"/>
      <c r="X192" s="83" t="n"/>
      <c r="Y192" s="83" t="n"/>
      <c r="Z192" s="83" t="n"/>
      <c r="AA192" s="84">
        <f>IF(OR($A192="",COUNT(W192,X192,Z192,Y192)&lt;1),"",W192+X192+Z192-Y192)</f>
        <v/>
      </c>
      <c r="AB192" s="83" t="n"/>
      <c r="AC192" s="83" t="n"/>
      <c r="AD192" s="83" t="n"/>
      <c r="AE192" s="83" t="n"/>
      <c r="AF192" s="83" t="n"/>
      <c r="AG192" s="83" t="n"/>
      <c r="AH192" s="84">
        <f>IF(OR($A192="",COUNT(AB192,AC192,AD192,AG192,AE192,AF192)&lt;1),"",AB192+AC192+AD192+AG192-AE192-AF192)</f>
        <v/>
      </c>
      <c r="AI192" s="84">
        <f>IF(OR($A192="",COUNT(AA192,AH192)&lt;2),"",AA192-AH192)</f>
        <v/>
      </c>
      <c r="AJ192" s="84">
        <f>IF(OR($A192="",COUNT(W192,AB192)&lt;2),"",W192-AB192)</f>
        <v/>
      </c>
      <c r="AK192" s="83" t="n"/>
      <c r="AL192" s="33" t="n"/>
      <c r="AM192" s="33" t="n"/>
      <c r="AN192" s="83" t="n"/>
      <c r="AO192" s="33" t="n"/>
      <c r="AP192" s="33" t="n"/>
      <c r="AQ192" s="33" t="n"/>
    </row>
    <row r="193">
      <c r="A193" s="33" t="n"/>
      <c r="B193" s="33" t="n"/>
      <c r="C193" s="33" t="n"/>
      <c r="D193" s="33" t="n"/>
      <c r="E193" s="33" t="n"/>
      <c r="F193" s="33" t="n"/>
      <c r="G193" s="33" t="n"/>
      <c r="H193" s="33" t="n"/>
      <c r="I193" s="33" t="n"/>
      <c r="J193" s="33" t="n"/>
      <c r="K193" s="34" t="n"/>
      <c r="L193" s="34" t="n"/>
      <c r="M193" s="34" t="n"/>
      <c r="N193" s="82" t="n"/>
      <c r="O193" s="82" t="n"/>
      <c r="P193" s="33" t="n"/>
      <c r="Q193" s="34" t="n"/>
      <c r="R193" s="83" t="n"/>
      <c r="S193" s="34" t="n"/>
      <c r="T193" s="33" t="n"/>
      <c r="U193" s="83" t="n"/>
      <c r="V193" s="33" t="n"/>
      <c r="W193" s="83" t="n"/>
      <c r="X193" s="83" t="n"/>
      <c r="Y193" s="83" t="n"/>
      <c r="Z193" s="83" t="n"/>
      <c r="AA193" s="84">
        <f>IF(OR($A193="",COUNT(W193,X193,Z193,Y193)&lt;1),"",W193+X193+Z193-Y193)</f>
        <v/>
      </c>
      <c r="AB193" s="83" t="n"/>
      <c r="AC193" s="83" t="n"/>
      <c r="AD193" s="83" t="n"/>
      <c r="AE193" s="83" t="n"/>
      <c r="AF193" s="83" t="n"/>
      <c r="AG193" s="83" t="n"/>
      <c r="AH193" s="84">
        <f>IF(OR($A193="",COUNT(AB193,AC193,AD193,AG193,AE193,AF193)&lt;1),"",AB193+AC193+AD193+AG193-AE193-AF193)</f>
        <v/>
      </c>
      <c r="AI193" s="84">
        <f>IF(OR($A193="",COUNT(AA193,AH193)&lt;2),"",AA193-AH193)</f>
        <v/>
      </c>
      <c r="AJ193" s="84">
        <f>IF(OR($A193="",COUNT(W193,AB193)&lt;2),"",W193-AB193)</f>
        <v/>
      </c>
      <c r="AK193" s="83" t="n"/>
      <c r="AL193" s="33" t="n"/>
      <c r="AM193" s="33" t="n"/>
      <c r="AN193" s="83" t="n"/>
      <c r="AO193" s="33" t="n"/>
      <c r="AP193" s="33" t="n"/>
      <c r="AQ193" s="33" t="n"/>
    </row>
    <row r="194">
      <c r="A194" s="33" t="n"/>
      <c r="B194" s="33" t="n"/>
      <c r="C194" s="33" t="n"/>
      <c r="D194" s="33" t="n"/>
      <c r="E194" s="33" t="n"/>
      <c r="F194" s="33" t="n"/>
      <c r="G194" s="33" t="n"/>
      <c r="H194" s="33" t="n"/>
      <c r="I194" s="33" t="n"/>
      <c r="J194" s="33" t="n"/>
      <c r="K194" s="34" t="n"/>
      <c r="L194" s="34" t="n"/>
      <c r="M194" s="34" t="n"/>
      <c r="N194" s="82" t="n"/>
      <c r="O194" s="82" t="n"/>
      <c r="P194" s="33" t="n"/>
      <c r="Q194" s="34" t="n"/>
      <c r="R194" s="83" t="n"/>
      <c r="S194" s="34" t="n"/>
      <c r="T194" s="33" t="n"/>
      <c r="U194" s="83" t="n"/>
      <c r="V194" s="33" t="n"/>
      <c r="W194" s="83" t="n"/>
      <c r="X194" s="83" t="n"/>
      <c r="Y194" s="83" t="n"/>
      <c r="Z194" s="83" t="n"/>
      <c r="AA194" s="84">
        <f>IF(OR($A194="",COUNT(W194,X194,Z194,Y194)&lt;1),"",W194+X194+Z194-Y194)</f>
        <v/>
      </c>
      <c r="AB194" s="83" t="n"/>
      <c r="AC194" s="83" t="n"/>
      <c r="AD194" s="83" t="n"/>
      <c r="AE194" s="83" t="n"/>
      <c r="AF194" s="83" t="n"/>
      <c r="AG194" s="83" t="n"/>
      <c r="AH194" s="84">
        <f>IF(OR($A194="",COUNT(AB194,AC194,AD194,AG194,AE194,AF194)&lt;1),"",AB194+AC194+AD194+AG194-AE194-AF194)</f>
        <v/>
      </c>
      <c r="AI194" s="84">
        <f>IF(OR($A194="",COUNT(AA194,AH194)&lt;2),"",AA194-AH194)</f>
        <v/>
      </c>
      <c r="AJ194" s="84">
        <f>IF(OR($A194="",COUNT(W194,AB194)&lt;2),"",W194-AB194)</f>
        <v/>
      </c>
      <c r="AK194" s="83" t="n"/>
      <c r="AL194" s="33" t="n"/>
      <c r="AM194" s="33" t="n"/>
      <c r="AN194" s="83" t="n"/>
      <c r="AO194" s="33" t="n"/>
      <c r="AP194" s="33" t="n"/>
      <c r="AQ194" s="33" t="n"/>
    </row>
    <row r="195">
      <c r="A195" s="33" t="n"/>
      <c r="B195" s="33" t="n"/>
      <c r="C195" s="33" t="n"/>
      <c r="D195" s="33" t="n"/>
      <c r="E195" s="33" t="n"/>
      <c r="F195" s="33" t="n"/>
      <c r="G195" s="33" t="n"/>
      <c r="H195" s="33" t="n"/>
      <c r="I195" s="33" t="n"/>
      <c r="J195" s="33" t="n"/>
      <c r="K195" s="34" t="n"/>
      <c r="L195" s="34" t="n"/>
      <c r="M195" s="34" t="n"/>
      <c r="N195" s="82" t="n"/>
      <c r="O195" s="82" t="n"/>
      <c r="P195" s="33" t="n"/>
      <c r="Q195" s="34" t="n"/>
      <c r="R195" s="83" t="n"/>
      <c r="S195" s="34" t="n"/>
      <c r="T195" s="33" t="n"/>
      <c r="U195" s="83" t="n"/>
      <c r="V195" s="33" t="n"/>
      <c r="W195" s="83" t="n"/>
      <c r="X195" s="83" t="n"/>
      <c r="Y195" s="83" t="n"/>
      <c r="Z195" s="83" t="n"/>
      <c r="AA195" s="84">
        <f>IF(OR($A195="",COUNT(W195,X195,Z195,Y195)&lt;1),"",W195+X195+Z195-Y195)</f>
        <v/>
      </c>
      <c r="AB195" s="83" t="n"/>
      <c r="AC195" s="83" t="n"/>
      <c r="AD195" s="83" t="n"/>
      <c r="AE195" s="83" t="n"/>
      <c r="AF195" s="83" t="n"/>
      <c r="AG195" s="83" t="n"/>
      <c r="AH195" s="84">
        <f>IF(OR($A195="",COUNT(AB195,AC195,AD195,AG195,AE195,AF195)&lt;1),"",AB195+AC195+AD195+AG195-AE195-AF195)</f>
        <v/>
      </c>
      <c r="AI195" s="84">
        <f>IF(OR($A195="",COUNT(AA195,AH195)&lt;2),"",AA195-AH195)</f>
        <v/>
      </c>
      <c r="AJ195" s="84">
        <f>IF(OR($A195="",COUNT(W195,AB195)&lt;2),"",W195-AB195)</f>
        <v/>
      </c>
      <c r="AK195" s="83" t="n"/>
      <c r="AL195" s="33" t="n"/>
      <c r="AM195" s="33" t="n"/>
      <c r="AN195" s="83" t="n"/>
      <c r="AO195" s="33" t="n"/>
      <c r="AP195" s="33" t="n"/>
      <c r="AQ195" s="33" t="n"/>
    </row>
    <row r="196">
      <c r="A196" s="33" t="n"/>
      <c r="B196" s="33" t="n"/>
      <c r="C196" s="33" t="n"/>
      <c r="D196" s="33" t="n"/>
      <c r="E196" s="33" t="n"/>
      <c r="F196" s="33" t="n"/>
      <c r="G196" s="33" t="n"/>
      <c r="H196" s="33" t="n"/>
      <c r="I196" s="33" t="n"/>
      <c r="J196" s="33" t="n"/>
      <c r="K196" s="34" t="n"/>
      <c r="L196" s="34" t="n"/>
      <c r="M196" s="34" t="n"/>
      <c r="N196" s="82" t="n"/>
      <c r="O196" s="82" t="n"/>
      <c r="P196" s="33" t="n"/>
      <c r="Q196" s="34" t="n"/>
      <c r="R196" s="83" t="n"/>
      <c r="S196" s="34" t="n"/>
      <c r="T196" s="33" t="n"/>
      <c r="U196" s="83" t="n"/>
      <c r="V196" s="33" t="n"/>
      <c r="W196" s="83" t="n"/>
      <c r="X196" s="83" t="n"/>
      <c r="Y196" s="83" t="n"/>
      <c r="Z196" s="83" t="n"/>
      <c r="AA196" s="84">
        <f>IF(OR($A196="",COUNT(W196,X196,Z196,Y196)&lt;1),"",W196+X196+Z196-Y196)</f>
        <v/>
      </c>
      <c r="AB196" s="83" t="n"/>
      <c r="AC196" s="83" t="n"/>
      <c r="AD196" s="83" t="n"/>
      <c r="AE196" s="83" t="n"/>
      <c r="AF196" s="83" t="n"/>
      <c r="AG196" s="83" t="n"/>
      <c r="AH196" s="84">
        <f>IF(OR($A196="",COUNT(AB196,AC196,AD196,AG196,AE196,AF196)&lt;1),"",AB196+AC196+AD196+AG196-AE196-AF196)</f>
        <v/>
      </c>
      <c r="AI196" s="84">
        <f>IF(OR($A196="",COUNT(AA196,AH196)&lt;2),"",AA196-AH196)</f>
        <v/>
      </c>
      <c r="AJ196" s="84">
        <f>IF(OR($A196="",COUNT(W196,AB196)&lt;2),"",W196-AB196)</f>
        <v/>
      </c>
      <c r="AK196" s="83" t="n"/>
      <c r="AL196" s="33" t="n"/>
      <c r="AM196" s="33" t="n"/>
      <c r="AN196" s="83" t="n"/>
      <c r="AO196" s="33" t="n"/>
      <c r="AP196" s="33" t="n"/>
      <c r="AQ196" s="33" t="n"/>
    </row>
    <row r="197">
      <c r="A197" s="33" t="n"/>
      <c r="B197" s="33" t="n"/>
      <c r="C197" s="33" t="n"/>
      <c r="D197" s="33" t="n"/>
      <c r="E197" s="33" t="n"/>
      <c r="F197" s="33" t="n"/>
      <c r="G197" s="33" t="n"/>
      <c r="H197" s="33" t="n"/>
      <c r="I197" s="33" t="n"/>
      <c r="J197" s="33" t="n"/>
      <c r="K197" s="34" t="n"/>
      <c r="L197" s="34" t="n"/>
      <c r="M197" s="34" t="n"/>
      <c r="N197" s="82" t="n"/>
      <c r="O197" s="82" t="n"/>
      <c r="P197" s="33" t="n"/>
      <c r="Q197" s="34" t="n"/>
      <c r="R197" s="83" t="n"/>
      <c r="S197" s="34" t="n"/>
      <c r="T197" s="33" t="n"/>
      <c r="U197" s="83" t="n"/>
      <c r="V197" s="33" t="n"/>
      <c r="W197" s="83" t="n"/>
      <c r="X197" s="83" t="n"/>
      <c r="Y197" s="83" t="n"/>
      <c r="Z197" s="83" t="n"/>
      <c r="AA197" s="84">
        <f>IF(OR($A197="",COUNT(W197,X197,Z197,Y197)&lt;1),"",W197+X197+Z197-Y197)</f>
        <v/>
      </c>
      <c r="AB197" s="83" t="n"/>
      <c r="AC197" s="83" t="n"/>
      <c r="AD197" s="83" t="n"/>
      <c r="AE197" s="83" t="n"/>
      <c r="AF197" s="83" t="n"/>
      <c r="AG197" s="83" t="n"/>
      <c r="AH197" s="84">
        <f>IF(OR($A197="",COUNT(AB197,AC197,AD197,AG197,AE197,AF197)&lt;1),"",AB197+AC197+AD197+AG197-AE197-AF197)</f>
        <v/>
      </c>
      <c r="AI197" s="84">
        <f>IF(OR($A197="",COUNT(AA197,AH197)&lt;2),"",AA197-AH197)</f>
        <v/>
      </c>
      <c r="AJ197" s="84">
        <f>IF(OR($A197="",COUNT(W197,AB197)&lt;2),"",W197-AB197)</f>
        <v/>
      </c>
      <c r="AK197" s="83" t="n"/>
      <c r="AL197" s="33" t="n"/>
      <c r="AM197" s="33" t="n"/>
      <c r="AN197" s="83" t="n"/>
      <c r="AO197" s="33" t="n"/>
      <c r="AP197" s="33" t="n"/>
      <c r="AQ197" s="33" t="n"/>
    </row>
    <row r="198">
      <c r="A198" s="33" t="n"/>
      <c r="B198" s="33" t="n"/>
      <c r="C198" s="33" t="n"/>
      <c r="D198" s="33" t="n"/>
      <c r="E198" s="33" t="n"/>
      <c r="F198" s="33" t="n"/>
      <c r="G198" s="33" t="n"/>
      <c r="H198" s="33" t="n"/>
      <c r="I198" s="33" t="n"/>
      <c r="J198" s="33" t="n"/>
      <c r="K198" s="34" t="n"/>
      <c r="L198" s="34" t="n"/>
      <c r="M198" s="34" t="n"/>
      <c r="N198" s="82" t="n"/>
      <c r="O198" s="82" t="n"/>
      <c r="P198" s="33" t="n"/>
      <c r="Q198" s="34" t="n"/>
      <c r="R198" s="83" t="n"/>
      <c r="S198" s="34" t="n"/>
      <c r="T198" s="33" t="n"/>
      <c r="U198" s="83" t="n"/>
      <c r="V198" s="33" t="n"/>
      <c r="W198" s="83" t="n"/>
      <c r="X198" s="83" t="n"/>
      <c r="Y198" s="83" t="n"/>
      <c r="Z198" s="83" t="n"/>
      <c r="AA198" s="84">
        <f>IF(OR($A198="",COUNT(W198,X198,Z198,Y198)&lt;1),"",W198+X198+Z198-Y198)</f>
        <v/>
      </c>
      <c r="AB198" s="83" t="n"/>
      <c r="AC198" s="83" t="n"/>
      <c r="AD198" s="83" t="n"/>
      <c r="AE198" s="83" t="n"/>
      <c r="AF198" s="83" t="n"/>
      <c r="AG198" s="83" t="n"/>
      <c r="AH198" s="84">
        <f>IF(OR($A198="",COUNT(AB198,AC198,AD198,AG198,AE198,AF198)&lt;1),"",AB198+AC198+AD198+AG198-AE198-AF198)</f>
        <v/>
      </c>
      <c r="AI198" s="84">
        <f>IF(OR($A198="",COUNT(AA198,AH198)&lt;2),"",AA198-AH198)</f>
        <v/>
      </c>
      <c r="AJ198" s="84">
        <f>IF(OR($A198="",COUNT(W198,AB198)&lt;2),"",W198-AB198)</f>
        <v/>
      </c>
      <c r="AK198" s="83" t="n"/>
      <c r="AL198" s="33" t="n"/>
      <c r="AM198" s="33" t="n"/>
      <c r="AN198" s="83" t="n"/>
      <c r="AO198" s="33" t="n"/>
      <c r="AP198" s="33" t="n"/>
      <c r="AQ198" s="33" t="n"/>
    </row>
    <row r="199">
      <c r="A199" s="33" t="n"/>
      <c r="B199" s="33" t="n"/>
      <c r="C199" s="33" t="n"/>
      <c r="D199" s="33" t="n"/>
      <c r="E199" s="33" t="n"/>
      <c r="F199" s="33" t="n"/>
      <c r="G199" s="33" t="n"/>
      <c r="H199" s="33" t="n"/>
      <c r="I199" s="33" t="n"/>
      <c r="J199" s="33" t="n"/>
      <c r="K199" s="34" t="n"/>
      <c r="L199" s="34" t="n"/>
      <c r="M199" s="34" t="n"/>
      <c r="N199" s="82" t="n"/>
      <c r="O199" s="82" t="n"/>
      <c r="P199" s="33" t="n"/>
      <c r="Q199" s="34" t="n"/>
      <c r="R199" s="83" t="n"/>
      <c r="S199" s="34" t="n"/>
      <c r="T199" s="33" t="n"/>
      <c r="U199" s="83" t="n"/>
      <c r="V199" s="33" t="n"/>
      <c r="W199" s="83" t="n"/>
      <c r="X199" s="83" t="n"/>
      <c r="Y199" s="83" t="n"/>
      <c r="Z199" s="83" t="n"/>
      <c r="AA199" s="84">
        <f>IF(OR($A199="",COUNT(W199,X199,Z199,Y199)&lt;1),"",W199+X199+Z199-Y199)</f>
        <v/>
      </c>
      <c r="AB199" s="83" t="n"/>
      <c r="AC199" s="83" t="n"/>
      <c r="AD199" s="83" t="n"/>
      <c r="AE199" s="83" t="n"/>
      <c r="AF199" s="83" t="n"/>
      <c r="AG199" s="83" t="n"/>
      <c r="AH199" s="84">
        <f>IF(OR($A199="",COUNT(AB199,AC199,AD199,AG199,AE199,AF199)&lt;1),"",AB199+AC199+AD199+AG199-AE199-AF199)</f>
        <v/>
      </c>
      <c r="AI199" s="84">
        <f>IF(OR($A199="",COUNT(AA199,AH199)&lt;2),"",AA199-AH199)</f>
        <v/>
      </c>
      <c r="AJ199" s="84">
        <f>IF(OR($A199="",COUNT(W199,AB199)&lt;2),"",W199-AB199)</f>
        <v/>
      </c>
      <c r="AK199" s="83" t="n"/>
      <c r="AL199" s="33" t="n"/>
      <c r="AM199" s="33" t="n"/>
      <c r="AN199" s="83" t="n"/>
      <c r="AO199" s="33" t="n"/>
      <c r="AP199" s="33" t="n"/>
      <c r="AQ199" s="33" t="n"/>
    </row>
    <row r="200">
      <c r="A200" s="33" t="n"/>
      <c r="B200" s="33" t="n"/>
      <c r="C200" s="33" t="n"/>
      <c r="D200" s="33" t="n"/>
      <c r="E200" s="33" t="n"/>
      <c r="F200" s="33" t="n"/>
      <c r="G200" s="33" t="n"/>
      <c r="H200" s="33" t="n"/>
      <c r="I200" s="33" t="n"/>
      <c r="J200" s="33" t="n"/>
      <c r="K200" s="34" t="n"/>
      <c r="L200" s="34" t="n"/>
      <c r="M200" s="34" t="n"/>
      <c r="N200" s="82" t="n"/>
      <c r="O200" s="82" t="n"/>
      <c r="P200" s="33" t="n"/>
      <c r="Q200" s="34" t="n"/>
      <c r="R200" s="83" t="n"/>
      <c r="S200" s="34" t="n"/>
      <c r="T200" s="33" t="n"/>
      <c r="U200" s="83" t="n"/>
      <c r="V200" s="33" t="n"/>
      <c r="W200" s="83" t="n"/>
      <c r="X200" s="83" t="n"/>
      <c r="Y200" s="83" t="n"/>
      <c r="Z200" s="83" t="n"/>
      <c r="AA200" s="84">
        <f>IF(OR($A200="",COUNT(W200,X200,Z200,Y200)&lt;1),"",W200+X200+Z200-Y200)</f>
        <v/>
      </c>
      <c r="AB200" s="83" t="n"/>
      <c r="AC200" s="83" t="n"/>
      <c r="AD200" s="83" t="n"/>
      <c r="AE200" s="83" t="n"/>
      <c r="AF200" s="83" t="n"/>
      <c r="AG200" s="83" t="n"/>
      <c r="AH200" s="84">
        <f>IF(OR($A200="",COUNT(AB200,AC200,AD200,AG200,AE200,AF200)&lt;1),"",AB200+AC200+AD200+AG200-AE200-AF200)</f>
        <v/>
      </c>
      <c r="AI200" s="84">
        <f>IF(OR($A200="",COUNT(AA200,AH200)&lt;2),"",AA200-AH200)</f>
        <v/>
      </c>
      <c r="AJ200" s="84">
        <f>IF(OR($A200="",COUNT(W200,AB200)&lt;2),"",W200-AB200)</f>
        <v/>
      </c>
      <c r="AK200" s="83" t="n"/>
      <c r="AL200" s="33" t="n"/>
      <c r="AM200" s="33" t="n"/>
      <c r="AN200" s="83" t="n"/>
      <c r="AO200" s="33" t="n"/>
      <c r="AP200" s="33" t="n"/>
      <c r="AQ200" s="33" t="n"/>
    </row>
    <row r="201">
      <c r="A201" s="33" t="n"/>
      <c r="B201" s="33" t="n"/>
      <c r="C201" s="33" t="n"/>
      <c r="D201" s="33" t="n"/>
      <c r="E201" s="33" t="n"/>
      <c r="F201" s="33" t="n"/>
      <c r="G201" s="33" t="n"/>
      <c r="H201" s="33" t="n"/>
      <c r="I201" s="33" t="n"/>
      <c r="J201" s="33" t="n"/>
      <c r="K201" s="34" t="n"/>
      <c r="L201" s="34" t="n"/>
      <c r="M201" s="34" t="n"/>
      <c r="N201" s="82" t="n"/>
      <c r="O201" s="82" t="n"/>
      <c r="P201" s="33" t="n"/>
      <c r="Q201" s="34" t="n"/>
      <c r="R201" s="83" t="n"/>
      <c r="S201" s="34" t="n"/>
      <c r="T201" s="33" t="n"/>
      <c r="U201" s="83" t="n"/>
      <c r="V201" s="33" t="n"/>
      <c r="W201" s="83" t="n"/>
      <c r="X201" s="83" t="n"/>
      <c r="Y201" s="83" t="n"/>
      <c r="Z201" s="83" t="n"/>
      <c r="AA201" s="84">
        <f>IF(OR($A201="",COUNT(W201,X201,Z201,Y201)&lt;1),"",W201+X201+Z201-Y201)</f>
        <v/>
      </c>
      <c r="AB201" s="83" t="n"/>
      <c r="AC201" s="83" t="n"/>
      <c r="AD201" s="83" t="n"/>
      <c r="AE201" s="83" t="n"/>
      <c r="AF201" s="83" t="n"/>
      <c r="AG201" s="83" t="n"/>
      <c r="AH201" s="84">
        <f>IF(OR($A201="",COUNT(AB201,AC201,AD201,AG201,AE201,AF201)&lt;1),"",AB201+AC201+AD201+AG201-AE201-AF201)</f>
        <v/>
      </c>
      <c r="AI201" s="84">
        <f>IF(OR($A201="",COUNT(AA201,AH201)&lt;2),"",AA201-AH201)</f>
        <v/>
      </c>
      <c r="AJ201" s="84">
        <f>IF(OR($A201="",COUNT(W201,AB201)&lt;2),"",W201-AB201)</f>
        <v/>
      </c>
      <c r="AK201" s="83" t="n"/>
      <c r="AL201" s="33" t="n"/>
      <c r="AM201" s="33" t="n"/>
      <c r="AN201" s="83" t="n"/>
      <c r="AO201" s="33" t="n"/>
      <c r="AP201" s="33" t="n"/>
      <c r="AQ201" s="33" t="n"/>
    </row>
    <row r="202">
      <c r="A202" s="33" t="n"/>
      <c r="B202" s="33" t="n"/>
      <c r="C202" s="33" t="n"/>
      <c r="D202" s="33" t="n"/>
      <c r="E202" s="33" t="n"/>
      <c r="F202" s="33" t="n"/>
      <c r="G202" s="33" t="n"/>
      <c r="H202" s="33" t="n"/>
      <c r="I202" s="33" t="n"/>
      <c r="J202" s="33" t="n"/>
      <c r="K202" s="34" t="n"/>
      <c r="L202" s="34" t="n"/>
      <c r="M202" s="34" t="n"/>
      <c r="N202" s="82" t="n"/>
      <c r="O202" s="82" t="n"/>
      <c r="P202" s="33" t="n"/>
      <c r="Q202" s="34" t="n"/>
      <c r="R202" s="83" t="n"/>
      <c r="S202" s="34" t="n"/>
      <c r="T202" s="33" t="n"/>
      <c r="U202" s="83" t="n"/>
      <c r="V202" s="33" t="n"/>
      <c r="W202" s="83" t="n"/>
      <c r="X202" s="83" t="n"/>
      <c r="Y202" s="83" t="n"/>
      <c r="Z202" s="83" t="n"/>
      <c r="AA202" s="84">
        <f>IF(OR($A202="",COUNT(W202,X202,Z202,Y202)&lt;1),"",W202+X202+Z202-Y202)</f>
        <v/>
      </c>
      <c r="AB202" s="83" t="n"/>
      <c r="AC202" s="83" t="n"/>
      <c r="AD202" s="83" t="n"/>
      <c r="AE202" s="83" t="n"/>
      <c r="AF202" s="83" t="n"/>
      <c r="AG202" s="83" t="n"/>
      <c r="AH202" s="84">
        <f>IF(OR($A202="",COUNT(AB202,AC202,AD202,AG202,AE202,AF202)&lt;1),"",AB202+AC202+AD202+AG202-AE202-AF202)</f>
        <v/>
      </c>
      <c r="AI202" s="84">
        <f>IF(OR($A202="",COUNT(AA202,AH202)&lt;2),"",AA202-AH202)</f>
        <v/>
      </c>
      <c r="AJ202" s="84">
        <f>IF(OR($A202="",COUNT(W202,AB202)&lt;2),"",W202-AB202)</f>
        <v/>
      </c>
      <c r="AK202" s="83" t="n"/>
      <c r="AL202" s="33" t="n"/>
      <c r="AM202" s="33" t="n"/>
      <c r="AN202" s="83" t="n"/>
      <c r="AO202" s="33" t="n"/>
      <c r="AP202" s="33" t="n"/>
      <c r="AQ202" s="33" t="n"/>
    </row>
    <row r="203">
      <c r="A203" s="33" t="n"/>
      <c r="B203" s="33" t="n"/>
      <c r="C203" s="33" t="n"/>
      <c r="D203" s="33" t="n"/>
      <c r="E203" s="33" t="n"/>
      <c r="F203" s="33" t="n"/>
      <c r="G203" s="33" t="n"/>
      <c r="H203" s="33" t="n"/>
      <c r="I203" s="33" t="n"/>
      <c r="J203" s="33" t="n"/>
      <c r="K203" s="34" t="n"/>
      <c r="L203" s="34" t="n"/>
      <c r="M203" s="34" t="n"/>
      <c r="N203" s="82" t="n"/>
      <c r="O203" s="82" t="n"/>
      <c r="P203" s="33" t="n"/>
      <c r="Q203" s="34" t="n"/>
      <c r="R203" s="83" t="n"/>
      <c r="S203" s="34" t="n"/>
      <c r="T203" s="33" t="n"/>
      <c r="U203" s="83" t="n"/>
      <c r="V203" s="33" t="n"/>
      <c r="W203" s="83" t="n"/>
      <c r="X203" s="83" t="n"/>
      <c r="Y203" s="83" t="n"/>
      <c r="Z203" s="83" t="n"/>
      <c r="AA203" s="84">
        <f>IF(OR($A203="",COUNT(W203,X203,Z203,Y203)&lt;1),"",W203+X203+Z203-Y203)</f>
        <v/>
      </c>
      <c r="AB203" s="83" t="n"/>
      <c r="AC203" s="83" t="n"/>
      <c r="AD203" s="83" t="n"/>
      <c r="AE203" s="83" t="n"/>
      <c r="AF203" s="83" t="n"/>
      <c r="AG203" s="83" t="n"/>
      <c r="AH203" s="84">
        <f>IF(OR($A203="",COUNT(AB203,AC203,AD203,AG203,AE203,AF203)&lt;1),"",AB203+AC203+AD203+AG203-AE203-AF203)</f>
        <v/>
      </c>
      <c r="AI203" s="84">
        <f>IF(OR($A203="",COUNT(AA203,AH203)&lt;2),"",AA203-AH203)</f>
        <v/>
      </c>
      <c r="AJ203" s="84">
        <f>IF(OR($A203="",COUNT(W203,AB203)&lt;2),"",W203-AB203)</f>
        <v/>
      </c>
      <c r="AK203" s="83" t="n"/>
      <c r="AL203" s="33" t="n"/>
      <c r="AM203" s="33" t="n"/>
      <c r="AN203" s="83" t="n"/>
      <c r="AO203" s="33" t="n"/>
      <c r="AP203" s="33" t="n"/>
      <c r="AQ203" s="33" t="n"/>
    </row>
    <row r="204">
      <c r="A204" s="33" t="n"/>
      <c r="B204" s="33" t="n"/>
      <c r="C204" s="33" t="n"/>
      <c r="D204" s="33" t="n"/>
      <c r="E204" s="33" t="n"/>
      <c r="F204" s="33" t="n"/>
      <c r="G204" s="33" t="n"/>
      <c r="H204" s="33" t="n"/>
      <c r="I204" s="33" t="n"/>
      <c r="J204" s="33" t="n"/>
      <c r="K204" s="34" t="n"/>
      <c r="L204" s="34" t="n"/>
      <c r="M204" s="34" t="n"/>
      <c r="N204" s="82" t="n"/>
      <c r="O204" s="82" t="n"/>
      <c r="P204" s="33" t="n"/>
      <c r="Q204" s="34" t="n"/>
      <c r="R204" s="83" t="n"/>
      <c r="S204" s="34" t="n"/>
      <c r="T204" s="33" t="n"/>
      <c r="U204" s="83" t="n"/>
      <c r="V204" s="33" t="n"/>
      <c r="W204" s="83" t="n"/>
      <c r="X204" s="83" t="n"/>
      <c r="Y204" s="83" t="n"/>
      <c r="Z204" s="83" t="n"/>
      <c r="AA204" s="84">
        <f>IF(OR($A204="",COUNT(W204,X204,Z204,Y204)&lt;1),"",W204+X204+Z204-Y204)</f>
        <v/>
      </c>
      <c r="AB204" s="83" t="n"/>
      <c r="AC204" s="83" t="n"/>
      <c r="AD204" s="83" t="n"/>
      <c r="AE204" s="83" t="n"/>
      <c r="AF204" s="83" t="n"/>
      <c r="AG204" s="83" t="n"/>
      <c r="AH204" s="84">
        <f>IF(OR($A204="",COUNT(AB204,AC204,AD204,AG204,AE204,AF204)&lt;1),"",AB204+AC204+AD204+AG204-AE204-AF204)</f>
        <v/>
      </c>
      <c r="AI204" s="84">
        <f>IF(OR($A204="",COUNT(AA204,AH204)&lt;2),"",AA204-AH204)</f>
        <v/>
      </c>
      <c r="AJ204" s="84">
        <f>IF(OR($A204="",COUNT(W204,AB204)&lt;2),"",W204-AB204)</f>
        <v/>
      </c>
      <c r="AK204" s="83" t="n"/>
      <c r="AL204" s="33" t="n"/>
      <c r="AM204" s="33" t="n"/>
      <c r="AN204" s="83" t="n"/>
      <c r="AO204" s="33" t="n"/>
      <c r="AP204" s="33" t="n"/>
      <c r="AQ204" s="33" t="n"/>
    </row>
    <row r="205">
      <c r="A205" s="33" t="n"/>
      <c r="B205" s="33" t="n"/>
      <c r="C205" s="33" t="n"/>
      <c r="D205" s="33" t="n"/>
      <c r="E205" s="33" t="n"/>
      <c r="F205" s="33" t="n"/>
      <c r="G205" s="33" t="n"/>
      <c r="H205" s="33" t="n"/>
      <c r="I205" s="33" t="n"/>
      <c r="J205" s="33" t="n"/>
      <c r="K205" s="34" t="n"/>
      <c r="L205" s="34" t="n"/>
      <c r="M205" s="34" t="n"/>
      <c r="N205" s="82" t="n"/>
      <c r="O205" s="82" t="n"/>
      <c r="P205" s="33" t="n"/>
      <c r="Q205" s="34" t="n"/>
      <c r="R205" s="83" t="n"/>
      <c r="S205" s="34" t="n"/>
      <c r="T205" s="33" t="n"/>
      <c r="U205" s="83" t="n"/>
      <c r="V205" s="33" t="n"/>
      <c r="W205" s="83" t="n"/>
      <c r="X205" s="83" t="n"/>
      <c r="Y205" s="83" t="n"/>
      <c r="Z205" s="83" t="n"/>
      <c r="AA205" s="84">
        <f>IF(OR($A205="",COUNT(W205,X205,Z205,Y205)&lt;1),"",W205+X205+Z205-Y205)</f>
        <v/>
      </c>
      <c r="AB205" s="83" t="n"/>
      <c r="AC205" s="83" t="n"/>
      <c r="AD205" s="83" t="n"/>
      <c r="AE205" s="83" t="n"/>
      <c r="AF205" s="83" t="n"/>
      <c r="AG205" s="83" t="n"/>
      <c r="AH205" s="84">
        <f>IF(OR($A205="",COUNT(AB205,AC205,AD205,AG205,AE205,AF205)&lt;1),"",AB205+AC205+AD205+AG205-AE205-AF205)</f>
        <v/>
      </c>
      <c r="AI205" s="84">
        <f>IF(OR($A205="",COUNT(AA205,AH205)&lt;2),"",AA205-AH205)</f>
        <v/>
      </c>
      <c r="AJ205" s="84">
        <f>IF(OR($A205="",COUNT(W205,AB205)&lt;2),"",W205-AB205)</f>
        <v/>
      </c>
      <c r="AK205" s="83" t="n"/>
      <c r="AL205" s="33" t="n"/>
      <c r="AM205" s="33" t="n"/>
      <c r="AN205" s="83" t="n"/>
      <c r="AO205" s="33" t="n"/>
      <c r="AP205" s="33" t="n"/>
      <c r="AQ205" s="33" t="n"/>
    </row>
    <row r="206">
      <c r="A206" s="33" t="n"/>
      <c r="B206" s="33" t="n"/>
      <c r="C206" s="33" t="n"/>
      <c r="D206" s="33" t="n"/>
      <c r="E206" s="33" t="n"/>
      <c r="F206" s="33" t="n"/>
      <c r="G206" s="33" t="n"/>
      <c r="H206" s="33" t="n"/>
      <c r="I206" s="33" t="n"/>
      <c r="J206" s="33" t="n"/>
      <c r="K206" s="34" t="n"/>
      <c r="L206" s="34" t="n"/>
      <c r="M206" s="34" t="n"/>
      <c r="N206" s="82" t="n"/>
      <c r="O206" s="82" t="n"/>
      <c r="P206" s="33" t="n"/>
      <c r="Q206" s="34" t="n"/>
      <c r="R206" s="83" t="n"/>
      <c r="S206" s="34" t="n"/>
      <c r="T206" s="33" t="n"/>
      <c r="U206" s="83" t="n"/>
      <c r="V206" s="33" t="n"/>
      <c r="W206" s="83" t="n"/>
      <c r="X206" s="83" t="n"/>
      <c r="Y206" s="83" t="n"/>
      <c r="Z206" s="83" t="n"/>
      <c r="AA206" s="84">
        <f>IF(OR($A206="",COUNT(W206,X206,Z206,Y206)&lt;1),"",W206+X206+Z206-Y206)</f>
        <v/>
      </c>
      <c r="AB206" s="83" t="n"/>
      <c r="AC206" s="83" t="n"/>
      <c r="AD206" s="83" t="n"/>
      <c r="AE206" s="83" t="n"/>
      <c r="AF206" s="83" t="n"/>
      <c r="AG206" s="83" t="n"/>
      <c r="AH206" s="84">
        <f>IF(OR($A206="",COUNT(AB206,AC206,AD206,AG206,AE206,AF206)&lt;1),"",AB206+AC206+AD206+AG206-AE206-AF206)</f>
        <v/>
      </c>
      <c r="AI206" s="84">
        <f>IF(OR($A206="",COUNT(AA206,AH206)&lt;2),"",AA206-AH206)</f>
        <v/>
      </c>
      <c r="AJ206" s="84">
        <f>IF(OR($A206="",COUNT(W206,AB206)&lt;2),"",W206-AB206)</f>
        <v/>
      </c>
      <c r="AK206" s="83" t="n"/>
      <c r="AL206" s="33" t="n"/>
      <c r="AM206" s="33" t="n"/>
      <c r="AN206" s="83" t="n"/>
      <c r="AO206" s="33" t="n"/>
      <c r="AP206" s="33" t="n"/>
      <c r="AQ206" s="33" t="n"/>
    </row>
    <row r="207">
      <c r="A207" s="33" t="n"/>
      <c r="B207" s="33" t="n"/>
      <c r="C207" s="33" t="n"/>
      <c r="D207" s="33" t="n"/>
      <c r="E207" s="33" t="n"/>
      <c r="F207" s="33" t="n"/>
      <c r="G207" s="33" t="n"/>
      <c r="H207" s="33" t="n"/>
      <c r="I207" s="33" t="n"/>
      <c r="J207" s="33" t="n"/>
      <c r="K207" s="34" t="n"/>
      <c r="L207" s="34" t="n"/>
      <c r="M207" s="34" t="n"/>
      <c r="N207" s="82" t="n"/>
      <c r="O207" s="82" t="n"/>
      <c r="P207" s="33" t="n"/>
      <c r="Q207" s="34" t="n"/>
      <c r="R207" s="83" t="n"/>
      <c r="S207" s="34" t="n"/>
      <c r="T207" s="33" t="n"/>
      <c r="U207" s="83" t="n"/>
      <c r="V207" s="33" t="n"/>
      <c r="W207" s="83" t="n"/>
      <c r="X207" s="83" t="n"/>
      <c r="Y207" s="83" t="n"/>
      <c r="Z207" s="83" t="n"/>
      <c r="AA207" s="84">
        <f>IF(OR($A207="",COUNT(W207,X207,Z207,Y207)&lt;1),"",W207+X207+Z207-Y207)</f>
        <v/>
      </c>
      <c r="AB207" s="83" t="n"/>
      <c r="AC207" s="83" t="n"/>
      <c r="AD207" s="83" t="n"/>
      <c r="AE207" s="83" t="n"/>
      <c r="AF207" s="83" t="n"/>
      <c r="AG207" s="83" t="n"/>
      <c r="AH207" s="84">
        <f>IF(OR($A207="",COUNT(AB207,AC207,AD207,AG207,AE207,AF207)&lt;1),"",AB207+AC207+AD207+AG207-AE207-AF207)</f>
        <v/>
      </c>
      <c r="AI207" s="84">
        <f>IF(OR($A207="",COUNT(AA207,AH207)&lt;2),"",AA207-AH207)</f>
        <v/>
      </c>
      <c r="AJ207" s="84">
        <f>IF(OR($A207="",COUNT(W207,AB207)&lt;2),"",W207-AB207)</f>
        <v/>
      </c>
      <c r="AK207" s="83" t="n"/>
      <c r="AL207" s="33" t="n"/>
      <c r="AM207" s="33" t="n"/>
      <c r="AN207" s="83" t="n"/>
      <c r="AO207" s="33" t="n"/>
      <c r="AP207" s="33" t="n"/>
      <c r="AQ207" s="33" t="n"/>
    </row>
    <row r="208">
      <c r="A208" s="33" t="n"/>
      <c r="B208" s="33" t="n"/>
      <c r="C208" s="33" t="n"/>
      <c r="D208" s="33" t="n"/>
      <c r="E208" s="33" t="n"/>
      <c r="F208" s="33" t="n"/>
      <c r="G208" s="33" t="n"/>
      <c r="H208" s="33" t="n"/>
      <c r="I208" s="33" t="n"/>
      <c r="J208" s="33" t="n"/>
      <c r="K208" s="34" t="n"/>
      <c r="L208" s="34" t="n"/>
      <c r="M208" s="34" t="n"/>
      <c r="N208" s="82" t="n"/>
      <c r="O208" s="82" t="n"/>
      <c r="P208" s="33" t="n"/>
      <c r="Q208" s="34" t="n"/>
      <c r="R208" s="83" t="n"/>
      <c r="S208" s="34" t="n"/>
      <c r="T208" s="33" t="n"/>
      <c r="U208" s="83" t="n"/>
      <c r="V208" s="33" t="n"/>
      <c r="W208" s="83" t="n"/>
      <c r="X208" s="83" t="n"/>
      <c r="Y208" s="83" t="n"/>
      <c r="Z208" s="83" t="n"/>
      <c r="AA208" s="84">
        <f>IF(OR($A208="",COUNT(W208,X208,Z208,Y208)&lt;1),"",W208+X208+Z208-Y208)</f>
        <v/>
      </c>
      <c r="AB208" s="83" t="n"/>
      <c r="AC208" s="83" t="n"/>
      <c r="AD208" s="83" t="n"/>
      <c r="AE208" s="83" t="n"/>
      <c r="AF208" s="83" t="n"/>
      <c r="AG208" s="83" t="n"/>
      <c r="AH208" s="84">
        <f>IF(OR($A208="",COUNT(AB208,AC208,AD208,AG208,AE208,AF208)&lt;1),"",AB208+AC208+AD208+AG208-AE208-AF208)</f>
        <v/>
      </c>
      <c r="AI208" s="84">
        <f>IF(OR($A208="",COUNT(AA208,AH208)&lt;2),"",AA208-AH208)</f>
        <v/>
      </c>
      <c r="AJ208" s="84">
        <f>IF(OR($A208="",COUNT(W208,AB208)&lt;2),"",W208-AB208)</f>
        <v/>
      </c>
      <c r="AK208" s="83" t="n"/>
      <c r="AL208" s="33" t="n"/>
      <c r="AM208" s="33" t="n"/>
      <c r="AN208" s="83" t="n"/>
      <c r="AO208" s="33" t="n"/>
      <c r="AP208" s="33" t="n"/>
      <c r="AQ208" s="33" t="n"/>
    </row>
    <row r="209">
      <c r="A209" s="33" t="n"/>
      <c r="B209" s="33" t="n"/>
      <c r="C209" s="33" t="n"/>
      <c r="D209" s="33" t="n"/>
      <c r="E209" s="33" t="n"/>
      <c r="F209" s="33" t="n"/>
      <c r="G209" s="33" t="n"/>
      <c r="H209" s="33" t="n"/>
      <c r="I209" s="33" t="n"/>
      <c r="J209" s="33" t="n"/>
      <c r="K209" s="34" t="n"/>
      <c r="L209" s="34" t="n"/>
      <c r="M209" s="34" t="n"/>
      <c r="N209" s="82" t="n"/>
      <c r="O209" s="82" t="n"/>
      <c r="P209" s="33" t="n"/>
      <c r="Q209" s="34" t="n"/>
      <c r="R209" s="83" t="n"/>
      <c r="S209" s="34" t="n"/>
      <c r="T209" s="33" t="n"/>
      <c r="U209" s="83" t="n"/>
      <c r="V209" s="33" t="n"/>
      <c r="W209" s="83" t="n"/>
      <c r="X209" s="83" t="n"/>
      <c r="Y209" s="83" t="n"/>
      <c r="Z209" s="83" t="n"/>
      <c r="AA209" s="84">
        <f>IF(OR($A209="",COUNT(W209,X209,Z209,Y209)&lt;1),"",W209+X209+Z209-Y209)</f>
        <v/>
      </c>
      <c r="AB209" s="83" t="n"/>
      <c r="AC209" s="83" t="n"/>
      <c r="AD209" s="83" t="n"/>
      <c r="AE209" s="83" t="n"/>
      <c r="AF209" s="83" t="n"/>
      <c r="AG209" s="83" t="n"/>
      <c r="AH209" s="84">
        <f>IF(OR($A209="",COUNT(AB209,AC209,AD209,AG209,AE209,AF209)&lt;1),"",AB209+AC209+AD209+AG209-AE209-AF209)</f>
        <v/>
      </c>
      <c r="AI209" s="84">
        <f>IF(OR($A209="",COUNT(AA209,AH209)&lt;2),"",AA209-AH209)</f>
        <v/>
      </c>
      <c r="AJ209" s="84">
        <f>IF(OR($A209="",COUNT(W209,AB209)&lt;2),"",W209-AB209)</f>
        <v/>
      </c>
      <c r="AK209" s="83" t="n"/>
      <c r="AL209" s="33" t="n"/>
      <c r="AM209" s="33" t="n"/>
      <c r="AN209" s="83" t="n"/>
      <c r="AO209" s="33" t="n"/>
      <c r="AP209" s="33" t="n"/>
      <c r="AQ209" s="33" t="n"/>
    </row>
    <row r="210">
      <c r="A210" s="33" t="n"/>
      <c r="B210" s="33" t="n"/>
      <c r="C210" s="33" t="n"/>
      <c r="D210" s="33" t="n"/>
      <c r="E210" s="33" t="n"/>
      <c r="F210" s="33" t="n"/>
      <c r="G210" s="33" t="n"/>
      <c r="H210" s="33" t="n"/>
      <c r="I210" s="33" t="n"/>
      <c r="J210" s="33" t="n"/>
      <c r="K210" s="34" t="n"/>
      <c r="L210" s="34" t="n"/>
      <c r="M210" s="34" t="n"/>
      <c r="N210" s="82" t="n"/>
      <c r="O210" s="82" t="n"/>
      <c r="P210" s="33" t="n"/>
      <c r="Q210" s="34" t="n"/>
      <c r="R210" s="83" t="n"/>
      <c r="S210" s="34" t="n"/>
      <c r="T210" s="33" t="n"/>
      <c r="U210" s="83" t="n"/>
      <c r="V210" s="33" t="n"/>
      <c r="W210" s="83" t="n"/>
      <c r="X210" s="83" t="n"/>
      <c r="Y210" s="83" t="n"/>
      <c r="Z210" s="83" t="n"/>
      <c r="AA210" s="84">
        <f>IF(OR($A210="",COUNT(W210,X210,Z210,Y210)&lt;1),"",W210+X210+Z210-Y210)</f>
        <v/>
      </c>
      <c r="AB210" s="83" t="n"/>
      <c r="AC210" s="83" t="n"/>
      <c r="AD210" s="83" t="n"/>
      <c r="AE210" s="83" t="n"/>
      <c r="AF210" s="83" t="n"/>
      <c r="AG210" s="83" t="n"/>
      <c r="AH210" s="84">
        <f>IF(OR($A210="",COUNT(AB210,AC210,AD210,AG210,AE210,AF210)&lt;1),"",AB210+AC210+AD210+AG210-AE210-AF210)</f>
        <v/>
      </c>
      <c r="AI210" s="84">
        <f>IF(OR($A210="",COUNT(AA210,AH210)&lt;2),"",AA210-AH210)</f>
        <v/>
      </c>
      <c r="AJ210" s="84">
        <f>IF(OR($A210="",COUNT(W210,AB210)&lt;2),"",W210-AB210)</f>
        <v/>
      </c>
      <c r="AK210" s="83" t="n"/>
      <c r="AL210" s="33" t="n"/>
      <c r="AM210" s="33" t="n"/>
      <c r="AN210" s="83" t="n"/>
      <c r="AO210" s="33" t="n"/>
      <c r="AP210" s="33" t="n"/>
      <c r="AQ210" s="33" t="n"/>
    </row>
    <row r="211">
      <c r="A211" s="33" t="n"/>
      <c r="B211" s="33" t="n"/>
      <c r="C211" s="33" t="n"/>
      <c r="D211" s="33" t="n"/>
      <c r="E211" s="33" t="n"/>
      <c r="F211" s="33" t="n"/>
      <c r="G211" s="33" t="n"/>
      <c r="H211" s="33" t="n"/>
      <c r="I211" s="33" t="n"/>
      <c r="J211" s="33" t="n"/>
      <c r="K211" s="34" t="n"/>
      <c r="L211" s="34" t="n"/>
      <c r="M211" s="34" t="n"/>
      <c r="N211" s="82" t="n"/>
      <c r="O211" s="82" t="n"/>
      <c r="P211" s="33" t="n"/>
      <c r="Q211" s="34" t="n"/>
      <c r="R211" s="83" t="n"/>
      <c r="S211" s="34" t="n"/>
      <c r="T211" s="33" t="n"/>
      <c r="U211" s="83" t="n"/>
      <c r="V211" s="33" t="n"/>
      <c r="W211" s="83" t="n"/>
      <c r="X211" s="83" t="n"/>
      <c r="Y211" s="83" t="n"/>
      <c r="Z211" s="83" t="n"/>
      <c r="AA211" s="84">
        <f>IF(OR($A211="",COUNT(W211,X211,Z211,Y211)&lt;1),"",W211+X211+Z211-Y211)</f>
        <v/>
      </c>
      <c r="AB211" s="83" t="n"/>
      <c r="AC211" s="83" t="n"/>
      <c r="AD211" s="83" t="n"/>
      <c r="AE211" s="83" t="n"/>
      <c r="AF211" s="83" t="n"/>
      <c r="AG211" s="83" t="n"/>
      <c r="AH211" s="84">
        <f>IF(OR($A211="",COUNT(AB211,AC211,AD211,AG211,AE211,AF211)&lt;1),"",AB211+AC211+AD211+AG211-AE211-AF211)</f>
        <v/>
      </c>
      <c r="AI211" s="84">
        <f>IF(OR($A211="",COUNT(AA211,AH211)&lt;2),"",AA211-AH211)</f>
        <v/>
      </c>
      <c r="AJ211" s="84">
        <f>IF(OR($A211="",COUNT(W211,AB211)&lt;2),"",W211-AB211)</f>
        <v/>
      </c>
      <c r="AK211" s="83" t="n"/>
      <c r="AL211" s="33" t="n"/>
      <c r="AM211" s="33" t="n"/>
      <c r="AN211" s="83" t="n"/>
      <c r="AO211" s="33" t="n"/>
      <c r="AP211" s="33" t="n"/>
      <c r="AQ211" s="33" t="n"/>
    </row>
    <row r="212">
      <c r="A212" s="33" t="n"/>
      <c r="B212" s="33" t="n"/>
      <c r="C212" s="33" t="n"/>
      <c r="D212" s="33" t="n"/>
      <c r="E212" s="33" t="n"/>
      <c r="F212" s="33" t="n"/>
      <c r="G212" s="33" t="n"/>
      <c r="H212" s="33" t="n"/>
      <c r="I212" s="33" t="n"/>
      <c r="J212" s="33" t="n"/>
      <c r="K212" s="34" t="n"/>
      <c r="L212" s="34" t="n"/>
      <c r="M212" s="34" t="n"/>
      <c r="N212" s="82" t="n"/>
      <c r="O212" s="82" t="n"/>
      <c r="P212" s="33" t="n"/>
      <c r="Q212" s="34" t="n"/>
      <c r="R212" s="83" t="n"/>
      <c r="S212" s="34" t="n"/>
      <c r="T212" s="33" t="n"/>
      <c r="U212" s="83" t="n"/>
      <c r="V212" s="33" t="n"/>
      <c r="W212" s="83" t="n"/>
      <c r="X212" s="83" t="n"/>
      <c r="Y212" s="83" t="n"/>
      <c r="Z212" s="83" t="n"/>
      <c r="AA212" s="84">
        <f>IF(OR($A212="",COUNT(W212,X212,Z212,Y212)&lt;1),"",W212+X212+Z212-Y212)</f>
        <v/>
      </c>
      <c r="AB212" s="83" t="n"/>
      <c r="AC212" s="83" t="n"/>
      <c r="AD212" s="83" t="n"/>
      <c r="AE212" s="83" t="n"/>
      <c r="AF212" s="83" t="n"/>
      <c r="AG212" s="83" t="n"/>
      <c r="AH212" s="84">
        <f>IF(OR($A212="",COUNT(AB212,AC212,AD212,AG212,AE212,AF212)&lt;1),"",AB212+AC212+AD212+AG212-AE212-AF212)</f>
        <v/>
      </c>
      <c r="AI212" s="84">
        <f>IF(OR($A212="",COUNT(AA212,AH212)&lt;2),"",AA212-AH212)</f>
        <v/>
      </c>
      <c r="AJ212" s="84">
        <f>IF(OR($A212="",COUNT(W212,AB212)&lt;2),"",W212-AB212)</f>
        <v/>
      </c>
      <c r="AK212" s="83" t="n"/>
      <c r="AL212" s="33" t="n"/>
      <c r="AM212" s="33" t="n"/>
      <c r="AN212" s="83" t="n"/>
      <c r="AO212" s="33" t="n"/>
      <c r="AP212" s="33" t="n"/>
      <c r="AQ212" s="33" t="n"/>
    </row>
    <row r="213">
      <c r="A213" s="33" t="n"/>
      <c r="B213" s="33" t="n"/>
      <c r="C213" s="33" t="n"/>
      <c r="D213" s="33" t="n"/>
      <c r="E213" s="33" t="n"/>
      <c r="F213" s="33" t="n"/>
      <c r="G213" s="33" t="n"/>
      <c r="H213" s="33" t="n"/>
      <c r="I213" s="33" t="n"/>
      <c r="J213" s="33" t="n"/>
      <c r="K213" s="34" t="n"/>
      <c r="L213" s="34" t="n"/>
      <c r="M213" s="34" t="n"/>
      <c r="N213" s="82" t="n"/>
      <c r="O213" s="82" t="n"/>
      <c r="P213" s="33" t="n"/>
      <c r="Q213" s="34" t="n"/>
      <c r="R213" s="83" t="n"/>
      <c r="S213" s="34" t="n"/>
      <c r="T213" s="33" t="n"/>
      <c r="U213" s="83" t="n"/>
      <c r="V213" s="33" t="n"/>
      <c r="W213" s="83" t="n"/>
      <c r="X213" s="83" t="n"/>
      <c r="Y213" s="83" t="n"/>
      <c r="Z213" s="83" t="n"/>
      <c r="AA213" s="84">
        <f>IF(OR($A213="",COUNT(W213,X213,Z213,Y213)&lt;1),"",W213+X213+Z213-Y213)</f>
        <v/>
      </c>
      <c r="AB213" s="83" t="n"/>
      <c r="AC213" s="83" t="n"/>
      <c r="AD213" s="83" t="n"/>
      <c r="AE213" s="83" t="n"/>
      <c r="AF213" s="83" t="n"/>
      <c r="AG213" s="83" t="n"/>
      <c r="AH213" s="84">
        <f>IF(OR($A213="",COUNT(AB213,AC213,AD213,AG213,AE213,AF213)&lt;1),"",AB213+AC213+AD213+AG213-AE213-AF213)</f>
        <v/>
      </c>
      <c r="AI213" s="84">
        <f>IF(OR($A213="",COUNT(AA213,AH213)&lt;2),"",AA213-AH213)</f>
        <v/>
      </c>
      <c r="AJ213" s="84">
        <f>IF(OR($A213="",COUNT(W213,AB213)&lt;2),"",W213-AB213)</f>
        <v/>
      </c>
      <c r="AK213" s="83" t="n"/>
      <c r="AL213" s="33" t="n"/>
      <c r="AM213" s="33" t="n"/>
      <c r="AN213" s="83" t="n"/>
      <c r="AO213" s="33" t="n"/>
      <c r="AP213" s="33" t="n"/>
      <c r="AQ213" s="33" t="n"/>
    </row>
    <row r="214">
      <c r="A214" s="33" t="n"/>
      <c r="B214" s="33" t="n"/>
      <c r="C214" s="33" t="n"/>
      <c r="D214" s="33" t="n"/>
      <c r="E214" s="33" t="n"/>
      <c r="F214" s="33" t="n"/>
      <c r="G214" s="33" t="n"/>
      <c r="H214" s="33" t="n"/>
      <c r="I214" s="33" t="n"/>
      <c r="J214" s="33" t="n"/>
      <c r="K214" s="34" t="n"/>
      <c r="L214" s="34" t="n"/>
      <c r="M214" s="34" t="n"/>
      <c r="N214" s="82" t="n"/>
      <c r="O214" s="82" t="n"/>
      <c r="P214" s="33" t="n"/>
      <c r="Q214" s="34" t="n"/>
      <c r="R214" s="83" t="n"/>
      <c r="S214" s="34" t="n"/>
      <c r="T214" s="33" t="n"/>
      <c r="U214" s="83" t="n"/>
      <c r="V214" s="33" t="n"/>
      <c r="W214" s="83" t="n"/>
      <c r="X214" s="83" t="n"/>
      <c r="Y214" s="83" t="n"/>
      <c r="Z214" s="83" t="n"/>
      <c r="AA214" s="84">
        <f>IF(OR($A214="",COUNT(W214,X214,Z214,Y214)&lt;1),"",W214+X214+Z214-Y214)</f>
        <v/>
      </c>
      <c r="AB214" s="83" t="n"/>
      <c r="AC214" s="83" t="n"/>
      <c r="AD214" s="83" t="n"/>
      <c r="AE214" s="83" t="n"/>
      <c r="AF214" s="83" t="n"/>
      <c r="AG214" s="83" t="n"/>
      <c r="AH214" s="84">
        <f>IF(OR($A214="",COUNT(AB214,AC214,AD214,AG214,AE214,AF214)&lt;1),"",AB214+AC214+AD214+AG214-AE214-AF214)</f>
        <v/>
      </c>
      <c r="AI214" s="84">
        <f>IF(OR($A214="",COUNT(AA214,AH214)&lt;2),"",AA214-AH214)</f>
        <v/>
      </c>
      <c r="AJ214" s="84">
        <f>IF(OR($A214="",COUNT(W214,AB214)&lt;2),"",W214-AB214)</f>
        <v/>
      </c>
      <c r="AK214" s="83" t="n"/>
      <c r="AL214" s="33" t="n"/>
      <c r="AM214" s="33" t="n"/>
      <c r="AN214" s="83" t="n"/>
      <c r="AO214" s="33" t="n"/>
      <c r="AP214" s="33" t="n"/>
      <c r="AQ214" s="33" t="n"/>
    </row>
    <row r="215">
      <c r="A215" s="33" t="n"/>
      <c r="B215" s="33" t="n"/>
      <c r="C215" s="33" t="n"/>
      <c r="D215" s="33" t="n"/>
      <c r="E215" s="33" t="n"/>
      <c r="F215" s="33" t="n"/>
      <c r="G215" s="33" t="n"/>
      <c r="H215" s="33" t="n"/>
      <c r="I215" s="33" t="n"/>
      <c r="J215" s="33" t="n"/>
      <c r="K215" s="34" t="n"/>
      <c r="L215" s="34" t="n"/>
      <c r="M215" s="34" t="n"/>
      <c r="N215" s="82" t="n"/>
      <c r="O215" s="82" t="n"/>
      <c r="P215" s="33" t="n"/>
      <c r="Q215" s="34" t="n"/>
      <c r="R215" s="83" t="n"/>
      <c r="S215" s="34" t="n"/>
      <c r="T215" s="33" t="n"/>
      <c r="U215" s="83" t="n"/>
      <c r="V215" s="33" t="n"/>
      <c r="W215" s="83" t="n"/>
      <c r="X215" s="83" t="n"/>
      <c r="Y215" s="83" t="n"/>
      <c r="Z215" s="83" t="n"/>
      <c r="AA215" s="84">
        <f>IF(OR($A215="",COUNT(W215,X215,Z215,Y215)&lt;1),"",W215+X215+Z215-Y215)</f>
        <v/>
      </c>
      <c r="AB215" s="83" t="n"/>
      <c r="AC215" s="83" t="n"/>
      <c r="AD215" s="83" t="n"/>
      <c r="AE215" s="83" t="n"/>
      <c r="AF215" s="83" t="n"/>
      <c r="AG215" s="83" t="n"/>
      <c r="AH215" s="84">
        <f>IF(OR($A215="",COUNT(AB215,AC215,AD215,AG215,AE215,AF215)&lt;1),"",AB215+AC215+AD215+AG215-AE215-AF215)</f>
        <v/>
      </c>
      <c r="AI215" s="84">
        <f>IF(OR($A215="",COUNT(AA215,AH215)&lt;2),"",AA215-AH215)</f>
        <v/>
      </c>
      <c r="AJ215" s="84">
        <f>IF(OR($A215="",COUNT(W215,AB215)&lt;2),"",W215-AB215)</f>
        <v/>
      </c>
      <c r="AK215" s="83" t="n"/>
      <c r="AL215" s="33" t="n"/>
      <c r="AM215" s="33" t="n"/>
      <c r="AN215" s="83" t="n"/>
      <c r="AO215" s="33" t="n"/>
      <c r="AP215" s="33" t="n"/>
      <c r="AQ215" s="33" t="n"/>
    </row>
    <row r="216">
      <c r="A216" s="33" t="n"/>
      <c r="B216" s="33" t="n"/>
      <c r="C216" s="33" t="n"/>
      <c r="D216" s="33" t="n"/>
      <c r="E216" s="33" t="n"/>
      <c r="F216" s="33" t="n"/>
      <c r="G216" s="33" t="n"/>
      <c r="H216" s="33" t="n"/>
      <c r="I216" s="33" t="n"/>
      <c r="J216" s="33" t="n"/>
      <c r="K216" s="34" t="n"/>
      <c r="L216" s="34" t="n"/>
      <c r="M216" s="34" t="n"/>
      <c r="N216" s="82" t="n"/>
      <c r="O216" s="82" t="n"/>
      <c r="P216" s="33" t="n"/>
      <c r="Q216" s="34" t="n"/>
      <c r="R216" s="83" t="n"/>
      <c r="S216" s="34" t="n"/>
      <c r="T216" s="33" t="n"/>
      <c r="U216" s="83" t="n"/>
      <c r="V216" s="33" t="n"/>
      <c r="W216" s="83" t="n"/>
      <c r="X216" s="83" t="n"/>
      <c r="Y216" s="83" t="n"/>
      <c r="Z216" s="83" t="n"/>
      <c r="AA216" s="84">
        <f>IF(OR($A216="",COUNT(W216,X216,Z216,Y216)&lt;1),"",W216+X216+Z216-Y216)</f>
        <v/>
      </c>
      <c r="AB216" s="83" t="n"/>
      <c r="AC216" s="83" t="n"/>
      <c r="AD216" s="83" t="n"/>
      <c r="AE216" s="83" t="n"/>
      <c r="AF216" s="83" t="n"/>
      <c r="AG216" s="83" t="n"/>
      <c r="AH216" s="84">
        <f>IF(OR($A216="",COUNT(AB216,AC216,AD216,AG216,AE216,AF216)&lt;1),"",AB216+AC216+AD216+AG216-AE216-AF216)</f>
        <v/>
      </c>
      <c r="AI216" s="84">
        <f>IF(OR($A216="",COUNT(AA216,AH216)&lt;2),"",AA216-AH216)</f>
        <v/>
      </c>
      <c r="AJ216" s="84">
        <f>IF(OR($A216="",COUNT(W216,AB216)&lt;2),"",W216-AB216)</f>
        <v/>
      </c>
      <c r="AK216" s="83" t="n"/>
      <c r="AL216" s="33" t="n"/>
      <c r="AM216" s="33" t="n"/>
      <c r="AN216" s="83" t="n"/>
      <c r="AO216" s="33" t="n"/>
      <c r="AP216" s="33" t="n"/>
      <c r="AQ216" s="33" t="n"/>
    </row>
    <row r="217">
      <c r="A217" s="33" t="n"/>
      <c r="B217" s="33" t="n"/>
      <c r="C217" s="33" t="n"/>
      <c r="D217" s="33" t="n"/>
      <c r="E217" s="33" t="n"/>
      <c r="F217" s="33" t="n"/>
      <c r="G217" s="33" t="n"/>
      <c r="H217" s="33" t="n"/>
      <c r="I217" s="33" t="n"/>
      <c r="J217" s="33" t="n"/>
      <c r="K217" s="34" t="n"/>
      <c r="L217" s="34" t="n"/>
      <c r="M217" s="34" t="n"/>
      <c r="N217" s="82" t="n"/>
      <c r="O217" s="82" t="n"/>
      <c r="P217" s="33" t="n"/>
      <c r="Q217" s="34" t="n"/>
      <c r="R217" s="83" t="n"/>
      <c r="S217" s="34" t="n"/>
      <c r="T217" s="33" t="n"/>
      <c r="U217" s="83" t="n"/>
      <c r="V217" s="33" t="n"/>
      <c r="W217" s="83" t="n"/>
      <c r="X217" s="83" t="n"/>
      <c r="Y217" s="83" t="n"/>
      <c r="Z217" s="83" t="n"/>
      <c r="AA217" s="84">
        <f>IF(OR($A217="",COUNT(W217,X217,Z217,Y217)&lt;1),"",W217+X217+Z217-Y217)</f>
        <v/>
      </c>
      <c r="AB217" s="83" t="n"/>
      <c r="AC217" s="83" t="n"/>
      <c r="AD217" s="83" t="n"/>
      <c r="AE217" s="83" t="n"/>
      <c r="AF217" s="83" t="n"/>
      <c r="AG217" s="83" t="n"/>
      <c r="AH217" s="84">
        <f>IF(OR($A217="",COUNT(AB217,AC217,AD217,AG217,AE217,AF217)&lt;1),"",AB217+AC217+AD217+AG217-AE217-AF217)</f>
        <v/>
      </c>
      <c r="AI217" s="84">
        <f>IF(OR($A217="",COUNT(AA217,AH217)&lt;2),"",AA217-AH217)</f>
        <v/>
      </c>
      <c r="AJ217" s="84">
        <f>IF(OR($A217="",COUNT(W217,AB217)&lt;2),"",W217-AB217)</f>
        <v/>
      </c>
      <c r="AK217" s="83" t="n"/>
      <c r="AL217" s="33" t="n"/>
      <c r="AM217" s="33" t="n"/>
      <c r="AN217" s="83" t="n"/>
      <c r="AO217" s="33" t="n"/>
      <c r="AP217" s="33" t="n"/>
      <c r="AQ217" s="33" t="n"/>
    </row>
    <row r="218">
      <c r="A218" s="33" t="n"/>
      <c r="B218" s="33" t="n"/>
      <c r="C218" s="33" t="n"/>
      <c r="D218" s="33" t="n"/>
      <c r="E218" s="33" t="n"/>
      <c r="F218" s="33" t="n"/>
      <c r="G218" s="33" t="n"/>
      <c r="H218" s="33" t="n"/>
      <c r="I218" s="33" t="n"/>
      <c r="J218" s="33" t="n"/>
      <c r="K218" s="34" t="n"/>
      <c r="L218" s="34" t="n"/>
      <c r="M218" s="34" t="n"/>
      <c r="N218" s="82" t="n"/>
      <c r="O218" s="82" t="n"/>
      <c r="P218" s="33" t="n"/>
      <c r="Q218" s="34" t="n"/>
      <c r="R218" s="83" t="n"/>
      <c r="S218" s="34" t="n"/>
      <c r="T218" s="33" t="n"/>
      <c r="U218" s="83" t="n"/>
      <c r="V218" s="33" t="n"/>
      <c r="W218" s="83" t="n"/>
      <c r="X218" s="83" t="n"/>
      <c r="Y218" s="83" t="n"/>
      <c r="Z218" s="83" t="n"/>
      <c r="AA218" s="84">
        <f>IF(OR($A218="",COUNT(W218,X218,Z218,Y218)&lt;1),"",W218+X218+Z218-Y218)</f>
        <v/>
      </c>
      <c r="AB218" s="83" t="n"/>
      <c r="AC218" s="83" t="n"/>
      <c r="AD218" s="83" t="n"/>
      <c r="AE218" s="83" t="n"/>
      <c r="AF218" s="83" t="n"/>
      <c r="AG218" s="83" t="n"/>
      <c r="AH218" s="84">
        <f>IF(OR($A218="",COUNT(AB218,AC218,AD218,AG218,AE218,AF218)&lt;1),"",AB218+AC218+AD218+AG218-AE218-AF218)</f>
        <v/>
      </c>
      <c r="AI218" s="84">
        <f>IF(OR($A218="",COUNT(AA218,AH218)&lt;2),"",AA218-AH218)</f>
        <v/>
      </c>
      <c r="AJ218" s="84">
        <f>IF(OR($A218="",COUNT(W218,AB218)&lt;2),"",W218-AB218)</f>
        <v/>
      </c>
      <c r="AK218" s="83" t="n"/>
      <c r="AL218" s="33" t="n"/>
      <c r="AM218" s="33" t="n"/>
      <c r="AN218" s="83" t="n"/>
      <c r="AO218" s="33" t="n"/>
      <c r="AP218" s="33" t="n"/>
      <c r="AQ218" s="33" t="n"/>
    </row>
    <row r="219">
      <c r="A219" s="33" t="n"/>
      <c r="B219" s="33" t="n"/>
      <c r="C219" s="33" t="n"/>
      <c r="D219" s="33" t="n"/>
      <c r="E219" s="33" t="n"/>
      <c r="F219" s="33" t="n"/>
      <c r="G219" s="33" t="n"/>
      <c r="H219" s="33" t="n"/>
      <c r="I219" s="33" t="n"/>
      <c r="J219" s="33" t="n"/>
      <c r="K219" s="34" t="n"/>
      <c r="L219" s="34" t="n"/>
      <c r="M219" s="34" t="n"/>
      <c r="N219" s="82" t="n"/>
      <c r="O219" s="82" t="n"/>
      <c r="P219" s="33" t="n"/>
      <c r="Q219" s="34" t="n"/>
      <c r="R219" s="83" t="n"/>
      <c r="S219" s="34" t="n"/>
      <c r="T219" s="33" t="n"/>
      <c r="U219" s="83" t="n"/>
      <c r="V219" s="33" t="n"/>
      <c r="W219" s="83" t="n"/>
      <c r="X219" s="83" t="n"/>
      <c r="Y219" s="83" t="n"/>
      <c r="Z219" s="83" t="n"/>
      <c r="AA219" s="84">
        <f>IF(OR($A219="",COUNT(W219,X219,Z219,Y219)&lt;1),"",W219+X219+Z219-Y219)</f>
        <v/>
      </c>
      <c r="AB219" s="83" t="n"/>
      <c r="AC219" s="83" t="n"/>
      <c r="AD219" s="83" t="n"/>
      <c r="AE219" s="83" t="n"/>
      <c r="AF219" s="83" t="n"/>
      <c r="AG219" s="83" t="n"/>
      <c r="AH219" s="84">
        <f>IF(OR($A219="",COUNT(AB219,AC219,AD219,AG219,AE219,AF219)&lt;1),"",AB219+AC219+AD219+AG219-AE219-AF219)</f>
        <v/>
      </c>
      <c r="AI219" s="84">
        <f>IF(OR($A219="",COUNT(AA219,AH219)&lt;2),"",AA219-AH219)</f>
        <v/>
      </c>
      <c r="AJ219" s="84">
        <f>IF(OR($A219="",COUNT(W219,AB219)&lt;2),"",W219-AB219)</f>
        <v/>
      </c>
      <c r="AK219" s="83" t="n"/>
      <c r="AL219" s="33" t="n"/>
      <c r="AM219" s="33" t="n"/>
      <c r="AN219" s="83" t="n"/>
      <c r="AO219" s="33" t="n"/>
      <c r="AP219" s="33" t="n"/>
      <c r="AQ219" s="33" t="n"/>
    </row>
    <row r="220">
      <c r="A220" s="33" t="n"/>
      <c r="B220" s="33" t="n"/>
      <c r="C220" s="33" t="n"/>
      <c r="D220" s="33" t="n"/>
      <c r="E220" s="33" t="n"/>
      <c r="F220" s="33" t="n"/>
      <c r="G220" s="33" t="n"/>
      <c r="H220" s="33" t="n"/>
      <c r="I220" s="33" t="n"/>
      <c r="J220" s="33" t="n"/>
      <c r="K220" s="34" t="n"/>
      <c r="L220" s="34" t="n"/>
      <c r="M220" s="34" t="n"/>
      <c r="N220" s="82" t="n"/>
      <c r="O220" s="82" t="n"/>
      <c r="P220" s="33" t="n"/>
      <c r="Q220" s="34" t="n"/>
      <c r="R220" s="83" t="n"/>
      <c r="S220" s="34" t="n"/>
      <c r="T220" s="33" t="n"/>
      <c r="U220" s="83" t="n"/>
      <c r="V220" s="33" t="n"/>
      <c r="W220" s="83" t="n"/>
      <c r="X220" s="83" t="n"/>
      <c r="Y220" s="83" t="n"/>
      <c r="Z220" s="83" t="n"/>
      <c r="AA220" s="84">
        <f>IF(OR($A220="",COUNT(W220,X220,Z220,Y220)&lt;1),"",W220+X220+Z220-Y220)</f>
        <v/>
      </c>
      <c r="AB220" s="83" t="n"/>
      <c r="AC220" s="83" t="n"/>
      <c r="AD220" s="83" t="n"/>
      <c r="AE220" s="83" t="n"/>
      <c r="AF220" s="83" t="n"/>
      <c r="AG220" s="83" t="n"/>
      <c r="AH220" s="84">
        <f>IF(OR($A220="",COUNT(AB220,AC220,AD220,AG220,AE220,AF220)&lt;1),"",AB220+AC220+AD220+AG220-AE220-AF220)</f>
        <v/>
      </c>
      <c r="AI220" s="84">
        <f>IF(OR($A220="",COUNT(AA220,AH220)&lt;2),"",AA220-AH220)</f>
        <v/>
      </c>
      <c r="AJ220" s="84">
        <f>IF(OR($A220="",COUNT(W220,AB220)&lt;2),"",W220-AB220)</f>
        <v/>
      </c>
      <c r="AK220" s="83" t="n"/>
      <c r="AL220" s="33" t="n"/>
      <c r="AM220" s="33" t="n"/>
      <c r="AN220" s="83" t="n"/>
      <c r="AO220" s="33" t="n"/>
      <c r="AP220" s="33" t="n"/>
      <c r="AQ220" s="33" t="n"/>
    </row>
    <row r="221">
      <c r="A221" s="33" t="n"/>
      <c r="B221" s="33" t="n"/>
      <c r="C221" s="33" t="n"/>
      <c r="D221" s="33" t="n"/>
      <c r="E221" s="33" t="n"/>
      <c r="F221" s="33" t="n"/>
      <c r="G221" s="33" t="n"/>
      <c r="H221" s="33" t="n"/>
      <c r="I221" s="33" t="n"/>
      <c r="J221" s="33" t="n"/>
      <c r="K221" s="34" t="n"/>
      <c r="L221" s="34" t="n"/>
      <c r="M221" s="34" t="n"/>
      <c r="N221" s="82" t="n"/>
      <c r="O221" s="82" t="n"/>
      <c r="P221" s="33" t="n"/>
      <c r="Q221" s="34" t="n"/>
      <c r="R221" s="83" t="n"/>
      <c r="S221" s="34" t="n"/>
      <c r="T221" s="33" t="n"/>
      <c r="U221" s="83" t="n"/>
      <c r="V221" s="33" t="n"/>
      <c r="W221" s="83" t="n"/>
      <c r="X221" s="83" t="n"/>
      <c r="Y221" s="83" t="n"/>
      <c r="Z221" s="83" t="n"/>
      <c r="AA221" s="84">
        <f>IF(OR($A221="",COUNT(W221,X221,Z221,Y221)&lt;1),"",W221+X221+Z221-Y221)</f>
        <v/>
      </c>
      <c r="AB221" s="83" t="n"/>
      <c r="AC221" s="83" t="n"/>
      <c r="AD221" s="83" t="n"/>
      <c r="AE221" s="83" t="n"/>
      <c r="AF221" s="83" t="n"/>
      <c r="AG221" s="83" t="n"/>
      <c r="AH221" s="84">
        <f>IF(OR($A221="",COUNT(AB221,AC221,AD221,AG221,AE221,AF221)&lt;1),"",AB221+AC221+AD221+AG221-AE221-AF221)</f>
        <v/>
      </c>
      <c r="AI221" s="84">
        <f>IF(OR($A221="",COUNT(AA221,AH221)&lt;2),"",AA221-AH221)</f>
        <v/>
      </c>
      <c r="AJ221" s="84">
        <f>IF(OR($A221="",COUNT(W221,AB221)&lt;2),"",W221-AB221)</f>
        <v/>
      </c>
      <c r="AK221" s="83" t="n"/>
      <c r="AL221" s="33" t="n"/>
      <c r="AM221" s="33" t="n"/>
      <c r="AN221" s="83" t="n"/>
      <c r="AO221" s="33" t="n"/>
      <c r="AP221" s="33" t="n"/>
      <c r="AQ221" s="33" t="n"/>
    </row>
    <row r="222">
      <c r="A222" s="33" t="n"/>
      <c r="B222" s="33" t="n"/>
      <c r="C222" s="33" t="n"/>
      <c r="D222" s="33" t="n"/>
      <c r="E222" s="33" t="n"/>
      <c r="F222" s="33" t="n"/>
      <c r="G222" s="33" t="n"/>
      <c r="H222" s="33" t="n"/>
      <c r="I222" s="33" t="n"/>
      <c r="J222" s="33" t="n"/>
      <c r="K222" s="34" t="n"/>
      <c r="L222" s="34" t="n"/>
      <c r="M222" s="34" t="n"/>
      <c r="N222" s="82" t="n"/>
      <c r="O222" s="82" t="n"/>
      <c r="P222" s="33" t="n"/>
      <c r="Q222" s="34" t="n"/>
      <c r="R222" s="83" t="n"/>
      <c r="S222" s="34" t="n"/>
      <c r="T222" s="33" t="n"/>
      <c r="U222" s="83" t="n"/>
      <c r="V222" s="33" t="n"/>
      <c r="W222" s="83" t="n"/>
      <c r="X222" s="83" t="n"/>
      <c r="Y222" s="83" t="n"/>
      <c r="Z222" s="83" t="n"/>
      <c r="AA222" s="84">
        <f>IF(OR($A222="",COUNT(W222,X222,Z222,Y222)&lt;1),"",W222+X222+Z222-Y222)</f>
        <v/>
      </c>
      <c r="AB222" s="83" t="n"/>
      <c r="AC222" s="83" t="n"/>
      <c r="AD222" s="83" t="n"/>
      <c r="AE222" s="83" t="n"/>
      <c r="AF222" s="83" t="n"/>
      <c r="AG222" s="83" t="n"/>
      <c r="AH222" s="84">
        <f>IF(OR($A222="",COUNT(AB222,AC222,AD222,AG222,AE222,AF222)&lt;1),"",AB222+AC222+AD222+AG222-AE222-AF222)</f>
        <v/>
      </c>
      <c r="AI222" s="84">
        <f>IF(OR($A222="",COUNT(AA222,AH222)&lt;2),"",AA222-AH222)</f>
        <v/>
      </c>
      <c r="AJ222" s="84">
        <f>IF(OR($A222="",COUNT(W222,AB222)&lt;2),"",W222-AB222)</f>
        <v/>
      </c>
      <c r="AK222" s="83" t="n"/>
      <c r="AL222" s="33" t="n"/>
      <c r="AM222" s="33" t="n"/>
      <c r="AN222" s="83" t="n"/>
      <c r="AO222" s="33" t="n"/>
      <c r="AP222" s="33" t="n"/>
      <c r="AQ222" s="33" t="n"/>
    </row>
    <row r="223">
      <c r="A223" s="33" t="n"/>
      <c r="B223" s="33" t="n"/>
      <c r="C223" s="33" t="n"/>
      <c r="D223" s="33" t="n"/>
      <c r="E223" s="33" t="n"/>
      <c r="F223" s="33" t="n"/>
      <c r="G223" s="33" t="n"/>
      <c r="H223" s="33" t="n"/>
      <c r="I223" s="33" t="n"/>
      <c r="J223" s="33" t="n"/>
      <c r="K223" s="34" t="n"/>
      <c r="L223" s="34" t="n"/>
      <c r="M223" s="34" t="n"/>
      <c r="N223" s="82" t="n"/>
      <c r="O223" s="82" t="n"/>
      <c r="P223" s="33" t="n"/>
      <c r="Q223" s="34" t="n"/>
      <c r="R223" s="83" t="n"/>
      <c r="S223" s="34" t="n"/>
      <c r="T223" s="33" t="n"/>
      <c r="U223" s="83" t="n"/>
      <c r="V223" s="33" t="n"/>
      <c r="W223" s="83" t="n"/>
      <c r="X223" s="83" t="n"/>
      <c r="Y223" s="83" t="n"/>
      <c r="Z223" s="83" t="n"/>
      <c r="AA223" s="84">
        <f>IF(OR($A223="",COUNT(W223,X223,Z223,Y223)&lt;1),"",W223+X223+Z223-Y223)</f>
        <v/>
      </c>
      <c r="AB223" s="83" t="n"/>
      <c r="AC223" s="83" t="n"/>
      <c r="AD223" s="83" t="n"/>
      <c r="AE223" s="83" t="n"/>
      <c r="AF223" s="83" t="n"/>
      <c r="AG223" s="83" t="n"/>
      <c r="AH223" s="84">
        <f>IF(OR($A223="",COUNT(AB223,AC223,AD223,AG223,AE223,AF223)&lt;1),"",AB223+AC223+AD223+AG223-AE223-AF223)</f>
        <v/>
      </c>
      <c r="AI223" s="84">
        <f>IF(OR($A223="",COUNT(AA223,AH223)&lt;2),"",AA223-AH223)</f>
        <v/>
      </c>
      <c r="AJ223" s="84">
        <f>IF(OR($A223="",COUNT(W223,AB223)&lt;2),"",W223-AB223)</f>
        <v/>
      </c>
      <c r="AK223" s="83" t="n"/>
      <c r="AL223" s="33" t="n"/>
      <c r="AM223" s="33" t="n"/>
      <c r="AN223" s="83" t="n"/>
      <c r="AO223" s="33" t="n"/>
      <c r="AP223" s="33" t="n"/>
      <c r="AQ223" s="33" t="n"/>
    </row>
    <row r="224">
      <c r="A224" s="33" t="n"/>
      <c r="B224" s="33" t="n"/>
      <c r="C224" s="33" t="n"/>
      <c r="D224" s="33" t="n"/>
      <c r="E224" s="33" t="n"/>
      <c r="F224" s="33" t="n"/>
      <c r="G224" s="33" t="n"/>
      <c r="H224" s="33" t="n"/>
      <c r="I224" s="33" t="n"/>
      <c r="J224" s="33" t="n"/>
      <c r="K224" s="34" t="n"/>
      <c r="L224" s="34" t="n"/>
      <c r="M224" s="34" t="n"/>
      <c r="N224" s="82" t="n"/>
      <c r="O224" s="82" t="n"/>
      <c r="P224" s="33" t="n"/>
      <c r="Q224" s="34" t="n"/>
      <c r="R224" s="83" t="n"/>
      <c r="S224" s="34" t="n"/>
      <c r="T224" s="33" t="n"/>
      <c r="U224" s="83" t="n"/>
      <c r="V224" s="33" t="n"/>
      <c r="W224" s="83" t="n"/>
      <c r="X224" s="83" t="n"/>
      <c r="Y224" s="83" t="n"/>
      <c r="Z224" s="83" t="n"/>
      <c r="AA224" s="84">
        <f>IF(OR($A224="",COUNT(W224,X224,Z224,Y224)&lt;1),"",W224+X224+Z224-Y224)</f>
        <v/>
      </c>
      <c r="AB224" s="83" t="n"/>
      <c r="AC224" s="83" t="n"/>
      <c r="AD224" s="83" t="n"/>
      <c r="AE224" s="83" t="n"/>
      <c r="AF224" s="83" t="n"/>
      <c r="AG224" s="83" t="n"/>
      <c r="AH224" s="84">
        <f>IF(OR($A224="",COUNT(AB224,AC224,AD224,AG224,AE224,AF224)&lt;1),"",AB224+AC224+AD224+AG224-AE224-AF224)</f>
        <v/>
      </c>
      <c r="AI224" s="84">
        <f>IF(OR($A224="",COUNT(AA224,AH224)&lt;2),"",AA224-AH224)</f>
        <v/>
      </c>
      <c r="AJ224" s="84">
        <f>IF(OR($A224="",COUNT(W224,AB224)&lt;2),"",W224-AB224)</f>
        <v/>
      </c>
      <c r="AK224" s="83" t="n"/>
      <c r="AL224" s="33" t="n"/>
      <c r="AM224" s="33" t="n"/>
      <c r="AN224" s="83" t="n"/>
      <c r="AO224" s="33" t="n"/>
      <c r="AP224" s="33" t="n"/>
      <c r="AQ224" s="33" t="n"/>
    </row>
    <row r="225">
      <c r="A225" s="33" t="n"/>
      <c r="B225" s="33" t="n"/>
      <c r="C225" s="33" t="n"/>
      <c r="D225" s="33" t="n"/>
      <c r="E225" s="33" t="n"/>
      <c r="F225" s="33" t="n"/>
      <c r="G225" s="33" t="n"/>
      <c r="H225" s="33" t="n"/>
      <c r="I225" s="33" t="n"/>
      <c r="J225" s="33" t="n"/>
      <c r="K225" s="34" t="n"/>
      <c r="L225" s="34" t="n"/>
      <c r="M225" s="34" t="n"/>
      <c r="N225" s="82" t="n"/>
      <c r="O225" s="82" t="n"/>
      <c r="P225" s="33" t="n"/>
      <c r="Q225" s="34" t="n"/>
      <c r="R225" s="83" t="n"/>
      <c r="S225" s="34" t="n"/>
      <c r="T225" s="33" t="n"/>
      <c r="U225" s="83" t="n"/>
      <c r="V225" s="33" t="n"/>
      <c r="W225" s="83" t="n"/>
      <c r="X225" s="83" t="n"/>
      <c r="Y225" s="83" t="n"/>
      <c r="Z225" s="83" t="n"/>
      <c r="AA225" s="84">
        <f>IF(OR($A225="",COUNT(W225,X225,Z225,Y225)&lt;1),"",W225+X225+Z225-Y225)</f>
        <v/>
      </c>
      <c r="AB225" s="83" t="n"/>
      <c r="AC225" s="83" t="n"/>
      <c r="AD225" s="83" t="n"/>
      <c r="AE225" s="83" t="n"/>
      <c r="AF225" s="83" t="n"/>
      <c r="AG225" s="83" t="n"/>
      <c r="AH225" s="84">
        <f>IF(OR($A225="",COUNT(AB225,AC225,AD225,AG225,AE225,AF225)&lt;1),"",AB225+AC225+AD225+AG225-AE225-AF225)</f>
        <v/>
      </c>
      <c r="AI225" s="84">
        <f>IF(OR($A225="",COUNT(AA225,AH225)&lt;2),"",AA225-AH225)</f>
        <v/>
      </c>
      <c r="AJ225" s="84">
        <f>IF(OR($A225="",COUNT(W225,AB225)&lt;2),"",W225-AB225)</f>
        <v/>
      </c>
      <c r="AK225" s="83" t="n"/>
      <c r="AL225" s="33" t="n"/>
      <c r="AM225" s="33" t="n"/>
      <c r="AN225" s="83" t="n"/>
      <c r="AO225" s="33" t="n"/>
      <c r="AP225" s="33" t="n"/>
      <c r="AQ225" s="33" t="n"/>
    </row>
    <row r="226">
      <c r="A226" s="33" t="n"/>
      <c r="B226" s="33" t="n"/>
      <c r="C226" s="33" t="n"/>
      <c r="D226" s="33" t="n"/>
      <c r="E226" s="33" t="n"/>
      <c r="F226" s="33" t="n"/>
      <c r="G226" s="33" t="n"/>
      <c r="H226" s="33" t="n"/>
      <c r="I226" s="33" t="n"/>
      <c r="J226" s="33" t="n"/>
      <c r="K226" s="34" t="n"/>
      <c r="L226" s="34" t="n"/>
      <c r="M226" s="34" t="n"/>
      <c r="N226" s="82" t="n"/>
      <c r="O226" s="82" t="n"/>
      <c r="P226" s="33" t="n"/>
      <c r="Q226" s="34" t="n"/>
      <c r="R226" s="83" t="n"/>
      <c r="S226" s="34" t="n"/>
      <c r="T226" s="33" t="n"/>
      <c r="U226" s="83" t="n"/>
      <c r="V226" s="33" t="n"/>
      <c r="W226" s="83" t="n"/>
      <c r="X226" s="83" t="n"/>
      <c r="Y226" s="83" t="n"/>
      <c r="Z226" s="83" t="n"/>
      <c r="AA226" s="84">
        <f>IF(OR($A226="",COUNT(W226,X226,Z226,Y226)&lt;1),"",W226+X226+Z226-Y226)</f>
        <v/>
      </c>
      <c r="AB226" s="83" t="n"/>
      <c r="AC226" s="83" t="n"/>
      <c r="AD226" s="83" t="n"/>
      <c r="AE226" s="83" t="n"/>
      <c r="AF226" s="83" t="n"/>
      <c r="AG226" s="83" t="n"/>
      <c r="AH226" s="84">
        <f>IF(OR($A226="",COUNT(AB226,AC226,AD226,AG226,AE226,AF226)&lt;1),"",AB226+AC226+AD226+AG226-AE226-AF226)</f>
        <v/>
      </c>
      <c r="AI226" s="84">
        <f>IF(OR($A226="",COUNT(AA226,AH226)&lt;2),"",AA226-AH226)</f>
        <v/>
      </c>
      <c r="AJ226" s="84">
        <f>IF(OR($A226="",COUNT(W226,AB226)&lt;2),"",W226-AB226)</f>
        <v/>
      </c>
      <c r="AK226" s="83" t="n"/>
      <c r="AL226" s="33" t="n"/>
      <c r="AM226" s="33" t="n"/>
      <c r="AN226" s="83" t="n"/>
      <c r="AO226" s="33" t="n"/>
      <c r="AP226" s="33" t="n"/>
      <c r="AQ226" s="33" t="n"/>
    </row>
    <row r="227">
      <c r="A227" s="33" t="n"/>
      <c r="B227" s="33" t="n"/>
      <c r="C227" s="33" t="n"/>
      <c r="D227" s="33" t="n"/>
      <c r="E227" s="33" t="n"/>
      <c r="F227" s="33" t="n"/>
      <c r="G227" s="33" t="n"/>
      <c r="H227" s="33" t="n"/>
      <c r="I227" s="33" t="n"/>
      <c r="J227" s="33" t="n"/>
      <c r="K227" s="34" t="n"/>
      <c r="L227" s="34" t="n"/>
      <c r="M227" s="34" t="n"/>
      <c r="N227" s="82" t="n"/>
      <c r="O227" s="82" t="n"/>
      <c r="P227" s="33" t="n"/>
      <c r="Q227" s="34" t="n"/>
      <c r="R227" s="83" t="n"/>
      <c r="S227" s="34" t="n"/>
      <c r="T227" s="33" t="n"/>
      <c r="U227" s="83" t="n"/>
      <c r="V227" s="33" t="n"/>
      <c r="W227" s="83" t="n"/>
      <c r="X227" s="83" t="n"/>
      <c r="Y227" s="83" t="n"/>
      <c r="Z227" s="83" t="n"/>
      <c r="AA227" s="84">
        <f>IF(OR($A227="",COUNT(W227,X227,Z227,Y227)&lt;1),"",W227+X227+Z227-Y227)</f>
        <v/>
      </c>
      <c r="AB227" s="83" t="n"/>
      <c r="AC227" s="83" t="n"/>
      <c r="AD227" s="83" t="n"/>
      <c r="AE227" s="83" t="n"/>
      <c r="AF227" s="83" t="n"/>
      <c r="AG227" s="83" t="n"/>
      <c r="AH227" s="84">
        <f>IF(OR($A227="",COUNT(AB227,AC227,AD227,AG227,AE227,AF227)&lt;1),"",AB227+AC227+AD227+AG227-AE227-AF227)</f>
        <v/>
      </c>
      <c r="AI227" s="84">
        <f>IF(OR($A227="",COUNT(AA227,AH227)&lt;2),"",AA227-AH227)</f>
        <v/>
      </c>
      <c r="AJ227" s="84">
        <f>IF(OR($A227="",COUNT(W227,AB227)&lt;2),"",W227-AB227)</f>
        <v/>
      </c>
      <c r="AK227" s="83" t="n"/>
      <c r="AL227" s="33" t="n"/>
      <c r="AM227" s="33" t="n"/>
      <c r="AN227" s="83" t="n"/>
      <c r="AO227" s="33" t="n"/>
      <c r="AP227" s="33" t="n"/>
      <c r="AQ227" s="33" t="n"/>
    </row>
    <row r="228">
      <c r="A228" s="33" t="n"/>
      <c r="B228" s="33" t="n"/>
      <c r="C228" s="33" t="n"/>
      <c r="D228" s="33" t="n"/>
      <c r="E228" s="33" t="n"/>
      <c r="F228" s="33" t="n"/>
      <c r="G228" s="33" t="n"/>
      <c r="H228" s="33" t="n"/>
      <c r="I228" s="33" t="n"/>
      <c r="J228" s="33" t="n"/>
      <c r="K228" s="34" t="n"/>
      <c r="L228" s="34" t="n"/>
      <c r="M228" s="34" t="n"/>
      <c r="N228" s="82" t="n"/>
      <c r="O228" s="82" t="n"/>
      <c r="P228" s="33" t="n"/>
      <c r="Q228" s="34" t="n"/>
      <c r="R228" s="83" t="n"/>
      <c r="S228" s="34" t="n"/>
      <c r="T228" s="33" t="n"/>
      <c r="U228" s="83" t="n"/>
      <c r="V228" s="33" t="n"/>
      <c r="W228" s="83" t="n"/>
      <c r="X228" s="83" t="n"/>
      <c r="Y228" s="83" t="n"/>
      <c r="Z228" s="83" t="n"/>
      <c r="AA228" s="84">
        <f>IF(OR($A228="",COUNT(W228,X228,Z228,Y228)&lt;1),"",W228+X228+Z228-Y228)</f>
        <v/>
      </c>
      <c r="AB228" s="83" t="n"/>
      <c r="AC228" s="83" t="n"/>
      <c r="AD228" s="83" t="n"/>
      <c r="AE228" s="83" t="n"/>
      <c r="AF228" s="83" t="n"/>
      <c r="AG228" s="83" t="n"/>
      <c r="AH228" s="84">
        <f>IF(OR($A228="",COUNT(AB228,AC228,AD228,AG228,AE228,AF228)&lt;1),"",AB228+AC228+AD228+AG228-AE228-AF228)</f>
        <v/>
      </c>
      <c r="AI228" s="84">
        <f>IF(OR($A228="",COUNT(AA228,AH228)&lt;2),"",AA228-AH228)</f>
        <v/>
      </c>
      <c r="AJ228" s="84">
        <f>IF(OR($A228="",COUNT(W228,AB228)&lt;2),"",W228-AB228)</f>
        <v/>
      </c>
      <c r="AK228" s="83" t="n"/>
      <c r="AL228" s="33" t="n"/>
      <c r="AM228" s="33" t="n"/>
      <c r="AN228" s="83" t="n"/>
      <c r="AO228" s="33" t="n"/>
      <c r="AP228" s="33" t="n"/>
      <c r="AQ228" s="33" t="n"/>
    </row>
    <row r="229">
      <c r="A229" s="33" t="n"/>
      <c r="B229" s="33" t="n"/>
      <c r="C229" s="33" t="n"/>
      <c r="D229" s="33" t="n"/>
      <c r="E229" s="33" t="n"/>
      <c r="F229" s="33" t="n"/>
      <c r="G229" s="33" t="n"/>
      <c r="H229" s="33" t="n"/>
      <c r="I229" s="33" t="n"/>
      <c r="J229" s="33" t="n"/>
      <c r="K229" s="34" t="n"/>
      <c r="L229" s="34" t="n"/>
      <c r="M229" s="34" t="n"/>
      <c r="N229" s="82" t="n"/>
      <c r="O229" s="82" t="n"/>
      <c r="P229" s="33" t="n"/>
      <c r="Q229" s="34" t="n"/>
      <c r="R229" s="83" t="n"/>
      <c r="S229" s="34" t="n"/>
      <c r="T229" s="33" t="n"/>
      <c r="U229" s="83" t="n"/>
      <c r="V229" s="33" t="n"/>
      <c r="W229" s="83" t="n"/>
      <c r="X229" s="83" t="n"/>
      <c r="Y229" s="83" t="n"/>
      <c r="Z229" s="83" t="n"/>
      <c r="AA229" s="84">
        <f>IF(OR($A229="",COUNT(W229,X229,Z229,Y229)&lt;1),"",W229+X229+Z229-Y229)</f>
        <v/>
      </c>
      <c r="AB229" s="83" t="n"/>
      <c r="AC229" s="83" t="n"/>
      <c r="AD229" s="83" t="n"/>
      <c r="AE229" s="83" t="n"/>
      <c r="AF229" s="83" t="n"/>
      <c r="AG229" s="83" t="n"/>
      <c r="AH229" s="84">
        <f>IF(OR($A229="",COUNT(AB229,AC229,AD229,AG229,AE229,AF229)&lt;1),"",AB229+AC229+AD229+AG229-AE229-AF229)</f>
        <v/>
      </c>
      <c r="AI229" s="84">
        <f>IF(OR($A229="",COUNT(AA229,AH229)&lt;2),"",AA229-AH229)</f>
        <v/>
      </c>
      <c r="AJ229" s="84">
        <f>IF(OR($A229="",COUNT(W229,AB229)&lt;2),"",W229-AB229)</f>
        <v/>
      </c>
      <c r="AK229" s="83" t="n"/>
      <c r="AL229" s="33" t="n"/>
      <c r="AM229" s="33" t="n"/>
      <c r="AN229" s="83" t="n"/>
      <c r="AO229" s="33" t="n"/>
      <c r="AP229" s="33" t="n"/>
      <c r="AQ229" s="33" t="n"/>
    </row>
    <row r="230">
      <c r="A230" s="33" t="n"/>
      <c r="B230" s="33" t="n"/>
      <c r="C230" s="33" t="n"/>
      <c r="D230" s="33" t="n"/>
      <c r="E230" s="33" t="n"/>
      <c r="F230" s="33" t="n"/>
      <c r="G230" s="33" t="n"/>
      <c r="H230" s="33" t="n"/>
      <c r="I230" s="33" t="n"/>
      <c r="J230" s="33" t="n"/>
      <c r="K230" s="34" t="n"/>
      <c r="L230" s="34" t="n"/>
      <c r="M230" s="34" t="n"/>
      <c r="N230" s="82" t="n"/>
      <c r="O230" s="82" t="n"/>
      <c r="P230" s="33" t="n"/>
      <c r="Q230" s="34" t="n"/>
      <c r="R230" s="83" t="n"/>
      <c r="S230" s="34" t="n"/>
      <c r="T230" s="33" t="n"/>
      <c r="U230" s="83" t="n"/>
      <c r="V230" s="33" t="n"/>
      <c r="W230" s="83" t="n"/>
      <c r="X230" s="83" t="n"/>
      <c r="Y230" s="83" t="n"/>
      <c r="Z230" s="83" t="n"/>
      <c r="AA230" s="84">
        <f>IF(OR($A230="",COUNT(W230,X230,Z230,Y230)&lt;1),"",W230+X230+Z230-Y230)</f>
        <v/>
      </c>
      <c r="AB230" s="83" t="n"/>
      <c r="AC230" s="83" t="n"/>
      <c r="AD230" s="83" t="n"/>
      <c r="AE230" s="83" t="n"/>
      <c r="AF230" s="83" t="n"/>
      <c r="AG230" s="83" t="n"/>
      <c r="AH230" s="84">
        <f>IF(OR($A230="",COUNT(AB230,AC230,AD230,AG230,AE230,AF230)&lt;1),"",AB230+AC230+AD230+AG230-AE230-AF230)</f>
        <v/>
      </c>
      <c r="AI230" s="84">
        <f>IF(OR($A230="",COUNT(AA230,AH230)&lt;2),"",AA230-AH230)</f>
        <v/>
      </c>
      <c r="AJ230" s="84">
        <f>IF(OR($A230="",COUNT(W230,AB230)&lt;2),"",W230-AB230)</f>
        <v/>
      </c>
      <c r="AK230" s="83" t="n"/>
      <c r="AL230" s="33" t="n"/>
      <c r="AM230" s="33" t="n"/>
      <c r="AN230" s="83" t="n"/>
      <c r="AO230" s="33" t="n"/>
      <c r="AP230" s="33" t="n"/>
      <c r="AQ230" s="33" t="n"/>
    </row>
    <row r="231">
      <c r="A231" s="33" t="n"/>
      <c r="B231" s="33" t="n"/>
      <c r="C231" s="33" t="n"/>
      <c r="D231" s="33" t="n"/>
      <c r="E231" s="33" t="n"/>
      <c r="F231" s="33" t="n"/>
      <c r="G231" s="33" t="n"/>
      <c r="H231" s="33" t="n"/>
      <c r="I231" s="33" t="n"/>
      <c r="J231" s="33" t="n"/>
      <c r="K231" s="34" t="n"/>
      <c r="L231" s="34" t="n"/>
      <c r="M231" s="34" t="n"/>
      <c r="N231" s="82" t="n"/>
      <c r="O231" s="82" t="n"/>
      <c r="P231" s="33" t="n"/>
      <c r="Q231" s="34" t="n"/>
      <c r="R231" s="83" t="n"/>
      <c r="S231" s="34" t="n"/>
      <c r="T231" s="33" t="n"/>
      <c r="U231" s="83" t="n"/>
      <c r="V231" s="33" t="n"/>
      <c r="W231" s="83" t="n"/>
      <c r="X231" s="83" t="n"/>
      <c r="Y231" s="83" t="n"/>
      <c r="Z231" s="83" t="n"/>
      <c r="AA231" s="84">
        <f>IF(OR($A231="",COUNT(W231,X231,Z231,Y231)&lt;1),"",W231+X231+Z231-Y231)</f>
        <v/>
      </c>
      <c r="AB231" s="83" t="n"/>
      <c r="AC231" s="83" t="n"/>
      <c r="AD231" s="83" t="n"/>
      <c r="AE231" s="83" t="n"/>
      <c r="AF231" s="83" t="n"/>
      <c r="AG231" s="83" t="n"/>
      <c r="AH231" s="84">
        <f>IF(OR($A231="",COUNT(AB231,AC231,AD231,AG231,AE231,AF231)&lt;1),"",AB231+AC231+AD231+AG231-AE231-AF231)</f>
        <v/>
      </c>
      <c r="AI231" s="84">
        <f>IF(OR($A231="",COUNT(AA231,AH231)&lt;2),"",AA231-AH231)</f>
        <v/>
      </c>
      <c r="AJ231" s="84">
        <f>IF(OR($A231="",COUNT(W231,AB231)&lt;2),"",W231-AB231)</f>
        <v/>
      </c>
      <c r="AK231" s="83" t="n"/>
      <c r="AL231" s="33" t="n"/>
      <c r="AM231" s="33" t="n"/>
      <c r="AN231" s="83" t="n"/>
      <c r="AO231" s="33" t="n"/>
      <c r="AP231" s="33" t="n"/>
      <c r="AQ231" s="33" t="n"/>
    </row>
    <row r="232">
      <c r="A232" s="33" t="n"/>
      <c r="B232" s="33" t="n"/>
      <c r="C232" s="33" t="n"/>
      <c r="D232" s="33" t="n"/>
      <c r="E232" s="33" t="n"/>
      <c r="F232" s="33" t="n"/>
      <c r="G232" s="33" t="n"/>
      <c r="H232" s="33" t="n"/>
      <c r="I232" s="33" t="n"/>
      <c r="J232" s="33" t="n"/>
      <c r="K232" s="34" t="n"/>
      <c r="L232" s="34" t="n"/>
      <c r="M232" s="34" t="n"/>
      <c r="N232" s="82" t="n"/>
      <c r="O232" s="82" t="n"/>
      <c r="P232" s="33" t="n"/>
      <c r="Q232" s="34" t="n"/>
      <c r="R232" s="83" t="n"/>
      <c r="S232" s="34" t="n"/>
      <c r="T232" s="33" t="n"/>
      <c r="U232" s="83" t="n"/>
      <c r="V232" s="33" t="n"/>
      <c r="W232" s="83" t="n"/>
      <c r="X232" s="83" t="n"/>
      <c r="Y232" s="83" t="n"/>
      <c r="Z232" s="83" t="n"/>
      <c r="AA232" s="84">
        <f>IF(OR($A232="",COUNT(W232,X232,Z232,Y232)&lt;1),"",W232+X232+Z232-Y232)</f>
        <v/>
      </c>
      <c r="AB232" s="83" t="n"/>
      <c r="AC232" s="83" t="n"/>
      <c r="AD232" s="83" t="n"/>
      <c r="AE232" s="83" t="n"/>
      <c r="AF232" s="83" t="n"/>
      <c r="AG232" s="83" t="n"/>
      <c r="AH232" s="84">
        <f>IF(OR($A232="",COUNT(AB232,AC232,AD232,AG232,AE232,AF232)&lt;1),"",AB232+AC232+AD232+AG232-AE232-AF232)</f>
        <v/>
      </c>
      <c r="AI232" s="84">
        <f>IF(OR($A232="",COUNT(AA232,AH232)&lt;2),"",AA232-AH232)</f>
        <v/>
      </c>
      <c r="AJ232" s="84">
        <f>IF(OR($A232="",COUNT(W232,AB232)&lt;2),"",W232-AB232)</f>
        <v/>
      </c>
      <c r="AK232" s="83" t="n"/>
      <c r="AL232" s="33" t="n"/>
      <c r="AM232" s="33" t="n"/>
      <c r="AN232" s="83" t="n"/>
      <c r="AO232" s="33" t="n"/>
      <c r="AP232" s="33" t="n"/>
      <c r="AQ232" s="33" t="n"/>
    </row>
    <row r="233">
      <c r="A233" s="33" t="n"/>
      <c r="B233" s="33" t="n"/>
      <c r="C233" s="33" t="n"/>
      <c r="D233" s="33" t="n"/>
      <c r="E233" s="33" t="n"/>
      <c r="F233" s="33" t="n"/>
      <c r="G233" s="33" t="n"/>
      <c r="H233" s="33" t="n"/>
      <c r="I233" s="33" t="n"/>
      <c r="J233" s="33" t="n"/>
      <c r="K233" s="34" t="n"/>
      <c r="L233" s="34" t="n"/>
      <c r="M233" s="34" t="n"/>
      <c r="N233" s="82" t="n"/>
      <c r="O233" s="82" t="n"/>
      <c r="P233" s="33" t="n"/>
      <c r="Q233" s="34" t="n"/>
      <c r="R233" s="83" t="n"/>
      <c r="S233" s="34" t="n"/>
      <c r="T233" s="33" t="n"/>
      <c r="U233" s="83" t="n"/>
      <c r="V233" s="33" t="n"/>
      <c r="W233" s="83" t="n"/>
      <c r="X233" s="83" t="n"/>
      <c r="Y233" s="83" t="n"/>
      <c r="Z233" s="83" t="n"/>
      <c r="AA233" s="84">
        <f>IF(OR($A233="",COUNT(W233,X233,Z233,Y233)&lt;1),"",W233+X233+Z233-Y233)</f>
        <v/>
      </c>
      <c r="AB233" s="83" t="n"/>
      <c r="AC233" s="83" t="n"/>
      <c r="AD233" s="83" t="n"/>
      <c r="AE233" s="83" t="n"/>
      <c r="AF233" s="83" t="n"/>
      <c r="AG233" s="83" t="n"/>
      <c r="AH233" s="84">
        <f>IF(OR($A233="",COUNT(AB233,AC233,AD233,AG233,AE233,AF233)&lt;1),"",AB233+AC233+AD233+AG233-AE233-AF233)</f>
        <v/>
      </c>
      <c r="AI233" s="84">
        <f>IF(OR($A233="",COUNT(AA233,AH233)&lt;2),"",AA233-AH233)</f>
        <v/>
      </c>
      <c r="AJ233" s="84">
        <f>IF(OR($A233="",COUNT(W233,AB233)&lt;2),"",W233-AB233)</f>
        <v/>
      </c>
      <c r="AK233" s="83" t="n"/>
      <c r="AL233" s="33" t="n"/>
      <c r="AM233" s="33" t="n"/>
      <c r="AN233" s="83" t="n"/>
      <c r="AO233" s="33" t="n"/>
      <c r="AP233" s="33" t="n"/>
      <c r="AQ233" s="33" t="n"/>
    </row>
    <row r="234">
      <c r="A234" s="33" t="n"/>
      <c r="B234" s="33" t="n"/>
      <c r="C234" s="33" t="n"/>
      <c r="D234" s="33" t="n"/>
      <c r="E234" s="33" t="n"/>
      <c r="F234" s="33" t="n"/>
      <c r="G234" s="33" t="n"/>
      <c r="H234" s="33" t="n"/>
      <c r="I234" s="33" t="n"/>
      <c r="J234" s="33" t="n"/>
      <c r="K234" s="34" t="n"/>
      <c r="L234" s="34" t="n"/>
      <c r="M234" s="34" t="n"/>
      <c r="N234" s="82" t="n"/>
      <c r="O234" s="82" t="n"/>
      <c r="P234" s="33" t="n"/>
      <c r="Q234" s="34" t="n"/>
      <c r="R234" s="83" t="n"/>
      <c r="S234" s="34" t="n"/>
      <c r="T234" s="33" t="n"/>
      <c r="U234" s="83" t="n"/>
      <c r="V234" s="33" t="n"/>
      <c r="W234" s="83" t="n"/>
      <c r="X234" s="83" t="n"/>
      <c r="Y234" s="83" t="n"/>
      <c r="Z234" s="83" t="n"/>
      <c r="AA234" s="84">
        <f>IF(OR($A234="",COUNT(W234,X234,Z234,Y234)&lt;1),"",W234+X234+Z234-Y234)</f>
        <v/>
      </c>
      <c r="AB234" s="83" t="n"/>
      <c r="AC234" s="83" t="n"/>
      <c r="AD234" s="83" t="n"/>
      <c r="AE234" s="83" t="n"/>
      <c r="AF234" s="83" t="n"/>
      <c r="AG234" s="83" t="n"/>
      <c r="AH234" s="84">
        <f>IF(OR($A234="",COUNT(AB234,AC234,AD234,AG234,AE234,AF234)&lt;1),"",AB234+AC234+AD234+AG234-AE234-AF234)</f>
        <v/>
      </c>
      <c r="AI234" s="84">
        <f>IF(OR($A234="",COUNT(AA234,AH234)&lt;2),"",AA234-AH234)</f>
        <v/>
      </c>
      <c r="AJ234" s="84">
        <f>IF(OR($A234="",COUNT(W234,AB234)&lt;2),"",W234-AB234)</f>
        <v/>
      </c>
      <c r="AK234" s="83" t="n"/>
      <c r="AL234" s="33" t="n"/>
      <c r="AM234" s="33" t="n"/>
      <c r="AN234" s="83" t="n"/>
      <c r="AO234" s="33" t="n"/>
      <c r="AP234" s="33" t="n"/>
      <c r="AQ234" s="33" t="n"/>
    </row>
    <row r="235">
      <c r="A235" s="33" t="n"/>
      <c r="B235" s="33" t="n"/>
      <c r="C235" s="33" t="n"/>
      <c r="D235" s="33" t="n"/>
      <c r="E235" s="33" t="n"/>
      <c r="F235" s="33" t="n"/>
      <c r="G235" s="33" t="n"/>
      <c r="H235" s="33" t="n"/>
      <c r="I235" s="33" t="n"/>
      <c r="J235" s="33" t="n"/>
      <c r="K235" s="34" t="n"/>
      <c r="L235" s="34" t="n"/>
      <c r="M235" s="34" t="n"/>
      <c r="N235" s="82" t="n"/>
      <c r="O235" s="82" t="n"/>
      <c r="P235" s="33" t="n"/>
      <c r="Q235" s="34" t="n"/>
      <c r="R235" s="83" t="n"/>
      <c r="S235" s="34" t="n"/>
      <c r="T235" s="33" t="n"/>
      <c r="U235" s="83" t="n"/>
      <c r="V235" s="33" t="n"/>
      <c r="W235" s="83" t="n"/>
      <c r="X235" s="83" t="n"/>
      <c r="Y235" s="83" t="n"/>
      <c r="Z235" s="83" t="n"/>
      <c r="AA235" s="84">
        <f>IF(OR($A235="",COUNT(W235,X235,Z235,Y235)&lt;1),"",W235+X235+Z235-Y235)</f>
        <v/>
      </c>
      <c r="AB235" s="83" t="n"/>
      <c r="AC235" s="83" t="n"/>
      <c r="AD235" s="83" t="n"/>
      <c r="AE235" s="83" t="n"/>
      <c r="AF235" s="83" t="n"/>
      <c r="AG235" s="83" t="n"/>
      <c r="AH235" s="84">
        <f>IF(OR($A235="",COUNT(AB235,AC235,AD235,AG235,AE235,AF235)&lt;1),"",AB235+AC235+AD235+AG235-AE235-AF235)</f>
        <v/>
      </c>
      <c r="AI235" s="84">
        <f>IF(OR($A235="",COUNT(AA235,AH235)&lt;2),"",AA235-AH235)</f>
        <v/>
      </c>
      <c r="AJ235" s="84">
        <f>IF(OR($A235="",COUNT(W235,AB235)&lt;2),"",W235-AB235)</f>
        <v/>
      </c>
      <c r="AK235" s="83" t="n"/>
      <c r="AL235" s="33" t="n"/>
      <c r="AM235" s="33" t="n"/>
      <c r="AN235" s="83" t="n"/>
      <c r="AO235" s="33" t="n"/>
      <c r="AP235" s="33" t="n"/>
      <c r="AQ235" s="33" t="n"/>
    </row>
    <row r="236">
      <c r="A236" s="33" t="n"/>
      <c r="B236" s="33" t="n"/>
      <c r="C236" s="33" t="n"/>
      <c r="D236" s="33" t="n"/>
      <c r="E236" s="33" t="n"/>
      <c r="F236" s="33" t="n"/>
      <c r="G236" s="33" t="n"/>
      <c r="H236" s="33" t="n"/>
      <c r="I236" s="33" t="n"/>
      <c r="J236" s="33" t="n"/>
      <c r="K236" s="34" t="n"/>
      <c r="L236" s="34" t="n"/>
      <c r="M236" s="34" t="n"/>
      <c r="N236" s="82" t="n"/>
      <c r="O236" s="82" t="n"/>
      <c r="P236" s="33" t="n"/>
      <c r="Q236" s="34" t="n"/>
      <c r="R236" s="83" t="n"/>
      <c r="S236" s="34" t="n"/>
      <c r="T236" s="33" t="n"/>
      <c r="U236" s="83" t="n"/>
      <c r="V236" s="33" t="n"/>
      <c r="W236" s="83" t="n"/>
      <c r="X236" s="83" t="n"/>
      <c r="Y236" s="83" t="n"/>
      <c r="Z236" s="83" t="n"/>
      <c r="AA236" s="84">
        <f>IF(OR($A236="",COUNT(W236,X236,Z236,Y236)&lt;1),"",W236+X236+Z236-Y236)</f>
        <v/>
      </c>
      <c r="AB236" s="83" t="n"/>
      <c r="AC236" s="83" t="n"/>
      <c r="AD236" s="83" t="n"/>
      <c r="AE236" s="83" t="n"/>
      <c r="AF236" s="83" t="n"/>
      <c r="AG236" s="83" t="n"/>
      <c r="AH236" s="84">
        <f>IF(OR($A236="",COUNT(AB236,AC236,AD236,AG236,AE236,AF236)&lt;1),"",AB236+AC236+AD236+AG236-AE236-AF236)</f>
        <v/>
      </c>
      <c r="AI236" s="84">
        <f>IF(OR($A236="",COUNT(AA236,AH236)&lt;2),"",AA236-AH236)</f>
        <v/>
      </c>
      <c r="AJ236" s="84">
        <f>IF(OR($A236="",COUNT(W236,AB236)&lt;2),"",W236-AB236)</f>
        <v/>
      </c>
      <c r="AK236" s="83" t="n"/>
      <c r="AL236" s="33" t="n"/>
      <c r="AM236" s="33" t="n"/>
      <c r="AN236" s="83" t="n"/>
      <c r="AO236" s="33" t="n"/>
      <c r="AP236" s="33" t="n"/>
      <c r="AQ236" s="33" t="n"/>
    </row>
    <row r="237">
      <c r="A237" s="33" t="n"/>
      <c r="B237" s="33" t="n"/>
      <c r="C237" s="33" t="n"/>
      <c r="D237" s="33" t="n"/>
      <c r="E237" s="33" t="n"/>
      <c r="F237" s="33" t="n"/>
      <c r="G237" s="33" t="n"/>
      <c r="H237" s="33" t="n"/>
      <c r="I237" s="33" t="n"/>
      <c r="J237" s="33" t="n"/>
      <c r="K237" s="34" t="n"/>
      <c r="L237" s="34" t="n"/>
      <c r="M237" s="34" t="n"/>
      <c r="N237" s="82" t="n"/>
      <c r="O237" s="82" t="n"/>
      <c r="P237" s="33" t="n"/>
      <c r="Q237" s="34" t="n"/>
      <c r="R237" s="83" t="n"/>
      <c r="S237" s="34" t="n"/>
      <c r="T237" s="33" t="n"/>
      <c r="U237" s="83" t="n"/>
      <c r="V237" s="33" t="n"/>
      <c r="W237" s="83" t="n"/>
      <c r="X237" s="83" t="n"/>
      <c r="Y237" s="83" t="n"/>
      <c r="Z237" s="83" t="n"/>
      <c r="AA237" s="84">
        <f>IF(OR($A237="",COUNT(W237,X237,Z237,Y237)&lt;1),"",W237+X237+Z237-Y237)</f>
        <v/>
      </c>
      <c r="AB237" s="83" t="n"/>
      <c r="AC237" s="83" t="n"/>
      <c r="AD237" s="83" t="n"/>
      <c r="AE237" s="83" t="n"/>
      <c r="AF237" s="83" t="n"/>
      <c r="AG237" s="83" t="n"/>
      <c r="AH237" s="84">
        <f>IF(OR($A237="",COUNT(AB237,AC237,AD237,AG237,AE237,AF237)&lt;1),"",AB237+AC237+AD237+AG237-AE237-AF237)</f>
        <v/>
      </c>
      <c r="AI237" s="84">
        <f>IF(OR($A237="",COUNT(AA237,AH237)&lt;2),"",AA237-AH237)</f>
        <v/>
      </c>
      <c r="AJ237" s="84">
        <f>IF(OR($A237="",COUNT(W237,AB237)&lt;2),"",W237-AB237)</f>
        <v/>
      </c>
      <c r="AK237" s="83" t="n"/>
      <c r="AL237" s="33" t="n"/>
      <c r="AM237" s="33" t="n"/>
      <c r="AN237" s="83" t="n"/>
      <c r="AO237" s="33" t="n"/>
      <c r="AP237" s="33" t="n"/>
      <c r="AQ237" s="33" t="n"/>
    </row>
    <row r="238">
      <c r="A238" s="33" t="n"/>
      <c r="B238" s="33" t="n"/>
      <c r="C238" s="33" t="n"/>
      <c r="D238" s="33" t="n"/>
      <c r="E238" s="33" t="n"/>
      <c r="F238" s="33" t="n"/>
      <c r="G238" s="33" t="n"/>
      <c r="H238" s="33" t="n"/>
      <c r="I238" s="33" t="n"/>
      <c r="J238" s="33" t="n"/>
      <c r="K238" s="34" t="n"/>
      <c r="L238" s="34" t="n"/>
      <c r="M238" s="34" t="n"/>
      <c r="N238" s="82" t="n"/>
      <c r="O238" s="82" t="n"/>
      <c r="P238" s="33" t="n"/>
      <c r="Q238" s="34" t="n"/>
      <c r="R238" s="83" t="n"/>
      <c r="S238" s="34" t="n"/>
      <c r="T238" s="33" t="n"/>
      <c r="U238" s="83" t="n"/>
      <c r="V238" s="33" t="n"/>
      <c r="W238" s="83" t="n"/>
      <c r="X238" s="83" t="n"/>
      <c r="Y238" s="83" t="n"/>
      <c r="Z238" s="83" t="n"/>
      <c r="AA238" s="84">
        <f>IF(OR($A238="",COUNT(W238,X238,Z238,Y238)&lt;1),"",W238+X238+Z238-Y238)</f>
        <v/>
      </c>
      <c r="AB238" s="83" t="n"/>
      <c r="AC238" s="83" t="n"/>
      <c r="AD238" s="83" t="n"/>
      <c r="AE238" s="83" t="n"/>
      <c r="AF238" s="83" t="n"/>
      <c r="AG238" s="83" t="n"/>
      <c r="AH238" s="84">
        <f>IF(OR($A238="",COUNT(AB238,AC238,AD238,AG238,AE238,AF238)&lt;1),"",AB238+AC238+AD238+AG238-AE238-AF238)</f>
        <v/>
      </c>
      <c r="AI238" s="84">
        <f>IF(OR($A238="",COUNT(AA238,AH238)&lt;2),"",AA238-AH238)</f>
        <v/>
      </c>
      <c r="AJ238" s="84">
        <f>IF(OR($A238="",COUNT(W238,AB238)&lt;2),"",W238-AB238)</f>
        <v/>
      </c>
      <c r="AK238" s="83" t="n"/>
      <c r="AL238" s="33" t="n"/>
      <c r="AM238" s="33" t="n"/>
      <c r="AN238" s="83" t="n"/>
      <c r="AO238" s="33" t="n"/>
      <c r="AP238" s="33" t="n"/>
      <c r="AQ238" s="33" t="n"/>
    </row>
    <row r="239">
      <c r="A239" s="33" t="n"/>
      <c r="B239" s="33" t="n"/>
      <c r="C239" s="33" t="n"/>
      <c r="D239" s="33" t="n"/>
      <c r="E239" s="33" t="n"/>
      <c r="F239" s="33" t="n"/>
      <c r="G239" s="33" t="n"/>
      <c r="H239" s="33" t="n"/>
      <c r="I239" s="33" t="n"/>
      <c r="J239" s="33" t="n"/>
      <c r="K239" s="34" t="n"/>
      <c r="L239" s="34" t="n"/>
      <c r="M239" s="34" t="n"/>
      <c r="N239" s="82" t="n"/>
      <c r="O239" s="82" t="n"/>
      <c r="P239" s="33" t="n"/>
      <c r="Q239" s="34" t="n"/>
      <c r="R239" s="83" t="n"/>
      <c r="S239" s="34" t="n"/>
      <c r="T239" s="33" t="n"/>
      <c r="U239" s="83" t="n"/>
      <c r="V239" s="33" t="n"/>
      <c r="W239" s="83" t="n"/>
      <c r="X239" s="83" t="n"/>
      <c r="Y239" s="83" t="n"/>
      <c r="Z239" s="83" t="n"/>
      <c r="AA239" s="84">
        <f>IF(OR($A239="",COUNT(W239,X239,Z239,Y239)&lt;1),"",W239+X239+Z239-Y239)</f>
        <v/>
      </c>
      <c r="AB239" s="83" t="n"/>
      <c r="AC239" s="83" t="n"/>
      <c r="AD239" s="83" t="n"/>
      <c r="AE239" s="83" t="n"/>
      <c r="AF239" s="83" t="n"/>
      <c r="AG239" s="83" t="n"/>
      <c r="AH239" s="84">
        <f>IF(OR($A239="",COUNT(AB239,AC239,AD239,AG239,AE239,AF239)&lt;1),"",AB239+AC239+AD239+AG239-AE239-AF239)</f>
        <v/>
      </c>
      <c r="AI239" s="84">
        <f>IF(OR($A239="",COUNT(AA239,AH239)&lt;2),"",AA239-AH239)</f>
        <v/>
      </c>
      <c r="AJ239" s="84">
        <f>IF(OR($A239="",COUNT(W239,AB239)&lt;2),"",W239-AB239)</f>
        <v/>
      </c>
      <c r="AK239" s="83" t="n"/>
      <c r="AL239" s="33" t="n"/>
      <c r="AM239" s="33" t="n"/>
      <c r="AN239" s="83" t="n"/>
      <c r="AO239" s="33" t="n"/>
      <c r="AP239" s="33" t="n"/>
      <c r="AQ239" s="33" t="n"/>
    </row>
    <row r="240">
      <c r="A240" s="33" t="n"/>
      <c r="B240" s="33" t="n"/>
      <c r="C240" s="33" t="n"/>
      <c r="D240" s="33" t="n"/>
      <c r="E240" s="33" t="n"/>
      <c r="F240" s="33" t="n"/>
      <c r="G240" s="33" t="n"/>
      <c r="H240" s="33" t="n"/>
      <c r="I240" s="33" t="n"/>
      <c r="J240" s="33" t="n"/>
      <c r="K240" s="34" t="n"/>
      <c r="L240" s="34" t="n"/>
      <c r="M240" s="34" t="n"/>
      <c r="N240" s="82" t="n"/>
      <c r="O240" s="82" t="n"/>
      <c r="P240" s="33" t="n"/>
      <c r="Q240" s="34" t="n"/>
      <c r="R240" s="83" t="n"/>
      <c r="S240" s="34" t="n"/>
      <c r="T240" s="33" t="n"/>
      <c r="U240" s="83" t="n"/>
      <c r="V240" s="33" t="n"/>
      <c r="W240" s="83" t="n"/>
      <c r="X240" s="83" t="n"/>
      <c r="Y240" s="83" t="n"/>
      <c r="Z240" s="83" t="n"/>
      <c r="AA240" s="84">
        <f>IF(OR($A240="",COUNT(W240,X240,Z240,Y240)&lt;1),"",W240+X240+Z240-Y240)</f>
        <v/>
      </c>
      <c r="AB240" s="83" t="n"/>
      <c r="AC240" s="83" t="n"/>
      <c r="AD240" s="83" t="n"/>
      <c r="AE240" s="83" t="n"/>
      <c r="AF240" s="83" t="n"/>
      <c r="AG240" s="83" t="n"/>
      <c r="AH240" s="84">
        <f>IF(OR($A240="",COUNT(AB240,AC240,AD240,AG240,AE240,AF240)&lt;1),"",AB240+AC240+AD240+AG240-AE240-AF240)</f>
        <v/>
      </c>
      <c r="AI240" s="84">
        <f>IF(OR($A240="",COUNT(AA240,AH240)&lt;2),"",AA240-AH240)</f>
        <v/>
      </c>
      <c r="AJ240" s="84">
        <f>IF(OR($A240="",COUNT(W240,AB240)&lt;2),"",W240-AB240)</f>
        <v/>
      </c>
      <c r="AK240" s="83" t="n"/>
      <c r="AL240" s="33" t="n"/>
      <c r="AM240" s="33" t="n"/>
      <c r="AN240" s="83" t="n"/>
      <c r="AO240" s="33" t="n"/>
      <c r="AP240" s="33" t="n"/>
      <c r="AQ240" s="33" t="n"/>
    </row>
    <row r="241">
      <c r="A241" s="33" t="n"/>
      <c r="B241" s="33" t="n"/>
      <c r="C241" s="33" t="n"/>
      <c r="D241" s="33" t="n"/>
      <c r="E241" s="33" t="n"/>
      <c r="F241" s="33" t="n"/>
      <c r="G241" s="33" t="n"/>
      <c r="H241" s="33" t="n"/>
      <c r="I241" s="33" t="n"/>
      <c r="J241" s="33" t="n"/>
      <c r="K241" s="34" t="n"/>
      <c r="L241" s="34" t="n"/>
      <c r="M241" s="34" t="n"/>
      <c r="N241" s="82" t="n"/>
      <c r="O241" s="82" t="n"/>
      <c r="P241" s="33" t="n"/>
      <c r="Q241" s="34" t="n"/>
      <c r="R241" s="83" t="n"/>
      <c r="S241" s="34" t="n"/>
      <c r="T241" s="33" t="n"/>
      <c r="U241" s="83" t="n"/>
      <c r="V241" s="33" t="n"/>
      <c r="W241" s="83" t="n"/>
      <c r="X241" s="83" t="n"/>
      <c r="Y241" s="83" t="n"/>
      <c r="Z241" s="83" t="n"/>
      <c r="AA241" s="84">
        <f>IF(OR($A241="",COUNT(W241,X241,Z241,Y241)&lt;1),"",W241+X241+Z241-Y241)</f>
        <v/>
      </c>
      <c r="AB241" s="83" t="n"/>
      <c r="AC241" s="83" t="n"/>
      <c r="AD241" s="83" t="n"/>
      <c r="AE241" s="83" t="n"/>
      <c r="AF241" s="83" t="n"/>
      <c r="AG241" s="83" t="n"/>
      <c r="AH241" s="84">
        <f>IF(OR($A241="",COUNT(AB241,AC241,AD241,AG241,AE241,AF241)&lt;1),"",AB241+AC241+AD241+AG241-AE241-AF241)</f>
        <v/>
      </c>
      <c r="AI241" s="84">
        <f>IF(OR($A241="",COUNT(AA241,AH241)&lt;2),"",AA241-AH241)</f>
        <v/>
      </c>
      <c r="AJ241" s="84">
        <f>IF(OR($A241="",COUNT(W241,AB241)&lt;2),"",W241-AB241)</f>
        <v/>
      </c>
      <c r="AK241" s="83" t="n"/>
      <c r="AL241" s="33" t="n"/>
      <c r="AM241" s="33" t="n"/>
      <c r="AN241" s="83" t="n"/>
      <c r="AO241" s="33" t="n"/>
      <c r="AP241" s="33" t="n"/>
      <c r="AQ241" s="33" t="n"/>
    </row>
    <row r="242">
      <c r="A242" s="33" t="n"/>
      <c r="B242" s="33" t="n"/>
      <c r="C242" s="33" t="n"/>
      <c r="D242" s="33" t="n"/>
      <c r="E242" s="33" t="n"/>
      <c r="F242" s="33" t="n"/>
      <c r="G242" s="33" t="n"/>
      <c r="H242" s="33" t="n"/>
      <c r="I242" s="33" t="n"/>
      <c r="J242" s="33" t="n"/>
      <c r="K242" s="34" t="n"/>
      <c r="L242" s="34" t="n"/>
      <c r="M242" s="34" t="n"/>
      <c r="N242" s="82" t="n"/>
      <c r="O242" s="82" t="n"/>
      <c r="P242" s="33" t="n"/>
      <c r="Q242" s="34" t="n"/>
      <c r="R242" s="83" t="n"/>
      <c r="S242" s="34" t="n"/>
      <c r="T242" s="33" t="n"/>
      <c r="U242" s="83" t="n"/>
      <c r="V242" s="33" t="n"/>
      <c r="W242" s="83" t="n"/>
      <c r="X242" s="83" t="n"/>
      <c r="Y242" s="83" t="n"/>
      <c r="Z242" s="83" t="n"/>
      <c r="AA242" s="84">
        <f>IF(OR($A242="",COUNT(W242,X242,Z242,Y242)&lt;1),"",W242+X242+Z242-Y242)</f>
        <v/>
      </c>
      <c r="AB242" s="83" t="n"/>
      <c r="AC242" s="83" t="n"/>
      <c r="AD242" s="83" t="n"/>
      <c r="AE242" s="83" t="n"/>
      <c r="AF242" s="83" t="n"/>
      <c r="AG242" s="83" t="n"/>
      <c r="AH242" s="84">
        <f>IF(OR($A242="",COUNT(AB242,AC242,AD242,AG242,AE242,AF242)&lt;1),"",AB242+AC242+AD242+AG242-AE242-AF242)</f>
        <v/>
      </c>
      <c r="AI242" s="84">
        <f>IF(OR($A242="",COUNT(AA242,AH242)&lt;2),"",AA242-AH242)</f>
        <v/>
      </c>
      <c r="AJ242" s="84">
        <f>IF(OR($A242="",COUNT(W242,AB242)&lt;2),"",W242-AB242)</f>
        <v/>
      </c>
      <c r="AK242" s="83" t="n"/>
      <c r="AL242" s="33" t="n"/>
      <c r="AM242" s="33" t="n"/>
      <c r="AN242" s="83" t="n"/>
      <c r="AO242" s="33" t="n"/>
      <c r="AP242" s="33" t="n"/>
      <c r="AQ242" s="33" t="n"/>
    </row>
    <row r="243">
      <c r="A243" s="33" t="n"/>
      <c r="B243" s="33" t="n"/>
      <c r="C243" s="33" t="n"/>
      <c r="D243" s="33" t="n"/>
      <c r="E243" s="33" t="n"/>
      <c r="F243" s="33" t="n"/>
      <c r="G243" s="33" t="n"/>
      <c r="H243" s="33" t="n"/>
      <c r="I243" s="33" t="n"/>
      <c r="J243" s="33" t="n"/>
      <c r="K243" s="34" t="n"/>
      <c r="L243" s="34" t="n"/>
      <c r="M243" s="34" t="n"/>
      <c r="N243" s="82" t="n"/>
      <c r="O243" s="82" t="n"/>
      <c r="P243" s="33" t="n"/>
      <c r="Q243" s="34" t="n"/>
      <c r="R243" s="83" t="n"/>
      <c r="S243" s="34" t="n"/>
      <c r="T243" s="33" t="n"/>
      <c r="U243" s="83" t="n"/>
      <c r="V243" s="33" t="n"/>
      <c r="W243" s="83" t="n"/>
      <c r="X243" s="83" t="n"/>
      <c r="Y243" s="83" t="n"/>
      <c r="Z243" s="83" t="n"/>
      <c r="AA243" s="84">
        <f>IF(OR($A243="",COUNT(W243,X243,Z243,Y243)&lt;1),"",W243+X243+Z243-Y243)</f>
        <v/>
      </c>
      <c r="AB243" s="83" t="n"/>
      <c r="AC243" s="83" t="n"/>
      <c r="AD243" s="83" t="n"/>
      <c r="AE243" s="83" t="n"/>
      <c r="AF243" s="83" t="n"/>
      <c r="AG243" s="83" t="n"/>
      <c r="AH243" s="84">
        <f>IF(OR($A243="",COUNT(AB243,AC243,AD243,AG243,AE243,AF243)&lt;1),"",AB243+AC243+AD243+AG243-AE243-AF243)</f>
        <v/>
      </c>
      <c r="AI243" s="84">
        <f>IF(OR($A243="",COUNT(AA243,AH243)&lt;2),"",AA243-AH243)</f>
        <v/>
      </c>
      <c r="AJ243" s="84">
        <f>IF(OR($A243="",COUNT(W243,AB243)&lt;2),"",W243-AB243)</f>
        <v/>
      </c>
      <c r="AK243" s="83" t="n"/>
      <c r="AL243" s="33" t="n"/>
      <c r="AM243" s="33" t="n"/>
      <c r="AN243" s="83" t="n"/>
      <c r="AO243" s="33" t="n"/>
      <c r="AP243" s="33" t="n"/>
      <c r="AQ243" s="33" t="n"/>
    </row>
    <row r="244">
      <c r="A244" s="33" t="n"/>
      <c r="B244" s="33" t="n"/>
      <c r="C244" s="33" t="n"/>
      <c r="D244" s="33" t="n"/>
      <c r="E244" s="33" t="n"/>
      <c r="F244" s="33" t="n"/>
      <c r="G244" s="33" t="n"/>
      <c r="H244" s="33" t="n"/>
      <c r="I244" s="33" t="n"/>
      <c r="J244" s="33" t="n"/>
      <c r="K244" s="34" t="n"/>
      <c r="L244" s="34" t="n"/>
      <c r="M244" s="34" t="n"/>
      <c r="N244" s="82" t="n"/>
      <c r="O244" s="82" t="n"/>
      <c r="P244" s="33" t="n"/>
      <c r="Q244" s="34" t="n"/>
      <c r="R244" s="83" t="n"/>
      <c r="S244" s="34" t="n"/>
      <c r="T244" s="33" t="n"/>
      <c r="U244" s="83" t="n"/>
      <c r="V244" s="33" t="n"/>
      <c r="W244" s="83" t="n"/>
      <c r="X244" s="83" t="n"/>
      <c r="Y244" s="83" t="n"/>
      <c r="Z244" s="83" t="n"/>
      <c r="AA244" s="84">
        <f>IF(OR($A244="",COUNT(W244,X244,Z244,Y244)&lt;1),"",W244+X244+Z244-Y244)</f>
        <v/>
      </c>
      <c r="AB244" s="83" t="n"/>
      <c r="AC244" s="83" t="n"/>
      <c r="AD244" s="83" t="n"/>
      <c r="AE244" s="83" t="n"/>
      <c r="AF244" s="83" t="n"/>
      <c r="AG244" s="83" t="n"/>
      <c r="AH244" s="84">
        <f>IF(OR($A244="",COUNT(AB244,AC244,AD244,AG244,AE244,AF244)&lt;1),"",AB244+AC244+AD244+AG244-AE244-AF244)</f>
        <v/>
      </c>
      <c r="AI244" s="84">
        <f>IF(OR($A244="",COUNT(AA244,AH244)&lt;2),"",AA244-AH244)</f>
        <v/>
      </c>
      <c r="AJ244" s="84">
        <f>IF(OR($A244="",COUNT(W244,AB244)&lt;2),"",W244-AB244)</f>
        <v/>
      </c>
      <c r="AK244" s="83" t="n"/>
      <c r="AL244" s="33" t="n"/>
      <c r="AM244" s="33" t="n"/>
      <c r="AN244" s="83" t="n"/>
      <c r="AO244" s="33" t="n"/>
      <c r="AP244" s="33" t="n"/>
      <c r="AQ244" s="33" t="n"/>
    </row>
    <row r="245">
      <c r="A245" s="33" t="n"/>
      <c r="B245" s="33" t="n"/>
      <c r="C245" s="33" t="n"/>
      <c r="D245" s="33" t="n"/>
      <c r="E245" s="33" t="n"/>
      <c r="F245" s="33" t="n"/>
      <c r="G245" s="33" t="n"/>
      <c r="H245" s="33" t="n"/>
      <c r="I245" s="33" t="n"/>
      <c r="J245" s="33" t="n"/>
      <c r="K245" s="34" t="n"/>
      <c r="L245" s="34" t="n"/>
      <c r="M245" s="34" t="n"/>
      <c r="N245" s="82" t="n"/>
      <c r="O245" s="82" t="n"/>
      <c r="P245" s="33" t="n"/>
      <c r="Q245" s="34" t="n"/>
      <c r="R245" s="83" t="n"/>
      <c r="S245" s="34" t="n"/>
      <c r="T245" s="33" t="n"/>
      <c r="U245" s="83" t="n"/>
      <c r="V245" s="33" t="n"/>
      <c r="W245" s="83" t="n"/>
      <c r="X245" s="83" t="n"/>
      <c r="Y245" s="83" t="n"/>
      <c r="Z245" s="83" t="n"/>
      <c r="AA245" s="84">
        <f>IF(OR($A245="",COUNT(W245,X245,Z245,Y245)&lt;1),"",W245+X245+Z245-Y245)</f>
        <v/>
      </c>
      <c r="AB245" s="83" t="n"/>
      <c r="AC245" s="83" t="n"/>
      <c r="AD245" s="83" t="n"/>
      <c r="AE245" s="83" t="n"/>
      <c r="AF245" s="83" t="n"/>
      <c r="AG245" s="83" t="n"/>
      <c r="AH245" s="84">
        <f>IF(OR($A245="",COUNT(AB245,AC245,AD245,AG245,AE245,AF245)&lt;1),"",AB245+AC245+AD245+AG245-AE245-AF245)</f>
        <v/>
      </c>
      <c r="AI245" s="84">
        <f>IF(OR($A245="",COUNT(AA245,AH245)&lt;2),"",AA245-AH245)</f>
        <v/>
      </c>
      <c r="AJ245" s="84">
        <f>IF(OR($A245="",COUNT(W245,AB245)&lt;2),"",W245-AB245)</f>
        <v/>
      </c>
      <c r="AK245" s="83" t="n"/>
      <c r="AL245" s="33" t="n"/>
      <c r="AM245" s="33" t="n"/>
      <c r="AN245" s="83" t="n"/>
      <c r="AO245" s="33" t="n"/>
      <c r="AP245" s="33" t="n"/>
      <c r="AQ245" s="33" t="n"/>
    </row>
    <row r="246">
      <c r="A246" s="33" t="n"/>
      <c r="B246" s="33" t="n"/>
      <c r="C246" s="33" t="n"/>
      <c r="D246" s="33" t="n"/>
      <c r="E246" s="33" t="n"/>
      <c r="F246" s="33" t="n"/>
      <c r="G246" s="33" t="n"/>
      <c r="H246" s="33" t="n"/>
      <c r="I246" s="33" t="n"/>
      <c r="J246" s="33" t="n"/>
      <c r="K246" s="34" t="n"/>
      <c r="L246" s="34" t="n"/>
      <c r="M246" s="34" t="n"/>
      <c r="N246" s="82" t="n"/>
      <c r="O246" s="82" t="n"/>
      <c r="P246" s="33" t="n"/>
      <c r="Q246" s="34" t="n"/>
      <c r="R246" s="83" t="n"/>
      <c r="S246" s="34" t="n"/>
      <c r="T246" s="33" t="n"/>
      <c r="U246" s="83" t="n"/>
      <c r="V246" s="33" t="n"/>
      <c r="W246" s="83" t="n"/>
      <c r="X246" s="83" t="n"/>
      <c r="Y246" s="83" t="n"/>
      <c r="Z246" s="83" t="n"/>
      <c r="AA246" s="84">
        <f>IF(OR($A246="",COUNT(W246,X246,Z246,Y246)&lt;1),"",W246+X246+Z246-Y246)</f>
        <v/>
      </c>
      <c r="AB246" s="83" t="n"/>
      <c r="AC246" s="83" t="n"/>
      <c r="AD246" s="83" t="n"/>
      <c r="AE246" s="83" t="n"/>
      <c r="AF246" s="83" t="n"/>
      <c r="AG246" s="83" t="n"/>
      <c r="AH246" s="84">
        <f>IF(OR($A246="",COUNT(AB246,AC246,AD246,AG246,AE246,AF246)&lt;1),"",AB246+AC246+AD246+AG246-AE246-AF246)</f>
        <v/>
      </c>
      <c r="AI246" s="84">
        <f>IF(OR($A246="",COUNT(AA246,AH246)&lt;2),"",AA246-AH246)</f>
        <v/>
      </c>
      <c r="AJ246" s="84">
        <f>IF(OR($A246="",COUNT(W246,AB246)&lt;2),"",W246-AB246)</f>
        <v/>
      </c>
      <c r="AK246" s="83" t="n"/>
      <c r="AL246" s="33" t="n"/>
      <c r="AM246" s="33" t="n"/>
      <c r="AN246" s="83" t="n"/>
      <c r="AO246" s="33" t="n"/>
      <c r="AP246" s="33" t="n"/>
      <c r="AQ246" s="33" t="n"/>
    </row>
    <row r="247">
      <c r="A247" s="33" t="n"/>
      <c r="B247" s="33" t="n"/>
      <c r="C247" s="33" t="n"/>
      <c r="D247" s="33" t="n"/>
      <c r="E247" s="33" t="n"/>
      <c r="F247" s="33" t="n"/>
      <c r="G247" s="33" t="n"/>
      <c r="H247" s="33" t="n"/>
      <c r="I247" s="33" t="n"/>
      <c r="J247" s="33" t="n"/>
      <c r="K247" s="34" t="n"/>
      <c r="L247" s="34" t="n"/>
      <c r="M247" s="34" t="n"/>
      <c r="N247" s="82" t="n"/>
      <c r="O247" s="82" t="n"/>
      <c r="P247" s="33" t="n"/>
      <c r="Q247" s="34" t="n"/>
      <c r="R247" s="83" t="n"/>
      <c r="S247" s="34" t="n"/>
      <c r="T247" s="33" t="n"/>
      <c r="U247" s="83" t="n"/>
      <c r="V247" s="33" t="n"/>
      <c r="W247" s="83" t="n"/>
      <c r="X247" s="83" t="n"/>
      <c r="Y247" s="83" t="n"/>
      <c r="Z247" s="83" t="n"/>
      <c r="AA247" s="84">
        <f>IF(OR($A247="",COUNT(W247,X247,Z247,Y247)&lt;1),"",W247+X247+Z247-Y247)</f>
        <v/>
      </c>
      <c r="AB247" s="83" t="n"/>
      <c r="AC247" s="83" t="n"/>
      <c r="AD247" s="83" t="n"/>
      <c r="AE247" s="83" t="n"/>
      <c r="AF247" s="83" t="n"/>
      <c r="AG247" s="83" t="n"/>
      <c r="AH247" s="84">
        <f>IF(OR($A247="",COUNT(AB247,AC247,AD247,AG247,AE247,AF247)&lt;1),"",AB247+AC247+AD247+AG247-AE247-AF247)</f>
        <v/>
      </c>
      <c r="AI247" s="84">
        <f>IF(OR($A247="",COUNT(AA247,AH247)&lt;2),"",AA247-AH247)</f>
        <v/>
      </c>
      <c r="AJ247" s="84">
        <f>IF(OR($A247="",COUNT(W247,AB247)&lt;2),"",W247-AB247)</f>
        <v/>
      </c>
      <c r="AK247" s="83" t="n"/>
      <c r="AL247" s="33" t="n"/>
      <c r="AM247" s="33" t="n"/>
      <c r="AN247" s="83" t="n"/>
      <c r="AO247" s="33" t="n"/>
      <c r="AP247" s="33" t="n"/>
      <c r="AQ247" s="33" t="n"/>
    </row>
    <row r="248">
      <c r="A248" s="33" t="n"/>
      <c r="B248" s="33" t="n"/>
      <c r="C248" s="33" t="n"/>
      <c r="D248" s="33" t="n"/>
      <c r="E248" s="33" t="n"/>
      <c r="F248" s="33" t="n"/>
      <c r="G248" s="33" t="n"/>
      <c r="H248" s="33" t="n"/>
      <c r="I248" s="33" t="n"/>
      <c r="J248" s="33" t="n"/>
      <c r="K248" s="34" t="n"/>
      <c r="L248" s="34" t="n"/>
      <c r="M248" s="34" t="n"/>
      <c r="N248" s="82" t="n"/>
      <c r="O248" s="82" t="n"/>
      <c r="P248" s="33" t="n"/>
      <c r="Q248" s="34" t="n"/>
      <c r="R248" s="83" t="n"/>
      <c r="S248" s="34" t="n"/>
      <c r="T248" s="33" t="n"/>
      <c r="U248" s="83" t="n"/>
      <c r="V248" s="33" t="n"/>
      <c r="W248" s="83" t="n"/>
      <c r="X248" s="83" t="n"/>
      <c r="Y248" s="83" t="n"/>
      <c r="Z248" s="83" t="n"/>
      <c r="AA248" s="84">
        <f>IF(OR($A248="",COUNT(W248,X248,Z248,Y248)&lt;1),"",W248+X248+Z248-Y248)</f>
        <v/>
      </c>
      <c r="AB248" s="83" t="n"/>
      <c r="AC248" s="83" t="n"/>
      <c r="AD248" s="83" t="n"/>
      <c r="AE248" s="83" t="n"/>
      <c r="AF248" s="83" t="n"/>
      <c r="AG248" s="83" t="n"/>
      <c r="AH248" s="84">
        <f>IF(OR($A248="",COUNT(AB248,AC248,AD248,AG248,AE248,AF248)&lt;1),"",AB248+AC248+AD248+AG248-AE248-AF248)</f>
        <v/>
      </c>
      <c r="AI248" s="84">
        <f>IF(OR($A248="",COUNT(AA248,AH248)&lt;2),"",AA248-AH248)</f>
        <v/>
      </c>
      <c r="AJ248" s="84">
        <f>IF(OR($A248="",COUNT(W248,AB248)&lt;2),"",W248-AB248)</f>
        <v/>
      </c>
      <c r="AK248" s="83" t="n"/>
      <c r="AL248" s="33" t="n"/>
      <c r="AM248" s="33" t="n"/>
      <c r="AN248" s="83" t="n"/>
      <c r="AO248" s="33" t="n"/>
      <c r="AP248" s="33" t="n"/>
      <c r="AQ248" s="33" t="n"/>
    </row>
    <row r="249">
      <c r="A249" s="33" t="n"/>
      <c r="B249" s="33" t="n"/>
      <c r="C249" s="33" t="n"/>
      <c r="D249" s="33" t="n"/>
      <c r="E249" s="33" t="n"/>
      <c r="F249" s="33" t="n"/>
      <c r="G249" s="33" t="n"/>
      <c r="H249" s="33" t="n"/>
      <c r="I249" s="33" t="n"/>
      <c r="J249" s="33" t="n"/>
      <c r="K249" s="34" t="n"/>
      <c r="L249" s="34" t="n"/>
      <c r="M249" s="34" t="n"/>
      <c r="N249" s="82" t="n"/>
      <c r="O249" s="82" t="n"/>
      <c r="P249" s="33" t="n"/>
      <c r="Q249" s="34" t="n"/>
      <c r="R249" s="83" t="n"/>
      <c r="S249" s="34" t="n"/>
      <c r="T249" s="33" t="n"/>
      <c r="U249" s="83" t="n"/>
      <c r="V249" s="33" t="n"/>
      <c r="W249" s="83" t="n"/>
      <c r="X249" s="83" t="n"/>
      <c r="Y249" s="83" t="n"/>
      <c r="Z249" s="83" t="n"/>
      <c r="AA249" s="84">
        <f>IF(OR($A249="",COUNT(W249,X249,Z249,Y249)&lt;1),"",W249+X249+Z249-Y249)</f>
        <v/>
      </c>
      <c r="AB249" s="83" t="n"/>
      <c r="AC249" s="83" t="n"/>
      <c r="AD249" s="83" t="n"/>
      <c r="AE249" s="83" t="n"/>
      <c r="AF249" s="83" t="n"/>
      <c r="AG249" s="83" t="n"/>
      <c r="AH249" s="84">
        <f>IF(OR($A249="",COUNT(AB249,AC249,AD249,AG249,AE249,AF249)&lt;1),"",AB249+AC249+AD249+AG249-AE249-AF249)</f>
        <v/>
      </c>
      <c r="AI249" s="84">
        <f>IF(OR($A249="",COUNT(AA249,AH249)&lt;2),"",AA249-AH249)</f>
        <v/>
      </c>
      <c r="AJ249" s="84">
        <f>IF(OR($A249="",COUNT(W249,AB249)&lt;2),"",W249-AB249)</f>
        <v/>
      </c>
      <c r="AK249" s="83" t="n"/>
      <c r="AL249" s="33" t="n"/>
      <c r="AM249" s="33" t="n"/>
      <c r="AN249" s="83" t="n"/>
      <c r="AO249" s="33" t="n"/>
      <c r="AP249" s="33" t="n"/>
      <c r="AQ249" s="33" t="n"/>
    </row>
    <row r="250">
      <c r="A250" s="33" t="n"/>
      <c r="B250" s="33" t="n"/>
      <c r="C250" s="33" t="n"/>
      <c r="D250" s="33" t="n"/>
      <c r="E250" s="33" t="n"/>
      <c r="F250" s="33" t="n"/>
      <c r="G250" s="33" t="n"/>
      <c r="H250" s="33" t="n"/>
      <c r="I250" s="33" t="n"/>
      <c r="J250" s="33" t="n"/>
      <c r="K250" s="34" t="n"/>
      <c r="L250" s="34" t="n"/>
      <c r="M250" s="34" t="n"/>
      <c r="N250" s="82" t="n"/>
      <c r="O250" s="82" t="n"/>
      <c r="P250" s="33" t="n"/>
      <c r="Q250" s="34" t="n"/>
      <c r="R250" s="83" t="n"/>
      <c r="S250" s="34" t="n"/>
      <c r="T250" s="33" t="n"/>
      <c r="U250" s="83" t="n"/>
      <c r="V250" s="33" t="n"/>
      <c r="W250" s="83" t="n"/>
      <c r="X250" s="83" t="n"/>
      <c r="Y250" s="83" t="n"/>
      <c r="Z250" s="83" t="n"/>
      <c r="AA250" s="84">
        <f>IF(OR($A250="",COUNT(W250,X250,Z250,Y250)&lt;1),"",W250+X250+Z250-Y250)</f>
        <v/>
      </c>
      <c r="AB250" s="83" t="n"/>
      <c r="AC250" s="83" t="n"/>
      <c r="AD250" s="83" t="n"/>
      <c r="AE250" s="83" t="n"/>
      <c r="AF250" s="83" t="n"/>
      <c r="AG250" s="83" t="n"/>
      <c r="AH250" s="84">
        <f>IF(OR($A250="",COUNT(AB250,AC250,AD250,AG250,AE250,AF250)&lt;1),"",AB250+AC250+AD250+AG250-AE250-AF250)</f>
        <v/>
      </c>
      <c r="AI250" s="84">
        <f>IF(OR($A250="",COUNT(AA250,AH250)&lt;2),"",AA250-AH250)</f>
        <v/>
      </c>
      <c r="AJ250" s="84">
        <f>IF(OR($A250="",COUNT(W250,AB250)&lt;2),"",W250-AB250)</f>
        <v/>
      </c>
      <c r="AK250" s="83" t="n"/>
      <c r="AL250" s="33" t="n"/>
      <c r="AM250" s="33" t="n"/>
      <c r="AN250" s="83" t="n"/>
      <c r="AO250" s="33" t="n"/>
      <c r="AP250" s="33" t="n"/>
      <c r="AQ250" s="33" t="n"/>
    </row>
    <row r="251">
      <c r="A251" s="33" t="n"/>
      <c r="B251" s="33" t="n"/>
      <c r="C251" s="33" t="n"/>
      <c r="D251" s="33" t="n"/>
      <c r="E251" s="33" t="n"/>
      <c r="F251" s="33" t="n"/>
      <c r="G251" s="33" t="n"/>
      <c r="H251" s="33" t="n"/>
      <c r="I251" s="33" t="n"/>
      <c r="J251" s="33" t="n"/>
      <c r="K251" s="34" t="n"/>
      <c r="L251" s="34" t="n"/>
      <c r="M251" s="34" t="n"/>
      <c r="N251" s="82" t="n"/>
      <c r="O251" s="82" t="n"/>
      <c r="P251" s="33" t="n"/>
      <c r="Q251" s="34" t="n"/>
      <c r="R251" s="83" t="n"/>
      <c r="S251" s="34" t="n"/>
      <c r="T251" s="33" t="n"/>
      <c r="U251" s="83" t="n"/>
      <c r="V251" s="33" t="n"/>
      <c r="W251" s="83" t="n"/>
      <c r="X251" s="83" t="n"/>
      <c r="Y251" s="83" t="n"/>
      <c r="Z251" s="83" t="n"/>
      <c r="AA251" s="84">
        <f>IF(OR($A251="",COUNT(W251,X251,Z251,Y251)&lt;1),"",W251+X251+Z251-Y251)</f>
        <v/>
      </c>
      <c r="AB251" s="83" t="n"/>
      <c r="AC251" s="83" t="n"/>
      <c r="AD251" s="83" t="n"/>
      <c r="AE251" s="83" t="n"/>
      <c r="AF251" s="83" t="n"/>
      <c r="AG251" s="83" t="n"/>
      <c r="AH251" s="84">
        <f>IF(OR($A251="",COUNT(AB251,AC251,AD251,AG251,AE251,AF251)&lt;1),"",AB251+AC251+AD251+AG251-AE251-AF251)</f>
        <v/>
      </c>
      <c r="AI251" s="84">
        <f>IF(OR($A251="",COUNT(AA251,AH251)&lt;2),"",AA251-AH251)</f>
        <v/>
      </c>
      <c r="AJ251" s="84">
        <f>IF(OR($A251="",COUNT(W251,AB251)&lt;2),"",W251-AB251)</f>
        <v/>
      </c>
      <c r="AK251" s="83" t="n"/>
      <c r="AL251" s="33" t="n"/>
      <c r="AM251" s="33" t="n"/>
      <c r="AN251" s="83" t="n"/>
      <c r="AO251" s="33" t="n"/>
      <c r="AP251" s="33" t="n"/>
      <c r="AQ251" s="33" t="n"/>
    </row>
    <row r="252">
      <c r="A252" s="33" t="n"/>
      <c r="B252" s="33" t="n"/>
      <c r="C252" s="33" t="n"/>
      <c r="D252" s="33" t="n"/>
      <c r="E252" s="33" t="n"/>
      <c r="F252" s="33" t="n"/>
      <c r="G252" s="33" t="n"/>
      <c r="H252" s="33" t="n"/>
      <c r="I252" s="33" t="n"/>
      <c r="J252" s="33" t="n"/>
      <c r="K252" s="34" t="n"/>
      <c r="L252" s="34" t="n"/>
      <c r="M252" s="34" t="n"/>
      <c r="N252" s="82" t="n"/>
      <c r="O252" s="82" t="n"/>
      <c r="P252" s="33" t="n"/>
      <c r="Q252" s="34" t="n"/>
      <c r="R252" s="83" t="n"/>
      <c r="S252" s="34" t="n"/>
      <c r="T252" s="33" t="n"/>
      <c r="U252" s="83" t="n"/>
      <c r="V252" s="33" t="n"/>
      <c r="W252" s="83" t="n"/>
      <c r="X252" s="83" t="n"/>
      <c r="Y252" s="83" t="n"/>
      <c r="Z252" s="83" t="n"/>
      <c r="AA252" s="84">
        <f>IF(OR($A252="",COUNT(W252,X252,Z252,Y252)&lt;1),"",W252+X252+Z252-Y252)</f>
        <v/>
      </c>
      <c r="AB252" s="83" t="n"/>
      <c r="AC252" s="83" t="n"/>
      <c r="AD252" s="83" t="n"/>
      <c r="AE252" s="83" t="n"/>
      <c r="AF252" s="83" t="n"/>
      <c r="AG252" s="83" t="n"/>
      <c r="AH252" s="84">
        <f>IF(OR($A252="",COUNT(AB252,AC252,AD252,AG252,AE252,AF252)&lt;1),"",AB252+AC252+AD252+AG252-AE252-AF252)</f>
        <v/>
      </c>
      <c r="AI252" s="84">
        <f>IF(OR($A252="",COUNT(AA252,AH252)&lt;2),"",AA252-AH252)</f>
        <v/>
      </c>
      <c r="AJ252" s="84">
        <f>IF(OR($A252="",COUNT(W252,AB252)&lt;2),"",W252-AB252)</f>
        <v/>
      </c>
      <c r="AK252" s="83" t="n"/>
      <c r="AL252" s="33" t="n"/>
      <c r="AM252" s="33" t="n"/>
      <c r="AN252" s="83" t="n"/>
      <c r="AO252" s="33" t="n"/>
      <c r="AP252" s="33" t="n"/>
      <c r="AQ252" s="33" t="n"/>
    </row>
    <row r="253">
      <c r="A253" s="33" t="n"/>
      <c r="B253" s="33" t="n"/>
      <c r="C253" s="33" t="n"/>
      <c r="D253" s="33" t="n"/>
      <c r="E253" s="33" t="n"/>
      <c r="F253" s="33" t="n"/>
      <c r="G253" s="33" t="n"/>
      <c r="H253" s="33" t="n"/>
      <c r="I253" s="33" t="n"/>
      <c r="J253" s="33" t="n"/>
      <c r="K253" s="34" t="n"/>
      <c r="L253" s="34" t="n"/>
      <c r="M253" s="34" t="n"/>
      <c r="N253" s="82" t="n"/>
      <c r="O253" s="82" t="n"/>
      <c r="P253" s="33" t="n"/>
      <c r="Q253" s="34" t="n"/>
      <c r="R253" s="83" t="n"/>
      <c r="S253" s="34" t="n"/>
      <c r="T253" s="33" t="n"/>
      <c r="U253" s="83" t="n"/>
      <c r="V253" s="33" t="n"/>
      <c r="W253" s="83" t="n"/>
      <c r="X253" s="83" t="n"/>
      <c r="Y253" s="83" t="n"/>
      <c r="Z253" s="83" t="n"/>
      <c r="AA253" s="84">
        <f>IF(OR($A253="",COUNT(W253,X253,Z253,Y253)&lt;1),"",W253+X253+Z253-Y253)</f>
        <v/>
      </c>
      <c r="AB253" s="83" t="n"/>
      <c r="AC253" s="83" t="n"/>
      <c r="AD253" s="83" t="n"/>
      <c r="AE253" s="83" t="n"/>
      <c r="AF253" s="83" t="n"/>
      <c r="AG253" s="83" t="n"/>
      <c r="AH253" s="84">
        <f>IF(OR($A253="",COUNT(AB253,AC253,AD253,AG253,AE253,AF253)&lt;1),"",AB253+AC253+AD253+AG253-AE253-AF253)</f>
        <v/>
      </c>
      <c r="AI253" s="84">
        <f>IF(OR($A253="",COUNT(AA253,AH253)&lt;2),"",AA253-AH253)</f>
        <v/>
      </c>
      <c r="AJ253" s="84">
        <f>IF(OR($A253="",COUNT(W253,AB253)&lt;2),"",W253-AB253)</f>
        <v/>
      </c>
      <c r="AK253" s="83" t="n"/>
      <c r="AL253" s="33" t="n"/>
      <c r="AM253" s="33" t="n"/>
      <c r="AN253" s="83" t="n"/>
      <c r="AO253" s="33" t="n"/>
      <c r="AP253" s="33" t="n"/>
      <c r="AQ253" s="33" t="n"/>
    </row>
    <row r="254">
      <c r="A254" s="33" t="n"/>
      <c r="B254" s="33" t="n"/>
      <c r="C254" s="33" t="n"/>
      <c r="D254" s="33" t="n"/>
      <c r="E254" s="33" t="n"/>
      <c r="F254" s="33" t="n"/>
      <c r="G254" s="33" t="n"/>
      <c r="H254" s="33" t="n"/>
      <c r="I254" s="33" t="n"/>
      <c r="J254" s="33" t="n"/>
      <c r="K254" s="34" t="n"/>
      <c r="L254" s="34" t="n"/>
      <c r="M254" s="34" t="n"/>
      <c r="N254" s="82" t="n"/>
      <c r="O254" s="82" t="n"/>
      <c r="P254" s="33" t="n"/>
      <c r="Q254" s="34" t="n"/>
      <c r="R254" s="83" t="n"/>
      <c r="S254" s="34" t="n"/>
      <c r="T254" s="33" t="n"/>
      <c r="U254" s="83" t="n"/>
      <c r="V254" s="33" t="n"/>
      <c r="W254" s="83" t="n"/>
      <c r="X254" s="83" t="n"/>
      <c r="Y254" s="83" t="n"/>
      <c r="Z254" s="83" t="n"/>
      <c r="AA254" s="84">
        <f>IF(OR($A254="",COUNT(W254,X254,Z254,Y254)&lt;1),"",W254+X254+Z254-Y254)</f>
        <v/>
      </c>
      <c r="AB254" s="83" t="n"/>
      <c r="AC254" s="83" t="n"/>
      <c r="AD254" s="83" t="n"/>
      <c r="AE254" s="83" t="n"/>
      <c r="AF254" s="83" t="n"/>
      <c r="AG254" s="83" t="n"/>
      <c r="AH254" s="84">
        <f>IF(OR($A254="",COUNT(AB254,AC254,AD254,AG254,AE254,AF254)&lt;1),"",AB254+AC254+AD254+AG254-AE254-AF254)</f>
        <v/>
      </c>
      <c r="AI254" s="84">
        <f>IF(OR($A254="",COUNT(AA254,AH254)&lt;2),"",AA254-AH254)</f>
        <v/>
      </c>
      <c r="AJ254" s="84">
        <f>IF(OR($A254="",COUNT(W254,AB254)&lt;2),"",W254-AB254)</f>
        <v/>
      </c>
      <c r="AK254" s="83" t="n"/>
      <c r="AL254" s="33" t="n"/>
      <c r="AM254" s="33" t="n"/>
      <c r="AN254" s="83" t="n"/>
      <c r="AO254" s="33" t="n"/>
      <c r="AP254" s="33" t="n"/>
      <c r="AQ254" s="33" t="n"/>
    </row>
    <row r="255">
      <c r="A255" s="33" t="n"/>
      <c r="B255" s="33" t="n"/>
      <c r="C255" s="33" t="n"/>
      <c r="D255" s="33" t="n"/>
      <c r="E255" s="33" t="n"/>
      <c r="F255" s="33" t="n"/>
      <c r="G255" s="33" t="n"/>
      <c r="H255" s="33" t="n"/>
      <c r="I255" s="33" t="n"/>
      <c r="J255" s="33" t="n"/>
      <c r="K255" s="34" t="n"/>
      <c r="L255" s="34" t="n"/>
      <c r="M255" s="34" t="n"/>
      <c r="N255" s="82" t="n"/>
      <c r="O255" s="82" t="n"/>
      <c r="P255" s="33" t="n"/>
      <c r="Q255" s="34" t="n"/>
      <c r="R255" s="83" t="n"/>
      <c r="S255" s="34" t="n"/>
      <c r="T255" s="33" t="n"/>
      <c r="U255" s="83" t="n"/>
      <c r="V255" s="33" t="n"/>
      <c r="W255" s="83" t="n"/>
      <c r="X255" s="83" t="n"/>
      <c r="Y255" s="83" t="n"/>
      <c r="Z255" s="83" t="n"/>
      <c r="AA255" s="84">
        <f>IF(OR($A255="",COUNT(W255,X255,Z255,Y255)&lt;1),"",W255+X255+Z255-Y255)</f>
        <v/>
      </c>
      <c r="AB255" s="83" t="n"/>
      <c r="AC255" s="83" t="n"/>
      <c r="AD255" s="83" t="n"/>
      <c r="AE255" s="83" t="n"/>
      <c r="AF255" s="83" t="n"/>
      <c r="AG255" s="83" t="n"/>
      <c r="AH255" s="84">
        <f>IF(OR($A255="",COUNT(AB255,AC255,AD255,AG255,AE255,AF255)&lt;1),"",AB255+AC255+AD255+AG255-AE255-AF255)</f>
        <v/>
      </c>
      <c r="AI255" s="84">
        <f>IF(OR($A255="",COUNT(AA255,AH255)&lt;2),"",AA255-AH255)</f>
        <v/>
      </c>
      <c r="AJ255" s="84">
        <f>IF(OR($A255="",COUNT(W255,AB255)&lt;2),"",W255-AB255)</f>
        <v/>
      </c>
      <c r="AK255" s="83" t="n"/>
      <c r="AL255" s="33" t="n"/>
      <c r="AM255" s="33" t="n"/>
      <c r="AN255" s="83" t="n"/>
      <c r="AO255" s="33" t="n"/>
      <c r="AP255" s="33" t="n"/>
      <c r="AQ255" s="33" t="n"/>
    </row>
    <row r="256">
      <c r="A256" s="33" t="n"/>
      <c r="B256" s="33" t="n"/>
      <c r="C256" s="33" t="n"/>
      <c r="D256" s="33" t="n"/>
      <c r="E256" s="33" t="n"/>
      <c r="F256" s="33" t="n"/>
      <c r="G256" s="33" t="n"/>
      <c r="H256" s="33" t="n"/>
      <c r="I256" s="33" t="n"/>
      <c r="J256" s="33" t="n"/>
      <c r="K256" s="34" t="n"/>
      <c r="L256" s="34" t="n"/>
      <c r="M256" s="34" t="n"/>
      <c r="N256" s="82" t="n"/>
      <c r="O256" s="82" t="n"/>
      <c r="P256" s="33" t="n"/>
      <c r="Q256" s="34" t="n"/>
      <c r="R256" s="83" t="n"/>
      <c r="S256" s="34" t="n"/>
      <c r="T256" s="33" t="n"/>
      <c r="U256" s="83" t="n"/>
      <c r="V256" s="33" t="n"/>
      <c r="W256" s="83" t="n"/>
      <c r="X256" s="83" t="n"/>
      <c r="Y256" s="83" t="n"/>
      <c r="Z256" s="83" t="n"/>
      <c r="AA256" s="84">
        <f>IF(OR($A256="",COUNT(W256,X256,Z256,Y256)&lt;1),"",W256+X256+Z256-Y256)</f>
        <v/>
      </c>
      <c r="AB256" s="83" t="n"/>
      <c r="AC256" s="83" t="n"/>
      <c r="AD256" s="83" t="n"/>
      <c r="AE256" s="83" t="n"/>
      <c r="AF256" s="83" t="n"/>
      <c r="AG256" s="83" t="n"/>
      <c r="AH256" s="84">
        <f>IF(OR($A256="",COUNT(AB256,AC256,AD256,AG256,AE256,AF256)&lt;1),"",AB256+AC256+AD256+AG256-AE256-AF256)</f>
        <v/>
      </c>
      <c r="AI256" s="84">
        <f>IF(OR($A256="",COUNT(AA256,AH256)&lt;2),"",AA256-AH256)</f>
        <v/>
      </c>
      <c r="AJ256" s="84">
        <f>IF(OR($A256="",COUNT(W256,AB256)&lt;2),"",W256-AB256)</f>
        <v/>
      </c>
      <c r="AK256" s="83" t="n"/>
      <c r="AL256" s="33" t="n"/>
      <c r="AM256" s="33" t="n"/>
      <c r="AN256" s="83" t="n"/>
      <c r="AO256" s="33" t="n"/>
      <c r="AP256" s="33" t="n"/>
      <c r="AQ256" s="33" t="n"/>
    </row>
    <row r="257">
      <c r="A257" s="33" t="n"/>
      <c r="B257" s="33" t="n"/>
      <c r="C257" s="33" t="n"/>
      <c r="D257" s="33" t="n"/>
      <c r="E257" s="33" t="n"/>
      <c r="F257" s="33" t="n"/>
      <c r="G257" s="33" t="n"/>
      <c r="H257" s="33" t="n"/>
      <c r="I257" s="33" t="n"/>
      <c r="J257" s="33" t="n"/>
      <c r="K257" s="34" t="n"/>
      <c r="L257" s="34" t="n"/>
      <c r="M257" s="34" t="n"/>
      <c r="N257" s="82" t="n"/>
      <c r="O257" s="82" t="n"/>
      <c r="P257" s="33" t="n"/>
      <c r="Q257" s="34" t="n"/>
      <c r="R257" s="83" t="n"/>
      <c r="S257" s="34" t="n"/>
      <c r="T257" s="33" t="n"/>
      <c r="U257" s="83" t="n"/>
      <c r="V257" s="33" t="n"/>
      <c r="W257" s="83" t="n"/>
      <c r="X257" s="83" t="n"/>
      <c r="Y257" s="83" t="n"/>
      <c r="Z257" s="83" t="n"/>
      <c r="AA257" s="84">
        <f>IF(OR($A257="",COUNT(W257,X257,Z257,Y257)&lt;1),"",W257+X257+Z257-Y257)</f>
        <v/>
      </c>
      <c r="AB257" s="83" t="n"/>
      <c r="AC257" s="83" t="n"/>
      <c r="AD257" s="83" t="n"/>
      <c r="AE257" s="83" t="n"/>
      <c r="AF257" s="83" t="n"/>
      <c r="AG257" s="83" t="n"/>
      <c r="AH257" s="84">
        <f>IF(OR($A257="",COUNT(AB257,AC257,AD257,AG257,AE257,AF257)&lt;1),"",AB257+AC257+AD257+AG257-AE257-AF257)</f>
        <v/>
      </c>
      <c r="AI257" s="84">
        <f>IF(OR($A257="",COUNT(AA257,AH257)&lt;2),"",AA257-AH257)</f>
        <v/>
      </c>
      <c r="AJ257" s="84">
        <f>IF(OR($A257="",COUNT(W257,AB257)&lt;2),"",W257-AB257)</f>
        <v/>
      </c>
      <c r="AK257" s="83" t="n"/>
      <c r="AL257" s="33" t="n"/>
      <c r="AM257" s="33" t="n"/>
      <c r="AN257" s="83" t="n"/>
      <c r="AO257" s="33" t="n"/>
      <c r="AP257" s="33" t="n"/>
      <c r="AQ257" s="33" t="n"/>
    </row>
    <row r="258">
      <c r="A258" s="33" t="n"/>
      <c r="B258" s="33" t="n"/>
      <c r="C258" s="33" t="n"/>
      <c r="D258" s="33" t="n"/>
      <c r="E258" s="33" t="n"/>
      <c r="F258" s="33" t="n"/>
      <c r="G258" s="33" t="n"/>
      <c r="H258" s="33" t="n"/>
      <c r="I258" s="33" t="n"/>
      <c r="J258" s="33" t="n"/>
      <c r="K258" s="34" t="n"/>
      <c r="L258" s="34" t="n"/>
      <c r="M258" s="34" t="n"/>
      <c r="N258" s="82" t="n"/>
      <c r="O258" s="82" t="n"/>
      <c r="P258" s="33" t="n"/>
      <c r="Q258" s="34" t="n"/>
      <c r="R258" s="83" t="n"/>
      <c r="S258" s="34" t="n"/>
      <c r="T258" s="33" t="n"/>
      <c r="U258" s="83" t="n"/>
      <c r="V258" s="33" t="n"/>
      <c r="W258" s="83" t="n"/>
      <c r="X258" s="83" t="n"/>
      <c r="Y258" s="83" t="n"/>
      <c r="Z258" s="83" t="n"/>
      <c r="AA258" s="84">
        <f>IF(OR($A258="",COUNT(W258,X258,Z258,Y258)&lt;1),"",W258+X258+Z258-Y258)</f>
        <v/>
      </c>
      <c r="AB258" s="83" t="n"/>
      <c r="AC258" s="83" t="n"/>
      <c r="AD258" s="83" t="n"/>
      <c r="AE258" s="83" t="n"/>
      <c r="AF258" s="83" t="n"/>
      <c r="AG258" s="83" t="n"/>
      <c r="AH258" s="84">
        <f>IF(OR($A258="",COUNT(AB258,AC258,AD258,AG258,AE258,AF258)&lt;1),"",AB258+AC258+AD258+AG258-AE258-AF258)</f>
        <v/>
      </c>
      <c r="AI258" s="84">
        <f>IF(OR($A258="",COUNT(AA258,AH258)&lt;2),"",AA258-AH258)</f>
        <v/>
      </c>
      <c r="AJ258" s="84">
        <f>IF(OR($A258="",COUNT(W258,AB258)&lt;2),"",W258-AB258)</f>
        <v/>
      </c>
      <c r="AK258" s="83" t="n"/>
      <c r="AL258" s="33" t="n"/>
      <c r="AM258" s="33" t="n"/>
      <c r="AN258" s="83" t="n"/>
      <c r="AO258" s="33" t="n"/>
      <c r="AP258" s="33" t="n"/>
      <c r="AQ258" s="33" t="n"/>
    </row>
    <row r="259">
      <c r="A259" s="33" t="n"/>
      <c r="B259" s="33" t="n"/>
      <c r="C259" s="33" t="n"/>
      <c r="D259" s="33" t="n"/>
      <c r="E259" s="33" t="n"/>
      <c r="F259" s="33" t="n"/>
      <c r="G259" s="33" t="n"/>
      <c r="H259" s="33" t="n"/>
      <c r="I259" s="33" t="n"/>
      <c r="J259" s="33" t="n"/>
      <c r="K259" s="34" t="n"/>
      <c r="L259" s="34" t="n"/>
      <c r="M259" s="34" t="n"/>
      <c r="N259" s="82" t="n"/>
      <c r="O259" s="82" t="n"/>
      <c r="P259" s="33" t="n"/>
      <c r="Q259" s="34" t="n"/>
      <c r="R259" s="83" t="n"/>
      <c r="S259" s="34" t="n"/>
      <c r="T259" s="33" t="n"/>
      <c r="U259" s="83" t="n"/>
      <c r="V259" s="33" t="n"/>
      <c r="W259" s="83" t="n"/>
      <c r="X259" s="83" t="n"/>
      <c r="Y259" s="83" t="n"/>
      <c r="Z259" s="83" t="n"/>
      <c r="AA259" s="84">
        <f>IF(OR($A259="",COUNT(W259,X259,Z259,Y259)&lt;1),"",W259+X259+Z259-Y259)</f>
        <v/>
      </c>
      <c r="AB259" s="83" t="n"/>
      <c r="AC259" s="83" t="n"/>
      <c r="AD259" s="83" t="n"/>
      <c r="AE259" s="83" t="n"/>
      <c r="AF259" s="83" t="n"/>
      <c r="AG259" s="83" t="n"/>
      <c r="AH259" s="84">
        <f>IF(OR($A259="",COUNT(AB259,AC259,AD259,AG259,AE259,AF259)&lt;1),"",AB259+AC259+AD259+AG259-AE259-AF259)</f>
        <v/>
      </c>
      <c r="AI259" s="84">
        <f>IF(OR($A259="",COUNT(AA259,AH259)&lt;2),"",AA259-AH259)</f>
        <v/>
      </c>
      <c r="AJ259" s="84">
        <f>IF(OR($A259="",COUNT(W259,AB259)&lt;2),"",W259-AB259)</f>
        <v/>
      </c>
      <c r="AK259" s="83" t="n"/>
      <c r="AL259" s="33" t="n"/>
      <c r="AM259" s="33" t="n"/>
      <c r="AN259" s="83" t="n"/>
      <c r="AO259" s="33" t="n"/>
      <c r="AP259" s="33" t="n"/>
      <c r="AQ259" s="33" t="n"/>
    </row>
    <row r="260">
      <c r="A260" s="33" t="n"/>
      <c r="B260" s="33" t="n"/>
      <c r="C260" s="33" t="n"/>
      <c r="D260" s="33" t="n"/>
      <c r="E260" s="33" t="n"/>
      <c r="F260" s="33" t="n"/>
      <c r="G260" s="33" t="n"/>
      <c r="H260" s="33" t="n"/>
      <c r="I260" s="33" t="n"/>
      <c r="J260" s="33" t="n"/>
      <c r="K260" s="34" t="n"/>
      <c r="L260" s="34" t="n"/>
      <c r="M260" s="34" t="n"/>
      <c r="N260" s="82" t="n"/>
      <c r="O260" s="82" t="n"/>
      <c r="P260" s="33" t="n"/>
      <c r="Q260" s="34" t="n"/>
      <c r="R260" s="83" t="n"/>
      <c r="S260" s="34" t="n"/>
      <c r="T260" s="33" t="n"/>
      <c r="U260" s="83" t="n"/>
      <c r="V260" s="33" t="n"/>
      <c r="W260" s="83" t="n"/>
      <c r="X260" s="83" t="n"/>
      <c r="Y260" s="83" t="n"/>
      <c r="Z260" s="83" t="n"/>
      <c r="AA260" s="84">
        <f>IF(OR($A260="",COUNT(W260,X260,Z260,Y260)&lt;1),"",W260+X260+Z260-Y260)</f>
        <v/>
      </c>
      <c r="AB260" s="83" t="n"/>
      <c r="AC260" s="83" t="n"/>
      <c r="AD260" s="83" t="n"/>
      <c r="AE260" s="83" t="n"/>
      <c r="AF260" s="83" t="n"/>
      <c r="AG260" s="83" t="n"/>
      <c r="AH260" s="84">
        <f>IF(OR($A260="",COUNT(AB260,AC260,AD260,AG260,AE260,AF260)&lt;1),"",AB260+AC260+AD260+AG260-AE260-AF260)</f>
        <v/>
      </c>
      <c r="AI260" s="84">
        <f>IF(OR($A260="",COUNT(AA260,AH260)&lt;2),"",AA260-AH260)</f>
        <v/>
      </c>
      <c r="AJ260" s="84">
        <f>IF(OR($A260="",COUNT(W260,AB260)&lt;2),"",W260-AB260)</f>
        <v/>
      </c>
      <c r="AK260" s="83" t="n"/>
      <c r="AL260" s="33" t="n"/>
      <c r="AM260" s="33" t="n"/>
      <c r="AN260" s="83" t="n"/>
      <c r="AO260" s="33" t="n"/>
      <c r="AP260" s="33" t="n"/>
      <c r="AQ260" s="33" t="n"/>
    </row>
    <row r="261">
      <c r="A261" s="33" t="n"/>
      <c r="B261" s="33" t="n"/>
      <c r="C261" s="33" t="n"/>
      <c r="D261" s="33" t="n"/>
      <c r="E261" s="33" t="n"/>
      <c r="F261" s="33" t="n"/>
      <c r="G261" s="33" t="n"/>
      <c r="H261" s="33" t="n"/>
      <c r="I261" s="33" t="n"/>
      <c r="J261" s="33" t="n"/>
      <c r="K261" s="34" t="n"/>
      <c r="L261" s="34" t="n"/>
      <c r="M261" s="34" t="n"/>
      <c r="N261" s="82" t="n"/>
      <c r="O261" s="82" t="n"/>
      <c r="P261" s="33" t="n"/>
      <c r="Q261" s="34" t="n"/>
      <c r="R261" s="83" t="n"/>
      <c r="S261" s="34" t="n"/>
      <c r="T261" s="33" t="n"/>
      <c r="U261" s="83" t="n"/>
      <c r="V261" s="33" t="n"/>
      <c r="W261" s="83" t="n"/>
      <c r="X261" s="83" t="n"/>
      <c r="Y261" s="83" t="n"/>
      <c r="Z261" s="83" t="n"/>
      <c r="AA261" s="84">
        <f>IF(OR($A261="",COUNT(W261,X261,Z261,Y261)&lt;1),"",W261+X261+Z261-Y261)</f>
        <v/>
      </c>
      <c r="AB261" s="83" t="n"/>
      <c r="AC261" s="83" t="n"/>
      <c r="AD261" s="83" t="n"/>
      <c r="AE261" s="83" t="n"/>
      <c r="AF261" s="83" t="n"/>
      <c r="AG261" s="83" t="n"/>
      <c r="AH261" s="84">
        <f>IF(OR($A261="",COUNT(AB261,AC261,AD261,AG261,AE261,AF261)&lt;1),"",AB261+AC261+AD261+AG261-AE261-AF261)</f>
        <v/>
      </c>
      <c r="AI261" s="84">
        <f>IF(OR($A261="",COUNT(AA261,AH261)&lt;2),"",AA261-AH261)</f>
        <v/>
      </c>
      <c r="AJ261" s="84">
        <f>IF(OR($A261="",COUNT(W261,AB261)&lt;2),"",W261-AB261)</f>
        <v/>
      </c>
      <c r="AK261" s="83" t="n"/>
      <c r="AL261" s="33" t="n"/>
      <c r="AM261" s="33" t="n"/>
      <c r="AN261" s="83" t="n"/>
      <c r="AO261" s="33" t="n"/>
      <c r="AP261" s="33" t="n"/>
      <c r="AQ261" s="33" t="n"/>
    </row>
    <row r="262">
      <c r="A262" s="33" t="n"/>
      <c r="B262" s="33" t="n"/>
      <c r="C262" s="33" t="n"/>
      <c r="D262" s="33" t="n"/>
      <c r="E262" s="33" t="n"/>
      <c r="F262" s="33" t="n"/>
      <c r="G262" s="33" t="n"/>
      <c r="H262" s="33" t="n"/>
      <c r="I262" s="33" t="n"/>
      <c r="J262" s="33" t="n"/>
      <c r="K262" s="34" t="n"/>
      <c r="L262" s="34" t="n"/>
      <c r="M262" s="34" t="n"/>
      <c r="N262" s="82" t="n"/>
      <c r="O262" s="82" t="n"/>
      <c r="P262" s="33" t="n"/>
      <c r="Q262" s="34" t="n"/>
      <c r="R262" s="83" t="n"/>
      <c r="S262" s="34" t="n"/>
      <c r="T262" s="33" t="n"/>
      <c r="U262" s="83" t="n"/>
      <c r="V262" s="33" t="n"/>
      <c r="W262" s="83" t="n"/>
      <c r="X262" s="83" t="n"/>
      <c r="Y262" s="83" t="n"/>
      <c r="Z262" s="83" t="n"/>
      <c r="AA262" s="84">
        <f>IF(OR($A262="",COUNT(W262,X262,Z262,Y262)&lt;1),"",W262+X262+Z262-Y262)</f>
        <v/>
      </c>
      <c r="AB262" s="83" t="n"/>
      <c r="AC262" s="83" t="n"/>
      <c r="AD262" s="83" t="n"/>
      <c r="AE262" s="83" t="n"/>
      <c r="AF262" s="83" t="n"/>
      <c r="AG262" s="83" t="n"/>
      <c r="AH262" s="84">
        <f>IF(OR($A262="",COUNT(AB262,AC262,AD262,AG262,AE262,AF262)&lt;1),"",AB262+AC262+AD262+AG262-AE262-AF262)</f>
        <v/>
      </c>
      <c r="AI262" s="84">
        <f>IF(OR($A262="",COUNT(AA262,AH262)&lt;2),"",AA262-AH262)</f>
        <v/>
      </c>
      <c r="AJ262" s="84">
        <f>IF(OR($A262="",COUNT(W262,AB262)&lt;2),"",W262-AB262)</f>
        <v/>
      </c>
      <c r="AK262" s="83" t="n"/>
      <c r="AL262" s="33" t="n"/>
      <c r="AM262" s="33" t="n"/>
      <c r="AN262" s="83" t="n"/>
      <c r="AO262" s="33" t="n"/>
      <c r="AP262" s="33" t="n"/>
      <c r="AQ262" s="33" t="n"/>
    </row>
    <row r="263">
      <c r="A263" s="33" t="n"/>
      <c r="B263" s="33" t="n"/>
      <c r="C263" s="33" t="n"/>
      <c r="D263" s="33" t="n"/>
      <c r="E263" s="33" t="n"/>
      <c r="F263" s="33" t="n"/>
      <c r="G263" s="33" t="n"/>
      <c r="H263" s="33" t="n"/>
      <c r="I263" s="33" t="n"/>
      <c r="J263" s="33" t="n"/>
      <c r="K263" s="34" t="n"/>
      <c r="L263" s="34" t="n"/>
      <c r="M263" s="34" t="n"/>
      <c r="N263" s="82" t="n"/>
      <c r="O263" s="82" t="n"/>
      <c r="P263" s="33" t="n"/>
      <c r="Q263" s="34" t="n"/>
      <c r="R263" s="83" t="n"/>
      <c r="S263" s="34" t="n"/>
      <c r="T263" s="33" t="n"/>
      <c r="U263" s="83" t="n"/>
      <c r="V263" s="33" t="n"/>
      <c r="W263" s="83" t="n"/>
      <c r="X263" s="83" t="n"/>
      <c r="Y263" s="83" t="n"/>
      <c r="Z263" s="83" t="n"/>
      <c r="AA263" s="84">
        <f>IF(OR($A263="",COUNT(W263,X263,Z263,Y263)&lt;1),"",W263+X263+Z263-Y263)</f>
        <v/>
      </c>
      <c r="AB263" s="83" t="n"/>
      <c r="AC263" s="83" t="n"/>
      <c r="AD263" s="83" t="n"/>
      <c r="AE263" s="83" t="n"/>
      <c r="AF263" s="83" t="n"/>
      <c r="AG263" s="83" t="n"/>
      <c r="AH263" s="84">
        <f>IF(OR($A263="",COUNT(AB263,AC263,AD263,AG263,AE263,AF263)&lt;1),"",AB263+AC263+AD263+AG263-AE263-AF263)</f>
        <v/>
      </c>
      <c r="AI263" s="84">
        <f>IF(OR($A263="",COUNT(AA263,AH263)&lt;2),"",AA263-AH263)</f>
        <v/>
      </c>
      <c r="AJ263" s="84">
        <f>IF(OR($A263="",COUNT(W263,AB263)&lt;2),"",W263-AB263)</f>
        <v/>
      </c>
      <c r="AK263" s="83" t="n"/>
      <c r="AL263" s="33" t="n"/>
      <c r="AM263" s="33" t="n"/>
      <c r="AN263" s="83" t="n"/>
      <c r="AO263" s="33" t="n"/>
      <c r="AP263" s="33" t="n"/>
      <c r="AQ263" s="33" t="n"/>
    </row>
    <row r="264">
      <c r="A264" s="33" t="n"/>
      <c r="B264" s="33" t="n"/>
      <c r="C264" s="33" t="n"/>
      <c r="D264" s="33" t="n"/>
      <c r="E264" s="33" t="n"/>
      <c r="F264" s="33" t="n"/>
      <c r="G264" s="33" t="n"/>
      <c r="H264" s="33" t="n"/>
      <c r="I264" s="33" t="n"/>
      <c r="J264" s="33" t="n"/>
      <c r="K264" s="34" t="n"/>
      <c r="L264" s="34" t="n"/>
      <c r="M264" s="34" t="n"/>
      <c r="N264" s="82" t="n"/>
      <c r="O264" s="82" t="n"/>
      <c r="P264" s="33" t="n"/>
      <c r="Q264" s="34" t="n"/>
      <c r="R264" s="83" t="n"/>
      <c r="S264" s="34" t="n"/>
      <c r="T264" s="33" t="n"/>
      <c r="U264" s="83" t="n"/>
      <c r="V264" s="33" t="n"/>
      <c r="W264" s="83" t="n"/>
      <c r="X264" s="83" t="n"/>
      <c r="Y264" s="83" t="n"/>
      <c r="Z264" s="83" t="n"/>
      <c r="AA264" s="84">
        <f>IF(OR($A264="",COUNT(W264,X264,Z264,Y264)&lt;1),"",W264+X264+Z264-Y264)</f>
        <v/>
      </c>
      <c r="AB264" s="83" t="n"/>
      <c r="AC264" s="83" t="n"/>
      <c r="AD264" s="83" t="n"/>
      <c r="AE264" s="83" t="n"/>
      <c r="AF264" s="83" t="n"/>
      <c r="AG264" s="83" t="n"/>
      <c r="AH264" s="84">
        <f>IF(OR($A264="",COUNT(AB264,AC264,AD264,AG264,AE264,AF264)&lt;1),"",AB264+AC264+AD264+AG264-AE264-AF264)</f>
        <v/>
      </c>
      <c r="AI264" s="84">
        <f>IF(OR($A264="",COUNT(AA264,AH264)&lt;2),"",AA264-AH264)</f>
        <v/>
      </c>
      <c r="AJ264" s="84">
        <f>IF(OR($A264="",COUNT(W264,AB264)&lt;2),"",W264-AB264)</f>
        <v/>
      </c>
      <c r="AK264" s="83" t="n"/>
      <c r="AL264" s="33" t="n"/>
      <c r="AM264" s="33" t="n"/>
      <c r="AN264" s="83" t="n"/>
      <c r="AO264" s="33" t="n"/>
      <c r="AP264" s="33" t="n"/>
      <c r="AQ264" s="33" t="n"/>
    </row>
    <row r="265">
      <c r="A265" s="33" t="n"/>
      <c r="B265" s="33" t="n"/>
      <c r="C265" s="33" t="n"/>
      <c r="D265" s="33" t="n"/>
      <c r="E265" s="33" t="n"/>
      <c r="F265" s="33" t="n"/>
      <c r="G265" s="33" t="n"/>
      <c r="H265" s="33" t="n"/>
      <c r="I265" s="33" t="n"/>
      <c r="J265" s="33" t="n"/>
      <c r="K265" s="34" t="n"/>
      <c r="L265" s="34" t="n"/>
      <c r="M265" s="34" t="n"/>
      <c r="N265" s="82" t="n"/>
      <c r="O265" s="82" t="n"/>
      <c r="P265" s="33" t="n"/>
      <c r="Q265" s="34" t="n"/>
      <c r="R265" s="83" t="n"/>
      <c r="S265" s="34" t="n"/>
      <c r="T265" s="33" t="n"/>
      <c r="U265" s="83" t="n"/>
      <c r="V265" s="33" t="n"/>
      <c r="W265" s="83" t="n"/>
      <c r="X265" s="83" t="n"/>
      <c r="Y265" s="83" t="n"/>
      <c r="Z265" s="83" t="n"/>
      <c r="AA265" s="84">
        <f>IF(OR($A265="",COUNT(W265,X265,Z265,Y265)&lt;1),"",W265+X265+Z265-Y265)</f>
        <v/>
      </c>
      <c r="AB265" s="83" t="n"/>
      <c r="AC265" s="83" t="n"/>
      <c r="AD265" s="83" t="n"/>
      <c r="AE265" s="83" t="n"/>
      <c r="AF265" s="83" t="n"/>
      <c r="AG265" s="83" t="n"/>
      <c r="AH265" s="84">
        <f>IF(OR($A265="",COUNT(AB265,AC265,AD265,AG265,AE265,AF265)&lt;1),"",AB265+AC265+AD265+AG265-AE265-AF265)</f>
        <v/>
      </c>
      <c r="AI265" s="84">
        <f>IF(OR($A265="",COUNT(AA265,AH265)&lt;2),"",AA265-AH265)</f>
        <v/>
      </c>
      <c r="AJ265" s="84">
        <f>IF(OR($A265="",COUNT(W265,AB265)&lt;2),"",W265-AB265)</f>
        <v/>
      </c>
      <c r="AK265" s="83" t="n"/>
      <c r="AL265" s="33" t="n"/>
      <c r="AM265" s="33" t="n"/>
      <c r="AN265" s="83" t="n"/>
      <c r="AO265" s="33" t="n"/>
      <c r="AP265" s="33" t="n"/>
      <c r="AQ265" s="33" t="n"/>
    </row>
    <row r="266">
      <c r="A266" s="33" t="n"/>
      <c r="B266" s="33" t="n"/>
      <c r="C266" s="33" t="n"/>
      <c r="D266" s="33" t="n"/>
      <c r="E266" s="33" t="n"/>
      <c r="F266" s="33" t="n"/>
      <c r="G266" s="33" t="n"/>
      <c r="H266" s="33" t="n"/>
      <c r="I266" s="33" t="n"/>
      <c r="J266" s="33" t="n"/>
      <c r="K266" s="34" t="n"/>
      <c r="L266" s="34" t="n"/>
      <c r="M266" s="34" t="n"/>
      <c r="N266" s="82" t="n"/>
      <c r="O266" s="82" t="n"/>
      <c r="P266" s="33" t="n"/>
      <c r="Q266" s="34" t="n"/>
      <c r="R266" s="83" t="n"/>
      <c r="S266" s="34" t="n"/>
      <c r="T266" s="33" t="n"/>
      <c r="U266" s="83" t="n"/>
      <c r="V266" s="33" t="n"/>
      <c r="W266" s="83" t="n"/>
      <c r="X266" s="83" t="n"/>
      <c r="Y266" s="83" t="n"/>
      <c r="Z266" s="83" t="n"/>
      <c r="AA266" s="84">
        <f>IF(OR($A266="",COUNT(W266,X266,Z266,Y266)&lt;1),"",W266+X266+Z266-Y266)</f>
        <v/>
      </c>
      <c r="AB266" s="83" t="n"/>
      <c r="AC266" s="83" t="n"/>
      <c r="AD266" s="83" t="n"/>
      <c r="AE266" s="83" t="n"/>
      <c r="AF266" s="83" t="n"/>
      <c r="AG266" s="83" t="n"/>
      <c r="AH266" s="84">
        <f>IF(OR($A266="",COUNT(AB266,AC266,AD266,AG266,AE266,AF266)&lt;1),"",AB266+AC266+AD266+AG266-AE266-AF266)</f>
        <v/>
      </c>
      <c r="AI266" s="84">
        <f>IF(OR($A266="",COUNT(AA266,AH266)&lt;2),"",AA266-AH266)</f>
        <v/>
      </c>
      <c r="AJ266" s="84">
        <f>IF(OR($A266="",COUNT(W266,AB266)&lt;2),"",W266-AB266)</f>
        <v/>
      </c>
      <c r="AK266" s="83" t="n"/>
      <c r="AL266" s="33" t="n"/>
      <c r="AM266" s="33" t="n"/>
      <c r="AN266" s="83" t="n"/>
      <c r="AO266" s="33" t="n"/>
      <c r="AP266" s="33" t="n"/>
      <c r="AQ266" s="33" t="n"/>
    </row>
    <row r="267">
      <c r="A267" s="33" t="n"/>
      <c r="B267" s="33" t="n"/>
      <c r="C267" s="33" t="n"/>
      <c r="D267" s="33" t="n"/>
      <c r="E267" s="33" t="n"/>
      <c r="F267" s="33" t="n"/>
      <c r="G267" s="33" t="n"/>
      <c r="H267" s="33" t="n"/>
      <c r="I267" s="33" t="n"/>
      <c r="J267" s="33" t="n"/>
      <c r="K267" s="34" t="n"/>
      <c r="L267" s="34" t="n"/>
      <c r="M267" s="34" t="n"/>
      <c r="N267" s="82" t="n"/>
      <c r="O267" s="82" t="n"/>
      <c r="P267" s="33" t="n"/>
      <c r="Q267" s="34" t="n"/>
      <c r="R267" s="83" t="n"/>
      <c r="S267" s="34" t="n"/>
      <c r="T267" s="33" t="n"/>
      <c r="U267" s="83" t="n"/>
      <c r="V267" s="33" t="n"/>
      <c r="W267" s="83" t="n"/>
      <c r="X267" s="83" t="n"/>
      <c r="Y267" s="83" t="n"/>
      <c r="Z267" s="83" t="n"/>
      <c r="AA267" s="84">
        <f>IF(OR($A267="",COUNT(W267,X267,Z267,Y267)&lt;1),"",W267+X267+Z267-Y267)</f>
        <v/>
      </c>
      <c r="AB267" s="83" t="n"/>
      <c r="AC267" s="83" t="n"/>
      <c r="AD267" s="83" t="n"/>
      <c r="AE267" s="83" t="n"/>
      <c r="AF267" s="83" t="n"/>
      <c r="AG267" s="83" t="n"/>
      <c r="AH267" s="84">
        <f>IF(OR($A267="",COUNT(AB267,AC267,AD267,AG267,AE267,AF267)&lt;1),"",AB267+AC267+AD267+AG267-AE267-AF267)</f>
        <v/>
      </c>
      <c r="AI267" s="84">
        <f>IF(OR($A267="",COUNT(AA267,AH267)&lt;2),"",AA267-AH267)</f>
        <v/>
      </c>
      <c r="AJ267" s="84">
        <f>IF(OR($A267="",COUNT(W267,AB267)&lt;2),"",W267-AB267)</f>
        <v/>
      </c>
      <c r="AK267" s="83" t="n"/>
      <c r="AL267" s="33" t="n"/>
      <c r="AM267" s="33" t="n"/>
      <c r="AN267" s="83" t="n"/>
      <c r="AO267" s="33" t="n"/>
      <c r="AP267" s="33" t="n"/>
      <c r="AQ267" s="33" t="n"/>
    </row>
    <row r="268">
      <c r="A268" s="33" t="n"/>
      <c r="B268" s="33" t="n"/>
      <c r="C268" s="33" t="n"/>
      <c r="D268" s="33" t="n"/>
      <c r="E268" s="33" t="n"/>
      <c r="F268" s="33" t="n"/>
      <c r="G268" s="33" t="n"/>
      <c r="H268" s="33" t="n"/>
      <c r="I268" s="33" t="n"/>
      <c r="J268" s="33" t="n"/>
      <c r="K268" s="34" t="n"/>
      <c r="L268" s="34" t="n"/>
      <c r="M268" s="34" t="n"/>
      <c r="N268" s="82" t="n"/>
      <c r="O268" s="82" t="n"/>
      <c r="P268" s="33" t="n"/>
      <c r="Q268" s="34" t="n"/>
      <c r="R268" s="83" t="n"/>
      <c r="S268" s="34" t="n"/>
      <c r="T268" s="33" t="n"/>
      <c r="U268" s="83" t="n"/>
      <c r="V268" s="33" t="n"/>
      <c r="W268" s="83" t="n"/>
      <c r="X268" s="83" t="n"/>
      <c r="Y268" s="83" t="n"/>
      <c r="Z268" s="83" t="n"/>
      <c r="AA268" s="84">
        <f>IF(OR($A268="",COUNT(W268,X268,Z268,Y268)&lt;1),"",W268+X268+Z268-Y268)</f>
        <v/>
      </c>
      <c r="AB268" s="83" t="n"/>
      <c r="AC268" s="83" t="n"/>
      <c r="AD268" s="83" t="n"/>
      <c r="AE268" s="83" t="n"/>
      <c r="AF268" s="83" t="n"/>
      <c r="AG268" s="83" t="n"/>
      <c r="AH268" s="84">
        <f>IF(OR($A268="",COUNT(AB268,AC268,AD268,AG268,AE268,AF268)&lt;1),"",AB268+AC268+AD268+AG268-AE268-AF268)</f>
        <v/>
      </c>
      <c r="AI268" s="84">
        <f>IF(OR($A268="",COUNT(AA268,AH268)&lt;2),"",AA268-AH268)</f>
        <v/>
      </c>
      <c r="AJ268" s="84">
        <f>IF(OR($A268="",COUNT(W268,AB268)&lt;2),"",W268-AB268)</f>
        <v/>
      </c>
      <c r="AK268" s="83" t="n"/>
      <c r="AL268" s="33" t="n"/>
      <c r="AM268" s="33" t="n"/>
      <c r="AN268" s="83" t="n"/>
      <c r="AO268" s="33" t="n"/>
      <c r="AP268" s="33" t="n"/>
      <c r="AQ268" s="33" t="n"/>
    </row>
    <row r="269">
      <c r="A269" s="33" t="n"/>
      <c r="B269" s="33" t="n"/>
      <c r="C269" s="33" t="n"/>
      <c r="D269" s="33" t="n"/>
      <c r="E269" s="33" t="n"/>
      <c r="F269" s="33" t="n"/>
      <c r="G269" s="33" t="n"/>
      <c r="H269" s="33" t="n"/>
      <c r="I269" s="33" t="n"/>
      <c r="J269" s="33" t="n"/>
      <c r="K269" s="34" t="n"/>
      <c r="L269" s="34" t="n"/>
      <c r="M269" s="34" t="n"/>
      <c r="N269" s="82" t="n"/>
      <c r="O269" s="82" t="n"/>
      <c r="P269" s="33" t="n"/>
      <c r="Q269" s="34" t="n"/>
      <c r="R269" s="83" t="n"/>
      <c r="S269" s="34" t="n"/>
      <c r="T269" s="33" t="n"/>
      <c r="U269" s="83" t="n"/>
      <c r="V269" s="33" t="n"/>
      <c r="W269" s="83" t="n"/>
      <c r="X269" s="83" t="n"/>
      <c r="Y269" s="83" t="n"/>
      <c r="Z269" s="83" t="n"/>
      <c r="AA269" s="84">
        <f>IF(OR($A269="",COUNT(W269,X269,Z269,Y269)&lt;1),"",W269+X269+Z269-Y269)</f>
        <v/>
      </c>
      <c r="AB269" s="83" t="n"/>
      <c r="AC269" s="83" t="n"/>
      <c r="AD269" s="83" t="n"/>
      <c r="AE269" s="83" t="n"/>
      <c r="AF269" s="83" t="n"/>
      <c r="AG269" s="83" t="n"/>
      <c r="AH269" s="84">
        <f>IF(OR($A269="",COUNT(AB269,AC269,AD269,AG269,AE269,AF269)&lt;1),"",AB269+AC269+AD269+AG269-AE269-AF269)</f>
        <v/>
      </c>
      <c r="AI269" s="84">
        <f>IF(OR($A269="",COUNT(AA269,AH269)&lt;2),"",AA269-AH269)</f>
        <v/>
      </c>
      <c r="AJ269" s="84">
        <f>IF(OR($A269="",COUNT(W269,AB269)&lt;2),"",W269-AB269)</f>
        <v/>
      </c>
      <c r="AK269" s="83" t="n"/>
      <c r="AL269" s="33" t="n"/>
      <c r="AM269" s="33" t="n"/>
      <c r="AN269" s="83" t="n"/>
      <c r="AO269" s="33" t="n"/>
      <c r="AP269" s="33" t="n"/>
      <c r="AQ269" s="33" t="n"/>
    </row>
    <row r="270">
      <c r="A270" s="33" t="n"/>
      <c r="B270" s="33" t="n"/>
      <c r="C270" s="33" t="n"/>
      <c r="D270" s="33" t="n"/>
      <c r="E270" s="33" t="n"/>
      <c r="F270" s="33" t="n"/>
      <c r="G270" s="33" t="n"/>
      <c r="H270" s="33" t="n"/>
      <c r="I270" s="33" t="n"/>
      <c r="J270" s="33" t="n"/>
      <c r="K270" s="34" t="n"/>
      <c r="L270" s="34" t="n"/>
      <c r="M270" s="34" t="n"/>
      <c r="N270" s="82" t="n"/>
      <c r="O270" s="82" t="n"/>
      <c r="P270" s="33" t="n"/>
      <c r="Q270" s="34" t="n"/>
      <c r="R270" s="83" t="n"/>
      <c r="S270" s="34" t="n"/>
      <c r="T270" s="33" t="n"/>
      <c r="U270" s="83" t="n"/>
      <c r="V270" s="33" t="n"/>
      <c r="W270" s="83" t="n"/>
      <c r="X270" s="83" t="n"/>
      <c r="Y270" s="83" t="n"/>
      <c r="Z270" s="83" t="n"/>
      <c r="AA270" s="84">
        <f>IF(OR($A270="",COUNT(W270,X270,Z270,Y270)&lt;1),"",W270+X270+Z270-Y270)</f>
        <v/>
      </c>
      <c r="AB270" s="83" t="n"/>
      <c r="AC270" s="83" t="n"/>
      <c r="AD270" s="83" t="n"/>
      <c r="AE270" s="83" t="n"/>
      <c r="AF270" s="83" t="n"/>
      <c r="AG270" s="83" t="n"/>
      <c r="AH270" s="84">
        <f>IF(OR($A270="",COUNT(AB270,AC270,AD270,AG270,AE270,AF270)&lt;1),"",AB270+AC270+AD270+AG270-AE270-AF270)</f>
        <v/>
      </c>
      <c r="AI270" s="84">
        <f>IF(OR($A270="",COUNT(AA270,AH270)&lt;2),"",AA270-AH270)</f>
        <v/>
      </c>
      <c r="AJ270" s="84">
        <f>IF(OR($A270="",COUNT(W270,AB270)&lt;2),"",W270-AB270)</f>
        <v/>
      </c>
      <c r="AK270" s="83" t="n"/>
      <c r="AL270" s="33" t="n"/>
      <c r="AM270" s="33" t="n"/>
      <c r="AN270" s="83" t="n"/>
      <c r="AO270" s="33" t="n"/>
      <c r="AP270" s="33" t="n"/>
      <c r="AQ270" s="33" t="n"/>
    </row>
    <row r="271">
      <c r="A271" s="33" t="n"/>
      <c r="B271" s="33" t="n"/>
      <c r="C271" s="33" t="n"/>
      <c r="D271" s="33" t="n"/>
      <c r="E271" s="33" t="n"/>
      <c r="F271" s="33" t="n"/>
      <c r="G271" s="33" t="n"/>
      <c r="H271" s="33" t="n"/>
      <c r="I271" s="33" t="n"/>
      <c r="J271" s="33" t="n"/>
      <c r="K271" s="34" t="n"/>
      <c r="L271" s="34" t="n"/>
      <c r="M271" s="34" t="n"/>
      <c r="N271" s="82" t="n"/>
      <c r="O271" s="82" t="n"/>
      <c r="P271" s="33" t="n"/>
      <c r="Q271" s="34" t="n"/>
      <c r="R271" s="83" t="n"/>
      <c r="S271" s="34" t="n"/>
      <c r="T271" s="33" t="n"/>
      <c r="U271" s="83" t="n"/>
      <c r="V271" s="33" t="n"/>
      <c r="W271" s="83" t="n"/>
      <c r="X271" s="83" t="n"/>
      <c r="Y271" s="83" t="n"/>
      <c r="Z271" s="83" t="n"/>
      <c r="AA271" s="84">
        <f>IF(OR($A271="",COUNT(W271,X271,Z271,Y271)&lt;1),"",W271+X271+Z271-Y271)</f>
        <v/>
      </c>
      <c r="AB271" s="83" t="n"/>
      <c r="AC271" s="83" t="n"/>
      <c r="AD271" s="83" t="n"/>
      <c r="AE271" s="83" t="n"/>
      <c r="AF271" s="83" t="n"/>
      <c r="AG271" s="83" t="n"/>
      <c r="AH271" s="84">
        <f>IF(OR($A271="",COUNT(AB271,AC271,AD271,AG271,AE271,AF271)&lt;1),"",AB271+AC271+AD271+AG271-AE271-AF271)</f>
        <v/>
      </c>
      <c r="AI271" s="84">
        <f>IF(OR($A271="",COUNT(AA271,AH271)&lt;2),"",AA271-AH271)</f>
        <v/>
      </c>
      <c r="AJ271" s="84">
        <f>IF(OR($A271="",COUNT(W271,AB271)&lt;2),"",W271-AB271)</f>
        <v/>
      </c>
      <c r="AK271" s="83" t="n"/>
      <c r="AL271" s="33" t="n"/>
      <c r="AM271" s="33" t="n"/>
      <c r="AN271" s="83" t="n"/>
      <c r="AO271" s="33" t="n"/>
      <c r="AP271" s="33" t="n"/>
      <c r="AQ271" s="33" t="n"/>
    </row>
    <row r="272">
      <c r="A272" s="33" t="n"/>
      <c r="B272" s="33" t="n"/>
      <c r="C272" s="33" t="n"/>
      <c r="D272" s="33" t="n"/>
      <c r="E272" s="33" t="n"/>
      <c r="F272" s="33" t="n"/>
      <c r="G272" s="33" t="n"/>
      <c r="H272" s="33" t="n"/>
      <c r="I272" s="33" t="n"/>
      <c r="J272" s="33" t="n"/>
      <c r="K272" s="34" t="n"/>
      <c r="L272" s="34" t="n"/>
      <c r="M272" s="34" t="n"/>
      <c r="N272" s="82" t="n"/>
      <c r="O272" s="82" t="n"/>
      <c r="P272" s="33" t="n"/>
      <c r="Q272" s="34" t="n"/>
      <c r="R272" s="83" t="n"/>
      <c r="S272" s="34" t="n"/>
      <c r="T272" s="33" t="n"/>
      <c r="U272" s="83" t="n"/>
      <c r="V272" s="33" t="n"/>
      <c r="W272" s="83" t="n"/>
      <c r="X272" s="83" t="n"/>
      <c r="Y272" s="83" t="n"/>
      <c r="Z272" s="83" t="n"/>
      <c r="AA272" s="84">
        <f>IF(OR($A272="",COUNT(W272,X272,Z272,Y272)&lt;1),"",W272+X272+Z272-Y272)</f>
        <v/>
      </c>
      <c r="AB272" s="83" t="n"/>
      <c r="AC272" s="83" t="n"/>
      <c r="AD272" s="83" t="n"/>
      <c r="AE272" s="83" t="n"/>
      <c r="AF272" s="83" t="n"/>
      <c r="AG272" s="83" t="n"/>
      <c r="AH272" s="84">
        <f>IF(OR($A272="",COUNT(AB272,AC272,AD272,AG272,AE272,AF272)&lt;1),"",AB272+AC272+AD272+AG272-AE272-AF272)</f>
        <v/>
      </c>
      <c r="AI272" s="84">
        <f>IF(OR($A272="",COUNT(AA272,AH272)&lt;2),"",AA272-AH272)</f>
        <v/>
      </c>
      <c r="AJ272" s="84">
        <f>IF(OR($A272="",COUNT(W272,AB272)&lt;2),"",W272-AB272)</f>
        <v/>
      </c>
      <c r="AK272" s="83" t="n"/>
      <c r="AL272" s="33" t="n"/>
      <c r="AM272" s="33" t="n"/>
      <c r="AN272" s="83" t="n"/>
      <c r="AO272" s="33" t="n"/>
      <c r="AP272" s="33" t="n"/>
      <c r="AQ272" s="33" t="n"/>
    </row>
    <row r="273">
      <c r="A273" s="33" t="n"/>
      <c r="B273" s="33" t="n"/>
      <c r="C273" s="33" t="n"/>
      <c r="D273" s="33" t="n"/>
      <c r="E273" s="33" t="n"/>
      <c r="F273" s="33" t="n"/>
      <c r="G273" s="33" t="n"/>
      <c r="H273" s="33" t="n"/>
      <c r="I273" s="33" t="n"/>
      <c r="J273" s="33" t="n"/>
      <c r="K273" s="34" t="n"/>
      <c r="L273" s="34" t="n"/>
      <c r="M273" s="34" t="n"/>
      <c r="N273" s="82" t="n"/>
      <c r="O273" s="82" t="n"/>
      <c r="P273" s="33" t="n"/>
      <c r="Q273" s="34" t="n"/>
      <c r="R273" s="83" t="n"/>
      <c r="S273" s="34" t="n"/>
      <c r="T273" s="33" t="n"/>
      <c r="U273" s="83" t="n"/>
      <c r="V273" s="33" t="n"/>
      <c r="W273" s="83" t="n"/>
      <c r="X273" s="83" t="n"/>
      <c r="Y273" s="83" t="n"/>
      <c r="Z273" s="83" t="n"/>
      <c r="AA273" s="84">
        <f>IF(OR($A273="",COUNT(W273,X273,Z273,Y273)&lt;1),"",W273+X273+Z273-Y273)</f>
        <v/>
      </c>
      <c r="AB273" s="83" t="n"/>
      <c r="AC273" s="83" t="n"/>
      <c r="AD273" s="83" t="n"/>
      <c r="AE273" s="83" t="n"/>
      <c r="AF273" s="83" t="n"/>
      <c r="AG273" s="83" t="n"/>
      <c r="AH273" s="84">
        <f>IF(OR($A273="",COUNT(AB273,AC273,AD273,AG273,AE273,AF273)&lt;1),"",AB273+AC273+AD273+AG273-AE273-AF273)</f>
        <v/>
      </c>
      <c r="AI273" s="84">
        <f>IF(OR($A273="",COUNT(AA273,AH273)&lt;2),"",AA273-AH273)</f>
        <v/>
      </c>
      <c r="AJ273" s="84">
        <f>IF(OR($A273="",COUNT(W273,AB273)&lt;2),"",W273-AB273)</f>
        <v/>
      </c>
      <c r="AK273" s="83" t="n"/>
      <c r="AL273" s="33" t="n"/>
      <c r="AM273" s="33" t="n"/>
      <c r="AN273" s="83" t="n"/>
      <c r="AO273" s="33" t="n"/>
      <c r="AP273" s="33" t="n"/>
      <c r="AQ273" s="33" t="n"/>
    </row>
    <row r="274">
      <c r="A274" s="33" t="n"/>
      <c r="B274" s="33" t="n"/>
      <c r="C274" s="33" t="n"/>
      <c r="D274" s="33" t="n"/>
      <c r="E274" s="33" t="n"/>
      <c r="F274" s="33" t="n"/>
      <c r="G274" s="33" t="n"/>
      <c r="H274" s="33" t="n"/>
      <c r="I274" s="33" t="n"/>
      <c r="J274" s="33" t="n"/>
      <c r="K274" s="34" t="n"/>
      <c r="L274" s="34" t="n"/>
      <c r="M274" s="34" t="n"/>
      <c r="N274" s="82" t="n"/>
      <c r="O274" s="82" t="n"/>
      <c r="P274" s="33" t="n"/>
      <c r="Q274" s="34" t="n"/>
      <c r="R274" s="83" t="n"/>
      <c r="S274" s="34" t="n"/>
      <c r="T274" s="33" t="n"/>
      <c r="U274" s="83" t="n"/>
      <c r="V274" s="33" t="n"/>
      <c r="W274" s="83" t="n"/>
      <c r="X274" s="83" t="n"/>
      <c r="Y274" s="83" t="n"/>
      <c r="Z274" s="83" t="n"/>
      <c r="AA274" s="84">
        <f>IF(OR($A274="",COUNT(W274,X274,Z274,Y274)&lt;1),"",W274+X274+Z274-Y274)</f>
        <v/>
      </c>
      <c r="AB274" s="83" t="n"/>
      <c r="AC274" s="83" t="n"/>
      <c r="AD274" s="83" t="n"/>
      <c r="AE274" s="83" t="n"/>
      <c r="AF274" s="83" t="n"/>
      <c r="AG274" s="83" t="n"/>
      <c r="AH274" s="84">
        <f>IF(OR($A274="",COUNT(AB274,AC274,AD274,AG274,AE274,AF274)&lt;1),"",AB274+AC274+AD274+AG274-AE274-AF274)</f>
        <v/>
      </c>
      <c r="AI274" s="84">
        <f>IF(OR($A274="",COUNT(AA274,AH274)&lt;2),"",AA274-AH274)</f>
        <v/>
      </c>
      <c r="AJ274" s="84">
        <f>IF(OR($A274="",COUNT(W274,AB274)&lt;2),"",W274-AB274)</f>
        <v/>
      </c>
      <c r="AK274" s="83" t="n"/>
      <c r="AL274" s="33" t="n"/>
      <c r="AM274" s="33" t="n"/>
      <c r="AN274" s="83" t="n"/>
      <c r="AO274" s="33" t="n"/>
      <c r="AP274" s="33" t="n"/>
      <c r="AQ274" s="33" t="n"/>
    </row>
    <row r="275">
      <c r="A275" s="33" t="n"/>
      <c r="B275" s="33" t="n"/>
      <c r="C275" s="33" t="n"/>
      <c r="D275" s="33" t="n"/>
      <c r="E275" s="33" t="n"/>
      <c r="F275" s="33" t="n"/>
      <c r="G275" s="33" t="n"/>
      <c r="H275" s="33" t="n"/>
      <c r="I275" s="33" t="n"/>
      <c r="J275" s="33" t="n"/>
      <c r="K275" s="34" t="n"/>
      <c r="L275" s="34" t="n"/>
      <c r="M275" s="34" t="n"/>
      <c r="N275" s="82" t="n"/>
      <c r="O275" s="82" t="n"/>
      <c r="P275" s="33" t="n"/>
      <c r="Q275" s="34" t="n"/>
      <c r="R275" s="83" t="n"/>
      <c r="S275" s="34" t="n"/>
      <c r="T275" s="33" t="n"/>
      <c r="U275" s="83" t="n"/>
      <c r="V275" s="33" t="n"/>
      <c r="W275" s="83" t="n"/>
      <c r="X275" s="83" t="n"/>
      <c r="Y275" s="83" t="n"/>
      <c r="Z275" s="83" t="n"/>
      <c r="AA275" s="84">
        <f>IF(OR($A275="",COUNT(W275,X275,Z275,Y275)&lt;1),"",W275+X275+Z275-Y275)</f>
        <v/>
      </c>
      <c r="AB275" s="83" t="n"/>
      <c r="AC275" s="83" t="n"/>
      <c r="AD275" s="83" t="n"/>
      <c r="AE275" s="83" t="n"/>
      <c r="AF275" s="83" t="n"/>
      <c r="AG275" s="83" t="n"/>
      <c r="AH275" s="84">
        <f>IF(OR($A275="",COUNT(AB275,AC275,AD275,AG275,AE275,AF275)&lt;1),"",AB275+AC275+AD275+AG275-AE275-AF275)</f>
        <v/>
      </c>
      <c r="AI275" s="84">
        <f>IF(OR($A275="",COUNT(AA275,AH275)&lt;2),"",AA275-AH275)</f>
        <v/>
      </c>
      <c r="AJ275" s="84">
        <f>IF(OR($A275="",COUNT(W275,AB275)&lt;2),"",W275-AB275)</f>
        <v/>
      </c>
      <c r="AK275" s="83" t="n"/>
      <c r="AL275" s="33" t="n"/>
      <c r="AM275" s="33" t="n"/>
      <c r="AN275" s="83" t="n"/>
      <c r="AO275" s="33" t="n"/>
      <c r="AP275" s="33" t="n"/>
      <c r="AQ275" s="33" t="n"/>
    </row>
    <row r="276">
      <c r="A276" s="33" t="n"/>
      <c r="B276" s="33" t="n"/>
      <c r="C276" s="33" t="n"/>
      <c r="D276" s="33" t="n"/>
      <c r="E276" s="33" t="n"/>
      <c r="F276" s="33" t="n"/>
      <c r="G276" s="33" t="n"/>
      <c r="H276" s="33" t="n"/>
      <c r="I276" s="33" t="n"/>
      <c r="J276" s="33" t="n"/>
      <c r="K276" s="34" t="n"/>
      <c r="L276" s="34" t="n"/>
      <c r="M276" s="34" t="n"/>
      <c r="N276" s="82" t="n"/>
      <c r="O276" s="82" t="n"/>
      <c r="P276" s="33" t="n"/>
      <c r="Q276" s="34" t="n"/>
      <c r="R276" s="83" t="n"/>
      <c r="S276" s="34" t="n"/>
      <c r="T276" s="33" t="n"/>
      <c r="U276" s="83" t="n"/>
      <c r="V276" s="33" t="n"/>
      <c r="W276" s="83" t="n"/>
      <c r="X276" s="83" t="n"/>
      <c r="Y276" s="83" t="n"/>
      <c r="Z276" s="83" t="n"/>
      <c r="AA276" s="84">
        <f>IF(OR($A276="",COUNT(W276,X276,Z276,Y276)&lt;1),"",W276+X276+Z276-Y276)</f>
        <v/>
      </c>
      <c r="AB276" s="83" t="n"/>
      <c r="AC276" s="83" t="n"/>
      <c r="AD276" s="83" t="n"/>
      <c r="AE276" s="83" t="n"/>
      <c r="AF276" s="83" t="n"/>
      <c r="AG276" s="83" t="n"/>
      <c r="AH276" s="84">
        <f>IF(OR($A276="",COUNT(AB276,AC276,AD276,AG276,AE276,AF276)&lt;1),"",AB276+AC276+AD276+AG276-AE276-AF276)</f>
        <v/>
      </c>
      <c r="AI276" s="84">
        <f>IF(OR($A276="",COUNT(AA276,AH276)&lt;2),"",AA276-AH276)</f>
        <v/>
      </c>
      <c r="AJ276" s="84">
        <f>IF(OR($A276="",COUNT(W276,AB276)&lt;2),"",W276-AB276)</f>
        <v/>
      </c>
      <c r="AK276" s="83" t="n"/>
      <c r="AL276" s="33" t="n"/>
      <c r="AM276" s="33" t="n"/>
      <c r="AN276" s="83" t="n"/>
      <c r="AO276" s="33" t="n"/>
      <c r="AP276" s="33" t="n"/>
      <c r="AQ276" s="33" t="n"/>
    </row>
    <row r="277">
      <c r="A277" s="33" t="n"/>
      <c r="B277" s="33" t="n"/>
      <c r="C277" s="33" t="n"/>
      <c r="D277" s="33" t="n"/>
      <c r="E277" s="33" t="n"/>
      <c r="F277" s="33" t="n"/>
      <c r="G277" s="33" t="n"/>
      <c r="H277" s="33" t="n"/>
      <c r="I277" s="33" t="n"/>
      <c r="J277" s="33" t="n"/>
      <c r="K277" s="34" t="n"/>
      <c r="L277" s="34" t="n"/>
      <c r="M277" s="34" t="n"/>
      <c r="N277" s="82" t="n"/>
      <c r="O277" s="82" t="n"/>
      <c r="P277" s="33" t="n"/>
      <c r="Q277" s="34" t="n"/>
      <c r="R277" s="83" t="n"/>
      <c r="S277" s="34" t="n"/>
      <c r="T277" s="33" t="n"/>
      <c r="U277" s="83" t="n"/>
      <c r="V277" s="33" t="n"/>
      <c r="W277" s="83" t="n"/>
      <c r="X277" s="83" t="n"/>
      <c r="Y277" s="83" t="n"/>
      <c r="Z277" s="83" t="n"/>
      <c r="AA277" s="84">
        <f>IF(OR($A277="",COUNT(W277,X277,Z277,Y277)&lt;1),"",W277+X277+Z277-Y277)</f>
        <v/>
      </c>
      <c r="AB277" s="83" t="n"/>
      <c r="AC277" s="83" t="n"/>
      <c r="AD277" s="83" t="n"/>
      <c r="AE277" s="83" t="n"/>
      <c r="AF277" s="83" t="n"/>
      <c r="AG277" s="83" t="n"/>
      <c r="AH277" s="84">
        <f>IF(OR($A277="",COUNT(AB277,AC277,AD277,AG277,AE277,AF277)&lt;1),"",AB277+AC277+AD277+AG277-AE277-AF277)</f>
        <v/>
      </c>
      <c r="AI277" s="84">
        <f>IF(OR($A277="",COUNT(AA277,AH277)&lt;2),"",AA277-AH277)</f>
        <v/>
      </c>
      <c r="AJ277" s="84">
        <f>IF(OR($A277="",COUNT(W277,AB277)&lt;2),"",W277-AB277)</f>
        <v/>
      </c>
      <c r="AK277" s="83" t="n"/>
      <c r="AL277" s="33" t="n"/>
      <c r="AM277" s="33" t="n"/>
      <c r="AN277" s="83" t="n"/>
      <c r="AO277" s="33" t="n"/>
      <c r="AP277" s="33" t="n"/>
      <c r="AQ277" s="33" t="n"/>
    </row>
    <row r="278">
      <c r="A278" s="33" t="n"/>
      <c r="B278" s="33" t="n"/>
      <c r="C278" s="33" t="n"/>
      <c r="D278" s="33" t="n"/>
      <c r="E278" s="33" t="n"/>
      <c r="F278" s="33" t="n"/>
      <c r="G278" s="33" t="n"/>
      <c r="H278" s="33" t="n"/>
      <c r="I278" s="33" t="n"/>
      <c r="J278" s="33" t="n"/>
      <c r="K278" s="34" t="n"/>
      <c r="L278" s="34" t="n"/>
      <c r="M278" s="34" t="n"/>
      <c r="N278" s="82" t="n"/>
      <c r="O278" s="82" t="n"/>
      <c r="P278" s="33" t="n"/>
      <c r="Q278" s="34" t="n"/>
      <c r="R278" s="83" t="n"/>
      <c r="S278" s="34" t="n"/>
      <c r="T278" s="33" t="n"/>
      <c r="U278" s="83" t="n"/>
      <c r="V278" s="33" t="n"/>
      <c r="W278" s="83" t="n"/>
      <c r="X278" s="83" t="n"/>
      <c r="Y278" s="83" t="n"/>
      <c r="Z278" s="83" t="n"/>
      <c r="AA278" s="84">
        <f>IF(OR($A278="",COUNT(W278,X278,Z278,Y278)&lt;1),"",W278+X278+Z278-Y278)</f>
        <v/>
      </c>
      <c r="AB278" s="83" t="n"/>
      <c r="AC278" s="83" t="n"/>
      <c r="AD278" s="83" t="n"/>
      <c r="AE278" s="83" t="n"/>
      <c r="AF278" s="83" t="n"/>
      <c r="AG278" s="83" t="n"/>
      <c r="AH278" s="84">
        <f>IF(OR($A278="",COUNT(AB278,AC278,AD278,AG278,AE278,AF278)&lt;1),"",AB278+AC278+AD278+AG278-AE278-AF278)</f>
        <v/>
      </c>
      <c r="AI278" s="84">
        <f>IF(OR($A278="",COUNT(AA278,AH278)&lt;2),"",AA278-AH278)</f>
        <v/>
      </c>
      <c r="AJ278" s="84">
        <f>IF(OR($A278="",COUNT(W278,AB278)&lt;2),"",W278-AB278)</f>
        <v/>
      </c>
      <c r="AK278" s="83" t="n"/>
      <c r="AL278" s="33" t="n"/>
      <c r="AM278" s="33" t="n"/>
      <c r="AN278" s="83" t="n"/>
      <c r="AO278" s="33" t="n"/>
      <c r="AP278" s="33" t="n"/>
      <c r="AQ278" s="33" t="n"/>
    </row>
    <row r="279">
      <c r="A279" s="33" t="n"/>
      <c r="B279" s="33" t="n"/>
      <c r="C279" s="33" t="n"/>
      <c r="D279" s="33" t="n"/>
      <c r="E279" s="33" t="n"/>
      <c r="F279" s="33" t="n"/>
      <c r="G279" s="33" t="n"/>
      <c r="H279" s="33" t="n"/>
      <c r="I279" s="33" t="n"/>
      <c r="J279" s="33" t="n"/>
      <c r="K279" s="34" t="n"/>
      <c r="L279" s="34" t="n"/>
      <c r="M279" s="34" t="n"/>
      <c r="N279" s="82" t="n"/>
      <c r="O279" s="82" t="n"/>
      <c r="P279" s="33" t="n"/>
      <c r="Q279" s="34" t="n"/>
      <c r="R279" s="83" t="n"/>
      <c r="S279" s="34" t="n"/>
      <c r="T279" s="33" t="n"/>
      <c r="U279" s="83" t="n"/>
      <c r="V279" s="33" t="n"/>
      <c r="W279" s="83" t="n"/>
      <c r="X279" s="83" t="n"/>
      <c r="Y279" s="83" t="n"/>
      <c r="Z279" s="83" t="n"/>
      <c r="AA279" s="84">
        <f>IF(OR($A279="",COUNT(W279,X279,Z279,Y279)&lt;1),"",W279+X279+Z279-Y279)</f>
        <v/>
      </c>
      <c r="AB279" s="83" t="n"/>
      <c r="AC279" s="83" t="n"/>
      <c r="AD279" s="83" t="n"/>
      <c r="AE279" s="83" t="n"/>
      <c r="AF279" s="83" t="n"/>
      <c r="AG279" s="83" t="n"/>
      <c r="AH279" s="84">
        <f>IF(OR($A279="",COUNT(AB279,AC279,AD279,AG279,AE279,AF279)&lt;1),"",AB279+AC279+AD279+AG279-AE279-AF279)</f>
        <v/>
      </c>
      <c r="AI279" s="84">
        <f>IF(OR($A279="",COUNT(AA279,AH279)&lt;2),"",AA279-AH279)</f>
        <v/>
      </c>
      <c r="AJ279" s="84">
        <f>IF(OR($A279="",COUNT(W279,AB279)&lt;2),"",W279-AB279)</f>
        <v/>
      </c>
      <c r="AK279" s="83" t="n"/>
      <c r="AL279" s="33" t="n"/>
      <c r="AM279" s="33" t="n"/>
      <c r="AN279" s="83" t="n"/>
      <c r="AO279" s="33" t="n"/>
      <c r="AP279" s="33" t="n"/>
      <c r="AQ279" s="33" t="n"/>
    </row>
    <row r="280">
      <c r="A280" s="33" t="n"/>
      <c r="B280" s="33" t="n"/>
      <c r="C280" s="33" t="n"/>
      <c r="D280" s="33" t="n"/>
      <c r="E280" s="33" t="n"/>
      <c r="F280" s="33" t="n"/>
      <c r="G280" s="33" t="n"/>
      <c r="H280" s="33" t="n"/>
      <c r="I280" s="33" t="n"/>
      <c r="J280" s="33" t="n"/>
      <c r="K280" s="34" t="n"/>
      <c r="L280" s="34" t="n"/>
      <c r="M280" s="34" t="n"/>
      <c r="N280" s="82" t="n"/>
      <c r="O280" s="82" t="n"/>
      <c r="P280" s="33" t="n"/>
      <c r="Q280" s="34" t="n"/>
      <c r="R280" s="83" t="n"/>
      <c r="S280" s="34" t="n"/>
      <c r="T280" s="33" t="n"/>
      <c r="U280" s="83" t="n"/>
      <c r="V280" s="33" t="n"/>
      <c r="W280" s="83" t="n"/>
      <c r="X280" s="83" t="n"/>
      <c r="Y280" s="83" t="n"/>
      <c r="Z280" s="83" t="n"/>
      <c r="AA280" s="84">
        <f>IF(OR($A280="",COUNT(W280,X280,Z280,Y280)&lt;1),"",W280+X280+Z280-Y280)</f>
        <v/>
      </c>
      <c r="AB280" s="83" t="n"/>
      <c r="AC280" s="83" t="n"/>
      <c r="AD280" s="83" t="n"/>
      <c r="AE280" s="83" t="n"/>
      <c r="AF280" s="83" t="n"/>
      <c r="AG280" s="83" t="n"/>
      <c r="AH280" s="84">
        <f>IF(OR($A280="",COUNT(AB280,AC280,AD280,AG280,AE280,AF280)&lt;1),"",AB280+AC280+AD280+AG280-AE280-AF280)</f>
        <v/>
      </c>
      <c r="AI280" s="84">
        <f>IF(OR($A280="",COUNT(AA280,AH280)&lt;2),"",AA280-AH280)</f>
        <v/>
      </c>
      <c r="AJ280" s="84">
        <f>IF(OR($A280="",COUNT(W280,AB280)&lt;2),"",W280-AB280)</f>
        <v/>
      </c>
      <c r="AK280" s="83" t="n"/>
      <c r="AL280" s="33" t="n"/>
      <c r="AM280" s="33" t="n"/>
      <c r="AN280" s="83" t="n"/>
      <c r="AO280" s="33" t="n"/>
      <c r="AP280" s="33" t="n"/>
      <c r="AQ280" s="33" t="n"/>
    </row>
    <row r="281">
      <c r="A281" s="33" t="n"/>
      <c r="B281" s="33" t="n"/>
      <c r="C281" s="33" t="n"/>
      <c r="D281" s="33" t="n"/>
      <c r="E281" s="33" t="n"/>
      <c r="F281" s="33" t="n"/>
      <c r="G281" s="33" t="n"/>
      <c r="H281" s="33" t="n"/>
      <c r="I281" s="33" t="n"/>
      <c r="J281" s="33" t="n"/>
      <c r="K281" s="34" t="n"/>
      <c r="L281" s="34" t="n"/>
      <c r="M281" s="34" t="n"/>
      <c r="N281" s="82" t="n"/>
      <c r="O281" s="82" t="n"/>
      <c r="P281" s="33" t="n"/>
      <c r="Q281" s="34" t="n"/>
      <c r="R281" s="83" t="n"/>
      <c r="S281" s="34" t="n"/>
      <c r="T281" s="33" t="n"/>
      <c r="U281" s="83" t="n"/>
      <c r="V281" s="33" t="n"/>
      <c r="W281" s="83" t="n"/>
      <c r="X281" s="83" t="n"/>
      <c r="Y281" s="83" t="n"/>
      <c r="Z281" s="83" t="n"/>
      <c r="AA281" s="84">
        <f>IF(OR($A281="",COUNT(W281,X281,Z281,Y281)&lt;1),"",W281+X281+Z281-Y281)</f>
        <v/>
      </c>
      <c r="AB281" s="83" t="n"/>
      <c r="AC281" s="83" t="n"/>
      <c r="AD281" s="83" t="n"/>
      <c r="AE281" s="83" t="n"/>
      <c r="AF281" s="83" t="n"/>
      <c r="AG281" s="83" t="n"/>
      <c r="AH281" s="84">
        <f>IF(OR($A281="",COUNT(AB281,AC281,AD281,AG281,AE281,AF281)&lt;1),"",AB281+AC281+AD281+AG281-AE281-AF281)</f>
        <v/>
      </c>
      <c r="AI281" s="84">
        <f>IF(OR($A281="",COUNT(AA281,AH281)&lt;2),"",AA281-AH281)</f>
        <v/>
      </c>
      <c r="AJ281" s="84">
        <f>IF(OR($A281="",COUNT(W281,AB281)&lt;2),"",W281-AB281)</f>
        <v/>
      </c>
      <c r="AK281" s="83" t="n"/>
      <c r="AL281" s="33" t="n"/>
      <c r="AM281" s="33" t="n"/>
      <c r="AN281" s="83" t="n"/>
      <c r="AO281" s="33" t="n"/>
      <c r="AP281" s="33" t="n"/>
      <c r="AQ281" s="33" t="n"/>
    </row>
    <row r="282">
      <c r="A282" s="33" t="n"/>
      <c r="B282" s="33" t="n"/>
      <c r="C282" s="33" t="n"/>
      <c r="D282" s="33" t="n"/>
      <c r="E282" s="33" t="n"/>
      <c r="F282" s="33" t="n"/>
      <c r="G282" s="33" t="n"/>
      <c r="H282" s="33" t="n"/>
      <c r="I282" s="33" t="n"/>
      <c r="J282" s="33" t="n"/>
      <c r="K282" s="34" t="n"/>
      <c r="L282" s="34" t="n"/>
      <c r="M282" s="34" t="n"/>
      <c r="N282" s="82" t="n"/>
      <c r="O282" s="82" t="n"/>
      <c r="P282" s="33" t="n"/>
      <c r="Q282" s="34" t="n"/>
      <c r="R282" s="83" t="n"/>
      <c r="S282" s="34" t="n"/>
      <c r="T282" s="33" t="n"/>
      <c r="U282" s="83" t="n"/>
      <c r="V282" s="33" t="n"/>
      <c r="W282" s="83" t="n"/>
      <c r="X282" s="83" t="n"/>
      <c r="Y282" s="83" t="n"/>
      <c r="Z282" s="83" t="n"/>
      <c r="AA282" s="84">
        <f>IF(OR($A282="",COUNT(W282,X282,Z282,Y282)&lt;1),"",W282+X282+Z282-Y282)</f>
        <v/>
      </c>
      <c r="AB282" s="83" t="n"/>
      <c r="AC282" s="83" t="n"/>
      <c r="AD282" s="83" t="n"/>
      <c r="AE282" s="83" t="n"/>
      <c r="AF282" s="83" t="n"/>
      <c r="AG282" s="83" t="n"/>
      <c r="AH282" s="84">
        <f>IF(OR($A282="",COUNT(AB282,AC282,AD282,AG282,AE282,AF282)&lt;1),"",AB282+AC282+AD282+AG282-AE282-AF282)</f>
        <v/>
      </c>
      <c r="AI282" s="84">
        <f>IF(OR($A282="",COUNT(AA282,AH282)&lt;2),"",AA282-AH282)</f>
        <v/>
      </c>
      <c r="AJ282" s="84">
        <f>IF(OR($A282="",COUNT(W282,AB282)&lt;2),"",W282-AB282)</f>
        <v/>
      </c>
      <c r="AK282" s="83" t="n"/>
      <c r="AL282" s="33" t="n"/>
      <c r="AM282" s="33" t="n"/>
      <c r="AN282" s="83" t="n"/>
      <c r="AO282" s="33" t="n"/>
      <c r="AP282" s="33" t="n"/>
      <c r="AQ282" s="33" t="n"/>
    </row>
    <row r="283">
      <c r="A283" s="33" t="n"/>
      <c r="B283" s="33" t="n"/>
      <c r="C283" s="33" t="n"/>
      <c r="D283" s="33" t="n"/>
      <c r="E283" s="33" t="n"/>
      <c r="F283" s="33" t="n"/>
      <c r="G283" s="33" t="n"/>
      <c r="H283" s="33" t="n"/>
      <c r="I283" s="33" t="n"/>
      <c r="J283" s="33" t="n"/>
      <c r="K283" s="34" t="n"/>
      <c r="L283" s="34" t="n"/>
      <c r="M283" s="34" t="n"/>
      <c r="N283" s="82" t="n"/>
      <c r="O283" s="82" t="n"/>
      <c r="P283" s="33" t="n"/>
      <c r="Q283" s="34" t="n"/>
      <c r="R283" s="83" t="n"/>
      <c r="S283" s="34" t="n"/>
      <c r="T283" s="33" t="n"/>
      <c r="U283" s="83" t="n"/>
      <c r="V283" s="33" t="n"/>
      <c r="W283" s="83" t="n"/>
      <c r="X283" s="83" t="n"/>
      <c r="Y283" s="83" t="n"/>
      <c r="Z283" s="83" t="n"/>
      <c r="AA283" s="84">
        <f>IF(OR($A283="",COUNT(W283,X283,Z283,Y283)&lt;1),"",W283+X283+Z283-Y283)</f>
        <v/>
      </c>
      <c r="AB283" s="83" t="n"/>
      <c r="AC283" s="83" t="n"/>
      <c r="AD283" s="83" t="n"/>
      <c r="AE283" s="83" t="n"/>
      <c r="AF283" s="83" t="n"/>
      <c r="AG283" s="83" t="n"/>
      <c r="AH283" s="84">
        <f>IF(OR($A283="",COUNT(AB283,AC283,AD283,AG283,AE283,AF283)&lt;1),"",AB283+AC283+AD283+AG283-AE283-AF283)</f>
        <v/>
      </c>
      <c r="AI283" s="84">
        <f>IF(OR($A283="",COUNT(AA283,AH283)&lt;2),"",AA283-AH283)</f>
        <v/>
      </c>
      <c r="AJ283" s="84">
        <f>IF(OR($A283="",COUNT(W283,AB283)&lt;2),"",W283-AB283)</f>
        <v/>
      </c>
      <c r="AK283" s="83" t="n"/>
      <c r="AL283" s="33" t="n"/>
      <c r="AM283" s="33" t="n"/>
      <c r="AN283" s="83" t="n"/>
      <c r="AO283" s="33" t="n"/>
      <c r="AP283" s="33" t="n"/>
      <c r="AQ283" s="33" t="n"/>
    </row>
    <row r="284">
      <c r="A284" s="33" t="n"/>
      <c r="B284" s="33" t="n"/>
      <c r="C284" s="33" t="n"/>
      <c r="D284" s="33" t="n"/>
      <c r="E284" s="33" t="n"/>
      <c r="F284" s="33" t="n"/>
      <c r="G284" s="33" t="n"/>
      <c r="H284" s="33" t="n"/>
      <c r="I284" s="33" t="n"/>
      <c r="J284" s="33" t="n"/>
      <c r="K284" s="34" t="n"/>
      <c r="L284" s="34" t="n"/>
      <c r="M284" s="34" t="n"/>
      <c r="N284" s="82" t="n"/>
      <c r="O284" s="82" t="n"/>
      <c r="P284" s="33" t="n"/>
      <c r="Q284" s="34" t="n"/>
      <c r="R284" s="83" t="n"/>
      <c r="S284" s="34" t="n"/>
      <c r="T284" s="33" t="n"/>
      <c r="U284" s="83" t="n"/>
      <c r="V284" s="33" t="n"/>
      <c r="W284" s="83" t="n"/>
      <c r="X284" s="83" t="n"/>
      <c r="Y284" s="83" t="n"/>
      <c r="Z284" s="83" t="n"/>
      <c r="AA284" s="84">
        <f>IF(OR($A284="",COUNT(W284,X284,Z284,Y284)&lt;1),"",W284+X284+Z284-Y284)</f>
        <v/>
      </c>
      <c r="AB284" s="83" t="n"/>
      <c r="AC284" s="83" t="n"/>
      <c r="AD284" s="83" t="n"/>
      <c r="AE284" s="83" t="n"/>
      <c r="AF284" s="83" t="n"/>
      <c r="AG284" s="83" t="n"/>
      <c r="AH284" s="84">
        <f>IF(OR($A284="",COUNT(AB284,AC284,AD284,AG284,AE284,AF284)&lt;1),"",AB284+AC284+AD284+AG284-AE284-AF284)</f>
        <v/>
      </c>
      <c r="AI284" s="84">
        <f>IF(OR($A284="",COUNT(AA284,AH284)&lt;2),"",AA284-AH284)</f>
        <v/>
      </c>
      <c r="AJ284" s="84">
        <f>IF(OR($A284="",COUNT(W284,AB284)&lt;2),"",W284-AB284)</f>
        <v/>
      </c>
      <c r="AK284" s="83" t="n"/>
      <c r="AL284" s="33" t="n"/>
      <c r="AM284" s="33" t="n"/>
      <c r="AN284" s="83" t="n"/>
      <c r="AO284" s="33" t="n"/>
      <c r="AP284" s="33" t="n"/>
      <c r="AQ284" s="33" t="n"/>
    </row>
    <row r="285">
      <c r="A285" s="33" t="n"/>
      <c r="B285" s="33" t="n"/>
      <c r="C285" s="33" t="n"/>
      <c r="D285" s="33" t="n"/>
      <c r="E285" s="33" t="n"/>
      <c r="F285" s="33" t="n"/>
      <c r="G285" s="33" t="n"/>
      <c r="H285" s="33" t="n"/>
      <c r="I285" s="33" t="n"/>
      <c r="J285" s="33" t="n"/>
      <c r="K285" s="34" t="n"/>
      <c r="L285" s="34" t="n"/>
      <c r="M285" s="34" t="n"/>
      <c r="N285" s="82" t="n"/>
      <c r="O285" s="82" t="n"/>
      <c r="P285" s="33" t="n"/>
      <c r="Q285" s="34" t="n"/>
      <c r="R285" s="83" t="n"/>
      <c r="S285" s="34" t="n"/>
      <c r="T285" s="33" t="n"/>
      <c r="U285" s="83" t="n"/>
      <c r="V285" s="33" t="n"/>
      <c r="W285" s="83" t="n"/>
      <c r="X285" s="83" t="n"/>
      <c r="Y285" s="83" t="n"/>
      <c r="Z285" s="83" t="n"/>
      <c r="AA285" s="84">
        <f>IF(OR($A285="",COUNT(W285,X285,Z285,Y285)&lt;1),"",W285+X285+Z285-Y285)</f>
        <v/>
      </c>
      <c r="AB285" s="83" t="n"/>
      <c r="AC285" s="83" t="n"/>
      <c r="AD285" s="83" t="n"/>
      <c r="AE285" s="83" t="n"/>
      <c r="AF285" s="83" t="n"/>
      <c r="AG285" s="83" t="n"/>
      <c r="AH285" s="84">
        <f>IF(OR($A285="",COUNT(AB285,AC285,AD285,AG285,AE285,AF285)&lt;1),"",AB285+AC285+AD285+AG285-AE285-AF285)</f>
        <v/>
      </c>
      <c r="AI285" s="84">
        <f>IF(OR($A285="",COUNT(AA285,AH285)&lt;2),"",AA285-AH285)</f>
        <v/>
      </c>
      <c r="AJ285" s="84">
        <f>IF(OR($A285="",COUNT(W285,AB285)&lt;2),"",W285-AB285)</f>
        <v/>
      </c>
      <c r="AK285" s="83" t="n"/>
      <c r="AL285" s="33" t="n"/>
      <c r="AM285" s="33" t="n"/>
      <c r="AN285" s="83" t="n"/>
      <c r="AO285" s="33" t="n"/>
      <c r="AP285" s="33" t="n"/>
      <c r="AQ285" s="33" t="n"/>
    </row>
    <row r="286">
      <c r="A286" s="33" t="n"/>
      <c r="B286" s="33" t="n"/>
      <c r="C286" s="33" t="n"/>
      <c r="D286" s="33" t="n"/>
      <c r="E286" s="33" t="n"/>
      <c r="F286" s="33" t="n"/>
      <c r="G286" s="33" t="n"/>
      <c r="H286" s="33" t="n"/>
      <c r="I286" s="33" t="n"/>
      <c r="J286" s="33" t="n"/>
      <c r="K286" s="34" t="n"/>
      <c r="L286" s="34" t="n"/>
      <c r="M286" s="34" t="n"/>
      <c r="N286" s="82" t="n"/>
      <c r="O286" s="82" t="n"/>
      <c r="P286" s="33" t="n"/>
      <c r="Q286" s="34" t="n"/>
      <c r="R286" s="83" t="n"/>
      <c r="S286" s="34" t="n"/>
      <c r="T286" s="33" t="n"/>
      <c r="U286" s="83" t="n"/>
      <c r="V286" s="33" t="n"/>
      <c r="W286" s="83" t="n"/>
      <c r="X286" s="83" t="n"/>
      <c r="Y286" s="83" t="n"/>
      <c r="Z286" s="83" t="n"/>
      <c r="AA286" s="84">
        <f>IF(OR($A286="",COUNT(W286,X286,Z286,Y286)&lt;1),"",W286+X286+Z286-Y286)</f>
        <v/>
      </c>
      <c r="AB286" s="83" t="n"/>
      <c r="AC286" s="83" t="n"/>
      <c r="AD286" s="83" t="n"/>
      <c r="AE286" s="83" t="n"/>
      <c r="AF286" s="83" t="n"/>
      <c r="AG286" s="83" t="n"/>
      <c r="AH286" s="84">
        <f>IF(OR($A286="",COUNT(AB286,AC286,AD286,AG286,AE286,AF286)&lt;1),"",AB286+AC286+AD286+AG286-AE286-AF286)</f>
        <v/>
      </c>
      <c r="AI286" s="84">
        <f>IF(OR($A286="",COUNT(AA286,AH286)&lt;2),"",AA286-AH286)</f>
        <v/>
      </c>
      <c r="AJ286" s="84">
        <f>IF(OR($A286="",COUNT(W286,AB286)&lt;2),"",W286-AB286)</f>
        <v/>
      </c>
      <c r="AK286" s="83" t="n"/>
      <c r="AL286" s="33" t="n"/>
      <c r="AM286" s="33" t="n"/>
      <c r="AN286" s="83" t="n"/>
      <c r="AO286" s="33" t="n"/>
      <c r="AP286" s="33" t="n"/>
      <c r="AQ286" s="33" t="n"/>
    </row>
    <row r="287">
      <c r="A287" s="33" t="n"/>
      <c r="B287" s="33" t="n"/>
      <c r="C287" s="33" t="n"/>
      <c r="D287" s="33" t="n"/>
      <c r="E287" s="33" t="n"/>
      <c r="F287" s="33" t="n"/>
      <c r="G287" s="33" t="n"/>
      <c r="H287" s="33" t="n"/>
      <c r="I287" s="33" t="n"/>
      <c r="J287" s="33" t="n"/>
      <c r="K287" s="34" t="n"/>
      <c r="L287" s="34" t="n"/>
      <c r="M287" s="34" t="n"/>
      <c r="N287" s="82" t="n"/>
      <c r="O287" s="82" t="n"/>
      <c r="P287" s="33" t="n"/>
      <c r="Q287" s="34" t="n"/>
      <c r="R287" s="83" t="n"/>
      <c r="S287" s="34" t="n"/>
      <c r="T287" s="33" t="n"/>
      <c r="U287" s="83" t="n"/>
      <c r="V287" s="33" t="n"/>
      <c r="W287" s="83" t="n"/>
      <c r="X287" s="83" t="n"/>
      <c r="Y287" s="83" t="n"/>
      <c r="Z287" s="83" t="n"/>
      <c r="AA287" s="84">
        <f>IF(OR($A287="",COUNT(W287,X287,Z287,Y287)&lt;1),"",W287+X287+Z287-Y287)</f>
        <v/>
      </c>
      <c r="AB287" s="83" t="n"/>
      <c r="AC287" s="83" t="n"/>
      <c r="AD287" s="83" t="n"/>
      <c r="AE287" s="83" t="n"/>
      <c r="AF287" s="83" t="n"/>
      <c r="AG287" s="83" t="n"/>
      <c r="AH287" s="84">
        <f>IF(OR($A287="",COUNT(AB287,AC287,AD287,AG287,AE287,AF287)&lt;1),"",AB287+AC287+AD287+AG287-AE287-AF287)</f>
        <v/>
      </c>
      <c r="AI287" s="84">
        <f>IF(OR($A287="",COUNT(AA287,AH287)&lt;2),"",AA287-AH287)</f>
        <v/>
      </c>
      <c r="AJ287" s="84">
        <f>IF(OR($A287="",COUNT(W287,AB287)&lt;2),"",W287-AB287)</f>
        <v/>
      </c>
      <c r="AK287" s="83" t="n"/>
      <c r="AL287" s="33" t="n"/>
      <c r="AM287" s="33" t="n"/>
      <c r="AN287" s="83" t="n"/>
      <c r="AO287" s="33" t="n"/>
      <c r="AP287" s="33" t="n"/>
      <c r="AQ287" s="33" t="n"/>
    </row>
    <row r="288">
      <c r="A288" s="33" t="n"/>
      <c r="B288" s="33" t="n"/>
      <c r="C288" s="33" t="n"/>
      <c r="D288" s="33" t="n"/>
      <c r="E288" s="33" t="n"/>
      <c r="F288" s="33" t="n"/>
      <c r="G288" s="33" t="n"/>
      <c r="H288" s="33" t="n"/>
      <c r="I288" s="33" t="n"/>
      <c r="J288" s="33" t="n"/>
      <c r="K288" s="34" t="n"/>
      <c r="L288" s="34" t="n"/>
      <c r="M288" s="34" t="n"/>
      <c r="N288" s="82" t="n"/>
      <c r="O288" s="82" t="n"/>
      <c r="P288" s="33" t="n"/>
      <c r="Q288" s="34" t="n"/>
      <c r="R288" s="83" t="n"/>
      <c r="S288" s="34" t="n"/>
      <c r="T288" s="33" t="n"/>
      <c r="U288" s="83" t="n"/>
      <c r="V288" s="33" t="n"/>
      <c r="W288" s="83" t="n"/>
      <c r="X288" s="83" t="n"/>
      <c r="Y288" s="83" t="n"/>
      <c r="Z288" s="83" t="n"/>
      <c r="AA288" s="84">
        <f>IF(OR($A288="",COUNT(W288,X288,Z288,Y288)&lt;1),"",W288+X288+Z288-Y288)</f>
        <v/>
      </c>
      <c r="AB288" s="83" t="n"/>
      <c r="AC288" s="83" t="n"/>
      <c r="AD288" s="83" t="n"/>
      <c r="AE288" s="83" t="n"/>
      <c r="AF288" s="83" t="n"/>
      <c r="AG288" s="83" t="n"/>
      <c r="AH288" s="84">
        <f>IF(OR($A288="",COUNT(AB288,AC288,AD288,AG288,AE288,AF288)&lt;1),"",AB288+AC288+AD288+AG288-AE288-AF288)</f>
        <v/>
      </c>
      <c r="AI288" s="84">
        <f>IF(OR($A288="",COUNT(AA288,AH288)&lt;2),"",AA288-AH288)</f>
        <v/>
      </c>
      <c r="AJ288" s="84">
        <f>IF(OR($A288="",COUNT(W288,AB288)&lt;2),"",W288-AB288)</f>
        <v/>
      </c>
      <c r="AK288" s="83" t="n"/>
      <c r="AL288" s="33" t="n"/>
      <c r="AM288" s="33" t="n"/>
      <c r="AN288" s="83" t="n"/>
      <c r="AO288" s="33" t="n"/>
      <c r="AP288" s="33" t="n"/>
      <c r="AQ288" s="33" t="n"/>
    </row>
    <row r="289">
      <c r="A289" s="33" t="n"/>
      <c r="B289" s="33" t="n"/>
      <c r="C289" s="33" t="n"/>
      <c r="D289" s="33" t="n"/>
      <c r="E289" s="33" t="n"/>
      <c r="F289" s="33" t="n"/>
      <c r="G289" s="33" t="n"/>
      <c r="H289" s="33" t="n"/>
      <c r="I289" s="33" t="n"/>
      <c r="J289" s="33" t="n"/>
      <c r="K289" s="34" t="n"/>
      <c r="L289" s="34" t="n"/>
      <c r="M289" s="34" t="n"/>
      <c r="N289" s="82" t="n"/>
      <c r="O289" s="82" t="n"/>
      <c r="P289" s="33" t="n"/>
      <c r="Q289" s="34" t="n"/>
      <c r="R289" s="83" t="n"/>
      <c r="S289" s="34" t="n"/>
      <c r="T289" s="33" t="n"/>
      <c r="U289" s="83" t="n"/>
      <c r="V289" s="33" t="n"/>
      <c r="W289" s="83" t="n"/>
      <c r="X289" s="83" t="n"/>
      <c r="Y289" s="83" t="n"/>
      <c r="Z289" s="83" t="n"/>
      <c r="AA289" s="84">
        <f>IF(OR($A289="",COUNT(W289,X289,Z289,Y289)&lt;1),"",W289+X289+Z289-Y289)</f>
        <v/>
      </c>
      <c r="AB289" s="83" t="n"/>
      <c r="AC289" s="83" t="n"/>
      <c r="AD289" s="83" t="n"/>
      <c r="AE289" s="83" t="n"/>
      <c r="AF289" s="83" t="n"/>
      <c r="AG289" s="83" t="n"/>
      <c r="AH289" s="84">
        <f>IF(OR($A289="",COUNT(AB289,AC289,AD289,AG289,AE289,AF289)&lt;1),"",AB289+AC289+AD289+AG289-AE289-AF289)</f>
        <v/>
      </c>
      <c r="AI289" s="84">
        <f>IF(OR($A289="",COUNT(AA289,AH289)&lt;2),"",AA289-AH289)</f>
        <v/>
      </c>
      <c r="AJ289" s="84">
        <f>IF(OR($A289="",COUNT(W289,AB289)&lt;2),"",W289-AB289)</f>
        <v/>
      </c>
      <c r="AK289" s="83" t="n"/>
      <c r="AL289" s="33" t="n"/>
      <c r="AM289" s="33" t="n"/>
      <c r="AN289" s="83" t="n"/>
      <c r="AO289" s="33" t="n"/>
      <c r="AP289" s="33" t="n"/>
      <c r="AQ289" s="33" t="n"/>
    </row>
    <row r="290">
      <c r="A290" s="33" t="n"/>
      <c r="B290" s="33" t="n"/>
      <c r="C290" s="33" t="n"/>
      <c r="D290" s="33" t="n"/>
      <c r="E290" s="33" t="n"/>
      <c r="F290" s="33" t="n"/>
      <c r="G290" s="33" t="n"/>
      <c r="H290" s="33" t="n"/>
      <c r="I290" s="33" t="n"/>
      <c r="J290" s="33" t="n"/>
      <c r="K290" s="34" t="n"/>
      <c r="L290" s="34" t="n"/>
      <c r="M290" s="34" t="n"/>
      <c r="N290" s="82" t="n"/>
      <c r="O290" s="82" t="n"/>
      <c r="P290" s="33" t="n"/>
      <c r="Q290" s="34" t="n"/>
      <c r="R290" s="83" t="n"/>
      <c r="S290" s="34" t="n"/>
      <c r="T290" s="33" t="n"/>
      <c r="U290" s="83" t="n"/>
      <c r="V290" s="33" t="n"/>
      <c r="W290" s="83" t="n"/>
      <c r="X290" s="83" t="n"/>
      <c r="Y290" s="83" t="n"/>
      <c r="Z290" s="83" t="n"/>
      <c r="AA290" s="84">
        <f>IF(OR($A290="",COUNT(W290,X290,Z290,Y290)&lt;1),"",W290+X290+Z290-Y290)</f>
        <v/>
      </c>
      <c r="AB290" s="83" t="n"/>
      <c r="AC290" s="83" t="n"/>
      <c r="AD290" s="83" t="n"/>
      <c r="AE290" s="83" t="n"/>
      <c r="AF290" s="83" t="n"/>
      <c r="AG290" s="83" t="n"/>
      <c r="AH290" s="84">
        <f>IF(OR($A290="",COUNT(AB290,AC290,AD290,AG290,AE290,AF290)&lt;1),"",AB290+AC290+AD290+AG290-AE290-AF290)</f>
        <v/>
      </c>
      <c r="AI290" s="84">
        <f>IF(OR($A290="",COUNT(AA290,AH290)&lt;2),"",AA290-AH290)</f>
        <v/>
      </c>
      <c r="AJ290" s="84">
        <f>IF(OR($A290="",COUNT(W290,AB290)&lt;2),"",W290-AB290)</f>
        <v/>
      </c>
      <c r="AK290" s="83" t="n"/>
      <c r="AL290" s="33" t="n"/>
      <c r="AM290" s="33" t="n"/>
      <c r="AN290" s="83" t="n"/>
      <c r="AO290" s="33" t="n"/>
      <c r="AP290" s="33" t="n"/>
      <c r="AQ290" s="33" t="n"/>
    </row>
    <row r="291">
      <c r="A291" s="33" t="n"/>
      <c r="B291" s="33" t="n"/>
      <c r="C291" s="33" t="n"/>
      <c r="D291" s="33" t="n"/>
      <c r="E291" s="33" t="n"/>
      <c r="F291" s="33" t="n"/>
      <c r="G291" s="33" t="n"/>
      <c r="H291" s="33" t="n"/>
      <c r="I291" s="33" t="n"/>
      <c r="J291" s="33" t="n"/>
      <c r="K291" s="34" t="n"/>
      <c r="L291" s="34" t="n"/>
      <c r="M291" s="34" t="n"/>
      <c r="N291" s="82" t="n"/>
      <c r="O291" s="82" t="n"/>
      <c r="P291" s="33" t="n"/>
      <c r="Q291" s="34" t="n"/>
      <c r="R291" s="83" t="n"/>
      <c r="S291" s="34" t="n"/>
      <c r="T291" s="33" t="n"/>
      <c r="U291" s="83" t="n"/>
      <c r="V291" s="33" t="n"/>
      <c r="W291" s="83" t="n"/>
      <c r="X291" s="83" t="n"/>
      <c r="Y291" s="83" t="n"/>
      <c r="Z291" s="83" t="n"/>
      <c r="AA291" s="84">
        <f>IF(OR($A291="",COUNT(W291,X291,Z291,Y291)&lt;1),"",W291+X291+Z291-Y291)</f>
        <v/>
      </c>
      <c r="AB291" s="83" t="n"/>
      <c r="AC291" s="83" t="n"/>
      <c r="AD291" s="83" t="n"/>
      <c r="AE291" s="83" t="n"/>
      <c r="AF291" s="83" t="n"/>
      <c r="AG291" s="83" t="n"/>
      <c r="AH291" s="84">
        <f>IF(OR($A291="",COUNT(AB291,AC291,AD291,AG291,AE291,AF291)&lt;1),"",AB291+AC291+AD291+AG291-AE291-AF291)</f>
        <v/>
      </c>
      <c r="AI291" s="84">
        <f>IF(OR($A291="",COUNT(AA291,AH291)&lt;2),"",AA291-AH291)</f>
        <v/>
      </c>
      <c r="AJ291" s="84">
        <f>IF(OR($A291="",COUNT(W291,AB291)&lt;2),"",W291-AB291)</f>
        <v/>
      </c>
      <c r="AK291" s="83" t="n"/>
      <c r="AL291" s="33" t="n"/>
      <c r="AM291" s="33" t="n"/>
      <c r="AN291" s="83" t="n"/>
      <c r="AO291" s="33" t="n"/>
      <c r="AP291" s="33" t="n"/>
      <c r="AQ291" s="33" t="n"/>
    </row>
    <row r="292">
      <c r="A292" s="33" t="n"/>
      <c r="B292" s="33" t="n"/>
      <c r="C292" s="33" t="n"/>
      <c r="D292" s="33" t="n"/>
      <c r="E292" s="33" t="n"/>
      <c r="F292" s="33" t="n"/>
      <c r="G292" s="33" t="n"/>
      <c r="H292" s="33" t="n"/>
      <c r="I292" s="33" t="n"/>
      <c r="J292" s="33" t="n"/>
      <c r="K292" s="34" t="n"/>
      <c r="L292" s="34" t="n"/>
      <c r="M292" s="34" t="n"/>
      <c r="N292" s="82" t="n"/>
      <c r="O292" s="82" t="n"/>
      <c r="P292" s="33" t="n"/>
      <c r="Q292" s="34" t="n"/>
      <c r="R292" s="83" t="n"/>
      <c r="S292" s="34" t="n"/>
      <c r="T292" s="33" t="n"/>
      <c r="U292" s="83" t="n"/>
      <c r="V292" s="33" t="n"/>
      <c r="W292" s="83" t="n"/>
      <c r="X292" s="83" t="n"/>
      <c r="Y292" s="83" t="n"/>
      <c r="Z292" s="83" t="n"/>
      <c r="AA292" s="84">
        <f>IF(OR($A292="",COUNT(W292,X292,Z292,Y292)&lt;1),"",W292+X292+Z292-Y292)</f>
        <v/>
      </c>
      <c r="AB292" s="83" t="n"/>
      <c r="AC292" s="83" t="n"/>
      <c r="AD292" s="83" t="n"/>
      <c r="AE292" s="83" t="n"/>
      <c r="AF292" s="83" t="n"/>
      <c r="AG292" s="83" t="n"/>
      <c r="AH292" s="84">
        <f>IF(OR($A292="",COUNT(AB292,AC292,AD292,AG292,AE292,AF292)&lt;1),"",AB292+AC292+AD292+AG292-AE292-AF292)</f>
        <v/>
      </c>
      <c r="AI292" s="84">
        <f>IF(OR($A292="",COUNT(AA292,AH292)&lt;2),"",AA292-AH292)</f>
        <v/>
      </c>
      <c r="AJ292" s="84">
        <f>IF(OR($A292="",COUNT(W292,AB292)&lt;2),"",W292-AB292)</f>
        <v/>
      </c>
      <c r="AK292" s="83" t="n"/>
      <c r="AL292" s="33" t="n"/>
      <c r="AM292" s="33" t="n"/>
      <c r="AN292" s="83" t="n"/>
      <c r="AO292" s="33" t="n"/>
      <c r="AP292" s="33" t="n"/>
      <c r="AQ292" s="33" t="n"/>
    </row>
    <row r="293">
      <c r="A293" s="33" t="n"/>
      <c r="B293" s="33" t="n"/>
      <c r="C293" s="33" t="n"/>
      <c r="D293" s="33" t="n"/>
      <c r="E293" s="33" t="n"/>
      <c r="F293" s="33" t="n"/>
      <c r="G293" s="33" t="n"/>
      <c r="H293" s="33" t="n"/>
      <c r="I293" s="33" t="n"/>
      <c r="J293" s="33" t="n"/>
      <c r="K293" s="34" t="n"/>
      <c r="L293" s="34" t="n"/>
      <c r="M293" s="34" t="n"/>
      <c r="N293" s="82" t="n"/>
      <c r="O293" s="82" t="n"/>
      <c r="P293" s="33" t="n"/>
      <c r="Q293" s="34" t="n"/>
      <c r="R293" s="83" t="n"/>
      <c r="S293" s="34" t="n"/>
      <c r="T293" s="33" t="n"/>
      <c r="U293" s="83" t="n"/>
      <c r="V293" s="33" t="n"/>
      <c r="W293" s="83" t="n"/>
      <c r="X293" s="83" t="n"/>
      <c r="Y293" s="83" t="n"/>
      <c r="Z293" s="83" t="n"/>
      <c r="AA293" s="84">
        <f>IF(OR($A293="",COUNT(W293,X293,Z293,Y293)&lt;1),"",W293+X293+Z293-Y293)</f>
        <v/>
      </c>
      <c r="AB293" s="83" t="n"/>
      <c r="AC293" s="83" t="n"/>
      <c r="AD293" s="83" t="n"/>
      <c r="AE293" s="83" t="n"/>
      <c r="AF293" s="83" t="n"/>
      <c r="AG293" s="83" t="n"/>
      <c r="AH293" s="84">
        <f>IF(OR($A293="",COUNT(AB293,AC293,AD293,AG293,AE293,AF293)&lt;1),"",AB293+AC293+AD293+AG293-AE293-AF293)</f>
        <v/>
      </c>
      <c r="AI293" s="84">
        <f>IF(OR($A293="",COUNT(AA293,AH293)&lt;2),"",AA293-AH293)</f>
        <v/>
      </c>
      <c r="AJ293" s="84">
        <f>IF(OR($A293="",COUNT(W293,AB293)&lt;2),"",W293-AB293)</f>
        <v/>
      </c>
      <c r="AK293" s="83" t="n"/>
      <c r="AL293" s="33" t="n"/>
      <c r="AM293" s="33" t="n"/>
      <c r="AN293" s="83" t="n"/>
      <c r="AO293" s="33" t="n"/>
      <c r="AP293" s="33" t="n"/>
      <c r="AQ293" s="33" t="n"/>
    </row>
    <row r="294">
      <c r="A294" s="33" t="n"/>
      <c r="B294" s="33" t="n"/>
      <c r="C294" s="33" t="n"/>
      <c r="D294" s="33" t="n"/>
      <c r="E294" s="33" t="n"/>
      <c r="F294" s="33" t="n"/>
      <c r="G294" s="33" t="n"/>
      <c r="H294" s="33" t="n"/>
      <c r="I294" s="33" t="n"/>
      <c r="J294" s="33" t="n"/>
      <c r="K294" s="34" t="n"/>
      <c r="L294" s="34" t="n"/>
      <c r="M294" s="34" t="n"/>
      <c r="N294" s="82" t="n"/>
      <c r="O294" s="82" t="n"/>
      <c r="P294" s="33" t="n"/>
      <c r="Q294" s="34" t="n"/>
      <c r="R294" s="83" t="n"/>
      <c r="S294" s="34" t="n"/>
      <c r="T294" s="33" t="n"/>
      <c r="U294" s="83" t="n"/>
      <c r="V294" s="33" t="n"/>
      <c r="W294" s="83" t="n"/>
      <c r="X294" s="83" t="n"/>
      <c r="Y294" s="83" t="n"/>
      <c r="Z294" s="83" t="n"/>
      <c r="AA294" s="84">
        <f>IF(OR($A294="",COUNT(W294,X294,Z294,Y294)&lt;1),"",W294+X294+Z294-Y294)</f>
        <v/>
      </c>
      <c r="AB294" s="83" t="n"/>
      <c r="AC294" s="83" t="n"/>
      <c r="AD294" s="83" t="n"/>
      <c r="AE294" s="83" t="n"/>
      <c r="AF294" s="83" t="n"/>
      <c r="AG294" s="83" t="n"/>
      <c r="AH294" s="84">
        <f>IF(OR($A294="",COUNT(AB294,AC294,AD294,AG294,AE294,AF294)&lt;1),"",AB294+AC294+AD294+AG294-AE294-AF294)</f>
        <v/>
      </c>
      <c r="AI294" s="84">
        <f>IF(OR($A294="",COUNT(AA294,AH294)&lt;2),"",AA294-AH294)</f>
        <v/>
      </c>
      <c r="AJ294" s="84">
        <f>IF(OR($A294="",COUNT(W294,AB294)&lt;2),"",W294-AB294)</f>
        <v/>
      </c>
      <c r="AK294" s="83" t="n"/>
      <c r="AL294" s="33" t="n"/>
      <c r="AM294" s="33" t="n"/>
      <c r="AN294" s="83" t="n"/>
      <c r="AO294" s="33" t="n"/>
      <c r="AP294" s="33" t="n"/>
      <c r="AQ294" s="33" t="n"/>
    </row>
    <row r="295">
      <c r="A295" s="33" t="n"/>
      <c r="B295" s="33" t="n"/>
      <c r="C295" s="33" t="n"/>
      <c r="D295" s="33" t="n"/>
      <c r="E295" s="33" t="n"/>
      <c r="F295" s="33" t="n"/>
      <c r="G295" s="33" t="n"/>
      <c r="H295" s="33" t="n"/>
      <c r="I295" s="33" t="n"/>
      <c r="J295" s="33" t="n"/>
      <c r="K295" s="34" t="n"/>
      <c r="L295" s="34" t="n"/>
      <c r="M295" s="34" t="n"/>
      <c r="N295" s="82" t="n"/>
      <c r="O295" s="82" t="n"/>
      <c r="P295" s="33" t="n"/>
      <c r="Q295" s="34" t="n"/>
      <c r="R295" s="83" t="n"/>
      <c r="S295" s="34" t="n"/>
      <c r="T295" s="33" t="n"/>
      <c r="U295" s="83" t="n"/>
      <c r="V295" s="33" t="n"/>
      <c r="W295" s="83" t="n"/>
      <c r="X295" s="83" t="n"/>
      <c r="Y295" s="83" t="n"/>
      <c r="Z295" s="83" t="n"/>
      <c r="AA295" s="84">
        <f>IF(OR($A295="",COUNT(W295,X295,Z295,Y295)&lt;1),"",W295+X295+Z295-Y295)</f>
        <v/>
      </c>
      <c r="AB295" s="83" t="n"/>
      <c r="AC295" s="83" t="n"/>
      <c r="AD295" s="83" t="n"/>
      <c r="AE295" s="83" t="n"/>
      <c r="AF295" s="83" t="n"/>
      <c r="AG295" s="83" t="n"/>
      <c r="AH295" s="84">
        <f>IF(OR($A295="",COUNT(AB295,AC295,AD295,AG295,AE295,AF295)&lt;1),"",AB295+AC295+AD295+AG295-AE295-AF295)</f>
        <v/>
      </c>
      <c r="AI295" s="84">
        <f>IF(OR($A295="",COUNT(AA295,AH295)&lt;2),"",AA295-AH295)</f>
        <v/>
      </c>
      <c r="AJ295" s="84">
        <f>IF(OR($A295="",COUNT(W295,AB295)&lt;2),"",W295-AB295)</f>
        <v/>
      </c>
      <c r="AK295" s="83" t="n"/>
      <c r="AL295" s="33" t="n"/>
      <c r="AM295" s="33" t="n"/>
      <c r="AN295" s="83" t="n"/>
      <c r="AO295" s="33" t="n"/>
      <c r="AP295" s="33" t="n"/>
      <c r="AQ295" s="33" t="n"/>
    </row>
    <row r="296">
      <c r="A296" s="33" t="n"/>
      <c r="B296" s="33" t="n"/>
      <c r="C296" s="33" t="n"/>
      <c r="D296" s="33" t="n"/>
      <c r="E296" s="33" t="n"/>
      <c r="F296" s="33" t="n"/>
      <c r="G296" s="33" t="n"/>
      <c r="H296" s="33" t="n"/>
      <c r="I296" s="33" t="n"/>
      <c r="J296" s="33" t="n"/>
      <c r="K296" s="34" t="n"/>
      <c r="L296" s="34" t="n"/>
      <c r="M296" s="34" t="n"/>
      <c r="N296" s="82" t="n"/>
      <c r="O296" s="82" t="n"/>
      <c r="P296" s="33" t="n"/>
      <c r="Q296" s="34" t="n"/>
      <c r="R296" s="83" t="n"/>
      <c r="S296" s="34" t="n"/>
      <c r="T296" s="33" t="n"/>
      <c r="U296" s="83" t="n"/>
      <c r="V296" s="33" t="n"/>
      <c r="W296" s="83" t="n"/>
      <c r="X296" s="83" t="n"/>
      <c r="Y296" s="83" t="n"/>
      <c r="Z296" s="83" t="n"/>
      <c r="AA296" s="84">
        <f>IF(OR($A296="",COUNT(W296,X296,Z296,Y296)&lt;1),"",W296+X296+Z296-Y296)</f>
        <v/>
      </c>
      <c r="AB296" s="83" t="n"/>
      <c r="AC296" s="83" t="n"/>
      <c r="AD296" s="83" t="n"/>
      <c r="AE296" s="83" t="n"/>
      <c r="AF296" s="83" t="n"/>
      <c r="AG296" s="83" t="n"/>
      <c r="AH296" s="84">
        <f>IF(OR($A296="",COUNT(AB296,AC296,AD296,AG296,AE296,AF296)&lt;1),"",AB296+AC296+AD296+AG296-AE296-AF296)</f>
        <v/>
      </c>
      <c r="AI296" s="84">
        <f>IF(OR($A296="",COUNT(AA296,AH296)&lt;2),"",AA296-AH296)</f>
        <v/>
      </c>
      <c r="AJ296" s="84">
        <f>IF(OR($A296="",COUNT(W296,AB296)&lt;2),"",W296-AB296)</f>
        <v/>
      </c>
      <c r="AK296" s="83" t="n"/>
      <c r="AL296" s="33" t="n"/>
      <c r="AM296" s="33" t="n"/>
      <c r="AN296" s="83" t="n"/>
      <c r="AO296" s="33" t="n"/>
      <c r="AP296" s="33" t="n"/>
      <c r="AQ296" s="33" t="n"/>
    </row>
    <row r="297">
      <c r="A297" s="33" t="n"/>
      <c r="B297" s="33" t="n"/>
      <c r="C297" s="33" t="n"/>
      <c r="D297" s="33" t="n"/>
      <c r="E297" s="33" t="n"/>
      <c r="F297" s="33" t="n"/>
      <c r="G297" s="33" t="n"/>
      <c r="H297" s="33" t="n"/>
      <c r="I297" s="33" t="n"/>
      <c r="J297" s="33" t="n"/>
      <c r="K297" s="34" t="n"/>
      <c r="L297" s="34" t="n"/>
      <c r="M297" s="34" t="n"/>
      <c r="N297" s="82" t="n"/>
      <c r="O297" s="82" t="n"/>
      <c r="P297" s="33" t="n"/>
      <c r="Q297" s="34" t="n"/>
      <c r="R297" s="83" t="n"/>
      <c r="S297" s="34" t="n"/>
      <c r="T297" s="33" t="n"/>
      <c r="U297" s="83" t="n"/>
      <c r="V297" s="33" t="n"/>
      <c r="W297" s="83" t="n"/>
      <c r="X297" s="83" t="n"/>
      <c r="Y297" s="83" t="n"/>
      <c r="Z297" s="83" t="n"/>
      <c r="AA297" s="84">
        <f>IF(OR($A297="",COUNT(W297,X297,Z297,Y297)&lt;1),"",W297+X297+Z297-Y297)</f>
        <v/>
      </c>
      <c r="AB297" s="83" t="n"/>
      <c r="AC297" s="83" t="n"/>
      <c r="AD297" s="83" t="n"/>
      <c r="AE297" s="83" t="n"/>
      <c r="AF297" s="83" t="n"/>
      <c r="AG297" s="83" t="n"/>
      <c r="AH297" s="84">
        <f>IF(OR($A297="",COUNT(AB297,AC297,AD297,AG297,AE297,AF297)&lt;1),"",AB297+AC297+AD297+AG297-AE297-AF297)</f>
        <v/>
      </c>
      <c r="AI297" s="84">
        <f>IF(OR($A297="",COUNT(AA297,AH297)&lt;2),"",AA297-AH297)</f>
        <v/>
      </c>
      <c r="AJ297" s="84">
        <f>IF(OR($A297="",COUNT(W297,AB297)&lt;2),"",W297-AB297)</f>
        <v/>
      </c>
      <c r="AK297" s="83" t="n"/>
      <c r="AL297" s="33" t="n"/>
      <c r="AM297" s="33" t="n"/>
      <c r="AN297" s="83" t="n"/>
      <c r="AO297" s="33" t="n"/>
      <c r="AP297" s="33" t="n"/>
      <c r="AQ297" s="33" t="n"/>
    </row>
    <row r="298">
      <c r="A298" s="33" t="n"/>
      <c r="B298" s="33" t="n"/>
      <c r="C298" s="33" t="n"/>
      <c r="D298" s="33" t="n"/>
      <c r="E298" s="33" t="n"/>
      <c r="F298" s="33" t="n"/>
      <c r="G298" s="33" t="n"/>
      <c r="H298" s="33" t="n"/>
      <c r="I298" s="33" t="n"/>
      <c r="J298" s="33" t="n"/>
      <c r="K298" s="34" t="n"/>
      <c r="L298" s="34" t="n"/>
      <c r="M298" s="34" t="n"/>
      <c r="N298" s="82" t="n"/>
      <c r="O298" s="82" t="n"/>
      <c r="P298" s="33" t="n"/>
      <c r="Q298" s="34" t="n"/>
      <c r="R298" s="83" t="n"/>
      <c r="S298" s="34" t="n"/>
      <c r="T298" s="33" t="n"/>
      <c r="U298" s="83" t="n"/>
      <c r="V298" s="33" t="n"/>
      <c r="W298" s="83" t="n"/>
      <c r="X298" s="83" t="n"/>
      <c r="Y298" s="83" t="n"/>
      <c r="Z298" s="83" t="n"/>
      <c r="AA298" s="84">
        <f>IF(OR($A298="",COUNT(W298,X298,Z298,Y298)&lt;1),"",W298+X298+Z298-Y298)</f>
        <v/>
      </c>
      <c r="AB298" s="83" t="n"/>
      <c r="AC298" s="83" t="n"/>
      <c r="AD298" s="83" t="n"/>
      <c r="AE298" s="83" t="n"/>
      <c r="AF298" s="83" t="n"/>
      <c r="AG298" s="83" t="n"/>
      <c r="AH298" s="84">
        <f>IF(OR($A298="",COUNT(AB298,AC298,AD298,AG298,AE298,AF298)&lt;1),"",AB298+AC298+AD298+AG298-AE298-AF298)</f>
        <v/>
      </c>
      <c r="AI298" s="84">
        <f>IF(OR($A298="",COUNT(AA298,AH298)&lt;2),"",AA298-AH298)</f>
        <v/>
      </c>
      <c r="AJ298" s="84">
        <f>IF(OR($A298="",COUNT(W298,AB298)&lt;2),"",W298-AB298)</f>
        <v/>
      </c>
      <c r="AK298" s="83" t="n"/>
      <c r="AL298" s="33" t="n"/>
      <c r="AM298" s="33" t="n"/>
      <c r="AN298" s="83" t="n"/>
      <c r="AO298" s="33" t="n"/>
      <c r="AP298" s="33" t="n"/>
      <c r="AQ298" s="33" t="n"/>
    </row>
    <row r="299">
      <c r="A299" s="33" t="n"/>
      <c r="B299" s="33" t="n"/>
      <c r="C299" s="33" t="n"/>
      <c r="D299" s="33" t="n"/>
      <c r="E299" s="33" t="n"/>
      <c r="F299" s="33" t="n"/>
      <c r="G299" s="33" t="n"/>
      <c r="H299" s="33" t="n"/>
      <c r="I299" s="33" t="n"/>
      <c r="J299" s="33" t="n"/>
      <c r="K299" s="34" t="n"/>
      <c r="L299" s="34" t="n"/>
      <c r="M299" s="34" t="n"/>
      <c r="N299" s="82" t="n"/>
      <c r="O299" s="82" t="n"/>
      <c r="P299" s="33" t="n"/>
      <c r="Q299" s="34" t="n"/>
      <c r="R299" s="83" t="n"/>
      <c r="S299" s="34" t="n"/>
      <c r="T299" s="33" t="n"/>
      <c r="U299" s="83" t="n"/>
      <c r="V299" s="33" t="n"/>
      <c r="W299" s="83" t="n"/>
      <c r="X299" s="83" t="n"/>
      <c r="Y299" s="83" t="n"/>
      <c r="Z299" s="83" t="n"/>
      <c r="AA299" s="84">
        <f>IF(OR($A299="",COUNT(W299,X299,Z299,Y299)&lt;1),"",W299+X299+Z299-Y299)</f>
        <v/>
      </c>
      <c r="AB299" s="83" t="n"/>
      <c r="AC299" s="83" t="n"/>
      <c r="AD299" s="83" t="n"/>
      <c r="AE299" s="83" t="n"/>
      <c r="AF299" s="83" t="n"/>
      <c r="AG299" s="83" t="n"/>
      <c r="AH299" s="84">
        <f>IF(OR($A299="",COUNT(AB299,AC299,AD299,AG299,AE299,AF299)&lt;1),"",AB299+AC299+AD299+AG299-AE299-AF299)</f>
        <v/>
      </c>
      <c r="AI299" s="84">
        <f>IF(OR($A299="",COUNT(AA299,AH299)&lt;2),"",AA299-AH299)</f>
        <v/>
      </c>
      <c r="AJ299" s="84">
        <f>IF(OR($A299="",COUNT(W299,AB299)&lt;2),"",W299-AB299)</f>
        <v/>
      </c>
      <c r="AK299" s="83" t="n"/>
      <c r="AL299" s="33" t="n"/>
      <c r="AM299" s="33" t="n"/>
      <c r="AN299" s="83" t="n"/>
      <c r="AO299" s="33" t="n"/>
      <c r="AP299" s="33" t="n"/>
      <c r="AQ299" s="33" t="n"/>
    </row>
    <row r="300">
      <c r="A300" s="33" t="n"/>
      <c r="B300" s="33" t="n"/>
      <c r="C300" s="33" t="n"/>
      <c r="D300" s="33" t="n"/>
      <c r="E300" s="33" t="n"/>
      <c r="F300" s="33" t="n"/>
      <c r="G300" s="33" t="n"/>
      <c r="H300" s="33" t="n"/>
      <c r="I300" s="33" t="n"/>
      <c r="J300" s="33" t="n"/>
      <c r="K300" s="34" t="n"/>
      <c r="L300" s="34" t="n"/>
      <c r="M300" s="34" t="n"/>
      <c r="N300" s="82" t="n"/>
      <c r="O300" s="82" t="n"/>
      <c r="P300" s="33" t="n"/>
      <c r="Q300" s="34" t="n"/>
      <c r="R300" s="83" t="n"/>
      <c r="S300" s="34" t="n"/>
      <c r="T300" s="33" t="n"/>
      <c r="U300" s="83" t="n"/>
      <c r="V300" s="33" t="n"/>
      <c r="W300" s="83" t="n"/>
      <c r="X300" s="83" t="n"/>
      <c r="Y300" s="83" t="n"/>
      <c r="Z300" s="83" t="n"/>
      <c r="AA300" s="84">
        <f>IF(OR($A300="",COUNT(W300,X300,Z300,Y300)&lt;1),"",W300+X300+Z300-Y300)</f>
        <v/>
      </c>
      <c r="AB300" s="83" t="n"/>
      <c r="AC300" s="83" t="n"/>
      <c r="AD300" s="83" t="n"/>
      <c r="AE300" s="83" t="n"/>
      <c r="AF300" s="83" t="n"/>
      <c r="AG300" s="83" t="n"/>
      <c r="AH300" s="84">
        <f>IF(OR($A300="",COUNT(AB300,AC300,AD300,AG300,AE300,AF300)&lt;1),"",AB300+AC300+AD300+AG300-AE300-AF300)</f>
        <v/>
      </c>
      <c r="AI300" s="84">
        <f>IF(OR($A300="",COUNT(AA300,AH300)&lt;2),"",AA300-AH300)</f>
        <v/>
      </c>
      <c r="AJ300" s="84">
        <f>IF(OR($A300="",COUNT(W300,AB300)&lt;2),"",W300-AB300)</f>
        <v/>
      </c>
      <c r="AK300" s="83" t="n"/>
      <c r="AL300" s="33" t="n"/>
      <c r="AM300" s="33" t="n"/>
      <c r="AN300" s="83" t="n"/>
      <c r="AO300" s="33" t="n"/>
      <c r="AP300" s="33" t="n"/>
      <c r="AQ300" s="33" t="n"/>
    </row>
    <row r="301">
      <c r="A301" s="33" t="n"/>
      <c r="B301" s="33" t="n"/>
      <c r="C301" s="33" t="n"/>
      <c r="D301" s="33" t="n"/>
      <c r="E301" s="33" t="n"/>
      <c r="F301" s="33" t="n"/>
      <c r="G301" s="33" t="n"/>
      <c r="H301" s="33" t="n"/>
      <c r="I301" s="33" t="n"/>
      <c r="J301" s="33" t="n"/>
      <c r="K301" s="34" t="n"/>
      <c r="L301" s="34" t="n"/>
      <c r="M301" s="34" t="n"/>
      <c r="N301" s="82" t="n"/>
      <c r="O301" s="82" t="n"/>
      <c r="P301" s="33" t="n"/>
      <c r="Q301" s="34" t="n"/>
      <c r="R301" s="83" t="n"/>
      <c r="S301" s="34" t="n"/>
      <c r="T301" s="33" t="n"/>
      <c r="U301" s="83" t="n"/>
      <c r="V301" s="33" t="n"/>
      <c r="W301" s="83" t="n"/>
      <c r="X301" s="83" t="n"/>
      <c r="Y301" s="83" t="n"/>
      <c r="Z301" s="83" t="n"/>
      <c r="AA301" s="84">
        <f>IF(OR($A301="",COUNT(W301,X301,Z301,Y301)&lt;1),"",W301+X301+Z301-Y301)</f>
        <v/>
      </c>
      <c r="AB301" s="83" t="n"/>
      <c r="AC301" s="83" t="n"/>
      <c r="AD301" s="83" t="n"/>
      <c r="AE301" s="83" t="n"/>
      <c r="AF301" s="83" t="n"/>
      <c r="AG301" s="83" t="n"/>
      <c r="AH301" s="84">
        <f>IF(OR($A301="",COUNT(AB301,AC301,AD301,AG301,AE301,AF301)&lt;1),"",AB301+AC301+AD301+AG301-AE301-AF301)</f>
        <v/>
      </c>
      <c r="AI301" s="84">
        <f>IF(OR($A301="",COUNT(AA301,AH301)&lt;2),"",AA301-AH301)</f>
        <v/>
      </c>
      <c r="AJ301" s="84">
        <f>IF(OR($A301="",COUNT(W301,AB301)&lt;2),"",W301-AB301)</f>
        <v/>
      </c>
      <c r="AK301" s="83" t="n"/>
      <c r="AL301" s="33" t="n"/>
      <c r="AM301" s="33" t="n"/>
      <c r="AN301" s="83" t="n"/>
      <c r="AO301" s="33" t="n"/>
      <c r="AP301" s="33" t="n"/>
      <c r="AQ301" s="33" t="n"/>
    </row>
    <row r="302">
      <c r="A302" s="33" t="n"/>
      <c r="B302" s="33" t="n"/>
      <c r="C302" s="33" t="n"/>
      <c r="D302" s="33" t="n"/>
      <c r="E302" s="33" t="n"/>
      <c r="F302" s="33" t="n"/>
      <c r="G302" s="33" t="n"/>
      <c r="H302" s="33" t="n"/>
      <c r="I302" s="33" t="n"/>
      <c r="J302" s="33" t="n"/>
      <c r="K302" s="34" t="n"/>
      <c r="L302" s="34" t="n"/>
      <c r="M302" s="34" t="n"/>
      <c r="N302" s="82" t="n"/>
      <c r="O302" s="82" t="n"/>
      <c r="P302" s="33" t="n"/>
      <c r="Q302" s="34" t="n"/>
      <c r="R302" s="83" t="n"/>
      <c r="S302" s="34" t="n"/>
      <c r="T302" s="33" t="n"/>
      <c r="U302" s="83" t="n"/>
      <c r="V302" s="33" t="n"/>
      <c r="W302" s="83" t="n"/>
      <c r="X302" s="83" t="n"/>
      <c r="Y302" s="83" t="n"/>
      <c r="Z302" s="83" t="n"/>
      <c r="AA302" s="84">
        <f>IF(OR($A302="",COUNT(W302,X302,Z302,Y302)&lt;1),"",W302+X302+Z302-Y302)</f>
        <v/>
      </c>
      <c r="AB302" s="83" t="n"/>
      <c r="AC302" s="83" t="n"/>
      <c r="AD302" s="83" t="n"/>
      <c r="AE302" s="83" t="n"/>
      <c r="AF302" s="83" t="n"/>
      <c r="AG302" s="83" t="n"/>
      <c r="AH302" s="84">
        <f>IF(OR($A302="",COUNT(AB302,AC302,AD302,AG302,AE302,AF302)&lt;1),"",AB302+AC302+AD302+AG302-AE302-AF302)</f>
        <v/>
      </c>
      <c r="AI302" s="84">
        <f>IF(OR($A302="",COUNT(AA302,AH302)&lt;2),"",AA302-AH302)</f>
        <v/>
      </c>
      <c r="AJ302" s="84">
        <f>IF(OR($A302="",COUNT(W302,AB302)&lt;2),"",W302-AB302)</f>
        <v/>
      </c>
      <c r="AK302" s="83" t="n"/>
      <c r="AL302" s="33" t="n"/>
      <c r="AM302" s="33" t="n"/>
      <c r="AN302" s="83" t="n"/>
      <c r="AO302" s="33" t="n"/>
      <c r="AP302" s="33" t="n"/>
      <c r="AQ302" s="33" t="n"/>
    </row>
    <row r="303">
      <c r="A303" s="33" t="n"/>
      <c r="B303" s="33" t="n"/>
      <c r="C303" s="33" t="n"/>
      <c r="D303" s="33" t="n"/>
      <c r="E303" s="33" t="n"/>
      <c r="F303" s="33" t="n"/>
      <c r="G303" s="33" t="n"/>
      <c r="H303" s="33" t="n"/>
      <c r="I303" s="33" t="n"/>
      <c r="J303" s="33" t="n"/>
      <c r="K303" s="34" t="n"/>
      <c r="L303" s="34" t="n"/>
      <c r="M303" s="34" t="n"/>
      <c r="N303" s="82" t="n"/>
      <c r="O303" s="82" t="n"/>
      <c r="P303" s="33" t="n"/>
      <c r="Q303" s="34" t="n"/>
      <c r="R303" s="83" t="n"/>
      <c r="S303" s="34" t="n"/>
      <c r="T303" s="33" t="n"/>
      <c r="U303" s="83" t="n"/>
      <c r="V303" s="33" t="n"/>
      <c r="W303" s="83" t="n"/>
      <c r="X303" s="83" t="n"/>
      <c r="Y303" s="83" t="n"/>
      <c r="Z303" s="83" t="n"/>
      <c r="AA303" s="84">
        <f>IF(OR($A303="",COUNT(W303,X303,Z303,Y303)&lt;1),"",W303+X303+Z303-Y303)</f>
        <v/>
      </c>
      <c r="AB303" s="83" t="n"/>
      <c r="AC303" s="83" t="n"/>
      <c r="AD303" s="83" t="n"/>
      <c r="AE303" s="83" t="n"/>
      <c r="AF303" s="83" t="n"/>
      <c r="AG303" s="83" t="n"/>
      <c r="AH303" s="84">
        <f>IF(OR($A303="",COUNT(AB303,AC303,AD303,AG303,AE303,AF303)&lt;1),"",AB303+AC303+AD303+AG303-AE303-AF303)</f>
        <v/>
      </c>
      <c r="AI303" s="84">
        <f>IF(OR($A303="",COUNT(AA303,AH303)&lt;2),"",AA303-AH303)</f>
        <v/>
      </c>
      <c r="AJ303" s="84">
        <f>IF(OR($A303="",COUNT(W303,AB303)&lt;2),"",W303-AB303)</f>
        <v/>
      </c>
      <c r="AK303" s="83" t="n"/>
      <c r="AL303" s="33" t="n"/>
      <c r="AM303" s="33" t="n"/>
      <c r="AN303" s="83" t="n"/>
      <c r="AO303" s="33" t="n"/>
      <c r="AP303" s="33" t="n"/>
      <c r="AQ303" s="33" t="n"/>
    </row>
    <row r="304">
      <c r="A304" s="33" t="n"/>
      <c r="B304" s="33" t="n"/>
      <c r="C304" s="33" t="n"/>
      <c r="D304" s="33" t="n"/>
      <c r="E304" s="33" t="n"/>
      <c r="F304" s="33" t="n"/>
      <c r="G304" s="33" t="n"/>
      <c r="H304" s="33" t="n"/>
      <c r="I304" s="33" t="n"/>
      <c r="J304" s="33" t="n"/>
      <c r="K304" s="34" t="n"/>
      <c r="L304" s="34" t="n"/>
      <c r="M304" s="34" t="n"/>
      <c r="N304" s="82" t="n"/>
      <c r="O304" s="82" t="n"/>
      <c r="P304" s="33" t="n"/>
      <c r="Q304" s="34" t="n"/>
      <c r="R304" s="83" t="n"/>
      <c r="S304" s="34" t="n"/>
      <c r="T304" s="33" t="n"/>
      <c r="U304" s="83" t="n"/>
      <c r="V304" s="33" t="n"/>
      <c r="W304" s="83" t="n"/>
      <c r="X304" s="83" t="n"/>
      <c r="Y304" s="83" t="n"/>
      <c r="Z304" s="83" t="n"/>
      <c r="AA304" s="84">
        <f>IF(OR($A304="",COUNT(W304,X304,Z304,Y304)&lt;1),"",W304+X304+Z304-Y304)</f>
        <v/>
      </c>
      <c r="AB304" s="83" t="n"/>
      <c r="AC304" s="83" t="n"/>
      <c r="AD304" s="83" t="n"/>
      <c r="AE304" s="83" t="n"/>
      <c r="AF304" s="83" t="n"/>
      <c r="AG304" s="83" t="n"/>
      <c r="AH304" s="84">
        <f>IF(OR($A304="",COUNT(AB304,AC304,AD304,AG304,AE304,AF304)&lt;1),"",AB304+AC304+AD304+AG304-AE304-AF304)</f>
        <v/>
      </c>
      <c r="AI304" s="84">
        <f>IF(OR($A304="",COUNT(AA304,AH304)&lt;2),"",AA304-AH304)</f>
        <v/>
      </c>
      <c r="AJ304" s="84">
        <f>IF(OR($A304="",COUNT(W304,AB304)&lt;2),"",W304-AB304)</f>
        <v/>
      </c>
      <c r="AK304" s="83" t="n"/>
      <c r="AL304" s="33" t="n"/>
      <c r="AM304" s="33" t="n"/>
      <c r="AN304" s="83" t="n"/>
      <c r="AO304" s="33" t="n"/>
      <c r="AP304" s="33" t="n"/>
      <c r="AQ304" s="33" t="n"/>
    </row>
    <row r="305">
      <c r="A305" s="33" t="n"/>
      <c r="B305" s="33" t="n"/>
      <c r="C305" s="33" t="n"/>
      <c r="D305" s="33" t="n"/>
      <c r="E305" s="33" t="n"/>
      <c r="F305" s="33" t="n"/>
      <c r="G305" s="33" t="n"/>
      <c r="H305" s="33" t="n"/>
      <c r="I305" s="33" t="n"/>
      <c r="J305" s="33" t="n"/>
      <c r="K305" s="34" t="n"/>
      <c r="L305" s="34" t="n"/>
      <c r="M305" s="34" t="n"/>
      <c r="N305" s="82" t="n"/>
      <c r="O305" s="82" t="n"/>
      <c r="P305" s="33" t="n"/>
      <c r="Q305" s="34" t="n"/>
      <c r="R305" s="83" t="n"/>
      <c r="S305" s="34" t="n"/>
      <c r="T305" s="33" t="n"/>
      <c r="U305" s="83" t="n"/>
      <c r="V305" s="33" t="n"/>
      <c r="W305" s="83" t="n"/>
      <c r="X305" s="83" t="n"/>
      <c r="Y305" s="83" t="n"/>
      <c r="Z305" s="83" t="n"/>
      <c r="AA305" s="84">
        <f>IF(OR($A305="",COUNT(W305,X305,Z305,Y305)&lt;1),"",W305+X305+Z305-Y305)</f>
        <v/>
      </c>
      <c r="AB305" s="83" t="n"/>
      <c r="AC305" s="83" t="n"/>
      <c r="AD305" s="83" t="n"/>
      <c r="AE305" s="83" t="n"/>
      <c r="AF305" s="83" t="n"/>
      <c r="AG305" s="83" t="n"/>
      <c r="AH305" s="84">
        <f>IF(OR($A305="",COUNT(AB305,AC305,AD305,AG305,AE305,AF305)&lt;1),"",AB305+AC305+AD305+AG305-AE305-AF305)</f>
        <v/>
      </c>
      <c r="AI305" s="84">
        <f>IF(OR($A305="",COUNT(AA305,AH305)&lt;2),"",AA305-AH305)</f>
        <v/>
      </c>
      <c r="AJ305" s="84">
        <f>IF(OR($A305="",COUNT(W305,AB305)&lt;2),"",W305-AB305)</f>
        <v/>
      </c>
      <c r="AK305" s="83" t="n"/>
      <c r="AL305" s="33" t="n"/>
      <c r="AM305" s="33" t="n"/>
      <c r="AN305" s="83" t="n"/>
      <c r="AO305" s="33" t="n"/>
      <c r="AP305" s="33" t="n"/>
      <c r="AQ305" s="33" t="n"/>
    </row>
    <row r="306">
      <c r="A306" s="33" t="n"/>
      <c r="B306" s="33" t="n"/>
      <c r="C306" s="33" t="n"/>
      <c r="D306" s="33" t="n"/>
      <c r="E306" s="33" t="n"/>
      <c r="F306" s="33" t="n"/>
      <c r="G306" s="33" t="n"/>
      <c r="H306" s="33" t="n"/>
      <c r="I306" s="33" t="n"/>
      <c r="J306" s="33" t="n"/>
      <c r="K306" s="34" t="n"/>
      <c r="L306" s="34" t="n"/>
      <c r="M306" s="34" t="n"/>
      <c r="N306" s="82" t="n"/>
      <c r="O306" s="82" t="n"/>
      <c r="P306" s="33" t="n"/>
      <c r="Q306" s="34" t="n"/>
      <c r="R306" s="83" t="n"/>
      <c r="S306" s="34" t="n"/>
      <c r="T306" s="33" t="n"/>
      <c r="U306" s="83" t="n"/>
      <c r="V306" s="33" t="n"/>
      <c r="W306" s="83" t="n"/>
      <c r="X306" s="83" t="n"/>
      <c r="Y306" s="83" t="n"/>
      <c r="Z306" s="83" t="n"/>
      <c r="AA306" s="84">
        <f>IF(OR($A306="",COUNT(W306,X306,Z306,Y306)&lt;1),"",W306+X306+Z306-Y306)</f>
        <v/>
      </c>
      <c r="AB306" s="83" t="n"/>
      <c r="AC306" s="83" t="n"/>
      <c r="AD306" s="83" t="n"/>
      <c r="AE306" s="83" t="n"/>
      <c r="AF306" s="83" t="n"/>
      <c r="AG306" s="83" t="n"/>
      <c r="AH306" s="84">
        <f>IF(OR($A306="",COUNT(AB306,AC306,AD306,AG306,AE306,AF306)&lt;1),"",AB306+AC306+AD306+AG306-AE306-AF306)</f>
        <v/>
      </c>
      <c r="AI306" s="84">
        <f>IF(OR($A306="",COUNT(AA306,AH306)&lt;2),"",AA306-AH306)</f>
        <v/>
      </c>
      <c r="AJ306" s="84">
        <f>IF(OR($A306="",COUNT(W306,AB306)&lt;2),"",W306-AB306)</f>
        <v/>
      </c>
      <c r="AK306" s="83" t="n"/>
      <c r="AL306" s="33" t="n"/>
      <c r="AM306" s="33" t="n"/>
      <c r="AN306" s="83" t="n"/>
      <c r="AO306" s="33" t="n"/>
      <c r="AP306" s="33" t="n"/>
      <c r="AQ306" s="33" t="n"/>
    </row>
    <row r="307">
      <c r="A307" s="33" t="n"/>
      <c r="B307" s="33" t="n"/>
      <c r="C307" s="33" t="n"/>
      <c r="D307" s="33" t="n"/>
      <c r="E307" s="33" t="n"/>
      <c r="F307" s="33" t="n"/>
      <c r="G307" s="33" t="n"/>
      <c r="H307" s="33" t="n"/>
      <c r="I307" s="33" t="n"/>
      <c r="J307" s="33" t="n"/>
      <c r="K307" s="34" t="n"/>
      <c r="L307" s="34" t="n"/>
      <c r="M307" s="34" t="n"/>
      <c r="N307" s="82" t="n"/>
      <c r="O307" s="82" t="n"/>
      <c r="P307" s="33" t="n"/>
      <c r="Q307" s="34" t="n"/>
      <c r="R307" s="83" t="n"/>
      <c r="S307" s="34" t="n"/>
      <c r="T307" s="33" t="n"/>
      <c r="U307" s="83" t="n"/>
      <c r="V307" s="33" t="n"/>
      <c r="W307" s="83" t="n"/>
      <c r="X307" s="83" t="n"/>
      <c r="Y307" s="83" t="n"/>
      <c r="Z307" s="83" t="n"/>
      <c r="AA307" s="84">
        <f>IF(OR($A307="",COUNT(W307,X307,Z307,Y307)&lt;1),"",W307+X307+Z307-Y307)</f>
        <v/>
      </c>
      <c r="AB307" s="83" t="n"/>
      <c r="AC307" s="83" t="n"/>
      <c r="AD307" s="83" t="n"/>
      <c r="AE307" s="83" t="n"/>
      <c r="AF307" s="83" t="n"/>
      <c r="AG307" s="83" t="n"/>
      <c r="AH307" s="84">
        <f>IF(OR($A307="",COUNT(AB307,AC307,AD307,AG307,AE307,AF307)&lt;1),"",AB307+AC307+AD307+AG307-AE307-AF307)</f>
        <v/>
      </c>
      <c r="AI307" s="84">
        <f>IF(OR($A307="",COUNT(AA307,AH307)&lt;2),"",AA307-AH307)</f>
        <v/>
      </c>
      <c r="AJ307" s="84">
        <f>IF(OR($A307="",COUNT(W307,AB307)&lt;2),"",W307-AB307)</f>
        <v/>
      </c>
      <c r="AK307" s="83" t="n"/>
      <c r="AL307" s="33" t="n"/>
      <c r="AM307" s="33" t="n"/>
      <c r="AN307" s="83" t="n"/>
      <c r="AO307" s="33" t="n"/>
      <c r="AP307" s="33" t="n"/>
      <c r="AQ307" s="33" t="n"/>
    </row>
    <row r="308">
      <c r="A308" s="33" t="n"/>
      <c r="B308" s="33" t="n"/>
      <c r="C308" s="33" t="n"/>
      <c r="D308" s="33" t="n"/>
      <c r="E308" s="33" t="n"/>
      <c r="F308" s="33" t="n"/>
      <c r="G308" s="33" t="n"/>
      <c r="H308" s="33" t="n"/>
      <c r="I308" s="33" t="n"/>
      <c r="J308" s="33" t="n"/>
      <c r="K308" s="34" t="n"/>
      <c r="L308" s="34" t="n"/>
      <c r="M308" s="34" t="n"/>
      <c r="N308" s="82" t="n"/>
      <c r="O308" s="82" t="n"/>
      <c r="P308" s="33" t="n"/>
      <c r="Q308" s="34" t="n"/>
      <c r="R308" s="83" t="n"/>
      <c r="S308" s="34" t="n"/>
      <c r="T308" s="33" t="n"/>
      <c r="U308" s="83" t="n"/>
      <c r="V308" s="33" t="n"/>
      <c r="W308" s="83" t="n"/>
      <c r="X308" s="83" t="n"/>
      <c r="Y308" s="83" t="n"/>
      <c r="Z308" s="83" t="n"/>
      <c r="AA308" s="84">
        <f>IF(OR($A308="",COUNT(W308,X308,Z308,Y308)&lt;1),"",W308+X308+Z308-Y308)</f>
        <v/>
      </c>
      <c r="AB308" s="83" t="n"/>
      <c r="AC308" s="83" t="n"/>
      <c r="AD308" s="83" t="n"/>
      <c r="AE308" s="83" t="n"/>
      <c r="AF308" s="83" t="n"/>
      <c r="AG308" s="83" t="n"/>
      <c r="AH308" s="84">
        <f>IF(OR($A308="",COUNT(AB308,AC308,AD308,AG308,AE308,AF308)&lt;1),"",AB308+AC308+AD308+AG308-AE308-AF308)</f>
        <v/>
      </c>
      <c r="AI308" s="84">
        <f>IF(OR($A308="",COUNT(AA308,AH308)&lt;2),"",AA308-AH308)</f>
        <v/>
      </c>
      <c r="AJ308" s="84">
        <f>IF(OR($A308="",COUNT(W308,AB308)&lt;2),"",W308-AB308)</f>
        <v/>
      </c>
      <c r="AK308" s="83" t="n"/>
      <c r="AL308" s="33" t="n"/>
      <c r="AM308" s="33" t="n"/>
      <c r="AN308" s="83" t="n"/>
      <c r="AO308" s="33" t="n"/>
      <c r="AP308" s="33" t="n"/>
      <c r="AQ308" s="33" t="n"/>
    </row>
    <row r="309">
      <c r="A309" s="33" t="n"/>
      <c r="B309" s="33" t="n"/>
      <c r="C309" s="33" t="n"/>
      <c r="D309" s="33" t="n"/>
      <c r="E309" s="33" t="n"/>
      <c r="F309" s="33" t="n"/>
      <c r="G309" s="33" t="n"/>
      <c r="H309" s="33" t="n"/>
      <c r="I309" s="33" t="n"/>
      <c r="J309" s="33" t="n"/>
      <c r="K309" s="34" t="n"/>
      <c r="L309" s="34" t="n"/>
      <c r="M309" s="34" t="n"/>
      <c r="N309" s="82" t="n"/>
      <c r="O309" s="82" t="n"/>
      <c r="P309" s="33" t="n"/>
      <c r="Q309" s="34" t="n"/>
      <c r="R309" s="83" t="n"/>
      <c r="S309" s="34" t="n"/>
      <c r="T309" s="33" t="n"/>
      <c r="U309" s="83" t="n"/>
      <c r="V309" s="33" t="n"/>
      <c r="W309" s="83" t="n"/>
      <c r="X309" s="83" t="n"/>
      <c r="Y309" s="83" t="n"/>
      <c r="Z309" s="83" t="n"/>
      <c r="AA309" s="84">
        <f>IF(OR($A309="",COUNT(W309,X309,Z309,Y309)&lt;1),"",W309+X309+Z309-Y309)</f>
        <v/>
      </c>
      <c r="AB309" s="83" t="n"/>
      <c r="AC309" s="83" t="n"/>
      <c r="AD309" s="83" t="n"/>
      <c r="AE309" s="83" t="n"/>
      <c r="AF309" s="83" t="n"/>
      <c r="AG309" s="83" t="n"/>
      <c r="AH309" s="84">
        <f>IF(OR($A309="",COUNT(AB309,AC309,AD309,AG309,AE309,AF309)&lt;1),"",AB309+AC309+AD309+AG309-AE309-AF309)</f>
        <v/>
      </c>
      <c r="AI309" s="84">
        <f>IF(OR($A309="",COUNT(AA309,AH309)&lt;2),"",AA309-AH309)</f>
        <v/>
      </c>
      <c r="AJ309" s="84">
        <f>IF(OR($A309="",COUNT(W309,AB309)&lt;2),"",W309-AB309)</f>
        <v/>
      </c>
      <c r="AK309" s="83" t="n"/>
      <c r="AL309" s="33" t="n"/>
      <c r="AM309" s="33" t="n"/>
      <c r="AN309" s="83" t="n"/>
      <c r="AO309" s="33" t="n"/>
      <c r="AP309" s="33" t="n"/>
      <c r="AQ309" s="33" t="n"/>
    </row>
    <row r="310">
      <c r="A310" s="33" t="n"/>
      <c r="B310" s="33" t="n"/>
      <c r="C310" s="33" t="n"/>
      <c r="D310" s="33" t="n"/>
      <c r="E310" s="33" t="n"/>
      <c r="F310" s="33" t="n"/>
      <c r="G310" s="33" t="n"/>
      <c r="H310" s="33" t="n"/>
      <c r="I310" s="33" t="n"/>
      <c r="J310" s="33" t="n"/>
      <c r="K310" s="34" t="n"/>
      <c r="L310" s="34" t="n"/>
      <c r="M310" s="34" t="n"/>
      <c r="N310" s="82" t="n"/>
      <c r="O310" s="82" t="n"/>
      <c r="P310" s="33" t="n"/>
      <c r="Q310" s="34" t="n"/>
      <c r="R310" s="83" t="n"/>
      <c r="S310" s="34" t="n"/>
      <c r="T310" s="33" t="n"/>
      <c r="U310" s="83" t="n"/>
      <c r="V310" s="33" t="n"/>
      <c r="W310" s="83" t="n"/>
      <c r="X310" s="83" t="n"/>
      <c r="Y310" s="83" t="n"/>
      <c r="Z310" s="83" t="n"/>
      <c r="AA310" s="84">
        <f>IF(OR($A310="",COUNT(W310,X310,Z310,Y310)&lt;1),"",W310+X310+Z310-Y310)</f>
        <v/>
      </c>
      <c r="AB310" s="83" t="n"/>
      <c r="AC310" s="83" t="n"/>
      <c r="AD310" s="83" t="n"/>
      <c r="AE310" s="83" t="n"/>
      <c r="AF310" s="83" t="n"/>
      <c r="AG310" s="83" t="n"/>
      <c r="AH310" s="84">
        <f>IF(OR($A310="",COUNT(AB310,AC310,AD310,AG310,AE310,AF310)&lt;1),"",AB310+AC310+AD310+AG310-AE310-AF310)</f>
        <v/>
      </c>
      <c r="AI310" s="84">
        <f>IF(OR($A310="",COUNT(AA310,AH310)&lt;2),"",AA310-AH310)</f>
        <v/>
      </c>
      <c r="AJ310" s="84">
        <f>IF(OR($A310="",COUNT(W310,AB310)&lt;2),"",W310-AB310)</f>
        <v/>
      </c>
      <c r="AK310" s="83" t="n"/>
      <c r="AL310" s="33" t="n"/>
      <c r="AM310" s="33" t="n"/>
      <c r="AN310" s="83" t="n"/>
      <c r="AO310" s="33" t="n"/>
      <c r="AP310" s="33" t="n"/>
      <c r="AQ310" s="33" t="n"/>
    </row>
    <row r="311">
      <c r="A311" s="33" t="n"/>
      <c r="B311" s="33" t="n"/>
      <c r="C311" s="33" t="n"/>
      <c r="D311" s="33" t="n"/>
      <c r="E311" s="33" t="n"/>
      <c r="F311" s="33" t="n"/>
      <c r="G311" s="33" t="n"/>
      <c r="H311" s="33" t="n"/>
      <c r="I311" s="33" t="n"/>
      <c r="J311" s="33" t="n"/>
      <c r="K311" s="34" t="n"/>
      <c r="L311" s="34" t="n"/>
      <c r="M311" s="34" t="n"/>
      <c r="N311" s="82" t="n"/>
      <c r="O311" s="82" t="n"/>
      <c r="P311" s="33" t="n"/>
      <c r="Q311" s="34" t="n"/>
      <c r="R311" s="83" t="n"/>
      <c r="S311" s="34" t="n"/>
      <c r="T311" s="33" t="n"/>
      <c r="U311" s="83" t="n"/>
      <c r="V311" s="33" t="n"/>
      <c r="W311" s="83" t="n"/>
      <c r="X311" s="83" t="n"/>
      <c r="Y311" s="83" t="n"/>
      <c r="Z311" s="83" t="n"/>
      <c r="AA311" s="84">
        <f>IF(OR($A311="",COUNT(W311,X311,Z311,Y311)&lt;1),"",W311+X311+Z311-Y311)</f>
        <v/>
      </c>
      <c r="AB311" s="83" t="n"/>
      <c r="AC311" s="83" t="n"/>
      <c r="AD311" s="83" t="n"/>
      <c r="AE311" s="83" t="n"/>
      <c r="AF311" s="83" t="n"/>
      <c r="AG311" s="83" t="n"/>
      <c r="AH311" s="84">
        <f>IF(OR($A311="",COUNT(AB311,AC311,AD311,AG311,AE311,AF311)&lt;1),"",AB311+AC311+AD311+AG311-AE311-AF311)</f>
        <v/>
      </c>
      <c r="AI311" s="84">
        <f>IF(OR($A311="",COUNT(AA311,AH311)&lt;2),"",AA311-AH311)</f>
        <v/>
      </c>
      <c r="AJ311" s="84">
        <f>IF(OR($A311="",COUNT(W311,AB311)&lt;2),"",W311-AB311)</f>
        <v/>
      </c>
      <c r="AK311" s="83" t="n"/>
      <c r="AL311" s="33" t="n"/>
      <c r="AM311" s="33" t="n"/>
      <c r="AN311" s="83" t="n"/>
      <c r="AO311" s="33" t="n"/>
      <c r="AP311" s="33" t="n"/>
      <c r="AQ311" s="33" t="n"/>
    </row>
    <row r="312">
      <c r="A312" s="33" t="n"/>
      <c r="B312" s="33" t="n"/>
      <c r="C312" s="33" t="n"/>
      <c r="D312" s="33" t="n"/>
      <c r="E312" s="33" t="n"/>
      <c r="F312" s="33" t="n"/>
      <c r="G312" s="33" t="n"/>
      <c r="H312" s="33" t="n"/>
      <c r="I312" s="33" t="n"/>
      <c r="J312" s="33" t="n"/>
      <c r="K312" s="34" t="n"/>
      <c r="L312" s="34" t="n"/>
      <c r="M312" s="34" t="n"/>
      <c r="N312" s="82" t="n"/>
      <c r="O312" s="82" t="n"/>
      <c r="P312" s="33" t="n"/>
      <c r="Q312" s="34" t="n"/>
      <c r="R312" s="83" t="n"/>
      <c r="S312" s="34" t="n"/>
      <c r="T312" s="33" t="n"/>
      <c r="U312" s="83" t="n"/>
      <c r="V312" s="33" t="n"/>
      <c r="W312" s="83" t="n"/>
      <c r="X312" s="83" t="n"/>
      <c r="Y312" s="83" t="n"/>
      <c r="Z312" s="83" t="n"/>
      <c r="AA312" s="84">
        <f>IF(OR($A312="",COUNT(W312,X312,Z312,Y312)&lt;1),"",W312+X312+Z312-Y312)</f>
        <v/>
      </c>
      <c r="AB312" s="83" t="n"/>
      <c r="AC312" s="83" t="n"/>
      <c r="AD312" s="83" t="n"/>
      <c r="AE312" s="83" t="n"/>
      <c r="AF312" s="83" t="n"/>
      <c r="AG312" s="83" t="n"/>
      <c r="AH312" s="84">
        <f>IF(OR($A312="",COUNT(AB312,AC312,AD312,AG312,AE312,AF312)&lt;1),"",AB312+AC312+AD312+AG312-AE312-AF312)</f>
        <v/>
      </c>
      <c r="AI312" s="84">
        <f>IF(OR($A312="",COUNT(AA312,AH312)&lt;2),"",AA312-AH312)</f>
        <v/>
      </c>
      <c r="AJ312" s="84">
        <f>IF(OR($A312="",COUNT(W312,AB312)&lt;2),"",W312-AB312)</f>
        <v/>
      </c>
      <c r="AK312" s="83" t="n"/>
      <c r="AL312" s="33" t="n"/>
      <c r="AM312" s="33" t="n"/>
      <c r="AN312" s="83" t="n"/>
      <c r="AO312" s="33" t="n"/>
      <c r="AP312" s="33" t="n"/>
      <c r="AQ312" s="33" t="n"/>
    </row>
    <row r="313">
      <c r="A313" s="33" t="n"/>
      <c r="B313" s="33" t="n"/>
      <c r="C313" s="33" t="n"/>
      <c r="D313" s="33" t="n"/>
      <c r="E313" s="33" t="n"/>
      <c r="F313" s="33" t="n"/>
      <c r="G313" s="33" t="n"/>
      <c r="H313" s="33" t="n"/>
      <c r="I313" s="33" t="n"/>
      <c r="J313" s="33" t="n"/>
      <c r="K313" s="34" t="n"/>
      <c r="L313" s="34" t="n"/>
      <c r="M313" s="34" t="n"/>
      <c r="N313" s="82" t="n"/>
      <c r="O313" s="82" t="n"/>
      <c r="P313" s="33" t="n"/>
      <c r="Q313" s="34" t="n"/>
      <c r="R313" s="83" t="n"/>
      <c r="S313" s="34" t="n"/>
      <c r="T313" s="33" t="n"/>
      <c r="U313" s="83" t="n"/>
      <c r="V313" s="33" t="n"/>
      <c r="W313" s="83" t="n"/>
      <c r="X313" s="83" t="n"/>
      <c r="Y313" s="83" t="n"/>
      <c r="Z313" s="83" t="n"/>
      <c r="AA313" s="84">
        <f>IF(OR($A313="",COUNT(W313,X313,Z313,Y313)&lt;1),"",W313+X313+Z313-Y313)</f>
        <v/>
      </c>
      <c r="AB313" s="83" t="n"/>
      <c r="AC313" s="83" t="n"/>
      <c r="AD313" s="83" t="n"/>
      <c r="AE313" s="83" t="n"/>
      <c r="AF313" s="83" t="n"/>
      <c r="AG313" s="83" t="n"/>
      <c r="AH313" s="84">
        <f>IF(OR($A313="",COUNT(AB313,AC313,AD313,AG313,AE313,AF313)&lt;1),"",AB313+AC313+AD313+AG313-AE313-AF313)</f>
        <v/>
      </c>
      <c r="AI313" s="84">
        <f>IF(OR($A313="",COUNT(AA313,AH313)&lt;2),"",AA313-AH313)</f>
        <v/>
      </c>
      <c r="AJ313" s="84">
        <f>IF(OR($A313="",COUNT(W313,AB313)&lt;2),"",W313-AB313)</f>
        <v/>
      </c>
      <c r="AK313" s="83" t="n"/>
      <c r="AL313" s="33" t="n"/>
      <c r="AM313" s="33" t="n"/>
      <c r="AN313" s="83" t="n"/>
      <c r="AO313" s="33" t="n"/>
      <c r="AP313" s="33" t="n"/>
      <c r="AQ313" s="33" t="n"/>
    </row>
    <row r="314">
      <c r="A314" s="33" t="n"/>
      <c r="B314" s="33" t="n"/>
      <c r="C314" s="33" t="n"/>
      <c r="D314" s="33" t="n"/>
      <c r="E314" s="33" t="n"/>
      <c r="F314" s="33" t="n"/>
      <c r="G314" s="33" t="n"/>
      <c r="H314" s="33" t="n"/>
      <c r="I314" s="33" t="n"/>
      <c r="J314" s="33" t="n"/>
      <c r="K314" s="34" t="n"/>
      <c r="L314" s="34" t="n"/>
      <c r="M314" s="34" t="n"/>
      <c r="N314" s="82" t="n"/>
      <c r="O314" s="82" t="n"/>
      <c r="P314" s="33" t="n"/>
      <c r="Q314" s="34" t="n"/>
      <c r="R314" s="83" t="n"/>
      <c r="S314" s="34" t="n"/>
      <c r="T314" s="33" t="n"/>
      <c r="U314" s="83" t="n"/>
      <c r="V314" s="33" t="n"/>
      <c r="W314" s="83" t="n"/>
      <c r="X314" s="83" t="n"/>
      <c r="Y314" s="83" t="n"/>
      <c r="Z314" s="83" t="n"/>
      <c r="AA314" s="84">
        <f>IF(OR($A314="",COUNT(W314,X314,Z314,Y314)&lt;1),"",W314+X314+Z314-Y314)</f>
        <v/>
      </c>
      <c r="AB314" s="83" t="n"/>
      <c r="AC314" s="83" t="n"/>
      <c r="AD314" s="83" t="n"/>
      <c r="AE314" s="83" t="n"/>
      <c r="AF314" s="83" t="n"/>
      <c r="AG314" s="83" t="n"/>
      <c r="AH314" s="84">
        <f>IF(OR($A314="",COUNT(AB314,AC314,AD314,AG314,AE314,AF314)&lt;1),"",AB314+AC314+AD314+AG314-AE314-AF314)</f>
        <v/>
      </c>
      <c r="AI314" s="84">
        <f>IF(OR($A314="",COUNT(AA314,AH314)&lt;2),"",AA314-AH314)</f>
        <v/>
      </c>
      <c r="AJ314" s="84">
        <f>IF(OR($A314="",COUNT(W314,AB314)&lt;2),"",W314-AB314)</f>
        <v/>
      </c>
      <c r="AK314" s="83" t="n"/>
      <c r="AL314" s="33" t="n"/>
      <c r="AM314" s="33" t="n"/>
      <c r="AN314" s="83" t="n"/>
      <c r="AO314" s="33" t="n"/>
      <c r="AP314" s="33" t="n"/>
      <c r="AQ314" s="33" t="n"/>
    </row>
    <row r="315">
      <c r="A315" s="33" t="n"/>
      <c r="B315" s="33" t="n"/>
      <c r="C315" s="33" t="n"/>
      <c r="D315" s="33" t="n"/>
      <c r="E315" s="33" t="n"/>
      <c r="F315" s="33" t="n"/>
      <c r="G315" s="33" t="n"/>
      <c r="H315" s="33" t="n"/>
      <c r="I315" s="33" t="n"/>
      <c r="J315" s="33" t="n"/>
      <c r="K315" s="34" t="n"/>
      <c r="L315" s="34" t="n"/>
      <c r="M315" s="34" t="n"/>
      <c r="N315" s="82" t="n"/>
      <c r="O315" s="82" t="n"/>
      <c r="P315" s="33" t="n"/>
      <c r="Q315" s="34" t="n"/>
      <c r="R315" s="83" t="n"/>
      <c r="S315" s="34" t="n"/>
      <c r="T315" s="33" t="n"/>
      <c r="U315" s="83" t="n"/>
      <c r="V315" s="33" t="n"/>
      <c r="W315" s="83" t="n"/>
      <c r="X315" s="83" t="n"/>
      <c r="Y315" s="83" t="n"/>
      <c r="Z315" s="83" t="n"/>
      <c r="AA315" s="84">
        <f>IF(OR($A315="",COUNT(W315,X315,Z315,Y315)&lt;1),"",W315+X315+Z315-Y315)</f>
        <v/>
      </c>
      <c r="AB315" s="83" t="n"/>
      <c r="AC315" s="83" t="n"/>
      <c r="AD315" s="83" t="n"/>
      <c r="AE315" s="83" t="n"/>
      <c r="AF315" s="83" t="n"/>
      <c r="AG315" s="83" t="n"/>
      <c r="AH315" s="84">
        <f>IF(OR($A315="",COUNT(AB315,AC315,AD315,AG315,AE315,AF315)&lt;1),"",AB315+AC315+AD315+AG315-AE315-AF315)</f>
        <v/>
      </c>
      <c r="AI315" s="84">
        <f>IF(OR($A315="",COUNT(AA315,AH315)&lt;2),"",AA315-AH315)</f>
        <v/>
      </c>
      <c r="AJ315" s="84">
        <f>IF(OR($A315="",COUNT(W315,AB315)&lt;2),"",W315-AB315)</f>
        <v/>
      </c>
      <c r="AK315" s="83" t="n"/>
      <c r="AL315" s="33" t="n"/>
      <c r="AM315" s="33" t="n"/>
      <c r="AN315" s="83" t="n"/>
      <c r="AO315" s="33" t="n"/>
      <c r="AP315" s="33" t="n"/>
      <c r="AQ315" s="33" t="n"/>
    </row>
    <row r="316">
      <c r="A316" s="33" t="n"/>
      <c r="B316" s="33" t="n"/>
      <c r="C316" s="33" t="n"/>
      <c r="D316" s="33" t="n"/>
      <c r="E316" s="33" t="n"/>
      <c r="F316" s="33" t="n"/>
      <c r="G316" s="33" t="n"/>
      <c r="H316" s="33" t="n"/>
      <c r="I316" s="33" t="n"/>
      <c r="J316" s="33" t="n"/>
      <c r="K316" s="34" t="n"/>
      <c r="L316" s="34" t="n"/>
      <c r="M316" s="34" t="n"/>
      <c r="N316" s="82" t="n"/>
      <c r="O316" s="82" t="n"/>
      <c r="P316" s="33" t="n"/>
      <c r="Q316" s="34" t="n"/>
      <c r="R316" s="83" t="n"/>
      <c r="S316" s="34" t="n"/>
      <c r="T316" s="33" t="n"/>
      <c r="U316" s="83" t="n"/>
      <c r="V316" s="33" t="n"/>
      <c r="W316" s="83" t="n"/>
      <c r="X316" s="83" t="n"/>
      <c r="Y316" s="83" t="n"/>
      <c r="Z316" s="83" t="n"/>
      <c r="AA316" s="84">
        <f>IF(OR($A316="",COUNT(W316,X316,Z316,Y316)&lt;1),"",W316+X316+Z316-Y316)</f>
        <v/>
      </c>
      <c r="AB316" s="83" t="n"/>
      <c r="AC316" s="83" t="n"/>
      <c r="AD316" s="83" t="n"/>
      <c r="AE316" s="83" t="n"/>
      <c r="AF316" s="83" t="n"/>
      <c r="AG316" s="83" t="n"/>
      <c r="AH316" s="84">
        <f>IF(OR($A316="",COUNT(AB316,AC316,AD316,AG316,AE316,AF316)&lt;1),"",AB316+AC316+AD316+AG316-AE316-AF316)</f>
        <v/>
      </c>
      <c r="AI316" s="84">
        <f>IF(OR($A316="",COUNT(AA316,AH316)&lt;2),"",AA316-AH316)</f>
        <v/>
      </c>
      <c r="AJ316" s="84">
        <f>IF(OR($A316="",COUNT(W316,AB316)&lt;2),"",W316-AB316)</f>
        <v/>
      </c>
      <c r="AK316" s="83" t="n"/>
      <c r="AL316" s="33" t="n"/>
      <c r="AM316" s="33" t="n"/>
      <c r="AN316" s="83" t="n"/>
      <c r="AO316" s="33" t="n"/>
      <c r="AP316" s="33" t="n"/>
      <c r="AQ316" s="33" t="n"/>
    </row>
    <row r="317">
      <c r="A317" s="33" t="n"/>
      <c r="B317" s="33" t="n"/>
      <c r="C317" s="33" t="n"/>
      <c r="D317" s="33" t="n"/>
      <c r="E317" s="33" t="n"/>
      <c r="F317" s="33" t="n"/>
      <c r="G317" s="33" t="n"/>
      <c r="H317" s="33" t="n"/>
      <c r="I317" s="33" t="n"/>
      <c r="J317" s="33" t="n"/>
      <c r="K317" s="34" t="n"/>
      <c r="L317" s="34" t="n"/>
      <c r="M317" s="34" t="n"/>
      <c r="N317" s="82" t="n"/>
      <c r="O317" s="82" t="n"/>
      <c r="P317" s="33" t="n"/>
      <c r="Q317" s="34" t="n"/>
      <c r="R317" s="83" t="n"/>
      <c r="S317" s="34" t="n"/>
      <c r="T317" s="33" t="n"/>
      <c r="U317" s="83" t="n"/>
      <c r="V317" s="33" t="n"/>
      <c r="W317" s="83" t="n"/>
      <c r="X317" s="83" t="n"/>
      <c r="Y317" s="83" t="n"/>
      <c r="Z317" s="83" t="n"/>
      <c r="AA317" s="84">
        <f>IF(OR($A317="",COUNT(W317,X317,Z317,Y317)&lt;1),"",W317+X317+Z317-Y317)</f>
        <v/>
      </c>
      <c r="AB317" s="83" t="n"/>
      <c r="AC317" s="83" t="n"/>
      <c r="AD317" s="83" t="n"/>
      <c r="AE317" s="83" t="n"/>
      <c r="AF317" s="83" t="n"/>
      <c r="AG317" s="83" t="n"/>
      <c r="AH317" s="84">
        <f>IF(OR($A317="",COUNT(AB317,AC317,AD317,AG317,AE317,AF317)&lt;1),"",AB317+AC317+AD317+AG317-AE317-AF317)</f>
        <v/>
      </c>
      <c r="AI317" s="84">
        <f>IF(OR($A317="",COUNT(AA317,AH317)&lt;2),"",AA317-AH317)</f>
        <v/>
      </c>
      <c r="AJ317" s="84">
        <f>IF(OR($A317="",COUNT(W317,AB317)&lt;2),"",W317-AB317)</f>
        <v/>
      </c>
      <c r="AK317" s="83" t="n"/>
      <c r="AL317" s="33" t="n"/>
      <c r="AM317" s="33" t="n"/>
      <c r="AN317" s="83" t="n"/>
      <c r="AO317" s="33" t="n"/>
      <c r="AP317" s="33" t="n"/>
      <c r="AQ317" s="33" t="n"/>
    </row>
    <row r="318">
      <c r="A318" s="33" t="n"/>
      <c r="B318" s="33" t="n"/>
      <c r="C318" s="33" t="n"/>
      <c r="D318" s="33" t="n"/>
      <c r="E318" s="33" t="n"/>
      <c r="F318" s="33" t="n"/>
      <c r="G318" s="33" t="n"/>
      <c r="H318" s="33" t="n"/>
      <c r="I318" s="33" t="n"/>
      <c r="J318" s="33" t="n"/>
      <c r="K318" s="34" t="n"/>
      <c r="L318" s="34" t="n"/>
      <c r="M318" s="34" t="n"/>
      <c r="N318" s="82" t="n"/>
      <c r="O318" s="82" t="n"/>
      <c r="P318" s="33" t="n"/>
      <c r="Q318" s="34" t="n"/>
      <c r="R318" s="83" t="n"/>
      <c r="S318" s="34" t="n"/>
      <c r="T318" s="33" t="n"/>
      <c r="U318" s="83" t="n"/>
      <c r="V318" s="33" t="n"/>
      <c r="W318" s="83" t="n"/>
      <c r="X318" s="83" t="n"/>
      <c r="Y318" s="83" t="n"/>
      <c r="Z318" s="83" t="n"/>
      <c r="AA318" s="84">
        <f>IF(OR($A318="",COUNT(W318,X318,Z318,Y318)&lt;1),"",W318+X318+Z318-Y318)</f>
        <v/>
      </c>
      <c r="AB318" s="83" t="n"/>
      <c r="AC318" s="83" t="n"/>
      <c r="AD318" s="83" t="n"/>
      <c r="AE318" s="83" t="n"/>
      <c r="AF318" s="83" t="n"/>
      <c r="AG318" s="83" t="n"/>
      <c r="AH318" s="84">
        <f>IF(OR($A318="",COUNT(AB318,AC318,AD318,AG318,AE318,AF318)&lt;1),"",AB318+AC318+AD318+AG318-AE318-AF318)</f>
        <v/>
      </c>
      <c r="AI318" s="84">
        <f>IF(OR($A318="",COUNT(AA318,AH318)&lt;2),"",AA318-AH318)</f>
        <v/>
      </c>
      <c r="AJ318" s="84">
        <f>IF(OR($A318="",COUNT(W318,AB318)&lt;2),"",W318-AB318)</f>
        <v/>
      </c>
      <c r="AK318" s="83" t="n"/>
      <c r="AL318" s="33" t="n"/>
      <c r="AM318" s="33" t="n"/>
      <c r="AN318" s="83" t="n"/>
      <c r="AO318" s="33" t="n"/>
      <c r="AP318" s="33" t="n"/>
      <c r="AQ318" s="33" t="n"/>
    </row>
    <row r="319">
      <c r="A319" s="33" t="n"/>
      <c r="B319" s="33" t="n"/>
      <c r="C319" s="33" t="n"/>
      <c r="D319" s="33" t="n"/>
      <c r="E319" s="33" t="n"/>
      <c r="F319" s="33" t="n"/>
      <c r="G319" s="33" t="n"/>
      <c r="H319" s="33" t="n"/>
      <c r="I319" s="33" t="n"/>
      <c r="J319" s="33" t="n"/>
      <c r="K319" s="34" t="n"/>
      <c r="L319" s="34" t="n"/>
      <c r="M319" s="34" t="n"/>
      <c r="N319" s="82" t="n"/>
      <c r="O319" s="82" t="n"/>
      <c r="P319" s="33" t="n"/>
      <c r="Q319" s="34" t="n"/>
      <c r="R319" s="83" t="n"/>
      <c r="S319" s="34" t="n"/>
      <c r="T319" s="33" t="n"/>
      <c r="U319" s="83" t="n"/>
      <c r="V319" s="33" t="n"/>
      <c r="W319" s="83" t="n"/>
      <c r="X319" s="83" t="n"/>
      <c r="Y319" s="83" t="n"/>
      <c r="Z319" s="83" t="n"/>
      <c r="AA319" s="84">
        <f>IF(OR($A319="",COUNT(W319,X319,Z319,Y319)&lt;1),"",W319+X319+Z319-Y319)</f>
        <v/>
      </c>
      <c r="AB319" s="83" t="n"/>
      <c r="AC319" s="83" t="n"/>
      <c r="AD319" s="83" t="n"/>
      <c r="AE319" s="83" t="n"/>
      <c r="AF319" s="83" t="n"/>
      <c r="AG319" s="83" t="n"/>
      <c r="AH319" s="84">
        <f>IF(OR($A319="",COUNT(AB319,AC319,AD319,AG319,AE319,AF319)&lt;1),"",AB319+AC319+AD319+AG319-AE319-AF319)</f>
        <v/>
      </c>
      <c r="AI319" s="84">
        <f>IF(OR($A319="",COUNT(AA319,AH319)&lt;2),"",AA319-AH319)</f>
        <v/>
      </c>
      <c r="AJ319" s="84">
        <f>IF(OR($A319="",COUNT(W319,AB319)&lt;2),"",W319-AB319)</f>
        <v/>
      </c>
      <c r="AK319" s="83" t="n"/>
      <c r="AL319" s="33" t="n"/>
      <c r="AM319" s="33" t="n"/>
      <c r="AN319" s="83" t="n"/>
      <c r="AO319" s="33" t="n"/>
      <c r="AP319" s="33" t="n"/>
      <c r="AQ319" s="33" t="n"/>
    </row>
    <row r="320">
      <c r="A320" s="33" t="n"/>
      <c r="B320" s="33" t="n"/>
      <c r="C320" s="33" t="n"/>
      <c r="D320" s="33" t="n"/>
      <c r="E320" s="33" t="n"/>
      <c r="F320" s="33" t="n"/>
      <c r="G320" s="33" t="n"/>
      <c r="H320" s="33" t="n"/>
      <c r="I320" s="33" t="n"/>
      <c r="J320" s="33" t="n"/>
      <c r="K320" s="34" t="n"/>
      <c r="L320" s="34" t="n"/>
      <c r="M320" s="34" t="n"/>
      <c r="N320" s="82" t="n"/>
      <c r="O320" s="82" t="n"/>
      <c r="P320" s="33" t="n"/>
      <c r="Q320" s="34" t="n"/>
      <c r="R320" s="83" t="n"/>
      <c r="S320" s="34" t="n"/>
      <c r="T320" s="33" t="n"/>
      <c r="U320" s="83" t="n"/>
      <c r="V320" s="33" t="n"/>
      <c r="W320" s="83" t="n"/>
      <c r="X320" s="83" t="n"/>
      <c r="Y320" s="83" t="n"/>
      <c r="Z320" s="83" t="n"/>
      <c r="AA320" s="84">
        <f>IF(OR($A320="",COUNT(W320,X320,Z320,Y320)&lt;1),"",W320+X320+Z320-Y320)</f>
        <v/>
      </c>
      <c r="AB320" s="83" t="n"/>
      <c r="AC320" s="83" t="n"/>
      <c r="AD320" s="83" t="n"/>
      <c r="AE320" s="83" t="n"/>
      <c r="AF320" s="83" t="n"/>
      <c r="AG320" s="83" t="n"/>
      <c r="AH320" s="84">
        <f>IF(OR($A320="",COUNT(AB320,AC320,AD320,AG320,AE320,AF320)&lt;1),"",AB320+AC320+AD320+AG320-AE320-AF320)</f>
        <v/>
      </c>
      <c r="AI320" s="84">
        <f>IF(OR($A320="",COUNT(AA320,AH320)&lt;2),"",AA320-AH320)</f>
        <v/>
      </c>
      <c r="AJ320" s="84">
        <f>IF(OR($A320="",COUNT(W320,AB320)&lt;2),"",W320-AB320)</f>
        <v/>
      </c>
      <c r="AK320" s="83" t="n"/>
      <c r="AL320" s="33" t="n"/>
      <c r="AM320" s="33" t="n"/>
      <c r="AN320" s="83" t="n"/>
      <c r="AO320" s="33" t="n"/>
      <c r="AP320" s="33" t="n"/>
      <c r="AQ320" s="33" t="n"/>
    </row>
    <row r="321">
      <c r="A321" s="33" t="n"/>
      <c r="B321" s="33" t="n"/>
      <c r="C321" s="33" t="n"/>
      <c r="D321" s="33" t="n"/>
      <c r="E321" s="33" t="n"/>
      <c r="F321" s="33" t="n"/>
      <c r="G321" s="33" t="n"/>
      <c r="H321" s="33" t="n"/>
      <c r="I321" s="33" t="n"/>
      <c r="J321" s="33" t="n"/>
      <c r="K321" s="34" t="n"/>
      <c r="L321" s="34" t="n"/>
      <c r="M321" s="34" t="n"/>
      <c r="N321" s="82" t="n"/>
      <c r="O321" s="82" t="n"/>
      <c r="P321" s="33" t="n"/>
      <c r="Q321" s="34" t="n"/>
      <c r="R321" s="83" t="n"/>
      <c r="S321" s="34" t="n"/>
      <c r="T321" s="33" t="n"/>
      <c r="U321" s="83" t="n"/>
      <c r="V321" s="33" t="n"/>
      <c r="W321" s="83" t="n"/>
      <c r="X321" s="83" t="n"/>
      <c r="Y321" s="83" t="n"/>
      <c r="Z321" s="83" t="n"/>
      <c r="AA321" s="84">
        <f>IF(OR($A321="",COUNT(W321,X321,Z321,Y321)&lt;1),"",W321+X321+Z321-Y321)</f>
        <v/>
      </c>
      <c r="AB321" s="83" t="n"/>
      <c r="AC321" s="83" t="n"/>
      <c r="AD321" s="83" t="n"/>
      <c r="AE321" s="83" t="n"/>
      <c r="AF321" s="83" t="n"/>
      <c r="AG321" s="83" t="n"/>
      <c r="AH321" s="84">
        <f>IF(OR($A321="",COUNT(AB321,AC321,AD321,AG321,AE321,AF321)&lt;1),"",AB321+AC321+AD321+AG321-AE321-AF321)</f>
        <v/>
      </c>
      <c r="AI321" s="84">
        <f>IF(OR($A321="",COUNT(AA321,AH321)&lt;2),"",AA321-AH321)</f>
        <v/>
      </c>
      <c r="AJ321" s="84">
        <f>IF(OR($A321="",COUNT(W321,AB321)&lt;2),"",W321-AB321)</f>
        <v/>
      </c>
      <c r="AK321" s="83" t="n"/>
      <c r="AL321" s="33" t="n"/>
      <c r="AM321" s="33" t="n"/>
      <c r="AN321" s="83" t="n"/>
      <c r="AO321" s="33" t="n"/>
      <c r="AP321" s="33" t="n"/>
      <c r="AQ321" s="33" t="n"/>
    </row>
    <row r="322">
      <c r="A322" s="33" t="n"/>
      <c r="B322" s="33" t="n"/>
      <c r="C322" s="33" t="n"/>
      <c r="D322" s="33" t="n"/>
      <c r="E322" s="33" t="n"/>
      <c r="F322" s="33" t="n"/>
      <c r="G322" s="33" t="n"/>
      <c r="H322" s="33" t="n"/>
      <c r="I322" s="33" t="n"/>
      <c r="J322" s="33" t="n"/>
      <c r="K322" s="34" t="n"/>
      <c r="L322" s="34" t="n"/>
      <c r="M322" s="34" t="n"/>
      <c r="N322" s="82" t="n"/>
      <c r="O322" s="82" t="n"/>
      <c r="P322" s="33" t="n"/>
      <c r="Q322" s="34" t="n"/>
      <c r="R322" s="83" t="n"/>
      <c r="S322" s="34" t="n"/>
      <c r="T322" s="33" t="n"/>
      <c r="U322" s="83" t="n"/>
      <c r="V322" s="33" t="n"/>
      <c r="W322" s="83" t="n"/>
      <c r="X322" s="83" t="n"/>
      <c r="Y322" s="83" t="n"/>
      <c r="Z322" s="83" t="n"/>
      <c r="AA322" s="84">
        <f>IF(OR($A322="",COUNT(W322,X322,Z322,Y322)&lt;1),"",W322+X322+Z322-Y322)</f>
        <v/>
      </c>
      <c r="AB322" s="83" t="n"/>
      <c r="AC322" s="83" t="n"/>
      <c r="AD322" s="83" t="n"/>
      <c r="AE322" s="83" t="n"/>
      <c r="AF322" s="83" t="n"/>
      <c r="AG322" s="83" t="n"/>
      <c r="AH322" s="84">
        <f>IF(OR($A322="",COUNT(AB322,AC322,AD322,AG322,AE322,AF322)&lt;1),"",AB322+AC322+AD322+AG322-AE322-AF322)</f>
        <v/>
      </c>
      <c r="AI322" s="84">
        <f>IF(OR($A322="",COUNT(AA322,AH322)&lt;2),"",AA322-AH322)</f>
        <v/>
      </c>
      <c r="AJ322" s="84">
        <f>IF(OR($A322="",COUNT(W322,AB322)&lt;2),"",W322-AB322)</f>
        <v/>
      </c>
      <c r="AK322" s="83" t="n"/>
      <c r="AL322" s="33" t="n"/>
      <c r="AM322" s="33" t="n"/>
      <c r="AN322" s="83" t="n"/>
      <c r="AO322" s="33" t="n"/>
      <c r="AP322" s="33" t="n"/>
      <c r="AQ322" s="33" t="n"/>
    </row>
    <row r="323">
      <c r="A323" s="33" t="n"/>
      <c r="B323" s="33" t="n"/>
      <c r="C323" s="33" t="n"/>
      <c r="D323" s="33" t="n"/>
      <c r="E323" s="33" t="n"/>
      <c r="F323" s="33" t="n"/>
      <c r="G323" s="33" t="n"/>
      <c r="H323" s="33" t="n"/>
      <c r="I323" s="33" t="n"/>
      <c r="J323" s="33" t="n"/>
      <c r="K323" s="34" t="n"/>
      <c r="L323" s="34" t="n"/>
      <c r="M323" s="34" t="n"/>
      <c r="N323" s="82" t="n"/>
      <c r="O323" s="82" t="n"/>
      <c r="P323" s="33" t="n"/>
      <c r="Q323" s="34" t="n"/>
      <c r="R323" s="83" t="n"/>
      <c r="S323" s="34" t="n"/>
      <c r="T323" s="33" t="n"/>
      <c r="U323" s="83" t="n"/>
      <c r="V323" s="33" t="n"/>
      <c r="W323" s="83" t="n"/>
      <c r="X323" s="83" t="n"/>
      <c r="Y323" s="83" t="n"/>
      <c r="Z323" s="83" t="n"/>
      <c r="AA323" s="84">
        <f>IF(OR($A323="",COUNT(W323,X323,Z323,Y323)&lt;1),"",W323+X323+Z323-Y323)</f>
        <v/>
      </c>
      <c r="AB323" s="83" t="n"/>
      <c r="AC323" s="83" t="n"/>
      <c r="AD323" s="83" t="n"/>
      <c r="AE323" s="83" t="n"/>
      <c r="AF323" s="83" t="n"/>
      <c r="AG323" s="83" t="n"/>
      <c r="AH323" s="84">
        <f>IF(OR($A323="",COUNT(AB323,AC323,AD323,AG323,AE323,AF323)&lt;1),"",AB323+AC323+AD323+AG323-AE323-AF323)</f>
        <v/>
      </c>
      <c r="AI323" s="84">
        <f>IF(OR($A323="",COUNT(AA323,AH323)&lt;2),"",AA323-AH323)</f>
        <v/>
      </c>
      <c r="AJ323" s="84">
        <f>IF(OR($A323="",COUNT(W323,AB323)&lt;2),"",W323-AB323)</f>
        <v/>
      </c>
      <c r="AK323" s="83" t="n"/>
      <c r="AL323" s="33" t="n"/>
      <c r="AM323" s="33" t="n"/>
      <c r="AN323" s="83" t="n"/>
      <c r="AO323" s="33" t="n"/>
      <c r="AP323" s="33" t="n"/>
      <c r="AQ323" s="33" t="n"/>
    </row>
    <row r="324">
      <c r="A324" s="33" t="n"/>
      <c r="B324" s="33" t="n"/>
      <c r="C324" s="33" t="n"/>
      <c r="D324" s="33" t="n"/>
      <c r="E324" s="33" t="n"/>
      <c r="F324" s="33" t="n"/>
      <c r="G324" s="33" t="n"/>
      <c r="H324" s="33" t="n"/>
      <c r="I324" s="33" t="n"/>
      <c r="J324" s="33" t="n"/>
      <c r="K324" s="34" t="n"/>
      <c r="L324" s="34" t="n"/>
      <c r="M324" s="34" t="n"/>
      <c r="N324" s="82" t="n"/>
      <c r="O324" s="82" t="n"/>
      <c r="P324" s="33" t="n"/>
      <c r="Q324" s="34" t="n"/>
      <c r="R324" s="83" t="n"/>
      <c r="S324" s="34" t="n"/>
      <c r="T324" s="33" t="n"/>
      <c r="U324" s="83" t="n"/>
      <c r="V324" s="33" t="n"/>
      <c r="W324" s="83" t="n"/>
      <c r="X324" s="83" t="n"/>
      <c r="Y324" s="83" t="n"/>
      <c r="Z324" s="83" t="n"/>
      <c r="AA324" s="84">
        <f>IF(OR($A324="",COUNT(W324,X324,Z324,Y324)&lt;1),"",W324+X324+Z324-Y324)</f>
        <v/>
      </c>
      <c r="AB324" s="83" t="n"/>
      <c r="AC324" s="83" t="n"/>
      <c r="AD324" s="83" t="n"/>
      <c r="AE324" s="83" t="n"/>
      <c r="AF324" s="83" t="n"/>
      <c r="AG324" s="83" t="n"/>
      <c r="AH324" s="84">
        <f>IF(OR($A324="",COUNT(AB324,AC324,AD324,AG324,AE324,AF324)&lt;1),"",AB324+AC324+AD324+AG324-AE324-AF324)</f>
        <v/>
      </c>
      <c r="AI324" s="84">
        <f>IF(OR($A324="",COUNT(AA324,AH324)&lt;2),"",AA324-AH324)</f>
        <v/>
      </c>
      <c r="AJ324" s="84">
        <f>IF(OR($A324="",COUNT(W324,AB324)&lt;2),"",W324-AB324)</f>
        <v/>
      </c>
      <c r="AK324" s="83" t="n"/>
      <c r="AL324" s="33" t="n"/>
      <c r="AM324" s="33" t="n"/>
      <c r="AN324" s="83" t="n"/>
      <c r="AO324" s="33" t="n"/>
      <c r="AP324" s="33" t="n"/>
      <c r="AQ324" s="33" t="n"/>
    </row>
    <row r="325">
      <c r="A325" s="33" t="n"/>
      <c r="B325" s="33" t="n"/>
      <c r="C325" s="33" t="n"/>
      <c r="D325" s="33" t="n"/>
      <c r="E325" s="33" t="n"/>
      <c r="F325" s="33" t="n"/>
      <c r="G325" s="33" t="n"/>
      <c r="H325" s="33" t="n"/>
      <c r="I325" s="33" t="n"/>
      <c r="J325" s="33" t="n"/>
      <c r="K325" s="34" t="n"/>
      <c r="L325" s="34" t="n"/>
      <c r="M325" s="34" t="n"/>
      <c r="N325" s="82" t="n"/>
      <c r="O325" s="82" t="n"/>
      <c r="P325" s="33" t="n"/>
      <c r="Q325" s="34" t="n"/>
      <c r="R325" s="83" t="n"/>
      <c r="S325" s="34" t="n"/>
      <c r="T325" s="33" t="n"/>
      <c r="U325" s="83" t="n"/>
      <c r="V325" s="33" t="n"/>
      <c r="W325" s="83" t="n"/>
      <c r="X325" s="83" t="n"/>
      <c r="Y325" s="83" t="n"/>
      <c r="Z325" s="83" t="n"/>
      <c r="AA325" s="84">
        <f>IF(OR($A325="",COUNT(W325,X325,Z325,Y325)&lt;1),"",W325+X325+Z325-Y325)</f>
        <v/>
      </c>
      <c r="AB325" s="83" t="n"/>
      <c r="AC325" s="83" t="n"/>
      <c r="AD325" s="83" t="n"/>
      <c r="AE325" s="83" t="n"/>
      <c r="AF325" s="83" t="n"/>
      <c r="AG325" s="83" t="n"/>
      <c r="AH325" s="84">
        <f>IF(OR($A325="",COUNT(AB325,AC325,AD325,AG325,AE325,AF325)&lt;1),"",AB325+AC325+AD325+AG325-AE325-AF325)</f>
        <v/>
      </c>
      <c r="AI325" s="84">
        <f>IF(OR($A325="",COUNT(AA325,AH325)&lt;2),"",AA325-AH325)</f>
        <v/>
      </c>
      <c r="AJ325" s="84">
        <f>IF(OR($A325="",COUNT(W325,AB325)&lt;2),"",W325-AB325)</f>
        <v/>
      </c>
      <c r="AK325" s="83" t="n"/>
      <c r="AL325" s="33" t="n"/>
      <c r="AM325" s="33" t="n"/>
      <c r="AN325" s="83" t="n"/>
      <c r="AO325" s="33" t="n"/>
      <c r="AP325" s="33" t="n"/>
      <c r="AQ325" s="33" t="n"/>
    </row>
    <row r="326">
      <c r="A326" s="33" t="n"/>
      <c r="B326" s="33" t="n"/>
      <c r="C326" s="33" t="n"/>
      <c r="D326" s="33" t="n"/>
      <c r="E326" s="33" t="n"/>
      <c r="F326" s="33" t="n"/>
      <c r="G326" s="33" t="n"/>
      <c r="H326" s="33" t="n"/>
      <c r="I326" s="33" t="n"/>
      <c r="J326" s="33" t="n"/>
      <c r="K326" s="34" t="n"/>
      <c r="L326" s="34" t="n"/>
      <c r="M326" s="34" t="n"/>
      <c r="N326" s="82" t="n"/>
      <c r="O326" s="82" t="n"/>
      <c r="P326" s="33" t="n"/>
      <c r="Q326" s="34" t="n"/>
      <c r="R326" s="83" t="n"/>
      <c r="S326" s="34" t="n"/>
      <c r="T326" s="33" t="n"/>
      <c r="U326" s="83" t="n"/>
      <c r="V326" s="33" t="n"/>
      <c r="W326" s="83" t="n"/>
      <c r="X326" s="83" t="n"/>
      <c r="Y326" s="83" t="n"/>
      <c r="Z326" s="83" t="n"/>
      <c r="AA326" s="84">
        <f>IF(OR($A326="",COUNT(W326,X326,Z326,Y326)&lt;1),"",W326+X326+Z326-Y326)</f>
        <v/>
      </c>
      <c r="AB326" s="83" t="n"/>
      <c r="AC326" s="83" t="n"/>
      <c r="AD326" s="83" t="n"/>
      <c r="AE326" s="83" t="n"/>
      <c r="AF326" s="83" t="n"/>
      <c r="AG326" s="83" t="n"/>
      <c r="AH326" s="84">
        <f>IF(OR($A326="",COUNT(AB326,AC326,AD326,AG326,AE326,AF326)&lt;1),"",AB326+AC326+AD326+AG326-AE326-AF326)</f>
        <v/>
      </c>
      <c r="AI326" s="84">
        <f>IF(OR($A326="",COUNT(AA326,AH326)&lt;2),"",AA326-AH326)</f>
        <v/>
      </c>
      <c r="AJ326" s="84">
        <f>IF(OR($A326="",COUNT(W326,AB326)&lt;2),"",W326-AB326)</f>
        <v/>
      </c>
      <c r="AK326" s="83" t="n"/>
      <c r="AL326" s="33" t="n"/>
      <c r="AM326" s="33" t="n"/>
      <c r="AN326" s="83" t="n"/>
      <c r="AO326" s="33" t="n"/>
      <c r="AP326" s="33" t="n"/>
      <c r="AQ326" s="33" t="n"/>
    </row>
    <row r="327">
      <c r="A327" s="33" t="n"/>
      <c r="B327" s="33" t="n"/>
      <c r="C327" s="33" t="n"/>
      <c r="D327" s="33" t="n"/>
      <c r="E327" s="33" t="n"/>
      <c r="F327" s="33" t="n"/>
      <c r="G327" s="33" t="n"/>
      <c r="H327" s="33" t="n"/>
      <c r="I327" s="33" t="n"/>
      <c r="J327" s="33" t="n"/>
      <c r="K327" s="34" t="n"/>
      <c r="L327" s="34" t="n"/>
      <c r="M327" s="34" t="n"/>
      <c r="N327" s="82" t="n"/>
      <c r="O327" s="82" t="n"/>
      <c r="P327" s="33" t="n"/>
      <c r="Q327" s="34" t="n"/>
      <c r="R327" s="83" t="n"/>
      <c r="S327" s="34" t="n"/>
      <c r="T327" s="33" t="n"/>
      <c r="U327" s="83" t="n"/>
      <c r="V327" s="33" t="n"/>
      <c r="W327" s="83" t="n"/>
      <c r="X327" s="83" t="n"/>
      <c r="Y327" s="83" t="n"/>
      <c r="Z327" s="83" t="n"/>
      <c r="AA327" s="84">
        <f>IF(OR($A327="",COUNT(W327,X327,Z327,Y327)&lt;1),"",W327+X327+Z327-Y327)</f>
        <v/>
      </c>
      <c r="AB327" s="83" t="n"/>
      <c r="AC327" s="83" t="n"/>
      <c r="AD327" s="83" t="n"/>
      <c r="AE327" s="83" t="n"/>
      <c r="AF327" s="83" t="n"/>
      <c r="AG327" s="83" t="n"/>
      <c r="AH327" s="84">
        <f>IF(OR($A327="",COUNT(AB327,AC327,AD327,AG327,AE327,AF327)&lt;1),"",AB327+AC327+AD327+AG327-AE327-AF327)</f>
        <v/>
      </c>
      <c r="AI327" s="84">
        <f>IF(OR($A327="",COUNT(AA327,AH327)&lt;2),"",AA327-AH327)</f>
        <v/>
      </c>
      <c r="AJ327" s="84">
        <f>IF(OR($A327="",COUNT(W327,AB327)&lt;2),"",W327-AB327)</f>
        <v/>
      </c>
      <c r="AK327" s="83" t="n"/>
      <c r="AL327" s="33" t="n"/>
      <c r="AM327" s="33" t="n"/>
      <c r="AN327" s="83" t="n"/>
      <c r="AO327" s="33" t="n"/>
      <c r="AP327" s="33" t="n"/>
      <c r="AQ327" s="33" t="n"/>
    </row>
    <row r="328">
      <c r="A328" s="33" t="n"/>
      <c r="B328" s="33" t="n"/>
      <c r="C328" s="33" t="n"/>
      <c r="D328" s="33" t="n"/>
      <c r="E328" s="33" t="n"/>
      <c r="F328" s="33" t="n"/>
      <c r="G328" s="33" t="n"/>
      <c r="H328" s="33" t="n"/>
      <c r="I328" s="33" t="n"/>
      <c r="J328" s="33" t="n"/>
      <c r="K328" s="34" t="n"/>
      <c r="L328" s="34" t="n"/>
      <c r="M328" s="34" t="n"/>
      <c r="N328" s="82" t="n"/>
      <c r="O328" s="82" t="n"/>
      <c r="P328" s="33" t="n"/>
      <c r="Q328" s="34" t="n"/>
      <c r="R328" s="83" t="n"/>
      <c r="S328" s="34" t="n"/>
      <c r="T328" s="33" t="n"/>
      <c r="U328" s="83" t="n"/>
      <c r="V328" s="33" t="n"/>
      <c r="W328" s="83" t="n"/>
      <c r="X328" s="83" t="n"/>
      <c r="Y328" s="83" t="n"/>
      <c r="Z328" s="83" t="n"/>
      <c r="AA328" s="84">
        <f>IF(OR($A328="",COUNT(W328,X328,Z328,Y328)&lt;1),"",W328+X328+Z328-Y328)</f>
        <v/>
      </c>
      <c r="AB328" s="83" t="n"/>
      <c r="AC328" s="83" t="n"/>
      <c r="AD328" s="83" t="n"/>
      <c r="AE328" s="83" t="n"/>
      <c r="AF328" s="83" t="n"/>
      <c r="AG328" s="83" t="n"/>
      <c r="AH328" s="84">
        <f>IF(OR($A328="",COUNT(AB328,AC328,AD328,AG328,AE328,AF328)&lt;1),"",AB328+AC328+AD328+AG328-AE328-AF328)</f>
        <v/>
      </c>
      <c r="AI328" s="84">
        <f>IF(OR($A328="",COUNT(AA328,AH328)&lt;2),"",AA328-AH328)</f>
        <v/>
      </c>
      <c r="AJ328" s="84">
        <f>IF(OR($A328="",COUNT(W328,AB328)&lt;2),"",W328-AB328)</f>
        <v/>
      </c>
      <c r="AK328" s="83" t="n"/>
      <c r="AL328" s="33" t="n"/>
      <c r="AM328" s="33" t="n"/>
      <c r="AN328" s="83" t="n"/>
      <c r="AO328" s="33" t="n"/>
      <c r="AP328" s="33" t="n"/>
      <c r="AQ328" s="33" t="n"/>
    </row>
    <row r="329">
      <c r="A329" s="33" t="n"/>
      <c r="B329" s="33" t="n"/>
      <c r="C329" s="33" t="n"/>
      <c r="D329" s="33" t="n"/>
      <c r="E329" s="33" t="n"/>
      <c r="F329" s="33" t="n"/>
      <c r="G329" s="33" t="n"/>
      <c r="H329" s="33" t="n"/>
      <c r="I329" s="33" t="n"/>
      <c r="J329" s="33" t="n"/>
      <c r="K329" s="34" t="n"/>
      <c r="L329" s="34" t="n"/>
      <c r="M329" s="34" t="n"/>
      <c r="N329" s="82" t="n"/>
      <c r="O329" s="82" t="n"/>
      <c r="P329" s="33" t="n"/>
      <c r="Q329" s="34" t="n"/>
      <c r="R329" s="83" t="n"/>
      <c r="S329" s="34" t="n"/>
      <c r="T329" s="33" t="n"/>
      <c r="U329" s="83" t="n"/>
      <c r="V329" s="33" t="n"/>
      <c r="W329" s="83" t="n"/>
      <c r="X329" s="83" t="n"/>
      <c r="Y329" s="83" t="n"/>
      <c r="Z329" s="83" t="n"/>
      <c r="AA329" s="84">
        <f>IF(OR($A329="",COUNT(W329,X329,Z329,Y329)&lt;1),"",W329+X329+Z329-Y329)</f>
        <v/>
      </c>
      <c r="AB329" s="83" t="n"/>
      <c r="AC329" s="83" t="n"/>
      <c r="AD329" s="83" t="n"/>
      <c r="AE329" s="83" t="n"/>
      <c r="AF329" s="83" t="n"/>
      <c r="AG329" s="83" t="n"/>
      <c r="AH329" s="84">
        <f>IF(OR($A329="",COUNT(AB329,AC329,AD329,AG329,AE329,AF329)&lt;1),"",AB329+AC329+AD329+AG329-AE329-AF329)</f>
        <v/>
      </c>
      <c r="AI329" s="84">
        <f>IF(OR($A329="",COUNT(AA329,AH329)&lt;2),"",AA329-AH329)</f>
        <v/>
      </c>
      <c r="AJ329" s="84">
        <f>IF(OR($A329="",COUNT(W329,AB329)&lt;2),"",W329-AB329)</f>
        <v/>
      </c>
      <c r="AK329" s="83" t="n"/>
      <c r="AL329" s="33" t="n"/>
      <c r="AM329" s="33" t="n"/>
      <c r="AN329" s="83" t="n"/>
      <c r="AO329" s="33" t="n"/>
      <c r="AP329" s="33" t="n"/>
      <c r="AQ329" s="33" t="n"/>
    </row>
    <row r="330">
      <c r="A330" s="33" t="n"/>
      <c r="B330" s="33" t="n"/>
      <c r="C330" s="33" t="n"/>
      <c r="D330" s="33" t="n"/>
      <c r="E330" s="33" t="n"/>
      <c r="F330" s="33" t="n"/>
      <c r="G330" s="33" t="n"/>
      <c r="H330" s="33" t="n"/>
      <c r="I330" s="33" t="n"/>
      <c r="J330" s="33" t="n"/>
      <c r="K330" s="34" t="n"/>
      <c r="L330" s="34" t="n"/>
      <c r="M330" s="34" t="n"/>
      <c r="N330" s="82" t="n"/>
      <c r="O330" s="82" t="n"/>
      <c r="P330" s="33" t="n"/>
      <c r="Q330" s="34" t="n"/>
      <c r="R330" s="83" t="n"/>
      <c r="S330" s="34" t="n"/>
      <c r="T330" s="33" t="n"/>
      <c r="U330" s="83" t="n"/>
      <c r="V330" s="33" t="n"/>
      <c r="W330" s="83" t="n"/>
      <c r="X330" s="83" t="n"/>
      <c r="Y330" s="83" t="n"/>
      <c r="Z330" s="83" t="n"/>
      <c r="AA330" s="84">
        <f>IF(OR($A330="",COUNT(W330,X330,Z330,Y330)&lt;1),"",W330+X330+Z330-Y330)</f>
        <v/>
      </c>
      <c r="AB330" s="83" t="n"/>
      <c r="AC330" s="83" t="n"/>
      <c r="AD330" s="83" t="n"/>
      <c r="AE330" s="83" t="n"/>
      <c r="AF330" s="83" t="n"/>
      <c r="AG330" s="83" t="n"/>
      <c r="AH330" s="84">
        <f>IF(OR($A330="",COUNT(AB330,AC330,AD330,AG330,AE330,AF330)&lt;1),"",AB330+AC330+AD330+AG330-AE330-AF330)</f>
        <v/>
      </c>
      <c r="AI330" s="84">
        <f>IF(OR($A330="",COUNT(AA330,AH330)&lt;2),"",AA330-AH330)</f>
        <v/>
      </c>
      <c r="AJ330" s="84">
        <f>IF(OR($A330="",COUNT(W330,AB330)&lt;2),"",W330-AB330)</f>
        <v/>
      </c>
      <c r="AK330" s="83" t="n"/>
      <c r="AL330" s="33" t="n"/>
      <c r="AM330" s="33" t="n"/>
      <c r="AN330" s="83" t="n"/>
      <c r="AO330" s="33" t="n"/>
      <c r="AP330" s="33" t="n"/>
      <c r="AQ330" s="33" t="n"/>
    </row>
    <row r="331">
      <c r="A331" s="33" t="n"/>
      <c r="B331" s="33" t="n"/>
      <c r="C331" s="33" t="n"/>
      <c r="D331" s="33" t="n"/>
      <c r="E331" s="33" t="n"/>
      <c r="F331" s="33" t="n"/>
      <c r="G331" s="33" t="n"/>
      <c r="H331" s="33" t="n"/>
      <c r="I331" s="33" t="n"/>
      <c r="J331" s="33" t="n"/>
      <c r="K331" s="34" t="n"/>
      <c r="L331" s="34" t="n"/>
      <c r="M331" s="34" t="n"/>
      <c r="N331" s="82" t="n"/>
      <c r="O331" s="82" t="n"/>
      <c r="P331" s="33" t="n"/>
      <c r="Q331" s="34" t="n"/>
      <c r="R331" s="83" t="n"/>
      <c r="S331" s="34" t="n"/>
      <c r="T331" s="33" t="n"/>
      <c r="U331" s="83" t="n"/>
      <c r="V331" s="33" t="n"/>
      <c r="W331" s="83" t="n"/>
      <c r="X331" s="83" t="n"/>
      <c r="Y331" s="83" t="n"/>
      <c r="Z331" s="83" t="n"/>
      <c r="AA331" s="84">
        <f>IF(OR($A331="",COUNT(W331,X331,Z331,Y331)&lt;1),"",W331+X331+Z331-Y331)</f>
        <v/>
      </c>
      <c r="AB331" s="83" t="n"/>
      <c r="AC331" s="83" t="n"/>
      <c r="AD331" s="83" t="n"/>
      <c r="AE331" s="83" t="n"/>
      <c r="AF331" s="83" t="n"/>
      <c r="AG331" s="83" t="n"/>
      <c r="AH331" s="84">
        <f>IF(OR($A331="",COUNT(AB331,AC331,AD331,AG331,AE331,AF331)&lt;1),"",AB331+AC331+AD331+AG331-AE331-AF331)</f>
        <v/>
      </c>
      <c r="AI331" s="84">
        <f>IF(OR($A331="",COUNT(AA331,AH331)&lt;2),"",AA331-AH331)</f>
        <v/>
      </c>
      <c r="AJ331" s="84">
        <f>IF(OR($A331="",COUNT(W331,AB331)&lt;2),"",W331-AB331)</f>
        <v/>
      </c>
      <c r="AK331" s="83" t="n"/>
      <c r="AL331" s="33" t="n"/>
      <c r="AM331" s="33" t="n"/>
      <c r="AN331" s="83" t="n"/>
      <c r="AO331" s="33" t="n"/>
      <c r="AP331" s="33" t="n"/>
      <c r="AQ331" s="33" t="n"/>
    </row>
    <row r="332">
      <c r="A332" s="33" t="n"/>
      <c r="B332" s="33" t="n"/>
      <c r="C332" s="33" t="n"/>
      <c r="D332" s="33" t="n"/>
      <c r="E332" s="33" t="n"/>
      <c r="F332" s="33" t="n"/>
      <c r="G332" s="33" t="n"/>
      <c r="H332" s="33" t="n"/>
      <c r="I332" s="33" t="n"/>
      <c r="J332" s="33" t="n"/>
      <c r="K332" s="34" t="n"/>
      <c r="L332" s="34" t="n"/>
      <c r="M332" s="34" t="n"/>
      <c r="N332" s="82" t="n"/>
      <c r="O332" s="82" t="n"/>
      <c r="P332" s="33" t="n"/>
      <c r="Q332" s="34" t="n"/>
      <c r="R332" s="83" t="n"/>
      <c r="S332" s="34" t="n"/>
      <c r="T332" s="33" t="n"/>
      <c r="U332" s="83" t="n"/>
      <c r="V332" s="33" t="n"/>
      <c r="W332" s="83" t="n"/>
      <c r="X332" s="83" t="n"/>
      <c r="Y332" s="83" t="n"/>
      <c r="Z332" s="83" t="n"/>
      <c r="AA332" s="84">
        <f>IF(OR($A332="",COUNT(W332,X332,Z332,Y332)&lt;1),"",W332+X332+Z332-Y332)</f>
        <v/>
      </c>
      <c r="AB332" s="83" t="n"/>
      <c r="AC332" s="83" t="n"/>
      <c r="AD332" s="83" t="n"/>
      <c r="AE332" s="83" t="n"/>
      <c r="AF332" s="83" t="n"/>
      <c r="AG332" s="83" t="n"/>
      <c r="AH332" s="84">
        <f>IF(OR($A332="",COUNT(AB332,AC332,AD332,AG332,AE332,AF332)&lt;1),"",AB332+AC332+AD332+AG332-AE332-AF332)</f>
        <v/>
      </c>
      <c r="AI332" s="84">
        <f>IF(OR($A332="",COUNT(AA332,AH332)&lt;2),"",AA332-AH332)</f>
        <v/>
      </c>
      <c r="AJ332" s="84">
        <f>IF(OR($A332="",COUNT(W332,AB332)&lt;2),"",W332-AB332)</f>
        <v/>
      </c>
      <c r="AK332" s="83" t="n"/>
      <c r="AL332" s="33" t="n"/>
      <c r="AM332" s="33" t="n"/>
      <c r="AN332" s="83" t="n"/>
      <c r="AO332" s="33" t="n"/>
      <c r="AP332" s="33" t="n"/>
      <c r="AQ332" s="33" t="n"/>
    </row>
    <row r="333">
      <c r="A333" s="33" t="n"/>
      <c r="B333" s="33" t="n"/>
      <c r="C333" s="33" t="n"/>
      <c r="D333" s="33" t="n"/>
      <c r="E333" s="33" t="n"/>
      <c r="F333" s="33" t="n"/>
      <c r="G333" s="33" t="n"/>
      <c r="H333" s="33" t="n"/>
      <c r="I333" s="33" t="n"/>
      <c r="J333" s="33" t="n"/>
      <c r="K333" s="34" t="n"/>
      <c r="L333" s="34" t="n"/>
      <c r="M333" s="34" t="n"/>
      <c r="N333" s="82" t="n"/>
      <c r="O333" s="82" t="n"/>
      <c r="P333" s="33" t="n"/>
      <c r="Q333" s="34" t="n"/>
      <c r="R333" s="83" t="n"/>
      <c r="S333" s="34" t="n"/>
      <c r="T333" s="33" t="n"/>
      <c r="U333" s="83" t="n"/>
      <c r="V333" s="33" t="n"/>
      <c r="W333" s="83" t="n"/>
      <c r="X333" s="83" t="n"/>
      <c r="Y333" s="83" t="n"/>
      <c r="Z333" s="83" t="n"/>
      <c r="AA333" s="84">
        <f>IF(OR($A333="",COUNT(W333,X333,Z333,Y333)&lt;1),"",W333+X333+Z333-Y333)</f>
        <v/>
      </c>
      <c r="AB333" s="83" t="n"/>
      <c r="AC333" s="83" t="n"/>
      <c r="AD333" s="83" t="n"/>
      <c r="AE333" s="83" t="n"/>
      <c r="AF333" s="83" t="n"/>
      <c r="AG333" s="83" t="n"/>
      <c r="AH333" s="84">
        <f>IF(OR($A333="",COUNT(AB333,AC333,AD333,AG333,AE333,AF333)&lt;1),"",AB333+AC333+AD333+AG333-AE333-AF333)</f>
        <v/>
      </c>
      <c r="AI333" s="84">
        <f>IF(OR($A333="",COUNT(AA333,AH333)&lt;2),"",AA333-AH333)</f>
        <v/>
      </c>
      <c r="AJ333" s="84">
        <f>IF(OR($A333="",COUNT(W333,AB333)&lt;2),"",W333-AB333)</f>
        <v/>
      </c>
      <c r="AK333" s="83" t="n"/>
      <c r="AL333" s="33" t="n"/>
      <c r="AM333" s="33" t="n"/>
      <c r="AN333" s="83" t="n"/>
      <c r="AO333" s="33" t="n"/>
      <c r="AP333" s="33" t="n"/>
      <c r="AQ333" s="33" t="n"/>
    </row>
    <row r="334">
      <c r="A334" s="33" t="n"/>
      <c r="B334" s="33" t="n"/>
      <c r="C334" s="33" t="n"/>
      <c r="D334" s="33" t="n"/>
      <c r="E334" s="33" t="n"/>
      <c r="F334" s="33" t="n"/>
      <c r="G334" s="33" t="n"/>
      <c r="H334" s="33" t="n"/>
      <c r="I334" s="33" t="n"/>
      <c r="J334" s="33" t="n"/>
      <c r="K334" s="34" t="n"/>
      <c r="L334" s="34" t="n"/>
      <c r="M334" s="34" t="n"/>
      <c r="N334" s="82" t="n"/>
      <c r="O334" s="82" t="n"/>
      <c r="P334" s="33" t="n"/>
      <c r="Q334" s="34" t="n"/>
      <c r="R334" s="83" t="n"/>
      <c r="S334" s="34" t="n"/>
      <c r="T334" s="33" t="n"/>
      <c r="U334" s="83" t="n"/>
      <c r="V334" s="33" t="n"/>
      <c r="W334" s="83" t="n"/>
      <c r="X334" s="83" t="n"/>
      <c r="Y334" s="83" t="n"/>
      <c r="Z334" s="83" t="n"/>
      <c r="AA334" s="84">
        <f>IF(OR($A334="",COUNT(W334,X334,Z334,Y334)&lt;1),"",W334+X334+Z334-Y334)</f>
        <v/>
      </c>
      <c r="AB334" s="83" t="n"/>
      <c r="AC334" s="83" t="n"/>
      <c r="AD334" s="83" t="n"/>
      <c r="AE334" s="83" t="n"/>
      <c r="AF334" s="83" t="n"/>
      <c r="AG334" s="83" t="n"/>
      <c r="AH334" s="84">
        <f>IF(OR($A334="",COUNT(AB334,AC334,AD334,AG334,AE334,AF334)&lt;1),"",AB334+AC334+AD334+AG334-AE334-AF334)</f>
        <v/>
      </c>
      <c r="AI334" s="84">
        <f>IF(OR($A334="",COUNT(AA334,AH334)&lt;2),"",AA334-AH334)</f>
        <v/>
      </c>
      <c r="AJ334" s="84">
        <f>IF(OR($A334="",COUNT(W334,AB334)&lt;2),"",W334-AB334)</f>
        <v/>
      </c>
      <c r="AK334" s="83" t="n"/>
      <c r="AL334" s="33" t="n"/>
      <c r="AM334" s="33" t="n"/>
      <c r="AN334" s="83" t="n"/>
      <c r="AO334" s="33" t="n"/>
      <c r="AP334" s="33" t="n"/>
      <c r="AQ334" s="33" t="n"/>
    </row>
    <row r="335">
      <c r="A335" s="33" t="n"/>
      <c r="B335" s="33" t="n"/>
      <c r="C335" s="33" t="n"/>
      <c r="D335" s="33" t="n"/>
      <c r="E335" s="33" t="n"/>
      <c r="F335" s="33" t="n"/>
      <c r="G335" s="33" t="n"/>
      <c r="H335" s="33" t="n"/>
      <c r="I335" s="33" t="n"/>
      <c r="J335" s="33" t="n"/>
      <c r="K335" s="34" t="n"/>
      <c r="L335" s="34" t="n"/>
      <c r="M335" s="34" t="n"/>
      <c r="N335" s="82" t="n"/>
      <c r="O335" s="82" t="n"/>
      <c r="P335" s="33" t="n"/>
      <c r="Q335" s="34" t="n"/>
      <c r="R335" s="83" t="n"/>
      <c r="S335" s="34" t="n"/>
      <c r="T335" s="33" t="n"/>
      <c r="U335" s="83" t="n"/>
      <c r="V335" s="33" t="n"/>
      <c r="W335" s="83" t="n"/>
      <c r="X335" s="83" t="n"/>
      <c r="Y335" s="83" t="n"/>
      <c r="Z335" s="83" t="n"/>
      <c r="AA335" s="84">
        <f>IF(OR($A335="",COUNT(W335,X335,Z335,Y335)&lt;1),"",W335+X335+Z335-Y335)</f>
        <v/>
      </c>
      <c r="AB335" s="83" t="n"/>
      <c r="AC335" s="83" t="n"/>
      <c r="AD335" s="83" t="n"/>
      <c r="AE335" s="83" t="n"/>
      <c r="AF335" s="83" t="n"/>
      <c r="AG335" s="83" t="n"/>
      <c r="AH335" s="84">
        <f>IF(OR($A335="",COUNT(AB335,AC335,AD335,AG335,AE335,AF335)&lt;1),"",AB335+AC335+AD335+AG335-AE335-AF335)</f>
        <v/>
      </c>
      <c r="AI335" s="84">
        <f>IF(OR($A335="",COUNT(AA335,AH335)&lt;2),"",AA335-AH335)</f>
        <v/>
      </c>
      <c r="AJ335" s="84">
        <f>IF(OR($A335="",COUNT(W335,AB335)&lt;2),"",W335-AB335)</f>
        <v/>
      </c>
      <c r="AK335" s="83" t="n"/>
      <c r="AL335" s="33" t="n"/>
      <c r="AM335" s="33" t="n"/>
      <c r="AN335" s="83" t="n"/>
      <c r="AO335" s="33" t="n"/>
      <c r="AP335" s="33" t="n"/>
      <c r="AQ335" s="33" t="n"/>
    </row>
    <row r="336">
      <c r="A336" s="33" t="n"/>
      <c r="B336" s="33" t="n"/>
      <c r="C336" s="33" t="n"/>
      <c r="D336" s="33" t="n"/>
      <c r="E336" s="33" t="n"/>
      <c r="F336" s="33" t="n"/>
      <c r="G336" s="33" t="n"/>
      <c r="H336" s="33" t="n"/>
      <c r="I336" s="33" t="n"/>
      <c r="J336" s="33" t="n"/>
      <c r="K336" s="34" t="n"/>
      <c r="L336" s="34" t="n"/>
      <c r="M336" s="34" t="n"/>
      <c r="N336" s="82" t="n"/>
      <c r="O336" s="82" t="n"/>
      <c r="P336" s="33" t="n"/>
      <c r="Q336" s="34" t="n"/>
      <c r="R336" s="83" t="n"/>
      <c r="S336" s="34" t="n"/>
      <c r="T336" s="33" t="n"/>
      <c r="U336" s="83" t="n"/>
      <c r="V336" s="33" t="n"/>
      <c r="W336" s="83" t="n"/>
      <c r="X336" s="83" t="n"/>
      <c r="Y336" s="83" t="n"/>
      <c r="Z336" s="83" t="n"/>
      <c r="AA336" s="84">
        <f>IF(OR($A336="",COUNT(W336,X336,Z336,Y336)&lt;1),"",W336+X336+Z336-Y336)</f>
        <v/>
      </c>
      <c r="AB336" s="83" t="n"/>
      <c r="AC336" s="83" t="n"/>
      <c r="AD336" s="83" t="n"/>
      <c r="AE336" s="83" t="n"/>
      <c r="AF336" s="83" t="n"/>
      <c r="AG336" s="83" t="n"/>
      <c r="AH336" s="84">
        <f>IF(OR($A336="",COUNT(AB336,AC336,AD336,AG336,AE336,AF336)&lt;1),"",AB336+AC336+AD336+AG336-AE336-AF336)</f>
        <v/>
      </c>
      <c r="AI336" s="84">
        <f>IF(OR($A336="",COUNT(AA336,AH336)&lt;2),"",AA336-AH336)</f>
        <v/>
      </c>
      <c r="AJ336" s="84">
        <f>IF(OR($A336="",COUNT(W336,AB336)&lt;2),"",W336-AB336)</f>
        <v/>
      </c>
      <c r="AK336" s="83" t="n"/>
      <c r="AL336" s="33" t="n"/>
      <c r="AM336" s="33" t="n"/>
      <c r="AN336" s="83" t="n"/>
      <c r="AO336" s="33" t="n"/>
      <c r="AP336" s="33" t="n"/>
      <c r="AQ336" s="33" t="n"/>
    </row>
    <row r="337">
      <c r="A337" s="33" t="n"/>
      <c r="B337" s="33" t="n"/>
      <c r="C337" s="33" t="n"/>
      <c r="D337" s="33" t="n"/>
      <c r="E337" s="33" t="n"/>
      <c r="F337" s="33" t="n"/>
      <c r="G337" s="33" t="n"/>
      <c r="H337" s="33" t="n"/>
      <c r="I337" s="33" t="n"/>
      <c r="J337" s="33" t="n"/>
      <c r="K337" s="34" t="n"/>
      <c r="L337" s="34" t="n"/>
      <c r="M337" s="34" t="n"/>
      <c r="N337" s="82" t="n"/>
      <c r="O337" s="82" t="n"/>
      <c r="P337" s="33" t="n"/>
      <c r="Q337" s="34" t="n"/>
      <c r="R337" s="83" t="n"/>
      <c r="S337" s="34" t="n"/>
      <c r="T337" s="33" t="n"/>
      <c r="U337" s="83" t="n"/>
      <c r="V337" s="33" t="n"/>
      <c r="W337" s="83" t="n"/>
      <c r="X337" s="83" t="n"/>
      <c r="Y337" s="83" t="n"/>
      <c r="Z337" s="83" t="n"/>
      <c r="AA337" s="84">
        <f>IF(OR($A337="",COUNT(W337,X337,Z337,Y337)&lt;1),"",W337+X337+Z337-Y337)</f>
        <v/>
      </c>
      <c r="AB337" s="83" t="n"/>
      <c r="AC337" s="83" t="n"/>
      <c r="AD337" s="83" t="n"/>
      <c r="AE337" s="83" t="n"/>
      <c r="AF337" s="83" t="n"/>
      <c r="AG337" s="83" t="n"/>
      <c r="AH337" s="84">
        <f>IF(OR($A337="",COUNT(AB337,AC337,AD337,AG337,AE337,AF337)&lt;1),"",AB337+AC337+AD337+AG337-AE337-AF337)</f>
        <v/>
      </c>
      <c r="AI337" s="84">
        <f>IF(OR($A337="",COUNT(AA337,AH337)&lt;2),"",AA337-AH337)</f>
        <v/>
      </c>
      <c r="AJ337" s="84">
        <f>IF(OR($A337="",COUNT(W337,AB337)&lt;2),"",W337-AB337)</f>
        <v/>
      </c>
      <c r="AK337" s="83" t="n"/>
      <c r="AL337" s="33" t="n"/>
      <c r="AM337" s="33" t="n"/>
      <c r="AN337" s="83" t="n"/>
      <c r="AO337" s="33" t="n"/>
      <c r="AP337" s="33" t="n"/>
      <c r="AQ337" s="33" t="n"/>
    </row>
    <row r="338">
      <c r="A338" s="33" t="n"/>
      <c r="B338" s="33" t="n"/>
      <c r="C338" s="33" t="n"/>
      <c r="D338" s="33" t="n"/>
      <c r="E338" s="33" t="n"/>
      <c r="F338" s="33" t="n"/>
      <c r="G338" s="33" t="n"/>
      <c r="H338" s="33" t="n"/>
      <c r="I338" s="33" t="n"/>
      <c r="J338" s="33" t="n"/>
      <c r="K338" s="34" t="n"/>
      <c r="L338" s="34" t="n"/>
      <c r="M338" s="34" t="n"/>
      <c r="N338" s="82" t="n"/>
      <c r="O338" s="82" t="n"/>
      <c r="P338" s="33" t="n"/>
      <c r="Q338" s="34" t="n"/>
      <c r="R338" s="83" t="n"/>
      <c r="S338" s="34" t="n"/>
      <c r="T338" s="33" t="n"/>
      <c r="U338" s="83" t="n"/>
      <c r="V338" s="33" t="n"/>
      <c r="W338" s="83" t="n"/>
      <c r="X338" s="83" t="n"/>
      <c r="Y338" s="83" t="n"/>
      <c r="Z338" s="83" t="n"/>
      <c r="AA338" s="84">
        <f>IF(OR($A338="",COUNT(W338,X338,Z338,Y338)&lt;1),"",W338+X338+Z338-Y338)</f>
        <v/>
      </c>
      <c r="AB338" s="83" t="n"/>
      <c r="AC338" s="83" t="n"/>
      <c r="AD338" s="83" t="n"/>
      <c r="AE338" s="83" t="n"/>
      <c r="AF338" s="83" t="n"/>
      <c r="AG338" s="83" t="n"/>
      <c r="AH338" s="84">
        <f>IF(OR($A338="",COUNT(AB338,AC338,AD338,AG338,AE338,AF338)&lt;1),"",AB338+AC338+AD338+AG338-AE338-AF338)</f>
        <v/>
      </c>
      <c r="AI338" s="84">
        <f>IF(OR($A338="",COUNT(AA338,AH338)&lt;2),"",AA338-AH338)</f>
        <v/>
      </c>
      <c r="AJ338" s="84">
        <f>IF(OR($A338="",COUNT(W338,AB338)&lt;2),"",W338-AB338)</f>
        <v/>
      </c>
      <c r="AK338" s="83" t="n"/>
      <c r="AL338" s="33" t="n"/>
      <c r="AM338" s="33" t="n"/>
      <c r="AN338" s="83" t="n"/>
      <c r="AO338" s="33" t="n"/>
      <c r="AP338" s="33" t="n"/>
      <c r="AQ338" s="33" t="n"/>
    </row>
    <row r="339">
      <c r="A339" s="33" t="n"/>
      <c r="B339" s="33" t="n"/>
      <c r="C339" s="33" t="n"/>
      <c r="D339" s="33" t="n"/>
      <c r="E339" s="33" t="n"/>
      <c r="F339" s="33" t="n"/>
      <c r="G339" s="33" t="n"/>
      <c r="H339" s="33" t="n"/>
      <c r="I339" s="33" t="n"/>
      <c r="J339" s="33" t="n"/>
      <c r="K339" s="34" t="n"/>
      <c r="L339" s="34" t="n"/>
      <c r="M339" s="34" t="n"/>
      <c r="N339" s="82" t="n"/>
      <c r="O339" s="82" t="n"/>
      <c r="P339" s="33" t="n"/>
      <c r="Q339" s="34" t="n"/>
      <c r="R339" s="83" t="n"/>
      <c r="S339" s="34" t="n"/>
      <c r="T339" s="33" t="n"/>
      <c r="U339" s="83" t="n"/>
      <c r="V339" s="33" t="n"/>
      <c r="W339" s="83" t="n"/>
      <c r="X339" s="83" t="n"/>
      <c r="Y339" s="83" t="n"/>
      <c r="Z339" s="83" t="n"/>
      <c r="AA339" s="84">
        <f>IF(OR($A339="",COUNT(W339,X339,Z339,Y339)&lt;1),"",W339+X339+Z339-Y339)</f>
        <v/>
      </c>
      <c r="AB339" s="83" t="n"/>
      <c r="AC339" s="83" t="n"/>
      <c r="AD339" s="83" t="n"/>
      <c r="AE339" s="83" t="n"/>
      <c r="AF339" s="83" t="n"/>
      <c r="AG339" s="83" t="n"/>
      <c r="AH339" s="84">
        <f>IF(OR($A339="",COUNT(AB339,AC339,AD339,AG339,AE339,AF339)&lt;1),"",AB339+AC339+AD339+AG339-AE339-AF339)</f>
        <v/>
      </c>
      <c r="AI339" s="84">
        <f>IF(OR($A339="",COUNT(AA339,AH339)&lt;2),"",AA339-AH339)</f>
        <v/>
      </c>
      <c r="AJ339" s="84">
        <f>IF(OR($A339="",COUNT(W339,AB339)&lt;2),"",W339-AB339)</f>
        <v/>
      </c>
      <c r="AK339" s="83" t="n"/>
      <c r="AL339" s="33" t="n"/>
      <c r="AM339" s="33" t="n"/>
      <c r="AN339" s="83" t="n"/>
      <c r="AO339" s="33" t="n"/>
      <c r="AP339" s="33" t="n"/>
      <c r="AQ339" s="33" t="n"/>
    </row>
    <row r="340">
      <c r="A340" s="33" t="n"/>
      <c r="B340" s="33" t="n"/>
      <c r="C340" s="33" t="n"/>
      <c r="D340" s="33" t="n"/>
      <c r="E340" s="33" t="n"/>
      <c r="F340" s="33" t="n"/>
      <c r="G340" s="33" t="n"/>
      <c r="H340" s="33" t="n"/>
      <c r="I340" s="33" t="n"/>
      <c r="J340" s="33" t="n"/>
      <c r="K340" s="34" t="n"/>
      <c r="L340" s="34" t="n"/>
      <c r="M340" s="34" t="n"/>
      <c r="N340" s="82" t="n"/>
      <c r="O340" s="82" t="n"/>
      <c r="P340" s="33" t="n"/>
      <c r="Q340" s="34" t="n"/>
      <c r="R340" s="83" t="n"/>
      <c r="S340" s="34" t="n"/>
      <c r="T340" s="33" t="n"/>
      <c r="U340" s="83" t="n"/>
      <c r="V340" s="33" t="n"/>
      <c r="W340" s="83" t="n"/>
      <c r="X340" s="83" t="n"/>
      <c r="Y340" s="83" t="n"/>
      <c r="Z340" s="83" t="n"/>
      <c r="AA340" s="84">
        <f>IF(OR($A340="",COUNT(W340,X340,Z340,Y340)&lt;1),"",W340+X340+Z340-Y340)</f>
        <v/>
      </c>
      <c r="AB340" s="83" t="n"/>
      <c r="AC340" s="83" t="n"/>
      <c r="AD340" s="83" t="n"/>
      <c r="AE340" s="83" t="n"/>
      <c r="AF340" s="83" t="n"/>
      <c r="AG340" s="83" t="n"/>
      <c r="AH340" s="84">
        <f>IF(OR($A340="",COUNT(AB340,AC340,AD340,AG340,AE340,AF340)&lt;1),"",AB340+AC340+AD340+AG340-AE340-AF340)</f>
        <v/>
      </c>
      <c r="AI340" s="84">
        <f>IF(OR($A340="",COUNT(AA340,AH340)&lt;2),"",AA340-AH340)</f>
        <v/>
      </c>
      <c r="AJ340" s="84">
        <f>IF(OR($A340="",COUNT(W340,AB340)&lt;2),"",W340-AB340)</f>
        <v/>
      </c>
      <c r="AK340" s="83" t="n"/>
      <c r="AL340" s="33" t="n"/>
      <c r="AM340" s="33" t="n"/>
      <c r="AN340" s="83" t="n"/>
      <c r="AO340" s="33" t="n"/>
      <c r="AP340" s="33" t="n"/>
      <c r="AQ340" s="33" t="n"/>
    </row>
    <row r="341">
      <c r="A341" s="33" t="n"/>
      <c r="B341" s="33" t="n"/>
      <c r="C341" s="33" t="n"/>
      <c r="D341" s="33" t="n"/>
      <c r="E341" s="33" t="n"/>
      <c r="F341" s="33" t="n"/>
      <c r="G341" s="33" t="n"/>
      <c r="H341" s="33" t="n"/>
      <c r="I341" s="33" t="n"/>
      <c r="J341" s="33" t="n"/>
      <c r="K341" s="34" t="n"/>
      <c r="L341" s="34" t="n"/>
      <c r="M341" s="34" t="n"/>
      <c r="N341" s="82" t="n"/>
      <c r="O341" s="82" t="n"/>
      <c r="P341" s="33" t="n"/>
      <c r="Q341" s="34" t="n"/>
      <c r="R341" s="83" t="n"/>
      <c r="S341" s="34" t="n"/>
      <c r="T341" s="33" t="n"/>
      <c r="U341" s="83" t="n"/>
      <c r="V341" s="33" t="n"/>
      <c r="W341" s="83" t="n"/>
      <c r="X341" s="83" t="n"/>
      <c r="Y341" s="83" t="n"/>
      <c r="Z341" s="83" t="n"/>
      <c r="AA341" s="84">
        <f>IF(OR($A341="",COUNT(W341,X341,Z341,Y341)&lt;1),"",W341+X341+Z341-Y341)</f>
        <v/>
      </c>
      <c r="AB341" s="83" t="n"/>
      <c r="AC341" s="83" t="n"/>
      <c r="AD341" s="83" t="n"/>
      <c r="AE341" s="83" t="n"/>
      <c r="AF341" s="83" t="n"/>
      <c r="AG341" s="83" t="n"/>
      <c r="AH341" s="84">
        <f>IF(OR($A341="",COUNT(AB341,AC341,AD341,AG341,AE341,AF341)&lt;1),"",AB341+AC341+AD341+AG341-AE341-AF341)</f>
        <v/>
      </c>
      <c r="AI341" s="84">
        <f>IF(OR($A341="",COUNT(AA341,AH341)&lt;2),"",AA341-AH341)</f>
        <v/>
      </c>
      <c r="AJ341" s="84">
        <f>IF(OR($A341="",COUNT(W341,AB341)&lt;2),"",W341-AB341)</f>
        <v/>
      </c>
      <c r="AK341" s="83" t="n"/>
      <c r="AL341" s="33" t="n"/>
      <c r="AM341" s="33" t="n"/>
      <c r="AN341" s="83" t="n"/>
      <c r="AO341" s="33" t="n"/>
      <c r="AP341" s="33" t="n"/>
      <c r="AQ341" s="33" t="n"/>
    </row>
    <row r="342">
      <c r="A342" s="33" t="n"/>
      <c r="B342" s="33" t="n"/>
      <c r="C342" s="33" t="n"/>
      <c r="D342" s="33" t="n"/>
      <c r="E342" s="33" t="n"/>
      <c r="F342" s="33" t="n"/>
      <c r="G342" s="33" t="n"/>
      <c r="H342" s="33" t="n"/>
      <c r="I342" s="33" t="n"/>
      <c r="J342" s="33" t="n"/>
      <c r="K342" s="34" t="n"/>
      <c r="L342" s="34" t="n"/>
      <c r="M342" s="34" t="n"/>
      <c r="N342" s="82" t="n"/>
      <c r="O342" s="82" t="n"/>
      <c r="P342" s="33" t="n"/>
      <c r="Q342" s="34" t="n"/>
      <c r="R342" s="83" t="n"/>
      <c r="S342" s="34" t="n"/>
      <c r="T342" s="33" t="n"/>
      <c r="U342" s="83" t="n"/>
      <c r="V342" s="33" t="n"/>
      <c r="W342" s="83" t="n"/>
      <c r="X342" s="83" t="n"/>
      <c r="Y342" s="83" t="n"/>
      <c r="Z342" s="83" t="n"/>
      <c r="AA342" s="84">
        <f>IF(OR($A342="",COUNT(W342,X342,Z342,Y342)&lt;1),"",W342+X342+Z342-Y342)</f>
        <v/>
      </c>
      <c r="AB342" s="83" t="n"/>
      <c r="AC342" s="83" t="n"/>
      <c r="AD342" s="83" t="n"/>
      <c r="AE342" s="83" t="n"/>
      <c r="AF342" s="83" t="n"/>
      <c r="AG342" s="83" t="n"/>
      <c r="AH342" s="84">
        <f>IF(OR($A342="",COUNT(AB342,AC342,AD342,AG342,AE342,AF342)&lt;1),"",AB342+AC342+AD342+AG342-AE342-AF342)</f>
        <v/>
      </c>
      <c r="AI342" s="84">
        <f>IF(OR($A342="",COUNT(AA342,AH342)&lt;2),"",AA342-AH342)</f>
        <v/>
      </c>
      <c r="AJ342" s="84">
        <f>IF(OR($A342="",COUNT(W342,AB342)&lt;2),"",W342-AB342)</f>
        <v/>
      </c>
      <c r="AK342" s="83" t="n"/>
      <c r="AL342" s="33" t="n"/>
      <c r="AM342" s="33" t="n"/>
      <c r="AN342" s="83" t="n"/>
      <c r="AO342" s="33" t="n"/>
      <c r="AP342" s="33" t="n"/>
      <c r="AQ342" s="33" t="n"/>
    </row>
    <row r="343">
      <c r="A343" s="33" t="n"/>
      <c r="B343" s="33" t="n"/>
      <c r="C343" s="33" t="n"/>
      <c r="D343" s="33" t="n"/>
      <c r="E343" s="33" t="n"/>
      <c r="F343" s="33" t="n"/>
      <c r="G343" s="33" t="n"/>
      <c r="H343" s="33" t="n"/>
      <c r="I343" s="33" t="n"/>
      <c r="J343" s="33" t="n"/>
      <c r="K343" s="34" t="n"/>
      <c r="L343" s="34" t="n"/>
      <c r="M343" s="34" t="n"/>
      <c r="N343" s="82" t="n"/>
      <c r="O343" s="82" t="n"/>
      <c r="P343" s="33" t="n"/>
      <c r="Q343" s="34" t="n"/>
      <c r="R343" s="83" t="n"/>
      <c r="S343" s="34" t="n"/>
      <c r="T343" s="33" t="n"/>
      <c r="U343" s="83" t="n"/>
      <c r="V343" s="33" t="n"/>
      <c r="W343" s="83" t="n"/>
      <c r="X343" s="83" t="n"/>
      <c r="Y343" s="83" t="n"/>
      <c r="Z343" s="83" t="n"/>
      <c r="AA343" s="84">
        <f>IF(OR($A343="",COUNT(W343,X343,Z343,Y343)&lt;1),"",W343+X343+Z343-Y343)</f>
        <v/>
      </c>
      <c r="AB343" s="83" t="n"/>
      <c r="AC343" s="83" t="n"/>
      <c r="AD343" s="83" t="n"/>
      <c r="AE343" s="83" t="n"/>
      <c r="AF343" s="83" t="n"/>
      <c r="AG343" s="83" t="n"/>
      <c r="AH343" s="84">
        <f>IF(OR($A343="",COUNT(AB343,AC343,AD343,AG343,AE343,AF343)&lt;1),"",AB343+AC343+AD343+AG343-AE343-AF343)</f>
        <v/>
      </c>
      <c r="AI343" s="84">
        <f>IF(OR($A343="",COUNT(AA343,AH343)&lt;2),"",AA343-AH343)</f>
        <v/>
      </c>
      <c r="AJ343" s="84">
        <f>IF(OR($A343="",COUNT(W343,AB343)&lt;2),"",W343-AB343)</f>
        <v/>
      </c>
      <c r="AK343" s="83" t="n"/>
      <c r="AL343" s="33" t="n"/>
      <c r="AM343" s="33" t="n"/>
      <c r="AN343" s="83" t="n"/>
      <c r="AO343" s="33" t="n"/>
      <c r="AP343" s="33" t="n"/>
      <c r="AQ343" s="33" t="n"/>
    </row>
    <row r="344">
      <c r="A344" s="33" t="n"/>
      <c r="B344" s="33" t="n"/>
      <c r="C344" s="33" t="n"/>
      <c r="D344" s="33" t="n"/>
      <c r="E344" s="33" t="n"/>
      <c r="F344" s="33" t="n"/>
      <c r="G344" s="33" t="n"/>
      <c r="H344" s="33" t="n"/>
      <c r="I344" s="33" t="n"/>
      <c r="J344" s="33" t="n"/>
      <c r="K344" s="34" t="n"/>
      <c r="L344" s="34" t="n"/>
      <c r="M344" s="34" t="n"/>
      <c r="N344" s="82" t="n"/>
      <c r="O344" s="82" t="n"/>
      <c r="P344" s="33" t="n"/>
      <c r="Q344" s="34" t="n"/>
      <c r="R344" s="83" t="n"/>
      <c r="S344" s="34" t="n"/>
      <c r="T344" s="33" t="n"/>
      <c r="U344" s="83" t="n"/>
      <c r="V344" s="33" t="n"/>
      <c r="W344" s="83" t="n"/>
      <c r="X344" s="83" t="n"/>
      <c r="Y344" s="83" t="n"/>
      <c r="Z344" s="83" t="n"/>
      <c r="AA344" s="84">
        <f>IF(OR($A344="",COUNT(W344,X344,Z344,Y344)&lt;1),"",W344+X344+Z344-Y344)</f>
        <v/>
      </c>
      <c r="AB344" s="83" t="n"/>
      <c r="AC344" s="83" t="n"/>
      <c r="AD344" s="83" t="n"/>
      <c r="AE344" s="83" t="n"/>
      <c r="AF344" s="83" t="n"/>
      <c r="AG344" s="83" t="n"/>
      <c r="AH344" s="84">
        <f>IF(OR($A344="",COUNT(AB344,AC344,AD344,AG344,AE344,AF344)&lt;1),"",AB344+AC344+AD344+AG344-AE344-AF344)</f>
        <v/>
      </c>
      <c r="AI344" s="84">
        <f>IF(OR($A344="",COUNT(AA344,AH344)&lt;2),"",AA344-AH344)</f>
        <v/>
      </c>
      <c r="AJ344" s="84">
        <f>IF(OR($A344="",COUNT(W344,AB344)&lt;2),"",W344-AB344)</f>
        <v/>
      </c>
      <c r="AK344" s="83" t="n"/>
      <c r="AL344" s="33" t="n"/>
      <c r="AM344" s="33" t="n"/>
      <c r="AN344" s="83" t="n"/>
      <c r="AO344" s="33" t="n"/>
      <c r="AP344" s="33" t="n"/>
      <c r="AQ344" s="33" t="n"/>
    </row>
    <row r="345">
      <c r="A345" s="33" t="n"/>
      <c r="B345" s="33" t="n"/>
      <c r="C345" s="33" t="n"/>
      <c r="D345" s="33" t="n"/>
      <c r="E345" s="33" t="n"/>
      <c r="F345" s="33" t="n"/>
      <c r="G345" s="33" t="n"/>
      <c r="H345" s="33" t="n"/>
      <c r="I345" s="33" t="n"/>
      <c r="J345" s="33" t="n"/>
      <c r="K345" s="34" t="n"/>
      <c r="L345" s="34" t="n"/>
      <c r="M345" s="34" t="n"/>
      <c r="N345" s="82" t="n"/>
      <c r="O345" s="82" t="n"/>
      <c r="P345" s="33" t="n"/>
      <c r="Q345" s="34" t="n"/>
      <c r="R345" s="83" t="n"/>
      <c r="S345" s="34" t="n"/>
      <c r="T345" s="33" t="n"/>
      <c r="U345" s="83" t="n"/>
      <c r="V345" s="33" t="n"/>
      <c r="W345" s="83" t="n"/>
      <c r="X345" s="83" t="n"/>
      <c r="Y345" s="83" t="n"/>
      <c r="Z345" s="83" t="n"/>
      <c r="AA345" s="84">
        <f>IF(OR($A345="",COUNT(W345,X345,Z345,Y345)&lt;1),"",W345+X345+Z345-Y345)</f>
        <v/>
      </c>
      <c r="AB345" s="83" t="n"/>
      <c r="AC345" s="83" t="n"/>
      <c r="AD345" s="83" t="n"/>
      <c r="AE345" s="83" t="n"/>
      <c r="AF345" s="83" t="n"/>
      <c r="AG345" s="83" t="n"/>
      <c r="AH345" s="84">
        <f>IF(OR($A345="",COUNT(AB345,AC345,AD345,AG345,AE345,AF345)&lt;1),"",AB345+AC345+AD345+AG345-AE345-AF345)</f>
        <v/>
      </c>
      <c r="AI345" s="84">
        <f>IF(OR($A345="",COUNT(AA345,AH345)&lt;2),"",AA345-AH345)</f>
        <v/>
      </c>
      <c r="AJ345" s="84">
        <f>IF(OR($A345="",COUNT(W345,AB345)&lt;2),"",W345-AB345)</f>
        <v/>
      </c>
      <c r="AK345" s="83" t="n"/>
      <c r="AL345" s="33" t="n"/>
      <c r="AM345" s="33" t="n"/>
      <c r="AN345" s="83" t="n"/>
      <c r="AO345" s="33" t="n"/>
      <c r="AP345" s="33" t="n"/>
      <c r="AQ345" s="33" t="n"/>
    </row>
    <row r="346">
      <c r="A346" s="33" t="n"/>
      <c r="B346" s="33" t="n"/>
      <c r="C346" s="33" t="n"/>
      <c r="D346" s="33" t="n"/>
      <c r="E346" s="33" t="n"/>
      <c r="F346" s="33" t="n"/>
      <c r="G346" s="33" t="n"/>
      <c r="H346" s="33" t="n"/>
      <c r="I346" s="33" t="n"/>
      <c r="J346" s="33" t="n"/>
      <c r="K346" s="34" t="n"/>
      <c r="L346" s="34" t="n"/>
      <c r="M346" s="34" t="n"/>
      <c r="N346" s="82" t="n"/>
      <c r="O346" s="82" t="n"/>
      <c r="P346" s="33" t="n"/>
      <c r="Q346" s="34" t="n"/>
      <c r="R346" s="83" t="n"/>
      <c r="S346" s="34" t="n"/>
      <c r="T346" s="33" t="n"/>
      <c r="U346" s="83" t="n"/>
      <c r="V346" s="33" t="n"/>
      <c r="W346" s="83" t="n"/>
      <c r="X346" s="83" t="n"/>
      <c r="Y346" s="83" t="n"/>
      <c r="Z346" s="83" t="n"/>
      <c r="AA346" s="84">
        <f>IF(OR($A346="",COUNT(W346,X346,Z346,Y346)&lt;1),"",W346+X346+Z346-Y346)</f>
        <v/>
      </c>
      <c r="AB346" s="83" t="n"/>
      <c r="AC346" s="83" t="n"/>
      <c r="AD346" s="83" t="n"/>
      <c r="AE346" s="83" t="n"/>
      <c r="AF346" s="83" t="n"/>
      <c r="AG346" s="83" t="n"/>
      <c r="AH346" s="84">
        <f>IF(OR($A346="",COUNT(AB346,AC346,AD346,AG346,AE346,AF346)&lt;1),"",AB346+AC346+AD346+AG346-AE346-AF346)</f>
        <v/>
      </c>
      <c r="AI346" s="84">
        <f>IF(OR($A346="",COUNT(AA346,AH346)&lt;2),"",AA346-AH346)</f>
        <v/>
      </c>
      <c r="AJ346" s="84">
        <f>IF(OR($A346="",COUNT(W346,AB346)&lt;2),"",W346-AB346)</f>
        <v/>
      </c>
      <c r="AK346" s="83" t="n"/>
      <c r="AL346" s="33" t="n"/>
      <c r="AM346" s="33" t="n"/>
      <c r="AN346" s="83" t="n"/>
      <c r="AO346" s="33" t="n"/>
      <c r="AP346" s="33" t="n"/>
      <c r="AQ346" s="33" t="n"/>
    </row>
    <row r="347">
      <c r="A347" s="33" t="n"/>
      <c r="B347" s="33" t="n"/>
      <c r="C347" s="33" t="n"/>
      <c r="D347" s="33" t="n"/>
      <c r="E347" s="33" t="n"/>
      <c r="F347" s="33" t="n"/>
      <c r="G347" s="33" t="n"/>
      <c r="H347" s="33" t="n"/>
      <c r="I347" s="33" t="n"/>
      <c r="J347" s="33" t="n"/>
      <c r="K347" s="34" t="n"/>
      <c r="L347" s="34" t="n"/>
      <c r="M347" s="34" t="n"/>
      <c r="N347" s="82" t="n"/>
      <c r="O347" s="82" t="n"/>
      <c r="P347" s="33" t="n"/>
      <c r="Q347" s="34" t="n"/>
      <c r="R347" s="83" t="n"/>
      <c r="S347" s="34" t="n"/>
      <c r="T347" s="33" t="n"/>
      <c r="U347" s="83" t="n"/>
      <c r="V347" s="33" t="n"/>
      <c r="W347" s="83" t="n"/>
      <c r="X347" s="83" t="n"/>
      <c r="Y347" s="83" t="n"/>
      <c r="Z347" s="83" t="n"/>
      <c r="AA347" s="84">
        <f>IF(OR($A347="",COUNT(W347,X347,Z347,Y347)&lt;1),"",W347+X347+Z347-Y347)</f>
        <v/>
      </c>
      <c r="AB347" s="83" t="n"/>
      <c r="AC347" s="83" t="n"/>
      <c r="AD347" s="83" t="n"/>
      <c r="AE347" s="83" t="n"/>
      <c r="AF347" s="83" t="n"/>
      <c r="AG347" s="83" t="n"/>
      <c r="AH347" s="84">
        <f>IF(OR($A347="",COUNT(AB347,AC347,AD347,AG347,AE347,AF347)&lt;1),"",AB347+AC347+AD347+AG347-AE347-AF347)</f>
        <v/>
      </c>
      <c r="AI347" s="84">
        <f>IF(OR($A347="",COUNT(AA347,AH347)&lt;2),"",AA347-AH347)</f>
        <v/>
      </c>
      <c r="AJ347" s="84">
        <f>IF(OR($A347="",COUNT(W347,AB347)&lt;2),"",W347-AB347)</f>
        <v/>
      </c>
      <c r="AK347" s="83" t="n"/>
      <c r="AL347" s="33" t="n"/>
      <c r="AM347" s="33" t="n"/>
      <c r="AN347" s="83" t="n"/>
      <c r="AO347" s="33" t="n"/>
      <c r="AP347" s="33" t="n"/>
      <c r="AQ347" s="33" t="n"/>
    </row>
    <row r="348">
      <c r="A348" s="33" t="n"/>
      <c r="B348" s="33" t="n"/>
      <c r="C348" s="33" t="n"/>
      <c r="D348" s="33" t="n"/>
      <c r="E348" s="33" t="n"/>
      <c r="F348" s="33" t="n"/>
      <c r="G348" s="33" t="n"/>
      <c r="H348" s="33" t="n"/>
      <c r="I348" s="33" t="n"/>
      <c r="J348" s="33" t="n"/>
      <c r="K348" s="34" t="n"/>
      <c r="L348" s="34" t="n"/>
      <c r="M348" s="34" t="n"/>
      <c r="N348" s="82" t="n"/>
      <c r="O348" s="82" t="n"/>
      <c r="P348" s="33" t="n"/>
      <c r="Q348" s="34" t="n"/>
      <c r="R348" s="83" t="n"/>
      <c r="S348" s="34" t="n"/>
      <c r="T348" s="33" t="n"/>
      <c r="U348" s="83" t="n"/>
      <c r="V348" s="33" t="n"/>
      <c r="W348" s="83" t="n"/>
      <c r="X348" s="83" t="n"/>
      <c r="Y348" s="83" t="n"/>
      <c r="Z348" s="83" t="n"/>
      <c r="AA348" s="84">
        <f>IF(OR($A348="",COUNT(W348,X348,Z348,Y348)&lt;1),"",W348+X348+Z348-Y348)</f>
        <v/>
      </c>
      <c r="AB348" s="83" t="n"/>
      <c r="AC348" s="83" t="n"/>
      <c r="AD348" s="83" t="n"/>
      <c r="AE348" s="83" t="n"/>
      <c r="AF348" s="83" t="n"/>
      <c r="AG348" s="83" t="n"/>
      <c r="AH348" s="84">
        <f>IF(OR($A348="",COUNT(AB348,AC348,AD348,AG348,AE348,AF348)&lt;1),"",AB348+AC348+AD348+AG348-AE348-AF348)</f>
        <v/>
      </c>
      <c r="AI348" s="84">
        <f>IF(OR($A348="",COUNT(AA348,AH348)&lt;2),"",AA348-AH348)</f>
        <v/>
      </c>
      <c r="AJ348" s="84">
        <f>IF(OR($A348="",COUNT(W348,AB348)&lt;2),"",W348-AB348)</f>
        <v/>
      </c>
      <c r="AK348" s="83" t="n"/>
      <c r="AL348" s="33" t="n"/>
      <c r="AM348" s="33" t="n"/>
      <c r="AN348" s="83" t="n"/>
      <c r="AO348" s="33" t="n"/>
      <c r="AP348" s="33" t="n"/>
      <c r="AQ348" s="33" t="n"/>
    </row>
    <row r="349">
      <c r="A349" s="33" t="n"/>
      <c r="B349" s="33" t="n"/>
      <c r="C349" s="33" t="n"/>
      <c r="D349" s="33" t="n"/>
      <c r="E349" s="33" t="n"/>
      <c r="F349" s="33" t="n"/>
      <c r="G349" s="33" t="n"/>
      <c r="H349" s="33" t="n"/>
      <c r="I349" s="33" t="n"/>
      <c r="J349" s="33" t="n"/>
      <c r="K349" s="34" t="n"/>
      <c r="L349" s="34" t="n"/>
      <c r="M349" s="34" t="n"/>
      <c r="N349" s="82" t="n"/>
      <c r="O349" s="82" t="n"/>
      <c r="P349" s="33" t="n"/>
      <c r="Q349" s="34" t="n"/>
      <c r="R349" s="83" t="n"/>
      <c r="S349" s="34" t="n"/>
      <c r="T349" s="33" t="n"/>
      <c r="U349" s="83" t="n"/>
      <c r="V349" s="33" t="n"/>
      <c r="W349" s="83" t="n"/>
      <c r="X349" s="83" t="n"/>
      <c r="Y349" s="83" t="n"/>
      <c r="Z349" s="83" t="n"/>
      <c r="AA349" s="84">
        <f>IF(OR($A349="",COUNT(W349,X349,Z349,Y349)&lt;1),"",W349+X349+Z349-Y349)</f>
        <v/>
      </c>
      <c r="AB349" s="83" t="n"/>
      <c r="AC349" s="83" t="n"/>
      <c r="AD349" s="83" t="n"/>
      <c r="AE349" s="83" t="n"/>
      <c r="AF349" s="83" t="n"/>
      <c r="AG349" s="83" t="n"/>
      <c r="AH349" s="84">
        <f>IF(OR($A349="",COUNT(AB349,AC349,AD349,AG349,AE349,AF349)&lt;1),"",AB349+AC349+AD349+AG349-AE349-AF349)</f>
        <v/>
      </c>
      <c r="AI349" s="84">
        <f>IF(OR($A349="",COUNT(AA349,AH349)&lt;2),"",AA349-AH349)</f>
        <v/>
      </c>
      <c r="AJ349" s="84">
        <f>IF(OR($A349="",COUNT(W349,AB349)&lt;2),"",W349-AB349)</f>
        <v/>
      </c>
      <c r="AK349" s="83" t="n"/>
      <c r="AL349" s="33" t="n"/>
      <c r="AM349" s="33" t="n"/>
      <c r="AN349" s="83" t="n"/>
      <c r="AO349" s="33" t="n"/>
      <c r="AP349" s="33" t="n"/>
      <c r="AQ349" s="33" t="n"/>
    </row>
    <row r="350">
      <c r="A350" s="33" t="n"/>
      <c r="B350" s="33" t="n"/>
      <c r="C350" s="33" t="n"/>
      <c r="D350" s="33" t="n"/>
      <c r="E350" s="33" t="n"/>
      <c r="F350" s="33" t="n"/>
      <c r="G350" s="33" t="n"/>
      <c r="H350" s="33" t="n"/>
      <c r="I350" s="33" t="n"/>
      <c r="J350" s="33" t="n"/>
      <c r="K350" s="34" t="n"/>
      <c r="L350" s="34" t="n"/>
      <c r="M350" s="34" t="n"/>
      <c r="N350" s="82" t="n"/>
      <c r="O350" s="82" t="n"/>
      <c r="P350" s="33" t="n"/>
      <c r="Q350" s="34" t="n"/>
      <c r="R350" s="83" t="n"/>
      <c r="S350" s="34" t="n"/>
      <c r="T350" s="33" t="n"/>
      <c r="U350" s="83" t="n"/>
      <c r="V350" s="33" t="n"/>
      <c r="W350" s="83" t="n"/>
      <c r="X350" s="83" t="n"/>
      <c r="Y350" s="83" t="n"/>
      <c r="Z350" s="83" t="n"/>
      <c r="AA350" s="84">
        <f>IF(OR($A350="",COUNT(W350,X350,Z350,Y350)&lt;1),"",W350+X350+Z350-Y350)</f>
        <v/>
      </c>
      <c r="AB350" s="83" t="n"/>
      <c r="AC350" s="83" t="n"/>
      <c r="AD350" s="83" t="n"/>
      <c r="AE350" s="83" t="n"/>
      <c r="AF350" s="83" t="n"/>
      <c r="AG350" s="83" t="n"/>
      <c r="AH350" s="84">
        <f>IF(OR($A350="",COUNT(AB350,AC350,AD350,AG350,AE350,AF350)&lt;1),"",AB350+AC350+AD350+AG350-AE350-AF350)</f>
        <v/>
      </c>
      <c r="AI350" s="84">
        <f>IF(OR($A350="",COUNT(AA350,AH350)&lt;2),"",AA350-AH350)</f>
        <v/>
      </c>
      <c r="AJ350" s="84">
        <f>IF(OR($A350="",COUNT(W350,AB350)&lt;2),"",W350-AB350)</f>
        <v/>
      </c>
      <c r="AK350" s="83" t="n"/>
      <c r="AL350" s="33" t="n"/>
      <c r="AM350" s="33" t="n"/>
      <c r="AN350" s="83" t="n"/>
      <c r="AO350" s="33" t="n"/>
      <c r="AP350" s="33" t="n"/>
      <c r="AQ350" s="33" t="n"/>
    </row>
    <row r="351">
      <c r="A351" s="33" t="n"/>
      <c r="B351" s="33" t="n"/>
      <c r="C351" s="33" t="n"/>
      <c r="D351" s="33" t="n"/>
      <c r="E351" s="33" t="n"/>
      <c r="F351" s="33" t="n"/>
      <c r="G351" s="33" t="n"/>
      <c r="H351" s="33" t="n"/>
      <c r="I351" s="33" t="n"/>
      <c r="J351" s="33" t="n"/>
      <c r="K351" s="34" t="n"/>
      <c r="L351" s="34" t="n"/>
      <c r="M351" s="34" t="n"/>
      <c r="N351" s="82" t="n"/>
      <c r="O351" s="82" t="n"/>
      <c r="P351" s="33" t="n"/>
      <c r="Q351" s="34" t="n"/>
      <c r="R351" s="83" t="n"/>
      <c r="S351" s="34" t="n"/>
      <c r="T351" s="33" t="n"/>
      <c r="U351" s="83" t="n"/>
      <c r="V351" s="33" t="n"/>
      <c r="W351" s="83" t="n"/>
      <c r="X351" s="83" t="n"/>
      <c r="Y351" s="83" t="n"/>
      <c r="Z351" s="83" t="n"/>
      <c r="AA351" s="84">
        <f>IF(OR($A351="",COUNT(W351,X351,Z351,Y351)&lt;1),"",W351+X351+Z351-Y351)</f>
        <v/>
      </c>
      <c r="AB351" s="83" t="n"/>
      <c r="AC351" s="83" t="n"/>
      <c r="AD351" s="83" t="n"/>
      <c r="AE351" s="83" t="n"/>
      <c r="AF351" s="83" t="n"/>
      <c r="AG351" s="83" t="n"/>
      <c r="AH351" s="84">
        <f>IF(OR($A351="",COUNT(AB351,AC351,AD351,AG351,AE351,AF351)&lt;1),"",AB351+AC351+AD351+AG351-AE351-AF351)</f>
        <v/>
      </c>
      <c r="AI351" s="84">
        <f>IF(OR($A351="",COUNT(AA351,AH351)&lt;2),"",AA351-AH351)</f>
        <v/>
      </c>
      <c r="AJ351" s="84">
        <f>IF(OR($A351="",COUNT(W351,AB351)&lt;2),"",W351-AB351)</f>
        <v/>
      </c>
      <c r="AK351" s="83" t="n"/>
      <c r="AL351" s="33" t="n"/>
      <c r="AM351" s="33" t="n"/>
      <c r="AN351" s="83" t="n"/>
      <c r="AO351" s="33" t="n"/>
      <c r="AP351" s="33" t="n"/>
      <c r="AQ351" s="33" t="n"/>
    </row>
    <row r="352">
      <c r="A352" s="33" t="n"/>
      <c r="B352" s="33" t="n"/>
      <c r="C352" s="33" t="n"/>
      <c r="D352" s="33" t="n"/>
      <c r="E352" s="33" t="n"/>
      <c r="F352" s="33" t="n"/>
      <c r="G352" s="33" t="n"/>
      <c r="H352" s="33" t="n"/>
      <c r="I352" s="33" t="n"/>
      <c r="J352" s="33" t="n"/>
      <c r="K352" s="34" t="n"/>
      <c r="L352" s="34" t="n"/>
      <c r="M352" s="34" t="n"/>
      <c r="N352" s="82" t="n"/>
      <c r="O352" s="82" t="n"/>
      <c r="P352" s="33" t="n"/>
      <c r="Q352" s="34" t="n"/>
      <c r="R352" s="83" t="n"/>
      <c r="S352" s="34" t="n"/>
      <c r="T352" s="33" t="n"/>
      <c r="U352" s="83" t="n"/>
      <c r="V352" s="33" t="n"/>
      <c r="W352" s="83" t="n"/>
      <c r="X352" s="83" t="n"/>
      <c r="Y352" s="83" t="n"/>
      <c r="Z352" s="83" t="n"/>
      <c r="AA352" s="84">
        <f>IF(OR($A352="",COUNT(W352,X352,Z352,Y352)&lt;1),"",W352+X352+Z352-Y352)</f>
        <v/>
      </c>
      <c r="AB352" s="83" t="n"/>
      <c r="AC352" s="83" t="n"/>
      <c r="AD352" s="83" t="n"/>
      <c r="AE352" s="83" t="n"/>
      <c r="AF352" s="83" t="n"/>
      <c r="AG352" s="83" t="n"/>
      <c r="AH352" s="84">
        <f>IF(OR($A352="",COUNT(AB352,AC352,AD352,AG352,AE352,AF352)&lt;1),"",AB352+AC352+AD352+AG352-AE352-AF352)</f>
        <v/>
      </c>
      <c r="AI352" s="84">
        <f>IF(OR($A352="",COUNT(AA352,AH352)&lt;2),"",AA352-AH352)</f>
        <v/>
      </c>
      <c r="AJ352" s="84">
        <f>IF(OR($A352="",COUNT(W352,AB352)&lt;2),"",W352-AB352)</f>
        <v/>
      </c>
      <c r="AK352" s="83" t="n"/>
      <c r="AL352" s="33" t="n"/>
      <c r="AM352" s="33" t="n"/>
      <c r="AN352" s="83" t="n"/>
      <c r="AO352" s="33" t="n"/>
      <c r="AP352" s="33" t="n"/>
      <c r="AQ352" s="33" t="n"/>
    </row>
    <row r="353">
      <c r="A353" s="33" t="n"/>
      <c r="B353" s="33" t="n"/>
      <c r="C353" s="33" t="n"/>
      <c r="D353" s="33" t="n"/>
      <c r="E353" s="33" t="n"/>
      <c r="F353" s="33" t="n"/>
      <c r="G353" s="33" t="n"/>
      <c r="H353" s="33" t="n"/>
      <c r="I353" s="33" t="n"/>
      <c r="J353" s="33" t="n"/>
      <c r="K353" s="34" t="n"/>
      <c r="L353" s="34" t="n"/>
      <c r="M353" s="34" t="n"/>
      <c r="N353" s="82" t="n"/>
      <c r="O353" s="82" t="n"/>
      <c r="P353" s="33" t="n"/>
      <c r="Q353" s="34" t="n"/>
      <c r="R353" s="83" t="n"/>
      <c r="S353" s="34" t="n"/>
      <c r="T353" s="33" t="n"/>
      <c r="U353" s="83" t="n"/>
      <c r="V353" s="33" t="n"/>
      <c r="W353" s="83" t="n"/>
      <c r="X353" s="83" t="n"/>
      <c r="Y353" s="83" t="n"/>
      <c r="Z353" s="83" t="n"/>
      <c r="AA353" s="84">
        <f>IF(OR($A353="",COUNT(W353,X353,Z353,Y353)&lt;1),"",W353+X353+Z353-Y353)</f>
        <v/>
      </c>
      <c r="AB353" s="83" t="n"/>
      <c r="AC353" s="83" t="n"/>
      <c r="AD353" s="83" t="n"/>
      <c r="AE353" s="83" t="n"/>
      <c r="AF353" s="83" t="n"/>
      <c r="AG353" s="83" t="n"/>
      <c r="AH353" s="84">
        <f>IF(OR($A353="",COUNT(AB353,AC353,AD353,AG353,AE353,AF353)&lt;1),"",AB353+AC353+AD353+AG353-AE353-AF353)</f>
        <v/>
      </c>
      <c r="AI353" s="84">
        <f>IF(OR($A353="",COUNT(AA353,AH353)&lt;2),"",AA353-AH353)</f>
        <v/>
      </c>
      <c r="AJ353" s="84">
        <f>IF(OR($A353="",COUNT(W353,AB353)&lt;2),"",W353-AB353)</f>
        <v/>
      </c>
      <c r="AK353" s="83" t="n"/>
      <c r="AL353" s="33" t="n"/>
      <c r="AM353" s="33" t="n"/>
      <c r="AN353" s="83" t="n"/>
      <c r="AO353" s="33" t="n"/>
      <c r="AP353" s="33" t="n"/>
      <c r="AQ353" s="33" t="n"/>
    </row>
    <row r="354">
      <c r="A354" s="33" t="n"/>
      <c r="B354" s="33" t="n"/>
      <c r="C354" s="33" t="n"/>
      <c r="D354" s="33" t="n"/>
      <c r="E354" s="33" t="n"/>
      <c r="F354" s="33" t="n"/>
      <c r="G354" s="33" t="n"/>
      <c r="H354" s="33" t="n"/>
      <c r="I354" s="33" t="n"/>
      <c r="J354" s="33" t="n"/>
      <c r="K354" s="34" t="n"/>
      <c r="L354" s="34" t="n"/>
      <c r="M354" s="34" t="n"/>
      <c r="N354" s="82" t="n"/>
      <c r="O354" s="82" t="n"/>
      <c r="P354" s="33" t="n"/>
      <c r="Q354" s="34" t="n"/>
      <c r="R354" s="83" t="n"/>
      <c r="S354" s="34" t="n"/>
      <c r="T354" s="33" t="n"/>
      <c r="U354" s="83" t="n"/>
      <c r="V354" s="33" t="n"/>
      <c r="W354" s="83" t="n"/>
      <c r="X354" s="83" t="n"/>
      <c r="Y354" s="83" t="n"/>
      <c r="Z354" s="83" t="n"/>
      <c r="AA354" s="84">
        <f>IF(OR($A354="",COUNT(W354,X354,Z354,Y354)&lt;1),"",W354+X354+Z354-Y354)</f>
        <v/>
      </c>
      <c r="AB354" s="83" t="n"/>
      <c r="AC354" s="83" t="n"/>
      <c r="AD354" s="83" t="n"/>
      <c r="AE354" s="83" t="n"/>
      <c r="AF354" s="83" t="n"/>
      <c r="AG354" s="83" t="n"/>
      <c r="AH354" s="84">
        <f>IF(OR($A354="",COUNT(AB354,AC354,AD354,AG354,AE354,AF354)&lt;1),"",AB354+AC354+AD354+AG354-AE354-AF354)</f>
        <v/>
      </c>
      <c r="AI354" s="84">
        <f>IF(OR($A354="",COUNT(AA354,AH354)&lt;2),"",AA354-AH354)</f>
        <v/>
      </c>
      <c r="AJ354" s="84">
        <f>IF(OR($A354="",COUNT(W354,AB354)&lt;2),"",W354-AB354)</f>
        <v/>
      </c>
      <c r="AK354" s="83" t="n"/>
      <c r="AL354" s="33" t="n"/>
      <c r="AM354" s="33" t="n"/>
      <c r="AN354" s="83" t="n"/>
      <c r="AO354" s="33" t="n"/>
      <c r="AP354" s="33" t="n"/>
      <c r="AQ354" s="33" t="n"/>
    </row>
    <row r="355">
      <c r="A355" s="33" t="n"/>
      <c r="B355" s="33" t="n"/>
      <c r="C355" s="33" t="n"/>
      <c r="D355" s="33" t="n"/>
      <c r="E355" s="33" t="n"/>
      <c r="F355" s="33" t="n"/>
      <c r="G355" s="33" t="n"/>
      <c r="H355" s="33" t="n"/>
      <c r="I355" s="33" t="n"/>
      <c r="J355" s="33" t="n"/>
      <c r="K355" s="34" t="n"/>
      <c r="L355" s="34" t="n"/>
      <c r="M355" s="34" t="n"/>
      <c r="N355" s="82" t="n"/>
      <c r="O355" s="82" t="n"/>
      <c r="P355" s="33" t="n"/>
      <c r="Q355" s="34" t="n"/>
      <c r="R355" s="83" t="n"/>
      <c r="S355" s="34" t="n"/>
      <c r="T355" s="33" t="n"/>
      <c r="U355" s="83" t="n"/>
      <c r="V355" s="33" t="n"/>
      <c r="W355" s="83" t="n"/>
      <c r="X355" s="83" t="n"/>
      <c r="Y355" s="83" t="n"/>
      <c r="Z355" s="83" t="n"/>
      <c r="AA355" s="84">
        <f>IF(OR($A355="",COUNT(W355,X355,Z355,Y355)&lt;1),"",W355+X355+Z355-Y355)</f>
        <v/>
      </c>
      <c r="AB355" s="83" t="n"/>
      <c r="AC355" s="83" t="n"/>
      <c r="AD355" s="83" t="n"/>
      <c r="AE355" s="83" t="n"/>
      <c r="AF355" s="83" t="n"/>
      <c r="AG355" s="83" t="n"/>
      <c r="AH355" s="84">
        <f>IF(OR($A355="",COUNT(AB355,AC355,AD355,AG355,AE355,AF355)&lt;1),"",AB355+AC355+AD355+AG355-AE355-AF355)</f>
        <v/>
      </c>
      <c r="AI355" s="84">
        <f>IF(OR($A355="",COUNT(AA355,AH355)&lt;2),"",AA355-AH355)</f>
        <v/>
      </c>
      <c r="AJ355" s="84">
        <f>IF(OR($A355="",COUNT(W355,AB355)&lt;2),"",W355-AB355)</f>
        <v/>
      </c>
      <c r="AK355" s="83" t="n"/>
      <c r="AL355" s="33" t="n"/>
      <c r="AM355" s="33" t="n"/>
      <c r="AN355" s="83" t="n"/>
      <c r="AO355" s="33" t="n"/>
      <c r="AP355" s="33" t="n"/>
      <c r="AQ355" s="33" t="n"/>
    </row>
    <row r="356">
      <c r="A356" s="33" t="n"/>
      <c r="B356" s="33" t="n"/>
      <c r="C356" s="33" t="n"/>
      <c r="D356" s="33" t="n"/>
      <c r="E356" s="33" t="n"/>
      <c r="F356" s="33" t="n"/>
      <c r="G356" s="33" t="n"/>
      <c r="H356" s="33" t="n"/>
      <c r="I356" s="33" t="n"/>
      <c r="J356" s="33" t="n"/>
      <c r="K356" s="34" t="n"/>
      <c r="L356" s="34" t="n"/>
      <c r="M356" s="34" t="n"/>
      <c r="N356" s="82" t="n"/>
      <c r="O356" s="82" t="n"/>
      <c r="P356" s="33" t="n"/>
      <c r="Q356" s="34" t="n"/>
      <c r="R356" s="83" t="n"/>
      <c r="S356" s="34" t="n"/>
      <c r="T356" s="33" t="n"/>
      <c r="U356" s="83" t="n"/>
      <c r="V356" s="33" t="n"/>
      <c r="W356" s="83" t="n"/>
      <c r="X356" s="83" t="n"/>
      <c r="Y356" s="83" t="n"/>
      <c r="Z356" s="83" t="n"/>
      <c r="AA356" s="84">
        <f>IF(OR($A356="",COUNT(W356,X356,Z356,Y356)&lt;1),"",W356+X356+Z356-Y356)</f>
        <v/>
      </c>
      <c r="AB356" s="83" t="n"/>
      <c r="AC356" s="83" t="n"/>
      <c r="AD356" s="83" t="n"/>
      <c r="AE356" s="83" t="n"/>
      <c r="AF356" s="83" t="n"/>
      <c r="AG356" s="83" t="n"/>
      <c r="AH356" s="84">
        <f>IF(OR($A356="",COUNT(AB356,AC356,AD356,AG356,AE356,AF356)&lt;1),"",AB356+AC356+AD356+AG356-AE356-AF356)</f>
        <v/>
      </c>
      <c r="AI356" s="84">
        <f>IF(OR($A356="",COUNT(AA356,AH356)&lt;2),"",AA356-AH356)</f>
        <v/>
      </c>
      <c r="AJ356" s="84">
        <f>IF(OR($A356="",COUNT(W356,AB356)&lt;2),"",W356-AB356)</f>
        <v/>
      </c>
      <c r="AK356" s="83" t="n"/>
      <c r="AL356" s="33" t="n"/>
      <c r="AM356" s="33" t="n"/>
      <c r="AN356" s="83" t="n"/>
      <c r="AO356" s="33" t="n"/>
      <c r="AP356" s="33" t="n"/>
      <c r="AQ356" s="33" t="n"/>
    </row>
    <row r="357">
      <c r="A357" s="33" t="n"/>
      <c r="B357" s="33" t="n"/>
      <c r="C357" s="33" t="n"/>
      <c r="D357" s="33" t="n"/>
      <c r="E357" s="33" t="n"/>
      <c r="F357" s="33" t="n"/>
      <c r="G357" s="33" t="n"/>
      <c r="H357" s="33" t="n"/>
      <c r="I357" s="33" t="n"/>
      <c r="J357" s="33" t="n"/>
      <c r="K357" s="34" t="n"/>
      <c r="L357" s="34" t="n"/>
      <c r="M357" s="34" t="n"/>
      <c r="N357" s="82" t="n"/>
      <c r="O357" s="82" t="n"/>
      <c r="P357" s="33" t="n"/>
      <c r="Q357" s="34" t="n"/>
      <c r="R357" s="83" t="n"/>
      <c r="S357" s="34" t="n"/>
      <c r="T357" s="33" t="n"/>
      <c r="U357" s="83" t="n"/>
      <c r="V357" s="33" t="n"/>
      <c r="W357" s="83" t="n"/>
      <c r="X357" s="83" t="n"/>
      <c r="Y357" s="83" t="n"/>
      <c r="Z357" s="83" t="n"/>
      <c r="AA357" s="84">
        <f>IF(OR($A357="",COUNT(W357,X357,Z357,Y357)&lt;1),"",W357+X357+Z357-Y357)</f>
        <v/>
      </c>
      <c r="AB357" s="83" t="n"/>
      <c r="AC357" s="83" t="n"/>
      <c r="AD357" s="83" t="n"/>
      <c r="AE357" s="83" t="n"/>
      <c r="AF357" s="83" t="n"/>
      <c r="AG357" s="83" t="n"/>
      <c r="AH357" s="84">
        <f>IF(OR($A357="",COUNT(AB357,AC357,AD357,AG357,AE357,AF357)&lt;1),"",AB357+AC357+AD357+AG357-AE357-AF357)</f>
        <v/>
      </c>
      <c r="AI357" s="84">
        <f>IF(OR($A357="",COUNT(AA357,AH357)&lt;2),"",AA357-AH357)</f>
        <v/>
      </c>
      <c r="AJ357" s="84">
        <f>IF(OR($A357="",COUNT(W357,AB357)&lt;2),"",W357-AB357)</f>
        <v/>
      </c>
      <c r="AK357" s="83" t="n"/>
      <c r="AL357" s="33" t="n"/>
      <c r="AM357" s="33" t="n"/>
      <c r="AN357" s="83" t="n"/>
      <c r="AO357" s="33" t="n"/>
      <c r="AP357" s="33" t="n"/>
      <c r="AQ357" s="33" t="n"/>
    </row>
    <row r="358">
      <c r="A358" s="33" t="n"/>
      <c r="B358" s="33" t="n"/>
      <c r="C358" s="33" t="n"/>
      <c r="D358" s="33" t="n"/>
      <c r="E358" s="33" t="n"/>
      <c r="F358" s="33" t="n"/>
      <c r="G358" s="33" t="n"/>
      <c r="H358" s="33" t="n"/>
      <c r="I358" s="33" t="n"/>
      <c r="J358" s="33" t="n"/>
      <c r="K358" s="34" t="n"/>
      <c r="L358" s="34" t="n"/>
      <c r="M358" s="34" t="n"/>
      <c r="N358" s="82" t="n"/>
      <c r="O358" s="82" t="n"/>
      <c r="P358" s="33" t="n"/>
      <c r="Q358" s="34" t="n"/>
      <c r="R358" s="83" t="n"/>
      <c r="S358" s="34" t="n"/>
      <c r="T358" s="33" t="n"/>
      <c r="U358" s="83" t="n"/>
      <c r="V358" s="33" t="n"/>
      <c r="W358" s="83" t="n"/>
      <c r="X358" s="83" t="n"/>
      <c r="Y358" s="83" t="n"/>
      <c r="Z358" s="83" t="n"/>
      <c r="AA358" s="84">
        <f>IF(OR($A358="",COUNT(W358,X358,Z358,Y358)&lt;1),"",W358+X358+Z358-Y358)</f>
        <v/>
      </c>
      <c r="AB358" s="83" t="n"/>
      <c r="AC358" s="83" t="n"/>
      <c r="AD358" s="83" t="n"/>
      <c r="AE358" s="83" t="n"/>
      <c r="AF358" s="83" t="n"/>
      <c r="AG358" s="83" t="n"/>
      <c r="AH358" s="84">
        <f>IF(OR($A358="",COUNT(AB358,AC358,AD358,AG358,AE358,AF358)&lt;1),"",AB358+AC358+AD358+AG358-AE358-AF358)</f>
        <v/>
      </c>
      <c r="AI358" s="84">
        <f>IF(OR($A358="",COUNT(AA358,AH358)&lt;2),"",AA358-AH358)</f>
        <v/>
      </c>
      <c r="AJ358" s="84">
        <f>IF(OR($A358="",COUNT(W358,AB358)&lt;2),"",W358-AB358)</f>
        <v/>
      </c>
      <c r="AK358" s="83" t="n"/>
      <c r="AL358" s="33" t="n"/>
      <c r="AM358" s="33" t="n"/>
      <c r="AN358" s="83" t="n"/>
      <c r="AO358" s="33" t="n"/>
      <c r="AP358" s="33" t="n"/>
      <c r="AQ358" s="33" t="n"/>
    </row>
    <row r="359">
      <c r="A359" s="33" t="n"/>
      <c r="B359" s="33" t="n"/>
      <c r="C359" s="33" t="n"/>
      <c r="D359" s="33" t="n"/>
      <c r="E359" s="33" t="n"/>
      <c r="F359" s="33" t="n"/>
      <c r="G359" s="33" t="n"/>
      <c r="H359" s="33" t="n"/>
      <c r="I359" s="33" t="n"/>
      <c r="J359" s="33" t="n"/>
      <c r="K359" s="34" t="n"/>
      <c r="L359" s="34" t="n"/>
      <c r="M359" s="34" t="n"/>
      <c r="N359" s="82" t="n"/>
      <c r="O359" s="82" t="n"/>
      <c r="P359" s="33" t="n"/>
      <c r="Q359" s="34" t="n"/>
      <c r="R359" s="83" t="n"/>
      <c r="S359" s="34" t="n"/>
      <c r="T359" s="33" t="n"/>
      <c r="U359" s="83" t="n"/>
      <c r="V359" s="33" t="n"/>
      <c r="W359" s="83" t="n"/>
      <c r="X359" s="83" t="n"/>
      <c r="Y359" s="83" t="n"/>
      <c r="Z359" s="83" t="n"/>
      <c r="AA359" s="84">
        <f>IF(OR($A359="",COUNT(W359,X359,Z359,Y359)&lt;1),"",W359+X359+Z359-Y359)</f>
        <v/>
      </c>
      <c r="AB359" s="83" t="n"/>
      <c r="AC359" s="83" t="n"/>
      <c r="AD359" s="83" t="n"/>
      <c r="AE359" s="83" t="n"/>
      <c r="AF359" s="83" t="n"/>
      <c r="AG359" s="83" t="n"/>
      <c r="AH359" s="84">
        <f>IF(OR($A359="",COUNT(AB359,AC359,AD359,AG359,AE359,AF359)&lt;1),"",AB359+AC359+AD359+AG359-AE359-AF359)</f>
        <v/>
      </c>
      <c r="AI359" s="84">
        <f>IF(OR($A359="",COUNT(AA359,AH359)&lt;2),"",AA359-AH359)</f>
        <v/>
      </c>
      <c r="AJ359" s="84">
        <f>IF(OR($A359="",COUNT(W359,AB359)&lt;2),"",W359-AB359)</f>
        <v/>
      </c>
      <c r="AK359" s="83" t="n"/>
      <c r="AL359" s="33" t="n"/>
      <c r="AM359" s="33" t="n"/>
      <c r="AN359" s="83" t="n"/>
      <c r="AO359" s="33" t="n"/>
      <c r="AP359" s="33" t="n"/>
      <c r="AQ359" s="33" t="n"/>
    </row>
    <row r="360">
      <c r="A360" s="33" t="n"/>
      <c r="B360" s="33" t="n"/>
      <c r="C360" s="33" t="n"/>
      <c r="D360" s="33" t="n"/>
      <c r="E360" s="33" t="n"/>
      <c r="F360" s="33" t="n"/>
      <c r="G360" s="33" t="n"/>
      <c r="H360" s="33" t="n"/>
      <c r="I360" s="33" t="n"/>
      <c r="J360" s="33" t="n"/>
      <c r="K360" s="34" t="n"/>
      <c r="L360" s="34" t="n"/>
      <c r="M360" s="34" t="n"/>
      <c r="N360" s="82" t="n"/>
      <c r="O360" s="82" t="n"/>
      <c r="P360" s="33" t="n"/>
      <c r="Q360" s="34" t="n"/>
      <c r="R360" s="83" t="n"/>
      <c r="S360" s="34" t="n"/>
      <c r="T360" s="33" t="n"/>
      <c r="U360" s="83" t="n"/>
      <c r="V360" s="33" t="n"/>
      <c r="W360" s="83" t="n"/>
      <c r="X360" s="83" t="n"/>
      <c r="Y360" s="83" t="n"/>
      <c r="Z360" s="83" t="n"/>
      <c r="AA360" s="84">
        <f>IF(OR($A360="",COUNT(W360,X360,Z360,Y360)&lt;1),"",W360+X360+Z360-Y360)</f>
        <v/>
      </c>
      <c r="AB360" s="83" t="n"/>
      <c r="AC360" s="83" t="n"/>
      <c r="AD360" s="83" t="n"/>
      <c r="AE360" s="83" t="n"/>
      <c r="AF360" s="83" t="n"/>
      <c r="AG360" s="83" t="n"/>
      <c r="AH360" s="84">
        <f>IF(OR($A360="",COUNT(AB360,AC360,AD360,AG360,AE360,AF360)&lt;1),"",AB360+AC360+AD360+AG360-AE360-AF360)</f>
        <v/>
      </c>
      <c r="AI360" s="84">
        <f>IF(OR($A360="",COUNT(AA360,AH360)&lt;2),"",AA360-AH360)</f>
        <v/>
      </c>
      <c r="AJ360" s="84">
        <f>IF(OR($A360="",COUNT(W360,AB360)&lt;2),"",W360-AB360)</f>
        <v/>
      </c>
      <c r="AK360" s="83" t="n"/>
      <c r="AL360" s="33" t="n"/>
      <c r="AM360" s="33" t="n"/>
      <c r="AN360" s="83" t="n"/>
      <c r="AO360" s="33" t="n"/>
      <c r="AP360" s="33" t="n"/>
      <c r="AQ360" s="33" t="n"/>
    </row>
    <row r="361">
      <c r="A361" s="33" t="n"/>
      <c r="B361" s="33" t="n"/>
      <c r="C361" s="33" t="n"/>
      <c r="D361" s="33" t="n"/>
      <c r="E361" s="33" t="n"/>
      <c r="F361" s="33" t="n"/>
      <c r="G361" s="33" t="n"/>
      <c r="H361" s="33" t="n"/>
      <c r="I361" s="33" t="n"/>
      <c r="J361" s="33" t="n"/>
      <c r="K361" s="34" t="n"/>
      <c r="L361" s="34" t="n"/>
      <c r="M361" s="34" t="n"/>
      <c r="N361" s="82" t="n"/>
      <c r="O361" s="82" t="n"/>
      <c r="P361" s="33" t="n"/>
      <c r="Q361" s="34" t="n"/>
      <c r="R361" s="83" t="n"/>
      <c r="S361" s="34" t="n"/>
      <c r="T361" s="33" t="n"/>
      <c r="U361" s="83" t="n"/>
      <c r="V361" s="33" t="n"/>
      <c r="W361" s="83" t="n"/>
      <c r="X361" s="83" t="n"/>
      <c r="Y361" s="83" t="n"/>
      <c r="Z361" s="83" t="n"/>
      <c r="AA361" s="84">
        <f>IF(OR($A361="",COUNT(W361,X361,Z361,Y361)&lt;1),"",W361+X361+Z361-Y361)</f>
        <v/>
      </c>
      <c r="AB361" s="83" t="n"/>
      <c r="AC361" s="83" t="n"/>
      <c r="AD361" s="83" t="n"/>
      <c r="AE361" s="83" t="n"/>
      <c r="AF361" s="83" t="n"/>
      <c r="AG361" s="83" t="n"/>
      <c r="AH361" s="84">
        <f>IF(OR($A361="",COUNT(AB361,AC361,AD361,AG361,AE361,AF361)&lt;1),"",AB361+AC361+AD361+AG361-AE361-AF361)</f>
        <v/>
      </c>
      <c r="AI361" s="84">
        <f>IF(OR($A361="",COUNT(AA361,AH361)&lt;2),"",AA361-AH361)</f>
        <v/>
      </c>
      <c r="AJ361" s="84">
        <f>IF(OR($A361="",COUNT(W361,AB361)&lt;2),"",W361-AB361)</f>
        <v/>
      </c>
      <c r="AK361" s="83" t="n"/>
      <c r="AL361" s="33" t="n"/>
      <c r="AM361" s="33" t="n"/>
      <c r="AN361" s="83" t="n"/>
      <c r="AO361" s="33" t="n"/>
      <c r="AP361" s="33" t="n"/>
      <c r="AQ361" s="33" t="n"/>
    </row>
    <row r="362">
      <c r="A362" s="33" t="n"/>
      <c r="B362" s="33" t="n"/>
      <c r="C362" s="33" t="n"/>
      <c r="D362" s="33" t="n"/>
      <c r="E362" s="33" t="n"/>
      <c r="F362" s="33" t="n"/>
      <c r="G362" s="33" t="n"/>
      <c r="H362" s="33" t="n"/>
      <c r="I362" s="33" t="n"/>
      <c r="J362" s="33" t="n"/>
      <c r="K362" s="34" t="n"/>
      <c r="L362" s="34" t="n"/>
      <c r="M362" s="34" t="n"/>
      <c r="N362" s="82" t="n"/>
      <c r="O362" s="82" t="n"/>
      <c r="P362" s="33" t="n"/>
      <c r="Q362" s="34" t="n"/>
      <c r="R362" s="83" t="n"/>
      <c r="S362" s="34" t="n"/>
      <c r="T362" s="33" t="n"/>
      <c r="U362" s="83" t="n"/>
      <c r="V362" s="33" t="n"/>
      <c r="W362" s="83" t="n"/>
      <c r="X362" s="83" t="n"/>
      <c r="Y362" s="83" t="n"/>
      <c r="Z362" s="83" t="n"/>
      <c r="AA362" s="84">
        <f>IF(OR($A362="",COUNT(W362,X362,Z362,Y362)&lt;1),"",W362+X362+Z362-Y362)</f>
        <v/>
      </c>
      <c r="AB362" s="83" t="n"/>
      <c r="AC362" s="83" t="n"/>
      <c r="AD362" s="83" t="n"/>
      <c r="AE362" s="83" t="n"/>
      <c r="AF362" s="83" t="n"/>
      <c r="AG362" s="83" t="n"/>
      <c r="AH362" s="84">
        <f>IF(OR($A362="",COUNT(AB362,AC362,AD362,AG362,AE362,AF362)&lt;1),"",AB362+AC362+AD362+AG362-AE362-AF362)</f>
        <v/>
      </c>
      <c r="AI362" s="84">
        <f>IF(OR($A362="",COUNT(AA362,AH362)&lt;2),"",AA362-AH362)</f>
        <v/>
      </c>
      <c r="AJ362" s="84">
        <f>IF(OR($A362="",COUNT(W362,AB362)&lt;2),"",W362-AB362)</f>
        <v/>
      </c>
      <c r="AK362" s="83" t="n"/>
      <c r="AL362" s="33" t="n"/>
      <c r="AM362" s="33" t="n"/>
      <c r="AN362" s="83" t="n"/>
      <c r="AO362" s="33" t="n"/>
      <c r="AP362" s="33" t="n"/>
      <c r="AQ362" s="33" t="n"/>
    </row>
    <row r="363">
      <c r="A363" s="33" t="n"/>
      <c r="B363" s="33" t="n"/>
      <c r="C363" s="33" t="n"/>
      <c r="D363" s="33" t="n"/>
      <c r="E363" s="33" t="n"/>
      <c r="F363" s="33" t="n"/>
      <c r="G363" s="33" t="n"/>
      <c r="H363" s="33" t="n"/>
      <c r="I363" s="33" t="n"/>
      <c r="J363" s="33" t="n"/>
      <c r="K363" s="34" t="n"/>
      <c r="L363" s="34" t="n"/>
      <c r="M363" s="34" t="n"/>
      <c r="N363" s="82" t="n"/>
      <c r="O363" s="82" t="n"/>
      <c r="P363" s="33" t="n"/>
      <c r="Q363" s="34" t="n"/>
      <c r="R363" s="83" t="n"/>
      <c r="S363" s="34" t="n"/>
      <c r="T363" s="33" t="n"/>
      <c r="U363" s="83" t="n"/>
      <c r="V363" s="33" t="n"/>
      <c r="W363" s="83" t="n"/>
      <c r="X363" s="83" t="n"/>
      <c r="Y363" s="83" t="n"/>
      <c r="Z363" s="83" t="n"/>
      <c r="AA363" s="84">
        <f>IF(OR($A363="",COUNT(W363,X363,Z363,Y363)&lt;1),"",W363+X363+Z363-Y363)</f>
        <v/>
      </c>
      <c r="AB363" s="83" t="n"/>
      <c r="AC363" s="83" t="n"/>
      <c r="AD363" s="83" t="n"/>
      <c r="AE363" s="83" t="n"/>
      <c r="AF363" s="83" t="n"/>
      <c r="AG363" s="83" t="n"/>
      <c r="AH363" s="84">
        <f>IF(OR($A363="",COUNT(AB363,AC363,AD363,AG363,AE363,AF363)&lt;1),"",AB363+AC363+AD363+AG363-AE363-AF363)</f>
        <v/>
      </c>
      <c r="AI363" s="84">
        <f>IF(OR($A363="",COUNT(AA363,AH363)&lt;2),"",AA363-AH363)</f>
        <v/>
      </c>
      <c r="AJ363" s="84">
        <f>IF(OR($A363="",COUNT(W363,AB363)&lt;2),"",W363-AB363)</f>
        <v/>
      </c>
      <c r="AK363" s="83" t="n"/>
      <c r="AL363" s="33" t="n"/>
      <c r="AM363" s="33" t="n"/>
      <c r="AN363" s="83" t="n"/>
      <c r="AO363" s="33" t="n"/>
      <c r="AP363" s="33" t="n"/>
      <c r="AQ363" s="33" t="n"/>
    </row>
    <row r="364">
      <c r="A364" s="33" t="n"/>
      <c r="B364" s="33" t="n"/>
      <c r="C364" s="33" t="n"/>
      <c r="D364" s="33" t="n"/>
      <c r="E364" s="33" t="n"/>
      <c r="F364" s="33" t="n"/>
      <c r="G364" s="33" t="n"/>
      <c r="H364" s="33" t="n"/>
      <c r="I364" s="33" t="n"/>
      <c r="J364" s="33" t="n"/>
      <c r="K364" s="34" t="n"/>
      <c r="L364" s="34" t="n"/>
      <c r="M364" s="34" t="n"/>
      <c r="N364" s="82" t="n"/>
      <c r="O364" s="82" t="n"/>
      <c r="P364" s="33" t="n"/>
      <c r="Q364" s="34" t="n"/>
      <c r="R364" s="83" t="n"/>
      <c r="S364" s="34" t="n"/>
      <c r="T364" s="33" t="n"/>
      <c r="U364" s="83" t="n"/>
      <c r="V364" s="33" t="n"/>
      <c r="W364" s="83" t="n"/>
      <c r="X364" s="83" t="n"/>
      <c r="Y364" s="83" t="n"/>
      <c r="Z364" s="83" t="n"/>
      <c r="AA364" s="84">
        <f>IF(OR($A364="",COUNT(W364,X364,Z364,Y364)&lt;1),"",W364+X364+Z364-Y364)</f>
        <v/>
      </c>
      <c r="AB364" s="83" t="n"/>
      <c r="AC364" s="83" t="n"/>
      <c r="AD364" s="83" t="n"/>
      <c r="AE364" s="83" t="n"/>
      <c r="AF364" s="83" t="n"/>
      <c r="AG364" s="83" t="n"/>
      <c r="AH364" s="84">
        <f>IF(OR($A364="",COUNT(AB364,AC364,AD364,AG364,AE364,AF364)&lt;1),"",AB364+AC364+AD364+AG364-AE364-AF364)</f>
        <v/>
      </c>
      <c r="AI364" s="84">
        <f>IF(OR($A364="",COUNT(AA364,AH364)&lt;2),"",AA364-AH364)</f>
        <v/>
      </c>
      <c r="AJ364" s="84">
        <f>IF(OR($A364="",COUNT(W364,AB364)&lt;2),"",W364-AB364)</f>
        <v/>
      </c>
      <c r="AK364" s="83" t="n"/>
      <c r="AL364" s="33" t="n"/>
      <c r="AM364" s="33" t="n"/>
      <c r="AN364" s="83" t="n"/>
      <c r="AO364" s="33" t="n"/>
      <c r="AP364" s="33" t="n"/>
      <c r="AQ364" s="33" t="n"/>
    </row>
    <row r="365">
      <c r="A365" s="33" t="n"/>
      <c r="B365" s="33" t="n"/>
      <c r="C365" s="33" t="n"/>
      <c r="D365" s="33" t="n"/>
      <c r="E365" s="33" t="n"/>
      <c r="F365" s="33" t="n"/>
      <c r="G365" s="33" t="n"/>
      <c r="H365" s="33" t="n"/>
      <c r="I365" s="33" t="n"/>
      <c r="J365" s="33" t="n"/>
      <c r="K365" s="34" t="n"/>
      <c r="L365" s="34" t="n"/>
      <c r="M365" s="34" t="n"/>
      <c r="N365" s="82" t="n"/>
      <c r="O365" s="82" t="n"/>
      <c r="P365" s="33" t="n"/>
      <c r="Q365" s="34" t="n"/>
      <c r="R365" s="83" t="n"/>
      <c r="S365" s="34" t="n"/>
      <c r="T365" s="33" t="n"/>
      <c r="U365" s="83" t="n"/>
      <c r="V365" s="33" t="n"/>
      <c r="W365" s="83" t="n"/>
      <c r="X365" s="83" t="n"/>
      <c r="Y365" s="83" t="n"/>
      <c r="Z365" s="83" t="n"/>
      <c r="AA365" s="84">
        <f>IF(OR($A365="",COUNT(W365,X365,Z365,Y365)&lt;1),"",W365+X365+Z365-Y365)</f>
        <v/>
      </c>
      <c r="AB365" s="83" t="n"/>
      <c r="AC365" s="83" t="n"/>
      <c r="AD365" s="83" t="n"/>
      <c r="AE365" s="83" t="n"/>
      <c r="AF365" s="83" t="n"/>
      <c r="AG365" s="83" t="n"/>
      <c r="AH365" s="84">
        <f>IF(OR($A365="",COUNT(AB365,AC365,AD365,AG365,AE365,AF365)&lt;1),"",AB365+AC365+AD365+AG365-AE365-AF365)</f>
        <v/>
      </c>
      <c r="AI365" s="84">
        <f>IF(OR($A365="",COUNT(AA365,AH365)&lt;2),"",AA365-AH365)</f>
        <v/>
      </c>
      <c r="AJ365" s="84">
        <f>IF(OR($A365="",COUNT(W365,AB365)&lt;2),"",W365-AB365)</f>
        <v/>
      </c>
      <c r="AK365" s="83" t="n"/>
      <c r="AL365" s="33" t="n"/>
      <c r="AM365" s="33" t="n"/>
      <c r="AN365" s="83" t="n"/>
      <c r="AO365" s="33" t="n"/>
      <c r="AP365" s="33" t="n"/>
      <c r="AQ365" s="33" t="n"/>
    </row>
    <row r="366">
      <c r="A366" s="33" t="n"/>
      <c r="B366" s="33" t="n"/>
      <c r="C366" s="33" t="n"/>
      <c r="D366" s="33" t="n"/>
      <c r="E366" s="33" t="n"/>
      <c r="F366" s="33" t="n"/>
      <c r="G366" s="33" t="n"/>
      <c r="H366" s="33" t="n"/>
      <c r="I366" s="33" t="n"/>
      <c r="J366" s="33" t="n"/>
      <c r="K366" s="34" t="n"/>
      <c r="L366" s="34" t="n"/>
      <c r="M366" s="34" t="n"/>
      <c r="N366" s="82" t="n"/>
      <c r="O366" s="82" t="n"/>
      <c r="P366" s="33" t="n"/>
      <c r="Q366" s="34" t="n"/>
      <c r="R366" s="83" t="n"/>
      <c r="S366" s="34" t="n"/>
      <c r="T366" s="33" t="n"/>
      <c r="U366" s="83" t="n"/>
      <c r="V366" s="33" t="n"/>
      <c r="W366" s="83" t="n"/>
      <c r="X366" s="83" t="n"/>
      <c r="Y366" s="83" t="n"/>
      <c r="Z366" s="83" t="n"/>
      <c r="AA366" s="84">
        <f>IF(OR($A366="",COUNT(W366,X366,Z366,Y366)&lt;1),"",W366+X366+Z366-Y366)</f>
        <v/>
      </c>
      <c r="AB366" s="83" t="n"/>
      <c r="AC366" s="83" t="n"/>
      <c r="AD366" s="83" t="n"/>
      <c r="AE366" s="83" t="n"/>
      <c r="AF366" s="83" t="n"/>
      <c r="AG366" s="83" t="n"/>
      <c r="AH366" s="84">
        <f>IF(OR($A366="",COUNT(AB366,AC366,AD366,AG366,AE366,AF366)&lt;1),"",AB366+AC366+AD366+AG366-AE366-AF366)</f>
        <v/>
      </c>
      <c r="AI366" s="84">
        <f>IF(OR($A366="",COUNT(AA366,AH366)&lt;2),"",AA366-AH366)</f>
        <v/>
      </c>
      <c r="AJ366" s="84">
        <f>IF(OR($A366="",COUNT(W366,AB366)&lt;2),"",W366-AB366)</f>
        <v/>
      </c>
      <c r="AK366" s="83" t="n"/>
      <c r="AL366" s="33" t="n"/>
      <c r="AM366" s="33" t="n"/>
      <c r="AN366" s="83" t="n"/>
      <c r="AO366" s="33" t="n"/>
      <c r="AP366" s="33" t="n"/>
      <c r="AQ366" s="33" t="n"/>
    </row>
    <row r="367">
      <c r="A367" s="33" t="n"/>
      <c r="B367" s="33" t="n"/>
      <c r="C367" s="33" t="n"/>
      <c r="D367" s="33" t="n"/>
      <c r="E367" s="33" t="n"/>
      <c r="F367" s="33" t="n"/>
      <c r="G367" s="33" t="n"/>
      <c r="H367" s="33" t="n"/>
      <c r="I367" s="33" t="n"/>
      <c r="J367" s="33" t="n"/>
      <c r="K367" s="34" t="n"/>
      <c r="L367" s="34" t="n"/>
      <c r="M367" s="34" t="n"/>
      <c r="N367" s="82" t="n"/>
      <c r="O367" s="82" t="n"/>
      <c r="P367" s="33" t="n"/>
      <c r="Q367" s="34" t="n"/>
      <c r="R367" s="83" t="n"/>
      <c r="S367" s="34" t="n"/>
      <c r="T367" s="33" t="n"/>
      <c r="U367" s="83" t="n"/>
      <c r="V367" s="33" t="n"/>
      <c r="W367" s="83" t="n"/>
      <c r="X367" s="83" t="n"/>
      <c r="Y367" s="83" t="n"/>
      <c r="Z367" s="83" t="n"/>
      <c r="AA367" s="84">
        <f>IF(OR($A367="",COUNT(W367,X367,Z367,Y367)&lt;1),"",W367+X367+Z367-Y367)</f>
        <v/>
      </c>
      <c r="AB367" s="83" t="n"/>
      <c r="AC367" s="83" t="n"/>
      <c r="AD367" s="83" t="n"/>
      <c r="AE367" s="83" t="n"/>
      <c r="AF367" s="83" t="n"/>
      <c r="AG367" s="83" t="n"/>
      <c r="AH367" s="84">
        <f>IF(OR($A367="",COUNT(AB367,AC367,AD367,AG367,AE367,AF367)&lt;1),"",AB367+AC367+AD367+AG367-AE367-AF367)</f>
        <v/>
      </c>
      <c r="AI367" s="84">
        <f>IF(OR($A367="",COUNT(AA367,AH367)&lt;2),"",AA367-AH367)</f>
        <v/>
      </c>
      <c r="AJ367" s="84">
        <f>IF(OR($A367="",COUNT(W367,AB367)&lt;2),"",W367-AB367)</f>
        <v/>
      </c>
      <c r="AK367" s="83" t="n"/>
      <c r="AL367" s="33" t="n"/>
      <c r="AM367" s="33" t="n"/>
      <c r="AN367" s="83" t="n"/>
      <c r="AO367" s="33" t="n"/>
      <c r="AP367" s="33" t="n"/>
      <c r="AQ367" s="33" t="n"/>
    </row>
    <row r="368">
      <c r="A368" s="33" t="n"/>
      <c r="B368" s="33" t="n"/>
      <c r="C368" s="33" t="n"/>
      <c r="D368" s="33" t="n"/>
      <c r="E368" s="33" t="n"/>
      <c r="F368" s="33" t="n"/>
      <c r="G368" s="33" t="n"/>
      <c r="H368" s="33" t="n"/>
      <c r="I368" s="33" t="n"/>
      <c r="J368" s="33" t="n"/>
      <c r="K368" s="34" t="n"/>
      <c r="L368" s="34" t="n"/>
      <c r="M368" s="34" t="n"/>
      <c r="N368" s="82" t="n"/>
      <c r="O368" s="82" t="n"/>
      <c r="P368" s="33" t="n"/>
      <c r="Q368" s="34" t="n"/>
      <c r="R368" s="83" t="n"/>
      <c r="S368" s="34" t="n"/>
      <c r="T368" s="33" t="n"/>
      <c r="U368" s="83" t="n"/>
      <c r="V368" s="33" t="n"/>
      <c r="W368" s="83" t="n"/>
      <c r="X368" s="83" t="n"/>
      <c r="Y368" s="83" t="n"/>
      <c r="Z368" s="83" t="n"/>
      <c r="AA368" s="84">
        <f>IF(OR($A368="",COUNT(W368,X368,Z368,Y368)&lt;1),"",W368+X368+Z368-Y368)</f>
        <v/>
      </c>
      <c r="AB368" s="83" t="n"/>
      <c r="AC368" s="83" t="n"/>
      <c r="AD368" s="83" t="n"/>
      <c r="AE368" s="83" t="n"/>
      <c r="AF368" s="83" t="n"/>
      <c r="AG368" s="83" t="n"/>
      <c r="AH368" s="84">
        <f>IF(OR($A368="",COUNT(AB368,AC368,AD368,AG368,AE368,AF368)&lt;1),"",AB368+AC368+AD368+AG368-AE368-AF368)</f>
        <v/>
      </c>
      <c r="AI368" s="84">
        <f>IF(OR($A368="",COUNT(AA368,AH368)&lt;2),"",AA368-AH368)</f>
        <v/>
      </c>
      <c r="AJ368" s="84">
        <f>IF(OR($A368="",COUNT(W368,AB368)&lt;2),"",W368-AB368)</f>
        <v/>
      </c>
      <c r="AK368" s="83" t="n"/>
      <c r="AL368" s="33" t="n"/>
      <c r="AM368" s="33" t="n"/>
      <c r="AN368" s="83" t="n"/>
      <c r="AO368" s="33" t="n"/>
      <c r="AP368" s="33" t="n"/>
      <c r="AQ368" s="33" t="n"/>
    </row>
    <row r="369">
      <c r="A369" s="33" t="n"/>
      <c r="B369" s="33" t="n"/>
      <c r="C369" s="33" t="n"/>
      <c r="D369" s="33" t="n"/>
      <c r="E369" s="33" t="n"/>
      <c r="F369" s="33" t="n"/>
      <c r="G369" s="33" t="n"/>
      <c r="H369" s="33" t="n"/>
      <c r="I369" s="33" t="n"/>
      <c r="J369" s="33" t="n"/>
      <c r="K369" s="34" t="n"/>
      <c r="L369" s="34" t="n"/>
      <c r="M369" s="34" t="n"/>
      <c r="N369" s="82" t="n"/>
      <c r="O369" s="82" t="n"/>
      <c r="P369" s="33" t="n"/>
      <c r="Q369" s="34" t="n"/>
      <c r="R369" s="83" t="n"/>
      <c r="S369" s="34" t="n"/>
      <c r="T369" s="33" t="n"/>
      <c r="U369" s="83" t="n"/>
      <c r="V369" s="33" t="n"/>
      <c r="W369" s="83" t="n"/>
      <c r="X369" s="83" t="n"/>
      <c r="Y369" s="83" t="n"/>
      <c r="Z369" s="83" t="n"/>
      <c r="AA369" s="84">
        <f>IF(OR($A369="",COUNT(W369,X369,Z369,Y369)&lt;1),"",W369+X369+Z369-Y369)</f>
        <v/>
      </c>
      <c r="AB369" s="83" t="n"/>
      <c r="AC369" s="83" t="n"/>
      <c r="AD369" s="83" t="n"/>
      <c r="AE369" s="83" t="n"/>
      <c r="AF369" s="83" t="n"/>
      <c r="AG369" s="83" t="n"/>
      <c r="AH369" s="84">
        <f>IF(OR($A369="",COUNT(AB369,AC369,AD369,AG369,AE369,AF369)&lt;1),"",AB369+AC369+AD369+AG369-AE369-AF369)</f>
        <v/>
      </c>
      <c r="AI369" s="84">
        <f>IF(OR($A369="",COUNT(AA369,AH369)&lt;2),"",AA369-AH369)</f>
        <v/>
      </c>
      <c r="AJ369" s="84">
        <f>IF(OR($A369="",COUNT(W369,AB369)&lt;2),"",W369-AB369)</f>
        <v/>
      </c>
      <c r="AK369" s="83" t="n"/>
      <c r="AL369" s="33" t="n"/>
      <c r="AM369" s="33" t="n"/>
      <c r="AN369" s="83" t="n"/>
      <c r="AO369" s="33" t="n"/>
      <c r="AP369" s="33" t="n"/>
      <c r="AQ369" s="33" t="n"/>
    </row>
    <row r="370">
      <c r="A370" s="33" t="n"/>
      <c r="B370" s="33" t="n"/>
      <c r="C370" s="33" t="n"/>
      <c r="D370" s="33" t="n"/>
      <c r="E370" s="33" t="n"/>
      <c r="F370" s="33" t="n"/>
      <c r="G370" s="33" t="n"/>
      <c r="H370" s="33" t="n"/>
      <c r="I370" s="33" t="n"/>
      <c r="J370" s="33" t="n"/>
      <c r="K370" s="34" t="n"/>
      <c r="L370" s="34" t="n"/>
      <c r="M370" s="34" t="n"/>
      <c r="N370" s="82" t="n"/>
      <c r="O370" s="82" t="n"/>
      <c r="P370" s="33" t="n"/>
      <c r="Q370" s="34" t="n"/>
      <c r="R370" s="83" t="n"/>
      <c r="S370" s="34" t="n"/>
      <c r="T370" s="33" t="n"/>
      <c r="U370" s="83" t="n"/>
      <c r="V370" s="33" t="n"/>
      <c r="W370" s="83" t="n"/>
      <c r="X370" s="83" t="n"/>
      <c r="Y370" s="83" t="n"/>
      <c r="Z370" s="83" t="n"/>
      <c r="AA370" s="84">
        <f>IF(OR($A370="",COUNT(W370,X370,Z370,Y370)&lt;1),"",W370+X370+Z370-Y370)</f>
        <v/>
      </c>
      <c r="AB370" s="83" t="n"/>
      <c r="AC370" s="83" t="n"/>
      <c r="AD370" s="83" t="n"/>
      <c r="AE370" s="83" t="n"/>
      <c r="AF370" s="83" t="n"/>
      <c r="AG370" s="83" t="n"/>
      <c r="AH370" s="84">
        <f>IF(OR($A370="",COUNT(AB370,AC370,AD370,AG370,AE370,AF370)&lt;1),"",AB370+AC370+AD370+AG370-AE370-AF370)</f>
        <v/>
      </c>
      <c r="AI370" s="84">
        <f>IF(OR($A370="",COUNT(AA370,AH370)&lt;2),"",AA370-AH370)</f>
        <v/>
      </c>
      <c r="AJ370" s="84">
        <f>IF(OR($A370="",COUNT(W370,AB370)&lt;2),"",W370-AB370)</f>
        <v/>
      </c>
      <c r="AK370" s="83" t="n"/>
      <c r="AL370" s="33" t="n"/>
      <c r="AM370" s="33" t="n"/>
      <c r="AN370" s="83" t="n"/>
      <c r="AO370" s="33" t="n"/>
      <c r="AP370" s="33" t="n"/>
      <c r="AQ370" s="33" t="n"/>
    </row>
    <row r="371">
      <c r="A371" s="33" t="n"/>
      <c r="B371" s="33" t="n"/>
      <c r="C371" s="33" t="n"/>
      <c r="D371" s="33" t="n"/>
      <c r="E371" s="33" t="n"/>
      <c r="F371" s="33" t="n"/>
      <c r="G371" s="33" t="n"/>
      <c r="H371" s="33" t="n"/>
      <c r="I371" s="33" t="n"/>
      <c r="J371" s="33" t="n"/>
      <c r="K371" s="34" t="n"/>
      <c r="L371" s="34" t="n"/>
      <c r="M371" s="34" t="n"/>
      <c r="N371" s="82" t="n"/>
      <c r="O371" s="82" t="n"/>
      <c r="P371" s="33" t="n"/>
      <c r="Q371" s="34" t="n"/>
      <c r="R371" s="83" t="n"/>
      <c r="S371" s="34" t="n"/>
      <c r="T371" s="33" t="n"/>
      <c r="U371" s="83" t="n"/>
      <c r="V371" s="33" t="n"/>
      <c r="W371" s="83" t="n"/>
      <c r="X371" s="83" t="n"/>
      <c r="Y371" s="83" t="n"/>
      <c r="Z371" s="83" t="n"/>
      <c r="AA371" s="84">
        <f>IF(OR($A371="",COUNT(W371,X371,Z371,Y371)&lt;1),"",W371+X371+Z371-Y371)</f>
        <v/>
      </c>
      <c r="AB371" s="83" t="n"/>
      <c r="AC371" s="83" t="n"/>
      <c r="AD371" s="83" t="n"/>
      <c r="AE371" s="83" t="n"/>
      <c r="AF371" s="83" t="n"/>
      <c r="AG371" s="83" t="n"/>
      <c r="AH371" s="84">
        <f>IF(OR($A371="",COUNT(AB371,AC371,AD371,AG371,AE371,AF371)&lt;1),"",AB371+AC371+AD371+AG371-AE371-AF371)</f>
        <v/>
      </c>
      <c r="AI371" s="84">
        <f>IF(OR($A371="",COUNT(AA371,AH371)&lt;2),"",AA371-AH371)</f>
        <v/>
      </c>
      <c r="AJ371" s="84">
        <f>IF(OR($A371="",COUNT(W371,AB371)&lt;2),"",W371-AB371)</f>
        <v/>
      </c>
      <c r="AK371" s="83" t="n"/>
      <c r="AL371" s="33" t="n"/>
      <c r="AM371" s="33" t="n"/>
      <c r="AN371" s="83" t="n"/>
      <c r="AO371" s="33" t="n"/>
      <c r="AP371" s="33" t="n"/>
      <c r="AQ371" s="33" t="n"/>
    </row>
    <row r="372">
      <c r="A372" s="33" t="n"/>
      <c r="B372" s="33" t="n"/>
      <c r="C372" s="33" t="n"/>
      <c r="D372" s="33" t="n"/>
      <c r="E372" s="33" t="n"/>
      <c r="F372" s="33" t="n"/>
      <c r="G372" s="33" t="n"/>
      <c r="H372" s="33" t="n"/>
      <c r="I372" s="33" t="n"/>
      <c r="J372" s="33" t="n"/>
      <c r="K372" s="34" t="n"/>
      <c r="L372" s="34" t="n"/>
      <c r="M372" s="34" t="n"/>
      <c r="N372" s="82" t="n"/>
      <c r="O372" s="82" t="n"/>
      <c r="P372" s="33" t="n"/>
      <c r="Q372" s="34" t="n"/>
      <c r="R372" s="83" t="n"/>
      <c r="S372" s="34" t="n"/>
      <c r="T372" s="33" t="n"/>
      <c r="U372" s="83" t="n"/>
      <c r="V372" s="33" t="n"/>
      <c r="W372" s="83" t="n"/>
      <c r="X372" s="83" t="n"/>
      <c r="Y372" s="83" t="n"/>
      <c r="Z372" s="83" t="n"/>
      <c r="AA372" s="84">
        <f>IF(OR($A372="",COUNT(W372,X372,Z372,Y372)&lt;1),"",W372+X372+Z372-Y372)</f>
        <v/>
      </c>
      <c r="AB372" s="83" t="n"/>
      <c r="AC372" s="83" t="n"/>
      <c r="AD372" s="83" t="n"/>
      <c r="AE372" s="83" t="n"/>
      <c r="AF372" s="83" t="n"/>
      <c r="AG372" s="83" t="n"/>
      <c r="AH372" s="84">
        <f>IF(OR($A372="",COUNT(AB372,AC372,AD372,AG372,AE372,AF372)&lt;1),"",AB372+AC372+AD372+AG372-AE372-AF372)</f>
        <v/>
      </c>
      <c r="AI372" s="84">
        <f>IF(OR($A372="",COUNT(AA372,AH372)&lt;2),"",AA372-AH372)</f>
        <v/>
      </c>
      <c r="AJ372" s="84">
        <f>IF(OR($A372="",COUNT(W372,AB372)&lt;2),"",W372-AB372)</f>
        <v/>
      </c>
      <c r="AK372" s="83" t="n"/>
      <c r="AL372" s="33" t="n"/>
      <c r="AM372" s="33" t="n"/>
      <c r="AN372" s="83" t="n"/>
      <c r="AO372" s="33" t="n"/>
      <c r="AP372" s="33" t="n"/>
      <c r="AQ372" s="33" t="n"/>
    </row>
    <row r="373">
      <c r="A373" s="33" t="n"/>
      <c r="B373" s="33" t="n"/>
      <c r="C373" s="33" t="n"/>
      <c r="D373" s="33" t="n"/>
      <c r="E373" s="33" t="n"/>
      <c r="F373" s="33" t="n"/>
      <c r="G373" s="33" t="n"/>
      <c r="H373" s="33" t="n"/>
      <c r="I373" s="33" t="n"/>
      <c r="J373" s="33" t="n"/>
      <c r="K373" s="34" t="n"/>
      <c r="L373" s="34" t="n"/>
      <c r="M373" s="34" t="n"/>
      <c r="N373" s="82" t="n"/>
      <c r="O373" s="82" t="n"/>
      <c r="P373" s="33" t="n"/>
      <c r="Q373" s="34" t="n"/>
      <c r="R373" s="83" t="n"/>
      <c r="S373" s="34" t="n"/>
      <c r="T373" s="33" t="n"/>
      <c r="U373" s="83" t="n"/>
      <c r="V373" s="33" t="n"/>
      <c r="W373" s="83" t="n"/>
      <c r="X373" s="83" t="n"/>
      <c r="Y373" s="83" t="n"/>
      <c r="Z373" s="83" t="n"/>
      <c r="AA373" s="84">
        <f>IF(OR($A373="",COUNT(W373,X373,Z373,Y373)&lt;1),"",W373+X373+Z373-Y373)</f>
        <v/>
      </c>
      <c r="AB373" s="83" t="n"/>
      <c r="AC373" s="83" t="n"/>
      <c r="AD373" s="83" t="n"/>
      <c r="AE373" s="83" t="n"/>
      <c r="AF373" s="83" t="n"/>
      <c r="AG373" s="83" t="n"/>
      <c r="AH373" s="84">
        <f>IF(OR($A373="",COUNT(AB373,AC373,AD373,AG373,AE373,AF373)&lt;1),"",AB373+AC373+AD373+AG373-AE373-AF373)</f>
        <v/>
      </c>
      <c r="AI373" s="84">
        <f>IF(OR($A373="",COUNT(AA373,AH373)&lt;2),"",AA373-AH373)</f>
        <v/>
      </c>
      <c r="AJ373" s="84">
        <f>IF(OR($A373="",COUNT(W373,AB373)&lt;2),"",W373-AB373)</f>
        <v/>
      </c>
      <c r="AK373" s="83" t="n"/>
      <c r="AL373" s="33" t="n"/>
      <c r="AM373" s="33" t="n"/>
      <c r="AN373" s="83" t="n"/>
      <c r="AO373" s="33" t="n"/>
      <c r="AP373" s="33" t="n"/>
      <c r="AQ373" s="33" t="n"/>
    </row>
    <row r="374">
      <c r="A374" s="33" t="n"/>
      <c r="B374" s="33" t="n"/>
      <c r="C374" s="33" t="n"/>
      <c r="D374" s="33" t="n"/>
      <c r="E374" s="33" t="n"/>
      <c r="F374" s="33" t="n"/>
      <c r="G374" s="33" t="n"/>
      <c r="H374" s="33" t="n"/>
      <c r="I374" s="33" t="n"/>
      <c r="J374" s="33" t="n"/>
      <c r="K374" s="34" t="n"/>
      <c r="L374" s="34" t="n"/>
      <c r="M374" s="34" t="n"/>
      <c r="N374" s="82" t="n"/>
      <c r="O374" s="82" t="n"/>
      <c r="P374" s="33" t="n"/>
      <c r="Q374" s="34" t="n"/>
      <c r="R374" s="83" t="n"/>
      <c r="S374" s="34" t="n"/>
      <c r="T374" s="33" t="n"/>
      <c r="U374" s="83" t="n"/>
      <c r="V374" s="33" t="n"/>
      <c r="W374" s="83" t="n"/>
      <c r="X374" s="83" t="n"/>
      <c r="Y374" s="83" t="n"/>
      <c r="Z374" s="83" t="n"/>
      <c r="AA374" s="84">
        <f>IF(OR($A374="",COUNT(W374,X374,Z374,Y374)&lt;1),"",W374+X374+Z374-Y374)</f>
        <v/>
      </c>
      <c r="AB374" s="83" t="n"/>
      <c r="AC374" s="83" t="n"/>
      <c r="AD374" s="83" t="n"/>
      <c r="AE374" s="83" t="n"/>
      <c r="AF374" s="83" t="n"/>
      <c r="AG374" s="83" t="n"/>
      <c r="AH374" s="84">
        <f>IF(OR($A374="",COUNT(AB374,AC374,AD374,AG374,AE374,AF374)&lt;1),"",AB374+AC374+AD374+AG374-AE374-AF374)</f>
        <v/>
      </c>
      <c r="AI374" s="84">
        <f>IF(OR($A374="",COUNT(AA374,AH374)&lt;2),"",AA374-AH374)</f>
        <v/>
      </c>
      <c r="AJ374" s="84">
        <f>IF(OR($A374="",COUNT(W374,AB374)&lt;2),"",W374-AB374)</f>
        <v/>
      </c>
      <c r="AK374" s="83" t="n"/>
      <c r="AL374" s="33" t="n"/>
      <c r="AM374" s="33" t="n"/>
      <c r="AN374" s="83" t="n"/>
      <c r="AO374" s="33" t="n"/>
      <c r="AP374" s="33" t="n"/>
      <c r="AQ374" s="33" t="n"/>
    </row>
    <row r="375">
      <c r="A375" s="33" t="n"/>
      <c r="B375" s="33" t="n"/>
      <c r="C375" s="33" t="n"/>
      <c r="D375" s="33" t="n"/>
      <c r="E375" s="33" t="n"/>
      <c r="F375" s="33" t="n"/>
      <c r="G375" s="33" t="n"/>
      <c r="H375" s="33" t="n"/>
      <c r="I375" s="33" t="n"/>
      <c r="J375" s="33" t="n"/>
      <c r="K375" s="34" t="n"/>
      <c r="L375" s="34" t="n"/>
      <c r="M375" s="34" t="n"/>
      <c r="N375" s="82" t="n"/>
      <c r="O375" s="82" t="n"/>
      <c r="P375" s="33" t="n"/>
      <c r="Q375" s="34" t="n"/>
      <c r="R375" s="83" t="n"/>
      <c r="S375" s="34" t="n"/>
      <c r="T375" s="33" t="n"/>
      <c r="U375" s="83" t="n"/>
      <c r="V375" s="33" t="n"/>
      <c r="W375" s="83" t="n"/>
      <c r="X375" s="83" t="n"/>
      <c r="Y375" s="83" t="n"/>
      <c r="Z375" s="83" t="n"/>
      <c r="AA375" s="84">
        <f>IF(OR($A375="",COUNT(W375,X375,Z375,Y375)&lt;1),"",W375+X375+Z375-Y375)</f>
        <v/>
      </c>
      <c r="AB375" s="83" t="n"/>
      <c r="AC375" s="83" t="n"/>
      <c r="AD375" s="83" t="n"/>
      <c r="AE375" s="83" t="n"/>
      <c r="AF375" s="83" t="n"/>
      <c r="AG375" s="83" t="n"/>
      <c r="AH375" s="84">
        <f>IF(OR($A375="",COUNT(AB375,AC375,AD375,AG375,AE375,AF375)&lt;1),"",AB375+AC375+AD375+AG375-AE375-AF375)</f>
        <v/>
      </c>
      <c r="AI375" s="84">
        <f>IF(OR($A375="",COUNT(AA375,AH375)&lt;2),"",AA375-AH375)</f>
        <v/>
      </c>
      <c r="AJ375" s="84">
        <f>IF(OR($A375="",COUNT(W375,AB375)&lt;2),"",W375-AB375)</f>
        <v/>
      </c>
      <c r="AK375" s="83" t="n"/>
      <c r="AL375" s="33" t="n"/>
      <c r="AM375" s="33" t="n"/>
      <c r="AN375" s="83" t="n"/>
      <c r="AO375" s="33" t="n"/>
      <c r="AP375" s="33" t="n"/>
      <c r="AQ375" s="33" t="n"/>
    </row>
    <row r="376">
      <c r="A376" s="33" t="n"/>
      <c r="B376" s="33" t="n"/>
      <c r="C376" s="33" t="n"/>
      <c r="D376" s="33" t="n"/>
      <c r="E376" s="33" t="n"/>
      <c r="F376" s="33" t="n"/>
      <c r="G376" s="33" t="n"/>
      <c r="H376" s="33" t="n"/>
      <c r="I376" s="33" t="n"/>
      <c r="J376" s="33" t="n"/>
      <c r="K376" s="34" t="n"/>
      <c r="L376" s="34" t="n"/>
      <c r="M376" s="34" t="n"/>
      <c r="N376" s="82" t="n"/>
      <c r="O376" s="82" t="n"/>
      <c r="P376" s="33" t="n"/>
      <c r="Q376" s="34" t="n"/>
      <c r="R376" s="83" t="n"/>
      <c r="S376" s="34" t="n"/>
      <c r="T376" s="33" t="n"/>
      <c r="U376" s="83" t="n"/>
      <c r="V376" s="33" t="n"/>
      <c r="W376" s="83" t="n"/>
      <c r="X376" s="83" t="n"/>
      <c r="Y376" s="83" t="n"/>
      <c r="Z376" s="83" t="n"/>
      <c r="AA376" s="84">
        <f>IF(OR($A376="",COUNT(W376,X376,Z376,Y376)&lt;1),"",W376+X376+Z376-Y376)</f>
        <v/>
      </c>
      <c r="AB376" s="83" t="n"/>
      <c r="AC376" s="83" t="n"/>
      <c r="AD376" s="83" t="n"/>
      <c r="AE376" s="83" t="n"/>
      <c r="AF376" s="83" t="n"/>
      <c r="AG376" s="83" t="n"/>
      <c r="AH376" s="84">
        <f>IF(OR($A376="",COUNT(AB376,AC376,AD376,AG376,AE376,AF376)&lt;1),"",AB376+AC376+AD376+AG376-AE376-AF376)</f>
        <v/>
      </c>
      <c r="AI376" s="84">
        <f>IF(OR($A376="",COUNT(AA376,AH376)&lt;2),"",AA376-AH376)</f>
        <v/>
      </c>
      <c r="AJ376" s="84">
        <f>IF(OR($A376="",COUNT(W376,AB376)&lt;2),"",W376-AB376)</f>
        <v/>
      </c>
      <c r="AK376" s="83" t="n"/>
      <c r="AL376" s="33" t="n"/>
      <c r="AM376" s="33" t="n"/>
      <c r="AN376" s="83" t="n"/>
      <c r="AO376" s="33" t="n"/>
      <c r="AP376" s="33" t="n"/>
      <c r="AQ376" s="33" t="n"/>
    </row>
    <row r="377">
      <c r="A377" s="33" t="n"/>
      <c r="B377" s="33" t="n"/>
      <c r="C377" s="33" t="n"/>
      <c r="D377" s="33" t="n"/>
      <c r="E377" s="33" t="n"/>
      <c r="F377" s="33" t="n"/>
      <c r="G377" s="33" t="n"/>
      <c r="H377" s="33" t="n"/>
      <c r="I377" s="33" t="n"/>
      <c r="J377" s="33" t="n"/>
      <c r="K377" s="34" t="n"/>
      <c r="L377" s="34" t="n"/>
      <c r="M377" s="34" t="n"/>
      <c r="N377" s="82" t="n"/>
      <c r="O377" s="82" t="n"/>
      <c r="P377" s="33" t="n"/>
      <c r="Q377" s="34" t="n"/>
      <c r="R377" s="83" t="n"/>
      <c r="S377" s="34" t="n"/>
      <c r="T377" s="33" t="n"/>
      <c r="U377" s="83" t="n"/>
      <c r="V377" s="33" t="n"/>
      <c r="W377" s="83" t="n"/>
      <c r="X377" s="83" t="n"/>
      <c r="Y377" s="83" t="n"/>
      <c r="Z377" s="83" t="n"/>
      <c r="AA377" s="84">
        <f>IF(OR($A377="",COUNT(W377,X377,Z377,Y377)&lt;1),"",W377+X377+Z377-Y377)</f>
        <v/>
      </c>
      <c r="AB377" s="83" t="n"/>
      <c r="AC377" s="83" t="n"/>
      <c r="AD377" s="83" t="n"/>
      <c r="AE377" s="83" t="n"/>
      <c r="AF377" s="83" t="n"/>
      <c r="AG377" s="83" t="n"/>
      <c r="AH377" s="84">
        <f>IF(OR($A377="",COUNT(AB377,AC377,AD377,AG377,AE377,AF377)&lt;1),"",AB377+AC377+AD377+AG377-AE377-AF377)</f>
        <v/>
      </c>
      <c r="AI377" s="84">
        <f>IF(OR($A377="",COUNT(AA377,AH377)&lt;2),"",AA377-AH377)</f>
        <v/>
      </c>
      <c r="AJ377" s="84">
        <f>IF(OR($A377="",COUNT(W377,AB377)&lt;2),"",W377-AB377)</f>
        <v/>
      </c>
      <c r="AK377" s="83" t="n"/>
      <c r="AL377" s="33" t="n"/>
      <c r="AM377" s="33" t="n"/>
      <c r="AN377" s="83" t="n"/>
      <c r="AO377" s="33" t="n"/>
      <c r="AP377" s="33" t="n"/>
      <c r="AQ377" s="33" t="n"/>
    </row>
    <row r="378">
      <c r="A378" s="33" t="n"/>
      <c r="B378" s="33" t="n"/>
      <c r="C378" s="33" t="n"/>
      <c r="D378" s="33" t="n"/>
      <c r="E378" s="33" t="n"/>
      <c r="F378" s="33" t="n"/>
      <c r="G378" s="33" t="n"/>
      <c r="H378" s="33" t="n"/>
      <c r="I378" s="33" t="n"/>
      <c r="J378" s="33" t="n"/>
      <c r="K378" s="34" t="n"/>
      <c r="L378" s="34" t="n"/>
      <c r="M378" s="34" t="n"/>
      <c r="N378" s="82" t="n"/>
      <c r="O378" s="82" t="n"/>
      <c r="P378" s="33" t="n"/>
      <c r="Q378" s="34" t="n"/>
      <c r="R378" s="83" t="n"/>
      <c r="S378" s="34" t="n"/>
      <c r="T378" s="33" t="n"/>
      <c r="U378" s="83" t="n"/>
      <c r="V378" s="33" t="n"/>
      <c r="W378" s="83" t="n"/>
      <c r="X378" s="83" t="n"/>
      <c r="Y378" s="83" t="n"/>
      <c r="Z378" s="83" t="n"/>
      <c r="AA378" s="84">
        <f>IF(OR($A378="",COUNT(W378,X378,Z378,Y378)&lt;1),"",W378+X378+Z378-Y378)</f>
        <v/>
      </c>
      <c r="AB378" s="83" t="n"/>
      <c r="AC378" s="83" t="n"/>
      <c r="AD378" s="83" t="n"/>
      <c r="AE378" s="83" t="n"/>
      <c r="AF378" s="83" t="n"/>
      <c r="AG378" s="83" t="n"/>
      <c r="AH378" s="84">
        <f>IF(OR($A378="",COUNT(AB378,AC378,AD378,AG378,AE378,AF378)&lt;1),"",AB378+AC378+AD378+AG378-AE378-AF378)</f>
        <v/>
      </c>
      <c r="AI378" s="84">
        <f>IF(OR($A378="",COUNT(AA378,AH378)&lt;2),"",AA378-AH378)</f>
        <v/>
      </c>
      <c r="AJ378" s="84">
        <f>IF(OR($A378="",COUNT(W378,AB378)&lt;2),"",W378-AB378)</f>
        <v/>
      </c>
      <c r="AK378" s="83" t="n"/>
      <c r="AL378" s="33" t="n"/>
      <c r="AM378" s="33" t="n"/>
      <c r="AN378" s="83" t="n"/>
      <c r="AO378" s="33" t="n"/>
      <c r="AP378" s="33" t="n"/>
      <c r="AQ378" s="33" t="n"/>
    </row>
    <row r="379">
      <c r="A379" s="33" t="n"/>
      <c r="B379" s="33" t="n"/>
      <c r="C379" s="33" t="n"/>
      <c r="D379" s="33" t="n"/>
      <c r="E379" s="33" t="n"/>
      <c r="F379" s="33" t="n"/>
      <c r="G379" s="33" t="n"/>
      <c r="H379" s="33" t="n"/>
      <c r="I379" s="33" t="n"/>
      <c r="J379" s="33" t="n"/>
      <c r="K379" s="34" t="n"/>
      <c r="L379" s="34" t="n"/>
      <c r="M379" s="34" t="n"/>
      <c r="N379" s="82" t="n"/>
      <c r="O379" s="82" t="n"/>
      <c r="P379" s="33" t="n"/>
      <c r="Q379" s="34" t="n"/>
      <c r="R379" s="83" t="n"/>
      <c r="S379" s="34" t="n"/>
      <c r="T379" s="33" t="n"/>
      <c r="U379" s="83" t="n"/>
      <c r="V379" s="33" t="n"/>
      <c r="W379" s="83" t="n"/>
      <c r="X379" s="83" t="n"/>
      <c r="Y379" s="83" t="n"/>
      <c r="Z379" s="83" t="n"/>
      <c r="AA379" s="84">
        <f>IF(OR($A379="",COUNT(W379,X379,Z379,Y379)&lt;1),"",W379+X379+Z379-Y379)</f>
        <v/>
      </c>
      <c r="AB379" s="83" t="n"/>
      <c r="AC379" s="83" t="n"/>
      <c r="AD379" s="83" t="n"/>
      <c r="AE379" s="83" t="n"/>
      <c r="AF379" s="83" t="n"/>
      <c r="AG379" s="83" t="n"/>
      <c r="AH379" s="84">
        <f>IF(OR($A379="",COUNT(AB379,AC379,AD379,AG379,AE379,AF379)&lt;1),"",AB379+AC379+AD379+AG379-AE379-AF379)</f>
        <v/>
      </c>
      <c r="AI379" s="84">
        <f>IF(OR($A379="",COUNT(AA379,AH379)&lt;2),"",AA379-AH379)</f>
        <v/>
      </c>
      <c r="AJ379" s="84">
        <f>IF(OR($A379="",COUNT(W379,AB379)&lt;2),"",W379-AB379)</f>
        <v/>
      </c>
      <c r="AK379" s="83" t="n"/>
      <c r="AL379" s="33" t="n"/>
      <c r="AM379" s="33" t="n"/>
      <c r="AN379" s="83" t="n"/>
      <c r="AO379" s="33" t="n"/>
      <c r="AP379" s="33" t="n"/>
      <c r="AQ379" s="33" t="n"/>
    </row>
    <row r="380">
      <c r="A380" s="33" t="n"/>
      <c r="B380" s="33" t="n"/>
      <c r="C380" s="33" t="n"/>
      <c r="D380" s="33" t="n"/>
      <c r="E380" s="33" t="n"/>
      <c r="F380" s="33" t="n"/>
      <c r="G380" s="33" t="n"/>
      <c r="H380" s="33" t="n"/>
      <c r="I380" s="33" t="n"/>
      <c r="J380" s="33" t="n"/>
      <c r="K380" s="34" t="n"/>
      <c r="L380" s="34" t="n"/>
      <c r="M380" s="34" t="n"/>
      <c r="N380" s="82" t="n"/>
      <c r="O380" s="82" t="n"/>
      <c r="P380" s="33" t="n"/>
      <c r="Q380" s="34" t="n"/>
      <c r="R380" s="83" t="n"/>
      <c r="S380" s="34" t="n"/>
      <c r="T380" s="33" t="n"/>
      <c r="U380" s="83" t="n"/>
      <c r="V380" s="33" t="n"/>
      <c r="W380" s="83" t="n"/>
      <c r="X380" s="83" t="n"/>
      <c r="Y380" s="83" t="n"/>
      <c r="Z380" s="83" t="n"/>
      <c r="AA380" s="84">
        <f>IF(OR($A380="",COUNT(W380,X380,Z380,Y380)&lt;1),"",W380+X380+Z380-Y380)</f>
        <v/>
      </c>
      <c r="AB380" s="83" t="n"/>
      <c r="AC380" s="83" t="n"/>
      <c r="AD380" s="83" t="n"/>
      <c r="AE380" s="83" t="n"/>
      <c r="AF380" s="83" t="n"/>
      <c r="AG380" s="83" t="n"/>
      <c r="AH380" s="84">
        <f>IF(OR($A380="",COUNT(AB380,AC380,AD380,AG380,AE380,AF380)&lt;1),"",AB380+AC380+AD380+AG380-AE380-AF380)</f>
        <v/>
      </c>
      <c r="AI380" s="84">
        <f>IF(OR($A380="",COUNT(AA380,AH380)&lt;2),"",AA380-AH380)</f>
        <v/>
      </c>
      <c r="AJ380" s="84">
        <f>IF(OR($A380="",COUNT(W380,AB380)&lt;2),"",W380-AB380)</f>
        <v/>
      </c>
      <c r="AK380" s="83" t="n"/>
      <c r="AL380" s="33" t="n"/>
      <c r="AM380" s="33" t="n"/>
      <c r="AN380" s="83" t="n"/>
      <c r="AO380" s="33" t="n"/>
      <c r="AP380" s="33" t="n"/>
      <c r="AQ380" s="33" t="n"/>
    </row>
    <row r="381">
      <c r="A381" s="33" t="n"/>
      <c r="B381" s="33" t="n"/>
      <c r="C381" s="33" t="n"/>
      <c r="D381" s="33" t="n"/>
      <c r="E381" s="33" t="n"/>
      <c r="F381" s="33" t="n"/>
      <c r="G381" s="33" t="n"/>
      <c r="H381" s="33" t="n"/>
      <c r="I381" s="33" t="n"/>
      <c r="J381" s="33" t="n"/>
      <c r="K381" s="34" t="n"/>
      <c r="L381" s="34" t="n"/>
      <c r="M381" s="34" t="n"/>
      <c r="N381" s="82" t="n"/>
      <c r="O381" s="82" t="n"/>
      <c r="P381" s="33" t="n"/>
      <c r="Q381" s="34" t="n"/>
      <c r="R381" s="83" t="n"/>
      <c r="S381" s="34" t="n"/>
      <c r="T381" s="33" t="n"/>
      <c r="U381" s="83" t="n"/>
      <c r="V381" s="33" t="n"/>
      <c r="W381" s="83" t="n"/>
      <c r="X381" s="83" t="n"/>
      <c r="Y381" s="83" t="n"/>
      <c r="Z381" s="83" t="n"/>
      <c r="AA381" s="84">
        <f>IF(OR($A381="",COUNT(W381,X381,Z381,Y381)&lt;1),"",W381+X381+Z381-Y381)</f>
        <v/>
      </c>
      <c r="AB381" s="83" t="n"/>
      <c r="AC381" s="83" t="n"/>
      <c r="AD381" s="83" t="n"/>
      <c r="AE381" s="83" t="n"/>
      <c r="AF381" s="83" t="n"/>
      <c r="AG381" s="83" t="n"/>
      <c r="AH381" s="84">
        <f>IF(OR($A381="",COUNT(AB381,AC381,AD381,AG381,AE381,AF381)&lt;1),"",AB381+AC381+AD381+AG381-AE381-AF381)</f>
        <v/>
      </c>
      <c r="AI381" s="84">
        <f>IF(OR($A381="",COUNT(AA381,AH381)&lt;2),"",AA381-AH381)</f>
        <v/>
      </c>
      <c r="AJ381" s="84">
        <f>IF(OR($A381="",COUNT(W381,AB381)&lt;2),"",W381-AB381)</f>
        <v/>
      </c>
      <c r="AK381" s="83" t="n"/>
      <c r="AL381" s="33" t="n"/>
      <c r="AM381" s="33" t="n"/>
      <c r="AN381" s="83" t="n"/>
      <c r="AO381" s="33" t="n"/>
      <c r="AP381" s="33" t="n"/>
      <c r="AQ381" s="33" t="n"/>
    </row>
    <row r="382">
      <c r="A382" s="33" t="n"/>
      <c r="B382" s="33" t="n"/>
      <c r="C382" s="33" t="n"/>
      <c r="D382" s="33" t="n"/>
      <c r="E382" s="33" t="n"/>
      <c r="F382" s="33" t="n"/>
      <c r="G382" s="33" t="n"/>
      <c r="H382" s="33" t="n"/>
      <c r="I382" s="33" t="n"/>
      <c r="J382" s="33" t="n"/>
      <c r="K382" s="34" t="n"/>
      <c r="L382" s="34" t="n"/>
      <c r="M382" s="34" t="n"/>
      <c r="N382" s="82" t="n"/>
      <c r="O382" s="82" t="n"/>
      <c r="P382" s="33" t="n"/>
      <c r="Q382" s="34" t="n"/>
      <c r="R382" s="83" t="n"/>
      <c r="S382" s="34" t="n"/>
      <c r="T382" s="33" t="n"/>
      <c r="U382" s="83" t="n"/>
      <c r="V382" s="33" t="n"/>
      <c r="W382" s="83" t="n"/>
      <c r="X382" s="83" t="n"/>
      <c r="Y382" s="83" t="n"/>
      <c r="Z382" s="83" t="n"/>
      <c r="AA382" s="84">
        <f>IF(OR($A382="",COUNT(W382,X382,Z382,Y382)&lt;1),"",W382+X382+Z382-Y382)</f>
        <v/>
      </c>
      <c r="AB382" s="83" t="n"/>
      <c r="AC382" s="83" t="n"/>
      <c r="AD382" s="83" t="n"/>
      <c r="AE382" s="83" t="n"/>
      <c r="AF382" s="83" t="n"/>
      <c r="AG382" s="83" t="n"/>
      <c r="AH382" s="84">
        <f>IF(OR($A382="",COUNT(AB382,AC382,AD382,AG382,AE382,AF382)&lt;1),"",AB382+AC382+AD382+AG382-AE382-AF382)</f>
        <v/>
      </c>
      <c r="AI382" s="84">
        <f>IF(OR($A382="",COUNT(AA382,AH382)&lt;2),"",AA382-AH382)</f>
        <v/>
      </c>
      <c r="AJ382" s="84">
        <f>IF(OR($A382="",COUNT(W382,AB382)&lt;2),"",W382-AB382)</f>
        <v/>
      </c>
      <c r="AK382" s="83" t="n"/>
      <c r="AL382" s="33" t="n"/>
      <c r="AM382" s="33" t="n"/>
      <c r="AN382" s="83" t="n"/>
      <c r="AO382" s="33" t="n"/>
      <c r="AP382" s="33" t="n"/>
      <c r="AQ382" s="33" t="n"/>
    </row>
    <row r="383">
      <c r="A383" s="33" t="n"/>
      <c r="B383" s="33" t="n"/>
      <c r="C383" s="33" t="n"/>
      <c r="D383" s="33" t="n"/>
      <c r="E383" s="33" t="n"/>
      <c r="F383" s="33" t="n"/>
      <c r="G383" s="33" t="n"/>
      <c r="H383" s="33" t="n"/>
      <c r="I383" s="33" t="n"/>
      <c r="J383" s="33" t="n"/>
      <c r="K383" s="34" t="n"/>
      <c r="L383" s="34" t="n"/>
      <c r="M383" s="34" t="n"/>
      <c r="N383" s="82" t="n"/>
      <c r="O383" s="82" t="n"/>
      <c r="P383" s="33" t="n"/>
      <c r="Q383" s="34" t="n"/>
      <c r="R383" s="83" t="n"/>
      <c r="S383" s="34" t="n"/>
      <c r="T383" s="33" t="n"/>
      <c r="U383" s="83" t="n"/>
      <c r="V383" s="33" t="n"/>
      <c r="W383" s="83" t="n"/>
      <c r="X383" s="83" t="n"/>
      <c r="Y383" s="83" t="n"/>
      <c r="Z383" s="83" t="n"/>
      <c r="AA383" s="84">
        <f>IF(OR($A383="",COUNT(W383,X383,Z383,Y383)&lt;1),"",W383+X383+Z383-Y383)</f>
        <v/>
      </c>
      <c r="AB383" s="83" t="n"/>
      <c r="AC383" s="83" t="n"/>
      <c r="AD383" s="83" t="n"/>
      <c r="AE383" s="83" t="n"/>
      <c r="AF383" s="83" t="n"/>
      <c r="AG383" s="83" t="n"/>
      <c r="AH383" s="84">
        <f>IF(OR($A383="",COUNT(AB383,AC383,AD383,AG383,AE383,AF383)&lt;1),"",AB383+AC383+AD383+AG383-AE383-AF383)</f>
        <v/>
      </c>
      <c r="AI383" s="84">
        <f>IF(OR($A383="",COUNT(AA383,AH383)&lt;2),"",AA383-AH383)</f>
        <v/>
      </c>
      <c r="AJ383" s="84">
        <f>IF(OR($A383="",COUNT(W383,AB383)&lt;2),"",W383-AB383)</f>
        <v/>
      </c>
      <c r="AK383" s="83" t="n"/>
      <c r="AL383" s="33" t="n"/>
      <c r="AM383" s="33" t="n"/>
      <c r="AN383" s="83" t="n"/>
      <c r="AO383" s="33" t="n"/>
      <c r="AP383" s="33" t="n"/>
      <c r="AQ383" s="33" t="n"/>
    </row>
    <row r="384">
      <c r="A384" s="33" t="n"/>
      <c r="B384" s="33" t="n"/>
      <c r="C384" s="33" t="n"/>
      <c r="D384" s="33" t="n"/>
      <c r="E384" s="33" t="n"/>
      <c r="F384" s="33" t="n"/>
      <c r="G384" s="33" t="n"/>
      <c r="H384" s="33" t="n"/>
      <c r="I384" s="33" t="n"/>
      <c r="J384" s="33" t="n"/>
      <c r="K384" s="34" t="n"/>
      <c r="L384" s="34" t="n"/>
      <c r="M384" s="34" t="n"/>
      <c r="N384" s="82" t="n"/>
      <c r="O384" s="82" t="n"/>
      <c r="P384" s="33" t="n"/>
      <c r="Q384" s="34" t="n"/>
      <c r="R384" s="83" t="n"/>
      <c r="S384" s="34" t="n"/>
      <c r="T384" s="33" t="n"/>
      <c r="U384" s="83" t="n"/>
      <c r="V384" s="33" t="n"/>
      <c r="W384" s="83" t="n"/>
      <c r="X384" s="83" t="n"/>
      <c r="Y384" s="83" t="n"/>
      <c r="Z384" s="83" t="n"/>
      <c r="AA384" s="84">
        <f>IF(OR($A384="",COUNT(W384,X384,Z384,Y384)&lt;1),"",W384+X384+Z384-Y384)</f>
        <v/>
      </c>
      <c r="AB384" s="83" t="n"/>
      <c r="AC384" s="83" t="n"/>
      <c r="AD384" s="83" t="n"/>
      <c r="AE384" s="83" t="n"/>
      <c r="AF384" s="83" t="n"/>
      <c r="AG384" s="83" t="n"/>
      <c r="AH384" s="84">
        <f>IF(OR($A384="",COUNT(AB384,AC384,AD384,AG384,AE384,AF384)&lt;1),"",AB384+AC384+AD384+AG384-AE384-AF384)</f>
        <v/>
      </c>
      <c r="AI384" s="84">
        <f>IF(OR($A384="",COUNT(AA384,AH384)&lt;2),"",AA384-AH384)</f>
        <v/>
      </c>
      <c r="AJ384" s="84">
        <f>IF(OR($A384="",COUNT(W384,AB384)&lt;2),"",W384-AB384)</f>
        <v/>
      </c>
      <c r="AK384" s="83" t="n"/>
      <c r="AL384" s="33" t="n"/>
      <c r="AM384" s="33" t="n"/>
      <c r="AN384" s="83" t="n"/>
      <c r="AO384" s="33" t="n"/>
      <c r="AP384" s="33" t="n"/>
      <c r="AQ384" s="33" t="n"/>
    </row>
    <row r="385">
      <c r="A385" s="33" t="n"/>
      <c r="B385" s="33" t="n"/>
      <c r="C385" s="33" t="n"/>
      <c r="D385" s="33" t="n"/>
      <c r="E385" s="33" t="n"/>
      <c r="F385" s="33" t="n"/>
      <c r="G385" s="33" t="n"/>
      <c r="H385" s="33" t="n"/>
      <c r="I385" s="33" t="n"/>
      <c r="J385" s="33" t="n"/>
      <c r="K385" s="34" t="n"/>
      <c r="L385" s="34" t="n"/>
      <c r="M385" s="34" t="n"/>
      <c r="N385" s="82" t="n"/>
      <c r="O385" s="82" t="n"/>
      <c r="P385" s="33" t="n"/>
      <c r="Q385" s="34" t="n"/>
      <c r="R385" s="83" t="n"/>
      <c r="S385" s="34" t="n"/>
      <c r="T385" s="33" t="n"/>
      <c r="U385" s="83" t="n"/>
      <c r="V385" s="33" t="n"/>
      <c r="W385" s="83" t="n"/>
      <c r="X385" s="83" t="n"/>
      <c r="Y385" s="83" t="n"/>
      <c r="Z385" s="83" t="n"/>
      <c r="AA385" s="84">
        <f>IF(OR($A385="",COUNT(W385,X385,Z385,Y385)&lt;1),"",W385+X385+Z385-Y385)</f>
        <v/>
      </c>
      <c r="AB385" s="83" t="n"/>
      <c r="AC385" s="83" t="n"/>
      <c r="AD385" s="83" t="n"/>
      <c r="AE385" s="83" t="n"/>
      <c r="AF385" s="83" t="n"/>
      <c r="AG385" s="83" t="n"/>
      <c r="AH385" s="84">
        <f>IF(OR($A385="",COUNT(AB385,AC385,AD385,AG385,AE385,AF385)&lt;1),"",AB385+AC385+AD385+AG385-AE385-AF385)</f>
        <v/>
      </c>
      <c r="AI385" s="84">
        <f>IF(OR($A385="",COUNT(AA385,AH385)&lt;2),"",AA385-AH385)</f>
        <v/>
      </c>
      <c r="AJ385" s="84">
        <f>IF(OR($A385="",COUNT(W385,AB385)&lt;2),"",W385-AB385)</f>
        <v/>
      </c>
      <c r="AK385" s="83" t="n"/>
      <c r="AL385" s="33" t="n"/>
      <c r="AM385" s="33" t="n"/>
      <c r="AN385" s="83" t="n"/>
      <c r="AO385" s="33" t="n"/>
      <c r="AP385" s="33" t="n"/>
      <c r="AQ385" s="33" t="n"/>
    </row>
    <row r="386">
      <c r="A386" s="33" t="n"/>
      <c r="B386" s="33" t="n"/>
      <c r="C386" s="33" t="n"/>
      <c r="D386" s="33" t="n"/>
      <c r="E386" s="33" t="n"/>
      <c r="F386" s="33" t="n"/>
      <c r="G386" s="33" t="n"/>
      <c r="H386" s="33" t="n"/>
      <c r="I386" s="33" t="n"/>
      <c r="J386" s="33" t="n"/>
      <c r="K386" s="34" t="n"/>
      <c r="L386" s="34" t="n"/>
      <c r="M386" s="34" t="n"/>
      <c r="N386" s="82" t="n"/>
      <c r="O386" s="82" t="n"/>
      <c r="P386" s="33" t="n"/>
      <c r="Q386" s="34" t="n"/>
      <c r="R386" s="83" t="n"/>
      <c r="S386" s="34" t="n"/>
      <c r="T386" s="33" t="n"/>
      <c r="U386" s="83" t="n"/>
      <c r="V386" s="33" t="n"/>
      <c r="W386" s="83" t="n"/>
      <c r="X386" s="83" t="n"/>
      <c r="Y386" s="83" t="n"/>
      <c r="Z386" s="83" t="n"/>
      <c r="AA386" s="84">
        <f>IF(OR($A386="",COUNT(W386,X386,Z386,Y386)&lt;1),"",W386+X386+Z386-Y386)</f>
        <v/>
      </c>
      <c r="AB386" s="83" t="n"/>
      <c r="AC386" s="83" t="n"/>
      <c r="AD386" s="83" t="n"/>
      <c r="AE386" s="83" t="n"/>
      <c r="AF386" s="83" t="n"/>
      <c r="AG386" s="83" t="n"/>
      <c r="AH386" s="84">
        <f>IF(OR($A386="",COUNT(AB386,AC386,AD386,AG386,AE386,AF386)&lt;1),"",AB386+AC386+AD386+AG386-AE386-AF386)</f>
        <v/>
      </c>
      <c r="AI386" s="84">
        <f>IF(OR($A386="",COUNT(AA386,AH386)&lt;2),"",AA386-AH386)</f>
        <v/>
      </c>
      <c r="AJ386" s="84">
        <f>IF(OR($A386="",COUNT(W386,AB386)&lt;2),"",W386-AB386)</f>
        <v/>
      </c>
      <c r="AK386" s="83" t="n"/>
      <c r="AL386" s="33" t="n"/>
      <c r="AM386" s="33" t="n"/>
      <c r="AN386" s="83" t="n"/>
      <c r="AO386" s="33" t="n"/>
      <c r="AP386" s="33" t="n"/>
      <c r="AQ386" s="33" t="n"/>
    </row>
    <row r="387">
      <c r="A387" s="33" t="n"/>
      <c r="B387" s="33" t="n"/>
      <c r="C387" s="33" t="n"/>
      <c r="D387" s="33" t="n"/>
      <c r="E387" s="33" t="n"/>
      <c r="F387" s="33" t="n"/>
      <c r="G387" s="33" t="n"/>
      <c r="H387" s="33" t="n"/>
      <c r="I387" s="33" t="n"/>
      <c r="J387" s="33" t="n"/>
      <c r="K387" s="34" t="n"/>
      <c r="L387" s="34" t="n"/>
      <c r="M387" s="34" t="n"/>
      <c r="N387" s="82" t="n"/>
      <c r="O387" s="82" t="n"/>
      <c r="P387" s="33" t="n"/>
      <c r="Q387" s="34" t="n"/>
      <c r="R387" s="83" t="n"/>
      <c r="S387" s="34" t="n"/>
      <c r="T387" s="33" t="n"/>
      <c r="U387" s="83" t="n"/>
      <c r="V387" s="33" t="n"/>
      <c r="W387" s="83" t="n"/>
      <c r="X387" s="83" t="n"/>
      <c r="Y387" s="83" t="n"/>
      <c r="Z387" s="83" t="n"/>
      <c r="AA387" s="84">
        <f>IF(OR($A387="",COUNT(W387,X387,Z387,Y387)&lt;1),"",W387+X387+Z387-Y387)</f>
        <v/>
      </c>
      <c r="AB387" s="83" t="n"/>
      <c r="AC387" s="83" t="n"/>
      <c r="AD387" s="83" t="n"/>
      <c r="AE387" s="83" t="n"/>
      <c r="AF387" s="83" t="n"/>
      <c r="AG387" s="83" t="n"/>
      <c r="AH387" s="84">
        <f>IF(OR($A387="",COUNT(AB387,AC387,AD387,AG387,AE387,AF387)&lt;1),"",AB387+AC387+AD387+AG387-AE387-AF387)</f>
        <v/>
      </c>
      <c r="AI387" s="84">
        <f>IF(OR($A387="",COUNT(AA387,AH387)&lt;2),"",AA387-AH387)</f>
        <v/>
      </c>
      <c r="AJ387" s="84">
        <f>IF(OR($A387="",COUNT(W387,AB387)&lt;2),"",W387-AB387)</f>
        <v/>
      </c>
      <c r="AK387" s="83" t="n"/>
      <c r="AL387" s="33" t="n"/>
      <c r="AM387" s="33" t="n"/>
      <c r="AN387" s="83" t="n"/>
      <c r="AO387" s="33" t="n"/>
      <c r="AP387" s="33" t="n"/>
      <c r="AQ387" s="33" t="n"/>
    </row>
    <row r="388">
      <c r="A388" s="33" t="n"/>
      <c r="B388" s="33" t="n"/>
      <c r="C388" s="33" t="n"/>
      <c r="D388" s="33" t="n"/>
      <c r="E388" s="33" t="n"/>
      <c r="F388" s="33" t="n"/>
      <c r="G388" s="33" t="n"/>
      <c r="H388" s="33" t="n"/>
      <c r="I388" s="33" t="n"/>
      <c r="J388" s="33" t="n"/>
      <c r="K388" s="34" t="n"/>
      <c r="L388" s="34" t="n"/>
      <c r="M388" s="34" t="n"/>
      <c r="N388" s="82" t="n"/>
      <c r="O388" s="82" t="n"/>
      <c r="P388" s="33" t="n"/>
      <c r="Q388" s="34" t="n"/>
      <c r="R388" s="83" t="n"/>
      <c r="S388" s="34" t="n"/>
      <c r="T388" s="33" t="n"/>
      <c r="U388" s="83" t="n"/>
      <c r="V388" s="33" t="n"/>
      <c r="W388" s="83" t="n"/>
      <c r="X388" s="83" t="n"/>
      <c r="Y388" s="83" t="n"/>
      <c r="Z388" s="83" t="n"/>
      <c r="AA388" s="84">
        <f>IF(OR($A388="",COUNT(W388,X388,Z388,Y388)&lt;1),"",W388+X388+Z388-Y388)</f>
        <v/>
      </c>
      <c r="AB388" s="83" t="n"/>
      <c r="AC388" s="83" t="n"/>
      <c r="AD388" s="83" t="n"/>
      <c r="AE388" s="83" t="n"/>
      <c r="AF388" s="83" t="n"/>
      <c r="AG388" s="83" t="n"/>
      <c r="AH388" s="84">
        <f>IF(OR($A388="",COUNT(AB388,AC388,AD388,AG388,AE388,AF388)&lt;1),"",AB388+AC388+AD388+AG388-AE388-AF388)</f>
        <v/>
      </c>
      <c r="AI388" s="84">
        <f>IF(OR($A388="",COUNT(AA388,AH388)&lt;2),"",AA388-AH388)</f>
        <v/>
      </c>
      <c r="AJ388" s="84">
        <f>IF(OR($A388="",COUNT(W388,AB388)&lt;2),"",W388-AB388)</f>
        <v/>
      </c>
      <c r="AK388" s="83" t="n"/>
      <c r="AL388" s="33" t="n"/>
      <c r="AM388" s="33" t="n"/>
      <c r="AN388" s="83" t="n"/>
      <c r="AO388" s="33" t="n"/>
      <c r="AP388" s="33" t="n"/>
      <c r="AQ388" s="33" t="n"/>
    </row>
    <row r="389">
      <c r="A389" s="33" t="n"/>
      <c r="B389" s="33" t="n"/>
      <c r="C389" s="33" t="n"/>
      <c r="D389" s="33" t="n"/>
      <c r="E389" s="33" t="n"/>
      <c r="F389" s="33" t="n"/>
      <c r="G389" s="33" t="n"/>
      <c r="H389" s="33" t="n"/>
      <c r="I389" s="33" t="n"/>
      <c r="J389" s="33" t="n"/>
      <c r="K389" s="34" t="n"/>
      <c r="L389" s="34" t="n"/>
      <c r="M389" s="34" t="n"/>
      <c r="N389" s="82" t="n"/>
      <c r="O389" s="82" t="n"/>
      <c r="P389" s="33" t="n"/>
      <c r="Q389" s="34" t="n"/>
      <c r="R389" s="83" t="n"/>
      <c r="S389" s="34" t="n"/>
      <c r="T389" s="33" t="n"/>
      <c r="U389" s="83" t="n"/>
      <c r="V389" s="33" t="n"/>
      <c r="W389" s="83" t="n"/>
      <c r="X389" s="83" t="n"/>
      <c r="Y389" s="83" t="n"/>
      <c r="Z389" s="83" t="n"/>
      <c r="AA389" s="84">
        <f>IF(OR($A389="",COUNT(W389,X389,Z389,Y389)&lt;1),"",W389+X389+Z389-Y389)</f>
        <v/>
      </c>
      <c r="AB389" s="83" t="n"/>
      <c r="AC389" s="83" t="n"/>
      <c r="AD389" s="83" t="n"/>
      <c r="AE389" s="83" t="n"/>
      <c r="AF389" s="83" t="n"/>
      <c r="AG389" s="83" t="n"/>
      <c r="AH389" s="84">
        <f>IF(OR($A389="",COUNT(AB389,AC389,AD389,AG389,AE389,AF389)&lt;1),"",AB389+AC389+AD389+AG389-AE389-AF389)</f>
        <v/>
      </c>
      <c r="AI389" s="84">
        <f>IF(OR($A389="",COUNT(AA389,AH389)&lt;2),"",AA389-AH389)</f>
        <v/>
      </c>
      <c r="AJ389" s="84">
        <f>IF(OR($A389="",COUNT(W389,AB389)&lt;2),"",W389-AB389)</f>
        <v/>
      </c>
      <c r="AK389" s="83" t="n"/>
      <c r="AL389" s="33" t="n"/>
      <c r="AM389" s="33" t="n"/>
      <c r="AN389" s="83" t="n"/>
      <c r="AO389" s="33" t="n"/>
      <c r="AP389" s="33" t="n"/>
      <c r="AQ389" s="33" t="n"/>
    </row>
    <row r="390">
      <c r="A390" s="33" t="n"/>
      <c r="B390" s="33" t="n"/>
      <c r="C390" s="33" t="n"/>
      <c r="D390" s="33" t="n"/>
      <c r="E390" s="33" t="n"/>
      <c r="F390" s="33" t="n"/>
      <c r="G390" s="33" t="n"/>
      <c r="H390" s="33" t="n"/>
      <c r="I390" s="33" t="n"/>
      <c r="J390" s="33" t="n"/>
      <c r="K390" s="34" t="n"/>
      <c r="L390" s="34" t="n"/>
      <c r="M390" s="34" t="n"/>
      <c r="N390" s="82" t="n"/>
      <c r="O390" s="82" t="n"/>
      <c r="P390" s="33" t="n"/>
      <c r="Q390" s="34" t="n"/>
      <c r="R390" s="83" t="n"/>
      <c r="S390" s="34" t="n"/>
      <c r="T390" s="33" t="n"/>
      <c r="U390" s="83" t="n"/>
      <c r="V390" s="33" t="n"/>
      <c r="W390" s="83" t="n"/>
      <c r="X390" s="83" t="n"/>
      <c r="Y390" s="83" t="n"/>
      <c r="Z390" s="83" t="n"/>
      <c r="AA390" s="84">
        <f>IF(OR($A390="",COUNT(W390,X390,Z390,Y390)&lt;1),"",W390+X390+Z390-Y390)</f>
        <v/>
      </c>
      <c r="AB390" s="83" t="n"/>
      <c r="AC390" s="83" t="n"/>
      <c r="AD390" s="83" t="n"/>
      <c r="AE390" s="83" t="n"/>
      <c r="AF390" s="83" t="n"/>
      <c r="AG390" s="83" t="n"/>
      <c r="AH390" s="84">
        <f>IF(OR($A390="",COUNT(AB390,AC390,AD390,AG390,AE390,AF390)&lt;1),"",AB390+AC390+AD390+AG390-AE390-AF390)</f>
        <v/>
      </c>
      <c r="AI390" s="84">
        <f>IF(OR($A390="",COUNT(AA390,AH390)&lt;2),"",AA390-AH390)</f>
        <v/>
      </c>
      <c r="AJ390" s="84">
        <f>IF(OR($A390="",COUNT(W390,AB390)&lt;2),"",W390-AB390)</f>
        <v/>
      </c>
      <c r="AK390" s="83" t="n"/>
      <c r="AL390" s="33" t="n"/>
      <c r="AM390" s="33" t="n"/>
      <c r="AN390" s="83" t="n"/>
      <c r="AO390" s="33" t="n"/>
      <c r="AP390" s="33" t="n"/>
      <c r="AQ390" s="33" t="n"/>
    </row>
    <row r="391">
      <c r="A391" s="33" t="n"/>
      <c r="B391" s="33" t="n"/>
      <c r="C391" s="33" t="n"/>
      <c r="D391" s="33" t="n"/>
      <c r="E391" s="33" t="n"/>
      <c r="F391" s="33" t="n"/>
      <c r="G391" s="33" t="n"/>
      <c r="H391" s="33" t="n"/>
      <c r="I391" s="33" t="n"/>
      <c r="J391" s="33" t="n"/>
      <c r="K391" s="34" t="n"/>
      <c r="L391" s="34" t="n"/>
      <c r="M391" s="34" t="n"/>
      <c r="N391" s="82" t="n"/>
      <c r="O391" s="82" t="n"/>
      <c r="P391" s="33" t="n"/>
      <c r="Q391" s="34" t="n"/>
      <c r="R391" s="83" t="n"/>
      <c r="S391" s="34" t="n"/>
      <c r="T391" s="33" t="n"/>
      <c r="U391" s="83" t="n"/>
      <c r="V391" s="33" t="n"/>
      <c r="W391" s="83" t="n"/>
      <c r="X391" s="83" t="n"/>
      <c r="Y391" s="83" t="n"/>
      <c r="Z391" s="83" t="n"/>
      <c r="AA391" s="84">
        <f>IF(OR($A391="",COUNT(W391,X391,Z391,Y391)&lt;1),"",W391+X391+Z391-Y391)</f>
        <v/>
      </c>
      <c r="AB391" s="83" t="n"/>
      <c r="AC391" s="83" t="n"/>
      <c r="AD391" s="83" t="n"/>
      <c r="AE391" s="83" t="n"/>
      <c r="AF391" s="83" t="n"/>
      <c r="AG391" s="83" t="n"/>
      <c r="AH391" s="84">
        <f>IF(OR($A391="",COUNT(AB391,AC391,AD391,AG391,AE391,AF391)&lt;1),"",AB391+AC391+AD391+AG391-AE391-AF391)</f>
        <v/>
      </c>
      <c r="AI391" s="84">
        <f>IF(OR($A391="",COUNT(AA391,AH391)&lt;2),"",AA391-AH391)</f>
        <v/>
      </c>
      <c r="AJ391" s="84">
        <f>IF(OR($A391="",COUNT(W391,AB391)&lt;2),"",W391-AB391)</f>
        <v/>
      </c>
      <c r="AK391" s="83" t="n"/>
      <c r="AL391" s="33" t="n"/>
      <c r="AM391" s="33" t="n"/>
      <c r="AN391" s="83" t="n"/>
      <c r="AO391" s="33" t="n"/>
      <c r="AP391" s="33" t="n"/>
      <c r="AQ391" s="33" t="n"/>
    </row>
    <row r="392">
      <c r="A392" s="33" t="n"/>
      <c r="B392" s="33" t="n"/>
      <c r="C392" s="33" t="n"/>
      <c r="D392" s="33" t="n"/>
      <c r="E392" s="33" t="n"/>
      <c r="F392" s="33" t="n"/>
      <c r="G392" s="33" t="n"/>
      <c r="H392" s="33" t="n"/>
      <c r="I392" s="33" t="n"/>
      <c r="J392" s="33" t="n"/>
      <c r="K392" s="34" t="n"/>
      <c r="L392" s="34" t="n"/>
      <c r="M392" s="34" t="n"/>
      <c r="N392" s="82" t="n"/>
      <c r="O392" s="82" t="n"/>
      <c r="P392" s="33" t="n"/>
      <c r="Q392" s="34" t="n"/>
      <c r="R392" s="83" t="n"/>
      <c r="S392" s="34" t="n"/>
      <c r="T392" s="33" t="n"/>
      <c r="U392" s="83" t="n"/>
      <c r="V392" s="33" t="n"/>
      <c r="W392" s="83" t="n"/>
      <c r="X392" s="83" t="n"/>
      <c r="Y392" s="83" t="n"/>
      <c r="Z392" s="83" t="n"/>
      <c r="AA392" s="84">
        <f>IF(OR($A392="",COUNT(W392,X392,Z392,Y392)&lt;1),"",W392+X392+Z392-Y392)</f>
        <v/>
      </c>
      <c r="AB392" s="83" t="n"/>
      <c r="AC392" s="83" t="n"/>
      <c r="AD392" s="83" t="n"/>
      <c r="AE392" s="83" t="n"/>
      <c r="AF392" s="83" t="n"/>
      <c r="AG392" s="83" t="n"/>
      <c r="AH392" s="84">
        <f>IF(OR($A392="",COUNT(AB392,AC392,AD392,AG392,AE392,AF392)&lt;1),"",AB392+AC392+AD392+AG392-AE392-AF392)</f>
        <v/>
      </c>
      <c r="AI392" s="84">
        <f>IF(OR($A392="",COUNT(AA392,AH392)&lt;2),"",AA392-AH392)</f>
        <v/>
      </c>
      <c r="AJ392" s="84">
        <f>IF(OR($A392="",COUNT(W392,AB392)&lt;2),"",W392-AB392)</f>
        <v/>
      </c>
      <c r="AK392" s="83" t="n"/>
      <c r="AL392" s="33" t="n"/>
      <c r="AM392" s="33" t="n"/>
      <c r="AN392" s="83" t="n"/>
      <c r="AO392" s="33" t="n"/>
      <c r="AP392" s="33" t="n"/>
      <c r="AQ392" s="33" t="n"/>
    </row>
    <row r="393">
      <c r="A393" s="33" t="n"/>
      <c r="B393" s="33" t="n"/>
      <c r="C393" s="33" t="n"/>
      <c r="D393" s="33" t="n"/>
      <c r="E393" s="33" t="n"/>
      <c r="F393" s="33" t="n"/>
      <c r="G393" s="33" t="n"/>
      <c r="H393" s="33" t="n"/>
      <c r="I393" s="33" t="n"/>
      <c r="J393" s="33" t="n"/>
      <c r="K393" s="34" t="n"/>
      <c r="L393" s="34" t="n"/>
      <c r="M393" s="34" t="n"/>
      <c r="N393" s="82" t="n"/>
      <c r="O393" s="82" t="n"/>
      <c r="P393" s="33" t="n"/>
      <c r="Q393" s="34" t="n"/>
      <c r="R393" s="83" t="n"/>
      <c r="S393" s="34" t="n"/>
      <c r="T393" s="33" t="n"/>
      <c r="U393" s="83" t="n"/>
      <c r="V393" s="33" t="n"/>
      <c r="W393" s="83" t="n"/>
      <c r="X393" s="83" t="n"/>
      <c r="Y393" s="83" t="n"/>
      <c r="Z393" s="83" t="n"/>
      <c r="AA393" s="84">
        <f>IF(OR($A393="",COUNT(W393,X393,Z393,Y393)&lt;1),"",W393+X393+Z393-Y393)</f>
        <v/>
      </c>
      <c r="AB393" s="83" t="n"/>
      <c r="AC393" s="83" t="n"/>
      <c r="AD393" s="83" t="n"/>
      <c r="AE393" s="83" t="n"/>
      <c r="AF393" s="83" t="n"/>
      <c r="AG393" s="83" t="n"/>
      <c r="AH393" s="84">
        <f>IF(OR($A393="",COUNT(AB393,AC393,AD393,AG393,AE393,AF393)&lt;1),"",AB393+AC393+AD393+AG393-AE393-AF393)</f>
        <v/>
      </c>
      <c r="AI393" s="84">
        <f>IF(OR($A393="",COUNT(AA393,AH393)&lt;2),"",AA393-AH393)</f>
        <v/>
      </c>
      <c r="AJ393" s="84">
        <f>IF(OR($A393="",COUNT(W393,AB393)&lt;2),"",W393-AB393)</f>
        <v/>
      </c>
      <c r="AK393" s="83" t="n"/>
      <c r="AL393" s="33" t="n"/>
      <c r="AM393" s="33" t="n"/>
      <c r="AN393" s="83" t="n"/>
      <c r="AO393" s="33" t="n"/>
      <c r="AP393" s="33" t="n"/>
      <c r="AQ393" s="33" t="n"/>
    </row>
    <row r="394">
      <c r="A394" s="33" t="n"/>
      <c r="B394" s="33" t="n"/>
      <c r="C394" s="33" t="n"/>
      <c r="D394" s="33" t="n"/>
      <c r="E394" s="33" t="n"/>
      <c r="F394" s="33" t="n"/>
      <c r="G394" s="33" t="n"/>
      <c r="H394" s="33" t="n"/>
      <c r="I394" s="33" t="n"/>
      <c r="J394" s="33" t="n"/>
      <c r="K394" s="34" t="n"/>
      <c r="L394" s="34" t="n"/>
      <c r="M394" s="34" t="n"/>
      <c r="N394" s="82" t="n"/>
      <c r="O394" s="82" t="n"/>
      <c r="P394" s="33" t="n"/>
      <c r="Q394" s="34" t="n"/>
      <c r="R394" s="83" t="n"/>
      <c r="S394" s="34" t="n"/>
      <c r="T394" s="33" t="n"/>
      <c r="U394" s="83" t="n"/>
      <c r="V394" s="33" t="n"/>
      <c r="W394" s="83" t="n"/>
      <c r="X394" s="83" t="n"/>
      <c r="Y394" s="83" t="n"/>
      <c r="Z394" s="83" t="n"/>
      <c r="AA394" s="84">
        <f>IF(OR($A394="",COUNT(W394,X394,Z394,Y394)&lt;1),"",W394+X394+Z394-Y394)</f>
        <v/>
      </c>
      <c r="AB394" s="83" t="n"/>
      <c r="AC394" s="83" t="n"/>
      <c r="AD394" s="83" t="n"/>
      <c r="AE394" s="83" t="n"/>
      <c r="AF394" s="83" t="n"/>
      <c r="AG394" s="83" t="n"/>
      <c r="AH394" s="84">
        <f>IF(OR($A394="",COUNT(AB394,AC394,AD394,AG394,AE394,AF394)&lt;1),"",AB394+AC394+AD394+AG394-AE394-AF394)</f>
        <v/>
      </c>
      <c r="AI394" s="84">
        <f>IF(OR($A394="",COUNT(AA394,AH394)&lt;2),"",AA394-AH394)</f>
        <v/>
      </c>
      <c r="AJ394" s="84">
        <f>IF(OR($A394="",COUNT(W394,AB394)&lt;2),"",W394-AB394)</f>
        <v/>
      </c>
      <c r="AK394" s="83" t="n"/>
      <c r="AL394" s="33" t="n"/>
      <c r="AM394" s="33" t="n"/>
      <c r="AN394" s="83" t="n"/>
      <c r="AO394" s="33" t="n"/>
      <c r="AP394" s="33" t="n"/>
      <c r="AQ394" s="33" t="n"/>
    </row>
    <row r="395">
      <c r="A395" s="33" t="n"/>
      <c r="B395" s="33" t="n"/>
      <c r="C395" s="33" t="n"/>
      <c r="D395" s="33" t="n"/>
      <c r="E395" s="33" t="n"/>
      <c r="F395" s="33" t="n"/>
      <c r="G395" s="33" t="n"/>
      <c r="H395" s="33" t="n"/>
      <c r="I395" s="33" t="n"/>
      <c r="J395" s="33" t="n"/>
      <c r="K395" s="34" t="n"/>
      <c r="L395" s="34" t="n"/>
      <c r="M395" s="34" t="n"/>
      <c r="N395" s="82" t="n"/>
      <c r="O395" s="82" t="n"/>
      <c r="P395" s="33" t="n"/>
      <c r="Q395" s="34" t="n"/>
      <c r="R395" s="83" t="n"/>
      <c r="S395" s="34" t="n"/>
      <c r="T395" s="33" t="n"/>
      <c r="U395" s="83" t="n"/>
      <c r="V395" s="33" t="n"/>
      <c r="W395" s="83" t="n"/>
      <c r="X395" s="83" t="n"/>
      <c r="Y395" s="83" t="n"/>
      <c r="Z395" s="83" t="n"/>
      <c r="AA395" s="84">
        <f>IF(OR($A395="",COUNT(W395,X395,Z395,Y395)&lt;1),"",W395+X395+Z395-Y395)</f>
        <v/>
      </c>
      <c r="AB395" s="83" t="n"/>
      <c r="AC395" s="83" t="n"/>
      <c r="AD395" s="83" t="n"/>
      <c r="AE395" s="83" t="n"/>
      <c r="AF395" s="83" t="n"/>
      <c r="AG395" s="83" t="n"/>
      <c r="AH395" s="84">
        <f>IF(OR($A395="",COUNT(AB395,AC395,AD395,AG395,AE395,AF395)&lt;1),"",AB395+AC395+AD395+AG395-AE395-AF395)</f>
        <v/>
      </c>
      <c r="AI395" s="84">
        <f>IF(OR($A395="",COUNT(AA395,AH395)&lt;2),"",AA395-AH395)</f>
        <v/>
      </c>
      <c r="AJ395" s="84">
        <f>IF(OR($A395="",COUNT(W395,AB395)&lt;2),"",W395-AB395)</f>
        <v/>
      </c>
      <c r="AK395" s="83" t="n"/>
      <c r="AL395" s="33" t="n"/>
      <c r="AM395" s="33" t="n"/>
      <c r="AN395" s="83" t="n"/>
      <c r="AO395" s="33" t="n"/>
      <c r="AP395" s="33" t="n"/>
      <c r="AQ395" s="33" t="n"/>
    </row>
    <row r="396">
      <c r="A396" s="33" t="n"/>
      <c r="B396" s="33" t="n"/>
      <c r="C396" s="33" t="n"/>
      <c r="D396" s="33" t="n"/>
      <c r="E396" s="33" t="n"/>
      <c r="F396" s="33" t="n"/>
      <c r="G396" s="33" t="n"/>
      <c r="H396" s="33" t="n"/>
      <c r="I396" s="33" t="n"/>
      <c r="J396" s="33" t="n"/>
      <c r="K396" s="34" t="n"/>
      <c r="L396" s="34" t="n"/>
      <c r="M396" s="34" t="n"/>
      <c r="N396" s="82" t="n"/>
      <c r="O396" s="82" t="n"/>
      <c r="P396" s="33" t="n"/>
      <c r="Q396" s="34" t="n"/>
      <c r="R396" s="83" t="n"/>
      <c r="S396" s="34" t="n"/>
      <c r="T396" s="33" t="n"/>
      <c r="U396" s="83" t="n"/>
      <c r="V396" s="33" t="n"/>
      <c r="W396" s="83" t="n"/>
      <c r="X396" s="83" t="n"/>
      <c r="Y396" s="83" t="n"/>
      <c r="Z396" s="83" t="n"/>
      <c r="AA396" s="84">
        <f>IF(OR($A396="",COUNT(W396,X396,Z396,Y396)&lt;1),"",W396+X396+Z396-Y396)</f>
        <v/>
      </c>
      <c r="AB396" s="83" t="n"/>
      <c r="AC396" s="83" t="n"/>
      <c r="AD396" s="83" t="n"/>
      <c r="AE396" s="83" t="n"/>
      <c r="AF396" s="83" t="n"/>
      <c r="AG396" s="83" t="n"/>
      <c r="AH396" s="84">
        <f>IF(OR($A396="",COUNT(AB396,AC396,AD396,AG396,AE396,AF396)&lt;1),"",AB396+AC396+AD396+AG396-AE396-AF396)</f>
        <v/>
      </c>
      <c r="AI396" s="84">
        <f>IF(OR($A396="",COUNT(AA396,AH396)&lt;2),"",AA396-AH396)</f>
        <v/>
      </c>
      <c r="AJ396" s="84">
        <f>IF(OR($A396="",COUNT(W396,AB396)&lt;2),"",W396-AB396)</f>
        <v/>
      </c>
      <c r="AK396" s="83" t="n"/>
      <c r="AL396" s="33" t="n"/>
      <c r="AM396" s="33" t="n"/>
      <c r="AN396" s="83" t="n"/>
      <c r="AO396" s="33" t="n"/>
      <c r="AP396" s="33" t="n"/>
      <c r="AQ396" s="33" t="n"/>
    </row>
    <row r="397">
      <c r="A397" s="33" t="n"/>
      <c r="B397" s="33" t="n"/>
      <c r="C397" s="33" t="n"/>
      <c r="D397" s="33" t="n"/>
      <c r="E397" s="33" t="n"/>
      <c r="F397" s="33" t="n"/>
      <c r="G397" s="33" t="n"/>
      <c r="H397" s="33" t="n"/>
      <c r="I397" s="33" t="n"/>
      <c r="J397" s="33" t="n"/>
      <c r="K397" s="34" t="n"/>
      <c r="L397" s="34" t="n"/>
      <c r="M397" s="34" t="n"/>
      <c r="N397" s="82" t="n"/>
      <c r="O397" s="82" t="n"/>
      <c r="P397" s="33" t="n"/>
      <c r="Q397" s="34" t="n"/>
      <c r="R397" s="83" t="n"/>
      <c r="S397" s="34" t="n"/>
      <c r="T397" s="33" t="n"/>
      <c r="U397" s="83" t="n"/>
      <c r="V397" s="33" t="n"/>
      <c r="W397" s="83" t="n"/>
      <c r="X397" s="83" t="n"/>
      <c r="Y397" s="83" t="n"/>
      <c r="Z397" s="83" t="n"/>
      <c r="AA397" s="84">
        <f>IF(OR($A397="",COUNT(W397,X397,Z397,Y397)&lt;1),"",W397+X397+Z397-Y397)</f>
        <v/>
      </c>
      <c r="AB397" s="83" t="n"/>
      <c r="AC397" s="83" t="n"/>
      <c r="AD397" s="83" t="n"/>
      <c r="AE397" s="83" t="n"/>
      <c r="AF397" s="83" t="n"/>
      <c r="AG397" s="83" t="n"/>
      <c r="AH397" s="84">
        <f>IF(OR($A397="",COUNT(AB397,AC397,AD397,AG397,AE397,AF397)&lt;1),"",AB397+AC397+AD397+AG397-AE397-AF397)</f>
        <v/>
      </c>
      <c r="AI397" s="84">
        <f>IF(OR($A397="",COUNT(AA397,AH397)&lt;2),"",AA397-AH397)</f>
        <v/>
      </c>
      <c r="AJ397" s="84">
        <f>IF(OR($A397="",COUNT(W397,AB397)&lt;2),"",W397-AB397)</f>
        <v/>
      </c>
      <c r="AK397" s="83" t="n"/>
      <c r="AL397" s="33" t="n"/>
      <c r="AM397" s="33" t="n"/>
      <c r="AN397" s="83" t="n"/>
      <c r="AO397" s="33" t="n"/>
      <c r="AP397" s="33" t="n"/>
      <c r="AQ397" s="33" t="n"/>
    </row>
    <row r="398">
      <c r="A398" s="33" t="n"/>
      <c r="B398" s="33" t="n"/>
      <c r="C398" s="33" t="n"/>
      <c r="D398" s="33" t="n"/>
      <c r="E398" s="33" t="n"/>
      <c r="F398" s="33" t="n"/>
      <c r="G398" s="33" t="n"/>
      <c r="H398" s="33" t="n"/>
      <c r="I398" s="33" t="n"/>
      <c r="J398" s="33" t="n"/>
      <c r="K398" s="34" t="n"/>
      <c r="L398" s="34" t="n"/>
      <c r="M398" s="34" t="n"/>
      <c r="N398" s="82" t="n"/>
      <c r="O398" s="82" t="n"/>
      <c r="P398" s="33" t="n"/>
      <c r="Q398" s="34" t="n"/>
      <c r="R398" s="83" t="n"/>
      <c r="S398" s="34" t="n"/>
      <c r="T398" s="33" t="n"/>
      <c r="U398" s="83" t="n"/>
      <c r="V398" s="33" t="n"/>
      <c r="W398" s="83" t="n"/>
      <c r="X398" s="83" t="n"/>
      <c r="Y398" s="83" t="n"/>
      <c r="Z398" s="83" t="n"/>
      <c r="AA398" s="84">
        <f>IF(OR($A398="",COUNT(W398,X398,Z398,Y398)&lt;1),"",W398+X398+Z398-Y398)</f>
        <v/>
      </c>
      <c r="AB398" s="83" t="n"/>
      <c r="AC398" s="83" t="n"/>
      <c r="AD398" s="83" t="n"/>
      <c r="AE398" s="83" t="n"/>
      <c r="AF398" s="83" t="n"/>
      <c r="AG398" s="83" t="n"/>
      <c r="AH398" s="84">
        <f>IF(OR($A398="",COUNT(AB398,AC398,AD398,AG398,AE398,AF398)&lt;1),"",AB398+AC398+AD398+AG398-AE398-AF398)</f>
        <v/>
      </c>
      <c r="AI398" s="84">
        <f>IF(OR($A398="",COUNT(AA398,AH398)&lt;2),"",AA398-AH398)</f>
        <v/>
      </c>
      <c r="AJ398" s="84">
        <f>IF(OR($A398="",COUNT(W398,AB398)&lt;2),"",W398-AB398)</f>
        <v/>
      </c>
      <c r="AK398" s="83" t="n"/>
      <c r="AL398" s="33" t="n"/>
      <c r="AM398" s="33" t="n"/>
      <c r="AN398" s="83" t="n"/>
      <c r="AO398" s="33" t="n"/>
      <c r="AP398" s="33" t="n"/>
      <c r="AQ398" s="33" t="n"/>
    </row>
    <row r="399">
      <c r="A399" s="33" t="n"/>
      <c r="B399" s="33" t="n"/>
      <c r="C399" s="33" t="n"/>
      <c r="D399" s="33" t="n"/>
      <c r="E399" s="33" t="n"/>
      <c r="F399" s="33" t="n"/>
      <c r="G399" s="33" t="n"/>
      <c r="H399" s="33" t="n"/>
      <c r="I399" s="33" t="n"/>
      <c r="J399" s="33" t="n"/>
      <c r="K399" s="34" t="n"/>
      <c r="L399" s="34" t="n"/>
      <c r="M399" s="34" t="n"/>
      <c r="N399" s="82" t="n"/>
      <c r="O399" s="82" t="n"/>
      <c r="P399" s="33" t="n"/>
      <c r="Q399" s="34" t="n"/>
      <c r="R399" s="83" t="n"/>
      <c r="S399" s="34" t="n"/>
      <c r="T399" s="33" t="n"/>
      <c r="U399" s="83" t="n"/>
      <c r="V399" s="33" t="n"/>
      <c r="W399" s="83" t="n"/>
      <c r="X399" s="83" t="n"/>
      <c r="Y399" s="83" t="n"/>
      <c r="Z399" s="83" t="n"/>
      <c r="AA399" s="84">
        <f>IF(OR($A399="",COUNT(W399,X399,Z399,Y399)&lt;1),"",W399+X399+Z399-Y399)</f>
        <v/>
      </c>
      <c r="AB399" s="83" t="n"/>
      <c r="AC399" s="83" t="n"/>
      <c r="AD399" s="83" t="n"/>
      <c r="AE399" s="83" t="n"/>
      <c r="AF399" s="83" t="n"/>
      <c r="AG399" s="83" t="n"/>
      <c r="AH399" s="84">
        <f>IF(OR($A399="",COUNT(AB399,AC399,AD399,AG399,AE399,AF399)&lt;1),"",AB399+AC399+AD399+AG399-AE399-AF399)</f>
        <v/>
      </c>
      <c r="AI399" s="84">
        <f>IF(OR($A399="",COUNT(AA399,AH399)&lt;2),"",AA399-AH399)</f>
        <v/>
      </c>
      <c r="AJ399" s="84">
        <f>IF(OR($A399="",COUNT(W399,AB399)&lt;2),"",W399-AB399)</f>
        <v/>
      </c>
      <c r="AK399" s="83" t="n"/>
      <c r="AL399" s="33" t="n"/>
      <c r="AM399" s="33" t="n"/>
      <c r="AN399" s="83" t="n"/>
      <c r="AO399" s="33" t="n"/>
      <c r="AP399" s="33" t="n"/>
      <c r="AQ399" s="33" t="n"/>
    </row>
    <row r="400">
      <c r="A400" s="33" t="n"/>
      <c r="B400" s="33" t="n"/>
      <c r="C400" s="33" t="n"/>
      <c r="D400" s="33" t="n"/>
      <c r="E400" s="33" t="n"/>
      <c r="F400" s="33" t="n"/>
      <c r="G400" s="33" t="n"/>
      <c r="H400" s="33" t="n"/>
      <c r="I400" s="33" t="n"/>
      <c r="J400" s="33" t="n"/>
      <c r="K400" s="34" t="n"/>
      <c r="L400" s="34" t="n"/>
      <c r="M400" s="34" t="n"/>
      <c r="N400" s="82" t="n"/>
      <c r="O400" s="82" t="n"/>
      <c r="P400" s="33" t="n"/>
      <c r="Q400" s="34" t="n"/>
      <c r="R400" s="83" t="n"/>
      <c r="S400" s="34" t="n"/>
      <c r="T400" s="33" t="n"/>
      <c r="U400" s="83" t="n"/>
      <c r="V400" s="33" t="n"/>
      <c r="W400" s="83" t="n"/>
      <c r="X400" s="83" t="n"/>
      <c r="Y400" s="83" t="n"/>
      <c r="Z400" s="83" t="n"/>
      <c r="AA400" s="84">
        <f>IF(OR($A400="",COUNT(W400,X400,Z400,Y400)&lt;1),"",W400+X400+Z400-Y400)</f>
        <v/>
      </c>
      <c r="AB400" s="83" t="n"/>
      <c r="AC400" s="83" t="n"/>
      <c r="AD400" s="83" t="n"/>
      <c r="AE400" s="83" t="n"/>
      <c r="AF400" s="83" t="n"/>
      <c r="AG400" s="83" t="n"/>
      <c r="AH400" s="84">
        <f>IF(OR($A400="",COUNT(AB400,AC400,AD400,AG400,AE400,AF400)&lt;1),"",AB400+AC400+AD400+AG400-AE400-AF400)</f>
        <v/>
      </c>
      <c r="AI400" s="84">
        <f>IF(OR($A400="",COUNT(AA400,AH400)&lt;2),"",AA400-AH400)</f>
        <v/>
      </c>
      <c r="AJ400" s="84">
        <f>IF(OR($A400="",COUNT(W400,AB400)&lt;2),"",W400-AB400)</f>
        <v/>
      </c>
      <c r="AK400" s="83" t="n"/>
      <c r="AL400" s="33" t="n"/>
      <c r="AM400" s="33" t="n"/>
      <c r="AN400" s="83" t="n"/>
      <c r="AO400" s="33" t="n"/>
      <c r="AP400" s="33" t="n"/>
      <c r="AQ400" s="33" t="n"/>
    </row>
    <row r="401">
      <c r="A401" s="33" t="n"/>
      <c r="B401" s="33" t="n"/>
      <c r="C401" s="33" t="n"/>
      <c r="D401" s="33" t="n"/>
      <c r="E401" s="33" t="n"/>
      <c r="F401" s="33" t="n"/>
      <c r="G401" s="33" t="n"/>
      <c r="H401" s="33" t="n"/>
      <c r="I401" s="33" t="n"/>
      <c r="J401" s="33" t="n"/>
      <c r="K401" s="34" t="n"/>
      <c r="L401" s="34" t="n"/>
      <c r="M401" s="34" t="n"/>
      <c r="N401" s="82" t="n"/>
      <c r="O401" s="82" t="n"/>
      <c r="P401" s="33" t="n"/>
      <c r="Q401" s="34" t="n"/>
      <c r="R401" s="83" t="n"/>
      <c r="S401" s="34" t="n"/>
      <c r="T401" s="33" t="n"/>
      <c r="U401" s="83" t="n"/>
      <c r="V401" s="33" t="n"/>
      <c r="W401" s="83" t="n"/>
      <c r="X401" s="83" t="n"/>
      <c r="Y401" s="83" t="n"/>
      <c r="Z401" s="83" t="n"/>
      <c r="AA401" s="84">
        <f>IF(OR($A401="",COUNT(W401,X401,Z401,Y401)&lt;1),"",W401+X401+Z401-Y401)</f>
        <v/>
      </c>
      <c r="AB401" s="83" t="n"/>
      <c r="AC401" s="83" t="n"/>
      <c r="AD401" s="83" t="n"/>
      <c r="AE401" s="83" t="n"/>
      <c r="AF401" s="83" t="n"/>
      <c r="AG401" s="83" t="n"/>
      <c r="AH401" s="84">
        <f>IF(OR($A401="",COUNT(AB401,AC401,AD401,AG401,AE401,AF401)&lt;1),"",AB401+AC401+AD401+AG401-AE401-AF401)</f>
        <v/>
      </c>
      <c r="AI401" s="84">
        <f>IF(OR($A401="",COUNT(AA401,AH401)&lt;2),"",AA401-AH401)</f>
        <v/>
      </c>
      <c r="AJ401" s="84">
        <f>IF(OR($A401="",COUNT(W401,AB401)&lt;2),"",W401-AB401)</f>
        <v/>
      </c>
      <c r="AK401" s="83" t="n"/>
      <c r="AL401" s="33" t="n"/>
      <c r="AM401" s="33" t="n"/>
      <c r="AN401" s="83" t="n"/>
      <c r="AO401" s="33" t="n"/>
      <c r="AP401" s="33" t="n"/>
      <c r="AQ401" s="33" t="n"/>
    </row>
    <row r="402">
      <c r="A402" s="33" t="n"/>
      <c r="B402" s="33" t="n"/>
      <c r="C402" s="33" t="n"/>
      <c r="D402" s="33" t="n"/>
      <c r="E402" s="33" t="n"/>
      <c r="F402" s="33" t="n"/>
      <c r="G402" s="33" t="n"/>
      <c r="H402" s="33" t="n"/>
      <c r="I402" s="33" t="n"/>
      <c r="J402" s="33" t="n"/>
      <c r="K402" s="34" t="n"/>
      <c r="L402" s="34" t="n"/>
      <c r="M402" s="34" t="n"/>
      <c r="N402" s="82" t="n"/>
      <c r="O402" s="82" t="n"/>
      <c r="P402" s="33" t="n"/>
      <c r="Q402" s="34" t="n"/>
      <c r="R402" s="83" t="n"/>
      <c r="S402" s="34" t="n"/>
      <c r="T402" s="33" t="n"/>
      <c r="U402" s="83" t="n"/>
      <c r="V402" s="33" t="n"/>
      <c r="W402" s="83" t="n"/>
      <c r="X402" s="83" t="n"/>
      <c r="Y402" s="83" t="n"/>
      <c r="Z402" s="83" t="n"/>
      <c r="AA402" s="84">
        <f>IF(OR($A402="",COUNT(W402,X402,Z402,Y402)&lt;1),"",W402+X402+Z402-Y402)</f>
        <v/>
      </c>
      <c r="AB402" s="83" t="n"/>
      <c r="AC402" s="83" t="n"/>
      <c r="AD402" s="83" t="n"/>
      <c r="AE402" s="83" t="n"/>
      <c r="AF402" s="83" t="n"/>
      <c r="AG402" s="83" t="n"/>
      <c r="AH402" s="84">
        <f>IF(OR($A402="",COUNT(AB402,AC402,AD402,AG402,AE402,AF402)&lt;1),"",AB402+AC402+AD402+AG402-AE402-AF402)</f>
        <v/>
      </c>
      <c r="AI402" s="84">
        <f>IF(OR($A402="",COUNT(AA402,AH402)&lt;2),"",AA402-AH402)</f>
        <v/>
      </c>
      <c r="AJ402" s="84">
        <f>IF(OR($A402="",COUNT(W402,AB402)&lt;2),"",W402-AB402)</f>
        <v/>
      </c>
      <c r="AK402" s="83" t="n"/>
      <c r="AL402" s="33" t="n"/>
      <c r="AM402" s="33" t="n"/>
      <c r="AN402" s="83" t="n"/>
      <c r="AO402" s="33" t="n"/>
      <c r="AP402" s="33" t="n"/>
      <c r="AQ402" s="33" t="n"/>
    </row>
    <row r="403">
      <c r="A403" s="33" t="n"/>
      <c r="B403" s="33" t="n"/>
      <c r="C403" s="33" t="n"/>
      <c r="D403" s="33" t="n"/>
      <c r="E403" s="33" t="n"/>
      <c r="F403" s="33" t="n"/>
      <c r="G403" s="33" t="n"/>
      <c r="H403" s="33" t="n"/>
      <c r="I403" s="33" t="n"/>
      <c r="J403" s="33" t="n"/>
      <c r="K403" s="34" t="n"/>
      <c r="L403" s="34" t="n"/>
      <c r="M403" s="34" t="n"/>
      <c r="N403" s="82" t="n"/>
      <c r="O403" s="82" t="n"/>
      <c r="P403" s="33" t="n"/>
      <c r="Q403" s="34" t="n"/>
      <c r="R403" s="83" t="n"/>
      <c r="S403" s="34" t="n"/>
      <c r="T403" s="33" t="n"/>
      <c r="U403" s="83" t="n"/>
      <c r="V403" s="33" t="n"/>
      <c r="W403" s="83" t="n"/>
      <c r="X403" s="83" t="n"/>
      <c r="Y403" s="83" t="n"/>
      <c r="Z403" s="83" t="n"/>
      <c r="AA403" s="84">
        <f>IF(OR($A403="",COUNT(W403,X403,Z403,Y403)&lt;1),"",W403+X403+Z403-Y403)</f>
        <v/>
      </c>
      <c r="AB403" s="83" t="n"/>
      <c r="AC403" s="83" t="n"/>
      <c r="AD403" s="83" t="n"/>
      <c r="AE403" s="83" t="n"/>
      <c r="AF403" s="83" t="n"/>
      <c r="AG403" s="83" t="n"/>
      <c r="AH403" s="84">
        <f>IF(OR($A403="",COUNT(AB403,AC403,AD403,AG403,AE403,AF403)&lt;1),"",AB403+AC403+AD403+AG403-AE403-AF403)</f>
        <v/>
      </c>
      <c r="AI403" s="84">
        <f>IF(OR($A403="",COUNT(AA403,AH403)&lt;2),"",AA403-AH403)</f>
        <v/>
      </c>
      <c r="AJ403" s="84">
        <f>IF(OR($A403="",COUNT(W403,AB403)&lt;2),"",W403-AB403)</f>
        <v/>
      </c>
      <c r="AK403" s="83" t="n"/>
      <c r="AL403" s="33" t="n"/>
      <c r="AM403" s="33" t="n"/>
      <c r="AN403" s="83" t="n"/>
      <c r="AO403" s="33" t="n"/>
      <c r="AP403" s="33" t="n"/>
      <c r="AQ403" s="33" t="n"/>
    </row>
    <row r="404">
      <c r="A404" s="33" t="n"/>
      <c r="B404" s="33" t="n"/>
      <c r="C404" s="33" t="n"/>
      <c r="D404" s="33" t="n"/>
      <c r="E404" s="33" t="n"/>
      <c r="F404" s="33" t="n"/>
      <c r="G404" s="33" t="n"/>
      <c r="H404" s="33" t="n"/>
      <c r="I404" s="33" t="n"/>
      <c r="J404" s="33" t="n"/>
      <c r="K404" s="34" t="n"/>
      <c r="L404" s="34" t="n"/>
      <c r="M404" s="34" t="n"/>
      <c r="N404" s="82" t="n"/>
      <c r="O404" s="82" t="n"/>
      <c r="P404" s="33" t="n"/>
      <c r="Q404" s="34" t="n"/>
      <c r="R404" s="83" t="n"/>
      <c r="S404" s="34" t="n"/>
      <c r="T404" s="33" t="n"/>
      <c r="U404" s="83" t="n"/>
      <c r="V404" s="33" t="n"/>
      <c r="W404" s="83" t="n"/>
      <c r="X404" s="83" t="n"/>
      <c r="Y404" s="83" t="n"/>
      <c r="Z404" s="83" t="n"/>
      <c r="AA404" s="84">
        <f>IF(OR($A404="",COUNT(W404,X404,Z404,Y404)&lt;1),"",W404+X404+Z404-Y404)</f>
        <v/>
      </c>
      <c r="AB404" s="83" t="n"/>
      <c r="AC404" s="83" t="n"/>
      <c r="AD404" s="83" t="n"/>
      <c r="AE404" s="83" t="n"/>
      <c r="AF404" s="83" t="n"/>
      <c r="AG404" s="83" t="n"/>
      <c r="AH404" s="84">
        <f>IF(OR($A404="",COUNT(AB404,AC404,AD404,AG404,AE404,AF404)&lt;1),"",AB404+AC404+AD404+AG404-AE404-AF404)</f>
        <v/>
      </c>
      <c r="AI404" s="84">
        <f>IF(OR($A404="",COUNT(AA404,AH404)&lt;2),"",AA404-AH404)</f>
        <v/>
      </c>
      <c r="AJ404" s="84">
        <f>IF(OR($A404="",COUNT(W404,AB404)&lt;2),"",W404-AB404)</f>
        <v/>
      </c>
      <c r="AK404" s="83" t="n"/>
      <c r="AL404" s="33" t="n"/>
      <c r="AM404" s="33" t="n"/>
      <c r="AN404" s="83" t="n"/>
      <c r="AO404" s="33" t="n"/>
      <c r="AP404" s="33" t="n"/>
      <c r="AQ404" s="33" t="n"/>
    </row>
    <row r="405">
      <c r="A405" s="33" t="n"/>
      <c r="B405" s="33" t="n"/>
      <c r="C405" s="33" t="n"/>
      <c r="D405" s="33" t="n"/>
      <c r="E405" s="33" t="n"/>
      <c r="F405" s="33" t="n"/>
      <c r="G405" s="33" t="n"/>
      <c r="H405" s="33" t="n"/>
      <c r="I405" s="33" t="n"/>
      <c r="J405" s="33" t="n"/>
      <c r="K405" s="34" t="n"/>
      <c r="L405" s="34" t="n"/>
      <c r="M405" s="34" t="n"/>
      <c r="N405" s="82" t="n"/>
      <c r="O405" s="82" t="n"/>
      <c r="P405" s="33" t="n"/>
      <c r="Q405" s="34" t="n"/>
      <c r="R405" s="83" t="n"/>
      <c r="S405" s="34" t="n"/>
      <c r="T405" s="33" t="n"/>
      <c r="U405" s="83" t="n"/>
      <c r="V405" s="33" t="n"/>
      <c r="W405" s="83" t="n"/>
      <c r="X405" s="83" t="n"/>
      <c r="Y405" s="83" t="n"/>
      <c r="Z405" s="83" t="n"/>
      <c r="AA405" s="84">
        <f>IF(OR($A405="",COUNT(W405,X405,Z405,Y405)&lt;1),"",W405+X405+Z405-Y405)</f>
        <v/>
      </c>
      <c r="AB405" s="83" t="n"/>
      <c r="AC405" s="83" t="n"/>
      <c r="AD405" s="83" t="n"/>
      <c r="AE405" s="83" t="n"/>
      <c r="AF405" s="83" t="n"/>
      <c r="AG405" s="83" t="n"/>
      <c r="AH405" s="84">
        <f>IF(OR($A405="",COUNT(AB405,AC405,AD405,AG405,AE405,AF405)&lt;1),"",AB405+AC405+AD405+AG405-AE405-AF405)</f>
        <v/>
      </c>
      <c r="AI405" s="84">
        <f>IF(OR($A405="",COUNT(AA405,AH405)&lt;2),"",AA405-AH405)</f>
        <v/>
      </c>
      <c r="AJ405" s="84">
        <f>IF(OR($A405="",COUNT(W405,AB405)&lt;2),"",W405-AB405)</f>
        <v/>
      </c>
      <c r="AK405" s="83" t="n"/>
      <c r="AL405" s="33" t="n"/>
      <c r="AM405" s="33" t="n"/>
      <c r="AN405" s="83" t="n"/>
      <c r="AO405" s="33" t="n"/>
      <c r="AP405" s="33" t="n"/>
      <c r="AQ405" s="33" t="n"/>
    </row>
    <row r="406">
      <c r="A406" s="33" t="n"/>
      <c r="B406" s="33" t="n"/>
      <c r="C406" s="33" t="n"/>
      <c r="D406" s="33" t="n"/>
      <c r="E406" s="33" t="n"/>
      <c r="F406" s="33" t="n"/>
      <c r="G406" s="33" t="n"/>
      <c r="H406" s="33" t="n"/>
      <c r="I406" s="33" t="n"/>
      <c r="J406" s="33" t="n"/>
      <c r="K406" s="34" t="n"/>
      <c r="L406" s="34" t="n"/>
      <c r="M406" s="34" t="n"/>
      <c r="N406" s="82" t="n"/>
      <c r="O406" s="82" t="n"/>
      <c r="P406" s="33" t="n"/>
      <c r="Q406" s="34" t="n"/>
      <c r="R406" s="83" t="n"/>
      <c r="S406" s="34" t="n"/>
      <c r="T406" s="33" t="n"/>
      <c r="U406" s="83" t="n"/>
      <c r="V406" s="33" t="n"/>
      <c r="W406" s="83" t="n"/>
      <c r="X406" s="83" t="n"/>
      <c r="Y406" s="83" t="n"/>
      <c r="Z406" s="83" t="n"/>
      <c r="AA406" s="84">
        <f>IF(OR($A406="",COUNT(W406,X406,Z406,Y406)&lt;1),"",W406+X406+Z406-Y406)</f>
        <v/>
      </c>
      <c r="AB406" s="83" t="n"/>
      <c r="AC406" s="83" t="n"/>
      <c r="AD406" s="83" t="n"/>
      <c r="AE406" s="83" t="n"/>
      <c r="AF406" s="83" t="n"/>
      <c r="AG406" s="83" t="n"/>
      <c r="AH406" s="84">
        <f>IF(OR($A406="",COUNT(AB406,AC406,AD406,AG406,AE406,AF406)&lt;1),"",AB406+AC406+AD406+AG406-AE406-AF406)</f>
        <v/>
      </c>
      <c r="AI406" s="84">
        <f>IF(OR($A406="",COUNT(AA406,AH406)&lt;2),"",AA406-AH406)</f>
        <v/>
      </c>
      <c r="AJ406" s="84">
        <f>IF(OR($A406="",COUNT(W406,AB406)&lt;2),"",W406-AB406)</f>
        <v/>
      </c>
      <c r="AK406" s="83" t="n"/>
      <c r="AL406" s="33" t="n"/>
      <c r="AM406" s="33" t="n"/>
      <c r="AN406" s="83" t="n"/>
      <c r="AO406" s="33" t="n"/>
      <c r="AP406" s="33" t="n"/>
      <c r="AQ406" s="33" t="n"/>
    </row>
    <row r="407">
      <c r="A407" s="33" t="n"/>
      <c r="B407" s="33" t="n"/>
      <c r="C407" s="33" t="n"/>
      <c r="D407" s="33" t="n"/>
      <c r="E407" s="33" t="n"/>
      <c r="F407" s="33" t="n"/>
      <c r="G407" s="33" t="n"/>
      <c r="H407" s="33" t="n"/>
      <c r="I407" s="33" t="n"/>
      <c r="J407" s="33" t="n"/>
      <c r="K407" s="34" t="n"/>
      <c r="L407" s="34" t="n"/>
      <c r="M407" s="34" t="n"/>
      <c r="N407" s="82" t="n"/>
      <c r="O407" s="82" t="n"/>
      <c r="P407" s="33" t="n"/>
      <c r="Q407" s="34" t="n"/>
      <c r="R407" s="83" t="n"/>
      <c r="S407" s="34" t="n"/>
      <c r="T407" s="33" t="n"/>
      <c r="U407" s="83" t="n"/>
      <c r="V407" s="33" t="n"/>
      <c r="W407" s="83" t="n"/>
      <c r="X407" s="83" t="n"/>
      <c r="Y407" s="83" t="n"/>
      <c r="Z407" s="83" t="n"/>
      <c r="AA407" s="84">
        <f>IF(OR($A407="",COUNT(W407,X407,Z407,Y407)&lt;1),"",W407+X407+Z407-Y407)</f>
        <v/>
      </c>
      <c r="AB407" s="83" t="n"/>
      <c r="AC407" s="83" t="n"/>
      <c r="AD407" s="83" t="n"/>
      <c r="AE407" s="83" t="n"/>
      <c r="AF407" s="83" t="n"/>
      <c r="AG407" s="83" t="n"/>
      <c r="AH407" s="84">
        <f>IF(OR($A407="",COUNT(AB407,AC407,AD407,AG407,AE407,AF407)&lt;1),"",AB407+AC407+AD407+AG407-AE407-AF407)</f>
        <v/>
      </c>
      <c r="AI407" s="84">
        <f>IF(OR($A407="",COUNT(AA407,AH407)&lt;2),"",AA407-AH407)</f>
        <v/>
      </c>
      <c r="AJ407" s="84">
        <f>IF(OR($A407="",COUNT(W407,AB407)&lt;2),"",W407-AB407)</f>
        <v/>
      </c>
      <c r="AK407" s="83" t="n"/>
      <c r="AL407" s="33" t="n"/>
      <c r="AM407" s="33" t="n"/>
      <c r="AN407" s="83" t="n"/>
      <c r="AO407" s="33" t="n"/>
      <c r="AP407" s="33" t="n"/>
      <c r="AQ407" s="33" t="n"/>
    </row>
    <row r="408">
      <c r="A408" s="33" t="n"/>
      <c r="B408" s="33" t="n"/>
      <c r="C408" s="33" t="n"/>
      <c r="D408" s="33" t="n"/>
      <c r="E408" s="33" t="n"/>
      <c r="F408" s="33" t="n"/>
      <c r="G408" s="33" t="n"/>
      <c r="H408" s="33" t="n"/>
      <c r="I408" s="33" t="n"/>
      <c r="J408" s="33" t="n"/>
      <c r="K408" s="34" t="n"/>
      <c r="L408" s="34" t="n"/>
      <c r="M408" s="34" t="n"/>
      <c r="N408" s="82" t="n"/>
      <c r="O408" s="82" t="n"/>
      <c r="P408" s="33" t="n"/>
      <c r="Q408" s="34" t="n"/>
      <c r="R408" s="83" t="n"/>
      <c r="S408" s="34" t="n"/>
      <c r="T408" s="33" t="n"/>
      <c r="U408" s="83" t="n"/>
      <c r="V408" s="33" t="n"/>
      <c r="W408" s="83" t="n"/>
      <c r="X408" s="83" t="n"/>
      <c r="Y408" s="83" t="n"/>
      <c r="Z408" s="83" t="n"/>
      <c r="AA408" s="84">
        <f>IF(OR($A408="",COUNT(W408,X408,Z408,Y408)&lt;1),"",W408+X408+Z408-Y408)</f>
        <v/>
      </c>
      <c r="AB408" s="83" t="n"/>
      <c r="AC408" s="83" t="n"/>
      <c r="AD408" s="83" t="n"/>
      <c r="AE408" s="83" t="n"/>
      <c r="AF408" s="83" t="n"/>
      <c r="AG408" s="83" t="n"/>
      <c r="AH408" s="84">
        <f>IF(OR($A408="",COUNT(AB408,AC408,AD408,AG408,AE408,AF408)&lt;1),"",AB408+AC408+AD408+AG408-AE408-AF408)</f>
        <v/>
      </c>
      <c r="AI408" s="84">
        <f>IF(OR($A408="",COUNT(AA408,AH408)&lt;2),"",AA408-AH408)</f>
        <v/>
      </c>
      <c r="AJ408" s="84">
        <f>IF(OR($A408="",COUNT(W408,AB408)&lt;2),"",W408-AB408)</f>
        <v/>
      </c>
      <c r="AK408" s="83" t="n"/>
      <c r="AL408" s="33" t="n"/>
      <c r="AM408" s="33" t="n"/>
      <c r="AN408" s="83" t="n"/>
      <c r="AO408" s="33" t="n"/>
      <c r="AP408" s="33" t="n"/>
      <c r="AQ408" s="33" t="n"/>
    </row>
    <row r="409">
      <c r="A409" s="33" t="n"/>
      <c r="B409" s="33" t="n"/>
      <c r="C409" s="33" t="n"/>
      <c r="D409" s="33" t="n"/>
      <c r="E409" s="33" t="n"/>
      <c r="F409" s="33" t="n"/>
      <c r="G409" s="33" t="n"/>
      <c r="H409" s="33" t="n"/>
      <c r="I409" s="33" t="n"/>
      <c r="J409" s="33" t="n"/>
      <c r="K409" s="34" t="n"/>
      <c r="L409" s="34" t="n"/>
      <c r="M409" s="34" t="n"/>
      <c r="N409" s="82" t="n"/>
      <c r="O409" s="82" t="n"/>
      <c r="P409" s="33" t="n"/>
      <c r="Q409" s="34" t="n"/>
      <c r="R409" s="83" t="n"/>
      <c r="S409" s="34" t="n"/>
      <c r="T409" s="33" t="n"/>
      <c r="U409" s="83" t="n"/>
      <c r="V409" s="33" t="n"/>
      <c r="W409" s="83" t="n"/>
      <c r="X409" s="83" t="n"/>
      <c r="Y409" s="83" t="n"/>
      <c r="Z409" s="83" t="n"/>
      <c r="AA409" s="84">
        <f>IF(OR($A409="",COUNT(W409,X409,Z409,Y409)&lt;1),"",W409+X409+Z409-Y409)</f>
        <v/>
      </c>
      <c r="AB409" s="83" t="n"/>
      <c r="AC409" s="83" t="n"/>
      <c r="AD409" s="83" t="n"/>
      <c r="AE409" s="83" t="n"/>
      <c r="AF409" s="83" t="n"/>
      <c r="AG409" s="83" t="n"/>
      <c r="AH409" s="84">
        <f>IF(OR($A409="",COUNT(AB409,AC409,AD409,AG409,AE409,AF409)&lt;1),"",AB409+AC409+AD409+AG409-AE409-AF409)</f>
        <v/>
      </c>
      <c r="AI409" s="84">
        <f>IF(OR($A409="",COUNT(AA409,AH409)&lt;2),"",AA409-AH409)</f>
        <v/>
      </c>
      <c r="AJ409" s="84">
        <f>IF(OR($A409="",COUNT(W409,AB409)&lt;2),"",W409-AB409)</f>
        <v/>
      </c>
      <c r="AK409" s="83" t="n"/>
      <c r="AL409" s="33" t="n"/>
      <c r="AM409" s="33" t="n"/>
      <c r="AN409" s="83" t="n"/>
      <c r="AO409" s="33" t="n"/>
      <c r="AP409" s="33" t="n"/>
      <c r="AQ409" s="33" t="n"/>
    </row>
    <row r="410">
      <c r="A410" s="33" t="n"/>
      <c r="B410" s="33" t="n"/>
      <c r="C410" s="33" t="n"/>
      <c r="D410" s="33" t="n"/>
      <c r="E410" s="33" t="n"/>
      <c r="F410" s="33" t="n"/>
      <c r="G410" s="33" t="n"/>
      <c r="H410" s="33" t="n"/>
      <c r="I410" s="33" t="n"/>
      <c r="J410" s="33" t="n"/>
      <c r="K410" s="34" t="n"/>
      <c r="L410" s="34" t="n"/>
      <c r="M410" s="34" t="n"/>
      <c r="N410" s="82" t="n"/>
      <c r="O410" s="82" t="n"/>
      <c r="P410" s="33" t="n"/>
      <c r="Q410" s="34" t="n"/>
      <c r="R410" s="83" t="n"/>
      <c r="S410" s="34" t="n"/>
      <c r="T410" s="33" t="n"/>
      <c r="U410" s="83" t="n"/>
      <c r="V410" s="33" t="n"/>
      <c r="W410" s="83" t="n"/>
      <c r="X410" s="83" t="n"/>
      <c r="Y410" s="83" t="n"/>
      <c r="Z410" s="83" t="n"/>
      <c r="AA410" s="84">
        <f>IF(OR($A410="",COUNT(W410,X410,Z410,Y410)&lt;1),"",W410+X410+Z410-Y410)</f>
        <v/>
      </c>
      <c r="AB410" s="83" t="n"/>
      <c r="AC410" s="83" t="n"/>
      <c r="AD410" s="83" t="n"/>
      <c r="AE410" s="83" t="n"/>
      <c r="AF410" s="83" t="n"/>
      <c r="AG410" s="83" t="n"/>
      <c r="AH410" s="84">
        <f>IF(OR($A410="",COUNT(AB410,AC410,AD410,AG410,AE410,AF410)&lt;1),"",AB410+AC410+AD410+AG410-AE410-AF410)</f>
        <v/>
      </c>
      <c r="AI410" s="84">
        <f>IF(OR($A410="",COUNT(AA410,AH410)&lt;2),"",AA410-AH410)</f>
        <v/>
      </c>
      <c r="AJ410" s="84">
        <f>IF(OR($A410="",COUNT(W410,AB410)&lt;2),"",W410-AB410)</f>
        <v/>
      </c>
      <c r="AK410" s="83" t="n"/>
      <c r="AL410" s="33" t="n"/>
      <c r="AM410" s="33" t="n"/>
      <c r="AN410" s="83" t="n"/>
      <c r="AO410" s="33" t="n"/>
      <c r="AP410" s="33" t="n"/>
      <c r="AQ410" s="33" t="n"/>
    </row>
    <row r="411">
      <c r="A411" s="33" t="n"/>
      <c r="B411" s="33" t="n"/>
      <c r="C411" s="33" t="n"/>
      <c r="D411" s="33" t="n"/>
      <c r="E411" s="33" t="n"/>
      <c r="F411" s="33" t="n"/>
      <c r="G411" s="33" t="n"/>
      <c r="H411" s="33" t="n"/>
      <c r="I411" s="33" t="n"/>
      <c r="J411" s="33" t="n"/>
      <c r="K411" s="34" t="n"/>
      <c r="L411" s="34" t="n"/>
      <c r="M411" s="34" t="n"/>
      <c r="N411" s="82" t="n"/>
      <c r="O411" s="82" t="n"/>
      <c r="P411" s="33" t="n"/>
      <c r="Q411" s="34" t="n"/>
      <c r="R411" s="83" t="n"/>
      <c r="S411" s="34" t="n"/>
      <c r="T411" s="33" t="n"/>
      <c r="U411" s="83" t="n"/>
      <c r="V411" s="33" t="n"/>
      <c r="W411" s="83" t="n"/>
      <c r="X411" s="83" t="n"/>
      <c r="Y411" s="83" t="n"/>
      <c r="Z411" s="83" t="n"/>
      <c r="AA411" s="84">
        <f>IF(OR($A411="",COUNT(W411,X411,Z411,Y411)&lt;1),"",W411+X411+Z411-Y411)</f>
        <v/>
      </c>
      <c r="AB411" s="83" t="n"/>
      <c r="AC411" s="83" t="n"/>
      <c r="AD411" s="83" t="n"/>
      <c r="AE411" s="83" t="n"/>
      <c r="AF411" s="83" t="n"/>
      <c r="AG411" s="83" t="n"/>
      <c r="AH411" s="84">
        <f>IF(OR($A411="",COUNT(AB411,AC411,AD411,AG411,AE411,AF411)&lt;1),"",AB411+AC411+AD411+AG411-AE411-AF411)</f>
        <v/>
      </c>
      <c r="AI411" s="84">
        <f>IF(OR($A411="",COUNT(AA411,AH411)&lt;2),"",AA411-AH411)</f>
        <v/>
      </c>
      <c r="AJ411" s="84">
        <f>IF(OR($A411="",COUNT(W411,AB411)&lt;2),"",W411-AB411)</f>
        <v/>
      </c>
      <c r="AK411" s="83" t="n"/>
      <c r="AL411" s="33" t="n"/>
      <c r="AM411" s="33" t="n"/>
      <c r="AN411" s="83" t="n"/>
      <c r="AO411" s="33" t="n"/>
      <c r="AP411" s="33" t="n"/>
      <c r="AQ411" s="33" t="n"/>
    </row>
    <row r="412">
      <c r="A412" s="33" t="n"/>
      <c r="B412" s="33" t="n"/>
      <c r="C412" s="33" t="n"/>
      <c r="D412" s="33" t="n"/>
      <c r="E412" s="33" t="n"/>
      <c r="F412" s="33" t="n"/>
      <c r="G412" s="33" t="n"/>
      <c r="H412" s="33" t="n"/>
      <c r="I412" s="33" t="n"/>
      <c r="J412" s="33" t="n"/>
      <c r="K412" s="34" t="n"/>
      <c r="L412" s="34" t="n"/>
      <c r="M412" s="34" t="n"/>
      <c r="N412" s="82" t="n"/>
      <c r="O412" s="82" t="n"/>
      <c r="P412" s="33" t="n"/>
      <c r="Q412" s="34" t="n"/>
      <c r="R412" s="83" t="n"/>
      <c r="S412" s="34" t="n"/>
      <c r="T412" s="33" t="n"/>
      <c r="U412" s="83" t="n"/>
      <c r="V412" s="33" t="n"/>
      <c r="W412" s="83" t="n"/>
      <c r="X412" s="83" t="n"/>
      <c r="Y412" s="83" t="n"/>
      <c r="Z412" s="83" t="n"/>
      <c r="AA412" s="84">
        <f>IF(OR($A412="",COUNT(W412,X412,Z412,Y412)&lt;1),"",W412+X412+Z412-Y412)</f>
        <v/>
      </c>
      <c r="AB412" s="83" t="n"/>
      <c r="AC412" s="83" t="n"/>
      <c r="AD412" s="83" t="n"/>
      <c r="AE412" s="83" t="n"/>
      <c r="AF412" s="83" t="n"/>
      <c r="AG412" s="83" t="n"/>
      <c r="AH412" s="84">
        <f>IF(OR($A412="",COUNT(AB412,AC412,AD412,AG412,AE412,AF412)&lt;1),"",AB412+AC412+AD412+AG412-AE412-AF412)</f>
        <v/>
      </c>
      <c r="AI412" s="84">
        <f>IF(OR($A412="",COUNT(AA412,AH412)&lt;2),"",AA412-AH412)</f>
        <v/>
      </c>
      <c r="AJ412" s="84">
        <f>IF(OR($A412="",COUNT(W412,AB412)&lt;2),"",W412-AB412)</f>
        <v/>
      </c>
      <c r="AK412" s="83" t="n"/>
      <c r="AL412" s="33" t="n"/>
      <c r="AM412" s="33" t="n"/>
      <c r="AN412" s="83" t="n"/>
      <c r="AO412" s="33" t="n"/>
      <c r="AP412" s="33" t="n"/>
      <c r="AQ412" s="33" t="n"/>
    </row>
    <row r="413">
      <c r="A413" s="33" t="n"/>
      <c r="B413" s="33" t="n"/>
      <c r="C413" s="33" t="n"/>
      <c r="D413" s="33" t="n"/>
      <c r="E413" s="33" t="n"/>
      <c r="F413" s="33" t="n"/>
      <c r="G413" s="33" t="n"/>
      <c r="H413" s="33" t="n"/>
      <c r="I413" s="33" t="n"/>
      <c r="J413" s="33" t="n"/>
      <c r="K413" s="34" t="n"/>
      <c r="L413" s="34" t="n"/>
      <c r="M413" s="34" t="n"/>
      <c r="N413" s="82" t="n"/>
      <c r="O413" s="82" t="n"/>
      <c r="P413" s="33" t="n"/>
      <c r="Q413" s="34" t="n"/>
      <c r="R413" s="83" t="n"/>
      <c r="S413" s="34" t="n"/>
      <c r="T413" s="33" t="n"/>
      <c r="U413" s="83" t="n"/>
      <c r="V413" s="33" t="n"/>
      <c r="W413" s="83" t="n"/>
      <c r="X413" s="83" t="n"/>
      <c r="Y413" s="83" t="n"/>
      <c r="Z413" s="83" t="n"/>
      <c r="AA413" s="84">
        <f>IF(OR($A413="",COUNT(W413,X413,Z413,Y413)&lt;1),"",W413+X413+Z413-Y413)</f>
        <v/>
      </c>
      <c r="AB413" s="83" t="n"/>
      <c r="AC413" s="83" t="n"/>
      <c r="AD413" s="83" t="n"/>
      <c r="AE413" s="83" t="n"/>
      <c r="AF413" s="83" t="n"/>
      <c r="AG413" s="83" t="n"/>
      <c r="AH413" s="84">
        <f>IF(OR($A413="",COUNT(AB413,AC413,AD413,AG413,AE413,AF413)&lt;1),"",AB413+AC413+AD413+AG413-AE413-AF413)</f>
        <v/>
      </c>
      <c r="AI413" s="84">
        <f>IF(OR($A413="",COUNT(AA413,AH413)&lt;2),"",AA413-AH413)</f>
        <v/>
      </c>
      <c r="AJ413" s="84">
        <f>IF(OR($A413="",COUNT(W413,AB413)&lt;2),"",W413-AB413)</f>
        <v/>
      </c>
      <c r="AK413" s="83" t="n"/>
      <c r="AL413" s="33" t="n"/>
      <c r="AM413" s="33" t="n"/>
      <c r="AN413" s="83" t="n"/>
      <c r="AO413" s="33" t="n"/>
      <c r="AP413" s="33" t="n"/>
      <c r="AQ413" s="33" t="n"/>
    </row>
    <row r="414">
      <c r="A414" s="33" t="n"/>
      <c r="B414" s="33" t="n"/>
      <c r="C414" s="33" t="n"/>
      <c r="D414" s="33" t="n"/>
      <c r="E414" s="33" t="n"/>
      <c r="F414" s="33" t="n"/>
      <c r="G414" s="33" t="n"/>
      <c r="H414" s="33" t="n"/>
      <c r="I414" s="33" t="n"/>
      <c r="J414" s="33" t="n"/>
      <c r="K414" s="34" t="n"/>
      <c r="L414" s="34" t="n"/>
      <c r="M414" s="34" t="n"/>
      <c r="N414" s="82" t="n"/>
      <c r="O414" s="82" t="n"/>
      <c r="P414" s="33" t="n"/>
      <c r="Q414" s="34" t="n"/>
      <c r="R414" s="83" t="n"/>
      <c r="S414" s="34" t="n"/>
      <c r="T414" s="33" t="n"/>
      <c r="U414" s="83" t="n"/>
      <c r="V414" s="33" t="n"/>
      <c r="W414" s="83" t="n"/>
      <c r="X414" s="83" t="n"/>
      <c r="Y414" s="83" t="n"/>
      <c r="Z414" s="83" t="n"/>
      <c r="AA414" s="84">
        <f>IF(OR($A414="",COUNT(W414,X414,Z414,Y414)&lt;1),"",W414+X414+Z414-Y414)</f>
        <v/>
      </c>
      <c r="AB414" s="83" t="n"/>
      <c r="AC414" s="83" t="n"/>
      <c r="AD414" s="83" t="n"/>
      <c r="AE414" s="83" t="n"/>
      <c r="AF414" s="83" t="n"/>
      <c r="AG414" s="83" t="n"/>
      <c r="AH414" s="84">
        <f>IF(OR($A414="",COUNT(AB414,AC414,AD414,AG414,AE414,AF414)&lt;1),"",AB414+AC414+AD414+AG414-AE414-AF414)</f>
        <v/>
      </c>
      <c r="AI414" s="84">
        <f>IF(OR($A414="",COUNT(AA414,AH414)&lt;2),"",AA414-AH414)</f>
        <v/>
      </c>
      <c r="AJ414" s="84">
        <f>IF(OR($A414="",COUNT(W414,AB414)&lt;2),"",W414-AB414)</f>
        <v/>
      </c>
      <c r="AK414" s="83" t="n"/>
      <c r="AL414" s="33" t="n"/>
      <c r="AM414" s="33" t="n"/>
      <c r="AN414" s="83" t="n"/>
      <c r="AO414" s="33" t="n"/>
      <c r="AP414" s="33" t="n"/>
      <c r="AQ414" s="33" t="n"/>
    </row>
    <row r="415">
      <c r="A415" s="33" t="n"/>
      <c r="B415" s="33" t="n"/>
      <c r="C415" s="33" t="n"/>
      <c r="D415" s="33" t="n"/>
      <c r="E415" s="33" t="n"/>
      <c r="F415" s="33" t="n"/>
      <c r="G415" s="33" t="n"/>
      <c r="H415" s="33" t="n"/>
      <c r="I415" s="33" t="n"/>
      <c r="J415" s="33" t="n"/>
      <c r="K415" s="34" t="n"/>
      <c r="L415" s="34" t="n"/>
      <c r="M415" s="34" t="n"/>
      <c r="N415" s="82" t="n"/>
      <c r="O415" s="82" t="n"/>
      <c r="P415" s="33" t="n"/>
      <c r="Q415" s="34" t="n"/>
      <c r="R415" s="83" t="n"/>
      <c r="S415" s="34" t="n"/>
      <c r="T415" s="33" t="n"/>
      <c r="U415" s="83" t="n"/>
      <c r="V415" s="33" t="n"/>
      <c r="W415" s="83" t="n"/>
      <c r="X415" s="83" t="n"/>
      <c r="Y415" s="83" t="n"/>
      <c r="Z415" s="83" t="n"/>
      <c r="AA415" s="84">
        <f>IF(OR($A415="",COUNT(W415,X415,Z415,Y415)&lt;1),"",W415+X415+Z415-Y415)</f>
        <v/>
      </c>
      <c r="AB415" s="83" t="n"/>
      <c r="AC415" s="83" t="n"/>
      <c r="AD415" s="83" t="n"/>
      <c r="AE415" s="83" t="n"/>
      <c r="AF415" s="83" t="n"/>
      <c r="AG415" s="83" t="n"/>
      <c r="AH415" s="84">
        <f>IF(OR($A415="",COUNT(AB415,AC415,AD415,AG415,AE415,AF415)&lt;1),"",AB415+AC415+AD415+AG415-AE415-AF415)</f>
        <v/>
      </c>
      <c r="AI415" s="84">
        <f>IF(OR($A415="",COUNT(AA415,AH415)&lt;2),"",AA415-AH415)</f>
        <v/>
      </c>
      <c r="AJ415" s="84">
        <f>IF(OR($A415="",COUNT(W415,AB415)&lt;2),"",W415-AB415)</f>
        <v/>
      </c>
      <c r="AK415" s="83" t="n"/>
      <c r="AL415" s="33" t="n"/>
      <c r="AM415" s="33" t="n"/>
      <c r="AN415" s="83" t="n"/>
      <c r="AO415" s="33" t="n"/>
      <c r="AP415" s="33" t="n"/>
      <c r="AQ415" s="33" t="n"/>
    </row>
    <row r="416">
      <c r="A416" s="33" t="n"/>
      <c r="B416" s="33" t="n"/>
      <c r="C416" s="33" t="n"/>
      <c r="D416" s="33" t="n"/>
      <c r="E416" s="33" t="n"/>
      <c r="F416" s="33" t="n"/>
      <c r="G416" s="33" t="n"/>
      <c r="H416" s="33" t="n"/>
      <c r="I416" s="33" t="n"/>
      <c r="J416" s="33" t="n"/>
      <c r="K416" s="34" t="n"/>
      <c r="L416" s="34" t="n"/>
      <c r="M416" s="34" t="n"/>
      <c r="N416" s="82" t="n"/>
      <c r="O416" s="82" t="n"/>
      <c r="P416" s="33" t="n"/>
      <c r="Q416" s="34" t="n"/>
      <c r="R416" s="83" t="n"/>
      <c r="S416" s="34" t="n"/>
      <c r="T416" s="33" t="n"/>
      <c r="U416" s="83" t="n"/>
      <c r="V416" s="33" t="n"/>
      <c r="W416" s="83" t="n"/>
      <c r="X416" s="83" t="n"/>
      <c r="Y416" s="83" t="n"/>
      <c r="Z416" s="83" t="n"/>
      <c r="AA416" s="84">
        <f>IF(OR($A416="",COUNT(W416,X416,Z416,Y416)&lt;1),"",W416+X416+Z416-Y416)</f>
        <v/>
      </c>
      <c r="AB416" s="83" t="n"/>
      <c r="AC416" s="83" t="n"/>
      <c r="AD416" s="83" t="n"/>
      <c r="AE416" s="83" t="n"/>
      <c r="AF416" s="83" t="n"/>
      <c r="AG416" s="83" t="n"/>
      <c r="AH416" s="84">
        <f>IF(OR($A416="",COUNT(AB416,AC416,AD416,AG416,AE416,AF416)&lt;1),"",AB416+AC416+AD416+AG416-AE416-AF416)</f>
        <v/>
      </c>
      <c r="AI416" s="84">
        <f>IF(OR($A416="",COUNT(AA416,AH416)&lt;2),"",AA416-AH416)</f>
        <v/>
      </c>
      <c r="AJ416" s="84">
        <f>IF(OR($A416="",COUNT(W416,AB416)&lt;2),"",W416-AB416)</f>
        <v/>
      </c>
      <c r="AK416" s="83" t="n"/>
      <c r="AL416" s="33" t="n"/>
      <c r="AM416" s="33" t="n"/>
      <c r="AN416" s="83" t="n"/>
      <c r="AO416" s="33" t="n"/>
      <c r="AP416" s="33" t="n"/>
      <c r="AQ416" s="33" t="n"/>
    </row>
    <row r="417">
      <c r="A417" s="33" t="n"/>
      <c r="B417" s="33" t="n"/>
      <c r="C417" s="33" t="n"/>
      <c r="D417" s="33" t="n"/>
      <c r="E417" s="33" t="n"/>
      <c r="F417" s="33" t="n"/>
      <c r="G417" s="33" t="n"/>
      <c r="H417" s="33" t="n"/>
      <c r="I417" s="33" t="n"/>
      <c r="J417" s="33" t="n"/>
      <c r="K417" s="34" t="n"/>
      <c r="L417" s="34" t="n"/>
      <c r="M417" s="34" t="n"/>
      <c r="N417" s="82" t="n"/>
      <c r="O417" s="82" t="n"/>
      <c r="P417" s="33" t="n"/>
      <c r="Q417" s="34" t="n"/>
      <c r="R417" s="83" t="n"/>
      <c r="S417" s="34" t="n"/>
      <c r="T417" s="33" t="n"/>
      <c r="U417" s="83" t="n"/>
      <c r="V417" s="33" t="n"/>
      <c r="W417" s="83" t="n"/>
      <c r="X417" s="83" t="n"/>
      <c r="Y417" s="83" t="n"/>
      <c r="Z417" s="83" t="n"/>
      <c r="AA417" s="84">
        <f>IF(OR($A417="",COUNT(W417,X417,Z417,Y417)&lt;1),"",W417+X417+Z417-Y417)</f>
        <v/>
      </c>
      <c r="AB417" s="83" t="n"/>
      <c r="AC417" s="83" t="n"/>
      <c r="AD417" s="83" t="n"/>
      <c r="AE417" s="83" t="n"/>
      <c r="AF417" s="83" t="n"/>
      <c r="AG417" s="83" t="n"/>
      <c r="AH417" s="84">
        <f>IF(OR($A417="",COUNT(AB417,AC417,AD417,AG417,AE417,AF417)&lt;1),"",AB417+AC417+AD417+AG417-AE417-AF417)</f>
        <v/>
      </c>
      <c r="AI417" s="84">
        <f>IF(OR($A417="",COUNT(AA417,AH417)&lt;2),"",AA417-AH417)</f>
        <v/>
      </c>
      <c r="AJ417" s="84">
        <f>IF(OR($A417="",COUNT(W417,AB417)&lt;2),"",W417-AB417)</f>
        <v/>
      </c>
      <c r="AK417" s="83" t="n"/>
      <c r="AL417" s="33" t="n"/>
      <c r="AM417" s="33" t="n"/>
      <c r="AN417" s="83" t="n"/>
      <c r="AO417" s="33" t="n"/>
      <c r="AP417" s="33" t="n"/>
      <c r="AQ417" s="33" t="n"/>
    </row>
    <row r="418">
      <c r="A418" s="33" t="n"/>
      <c r="B418" s="33" t="n"/>
      <c r="C418" s="33" t="n"/>
      <c r="D418" s="33" t="n"/>
      <c r="E418" s="33" t="n"/>
      <c r="F418" s="33" t="n"/>
      <c r="G418" s="33" t="n"/>
      <c r="H418" s="33" t="n"/>
      <c r="I418" s="33" t="n"/>
      <c r="J418" s="33" t="n"/>
      <c r="K418" s="34" t="n"/>
      <c r="L418" s="34" t="n"/>
      <c r="M418" s="34" t="n"/>
      <c r="N418" s="82" t="n"/>
      <c r="O418" s="82" t="n"/>
      <c r="P418" s="33" t="n"/>
      <c r="Q418" s="34" t="n"/>
      <c r="R418" s="83" t="n"/>
      <c r="S418" s="34" t="n"/>
      <c r="T418" s="33" t="n"/>
      <c r="U418" s="83" t="n"/>
      <c r="V418" s="33" t="n"/>
      <c r="W418" s="83" t="n"/>
      <c r="X418" s="83" t="n"/>
      <c r="Y418" s="83" t="n"/>
      <c r="Z418" s="83" t="n"/>
      <c r="AA418" s="84">
        <f>IF(OR($A418="",COUNT(W418,X418,Z418,Y418)&lt;1),"",W418+X418+Z418-Y418)</f>
        <v/>
      </c>
      <c r="AB418" s="83" t="n"/>
      <c r="AC418" s="83" t="n"/>
      <c r="AD418" s="83" t="n"/>
      <c r="AE418" s="83" t="n"/>
      <c r="AF418" s="83" t="n"/>
      <c r="AG418" s="83" t="n"/>
      <c r="AH418" s="84">
        <f>IF(OR($A418="",COUNT(AB418,AC418,AD418,AG418,AE418,AF418)&lt;1),"",AB418+AC418+AD418+AG418-AE418-AF418)</f>
        <v/>
      </c>
      <c r="AI418" s="84">
        <f>IF(OR($A418="",COUNT(AA418,AH418)&lt;2),"",AA418-AH418)</f>
        <v/>
      </c>
      <c r="AJ418" s="84">
        <f>IF(OR($A418="",COUNT(W418,AB418)&lt;2),"",W418-AB418)</f>
        <v/>
      </c>
      <c r="AK418" s="83" t="n"/>
      <c r="AL418" s="33" t="n"/>
      <c r="AM418" s="33" t="n"/>
      <c r="AN418" s="83" t="n"/>
      <c r="AO418" s="33" t="n"/>
      <c r="AP418" s="33" t="n"/>
      <c r="AQ418" s="33" t="n"/>
    </row>
    <row r="419">
      <c r="A419" s="33" t="n"/>
      <c r="B419" s="33" t="n"/>
      <c r="C419" s="33" t="n"/>
      <c r="D419" s="33" t="n"/>
      <c r="E419" s="33" t="n"/>
      <c r="F419" s="33" t="n"/>
      <c r="G419" s="33" t="n"/>
      <c r="H419" s="33" t="n"/>
      <c r="I419" s="33" t="n"/>
      <c r="J419" s="33" t="n"/>
      <c r="K419" s="34" t="n"/>
      <c r="L419" s="34" t="n"/>
      <c r="M419" s="34" t="n"/>
      <c r="N419" s="82" t="n"/>
      <c r="O419" s="82" t="n"/>
      <c r="P419" s="33" t="n"/>
      <c r="Q419" s="34" t="n"/>
      <c r="R419" s="83" t="n"/>
      <c r="S419" s="34" t="n"/>
      <c r="T419" s="33" t="n"/>
      <c r="U419" s="83" t="n"/>
      <c r="V419" s="33" t="n"/>
      <c r="W419" s="83" t="n"/>
      <c r="X419" s="83" t="n"/>
      <c r="Y419" s="83" t="n"/>
      <c r="Z419" s="83" t="n"/>
      <c r="AA419" s="84">
        <f>IF(OR($A419="",COUNT(W419,X419,Z419,Y419)&lt;1),"",W419+X419+Z419-Y419)</f>
        <v/>
      </c>
      <c r="AB419" s="83" t="n"/>
      <c r="AC419" s="83" t="n"/>
      <c r="AD419" s="83" t="n"/>
      <c r="AE419" s="83" t="n"/>
      <c r="AF419" s="83" t="n"/>
      <c r="AG419" s="83" t="n"/>
      <c r="AH419" s="84">
        <f>IF(OR($A419="",COUNT(AB419,AC419,AD419,AG419,AE419,AF419)&lt;1),"",AB419+AC419+AD419+AG419-AE419-AF419)</f>
        <v/>
      </c>
      <c r="AI419" s="84">
        <f>IF(OR($A419="",COUNT(AA419,AH419)&lt;2),"",AA419-AH419)</f>
        <v/>
      </c>
      <c r="AJ419" s="84">
        <f>IF(OR($A419="",COUNT(W419,AB419)&lt;2),"",W419-AB419)</f>
        <v/>
      </c>
      <c r="AK419" s="83" t="n"/>
      <c r="AL419" s="33" t="n"/>
      <c r="AM419" s="33" t="n"/>
      <c r="AN419" s="83" t="n"/>
      <c r="AO419" s="33" t="n"/>
      <c r="AP419" s="33" t="n"/>
      <c r="AQ419" s="33" t="n"/>
    </row>
    <row r="420">
      <c r="A420" s="33" t="n"/>
      <c r="B420" s="33" t="n"/>
      <c r="C420" s="33" t="n"/>
      <c r="D420" s="33" t="n"/>
      <c r="E420" s="33" t="n"/>
      <c r="F420" s="33" t="n"/>
      <c r="G420" s="33" t="n"/>
      <c r="H420" s="33" t="n"/>
      <c r="I420" s="33" t="n"/>
      <c r="J420" s="33" t="n"/>
      <c r="K420" s="34" t="n"/>
      <c r="L420" s="34" t="n"/>
      <c r="M420" s="34" t="n"/>
      <c r="N420" s="82" t="n"/>
      <c r="O420" s="82" t="n"/>
      <c r="P420" s="33" t="n"/>
      <c r="Q420" s="34" t="n"/>
      <c r="R420" s="83" t="n"/>
      <c r="S420" s="34" t="n"/>
      <c r="T420" s="33" t="n"/>
      <c r="U420" s="83" t="n"/>
      <c r="V420" s="33" t="n"/>
      <c r="W420" s="83" t="n"/>
      <c r="X420" s="83" t="n"/>
      <c r="Y420" s="83" t="n"/>
      <c r="Z420" s="83" t="n"/>
      <c r="AA420" s="84">
        <f>IF(OR($A420="",COUNT(W420,X420,Z420,Y420)&lt;1),"",W420+X420+Z420-Y420)</f>
        <v/>
      </c>
      <c r="AB420" s="83" t="n"/>
      <c r="AC420" s="83" t="n"/>
      <c r="AD420" s="83" t="n"/>
      <c r="AE420" s="83" t="n"/>
      <c r="AF420" s="83" t="n"/>
      <c r="AG420" s="83" t="n"/>
      <c r="AH420" s="84">
        <f>IF(OR($A420="",COUNT(AB420,AC420,AD420,AG420,AE420,AF420)&lt;1),"",AB420+AC420+AD420+AG420-AE420-AF420)</f>
        <v/>
      </c>
      <c r="AI420" s="84">
        <f>IF(OR($A420="",COUNT(AA420,AH420)&lt;2),"",AA420-AH420)</f>
        <v/>
      </c>
      <c r="AJ420" s="84">
        <f>IF(OR($A420="",COUNT(W420,AB420)&lt;2),"",W420-AB420)</f>
        <v/>
      </c>
      <c r="AK420" s="83" t="n"/>
      <c r="AL420" s="33" t="n"/>
      <c r="AM420" s="33" t="n"/>
      <c r="AN420" s="83" t="n"/>
      <c r="AO420" s="33" t="n"/>
      <c r="AP420" s="33" t="n"/>
      <c r="AQ420" s="33" t="n"/>
    </row>
    <row r="421">
      <c r="A421" s="33" t="n"/>
      <c r="B421" s="33" t="n"/>
      <c r="C421" s="33" t="n"/>
      <c r="D421" s="33" t="n"/>
      <c r="E421" s="33" t="n"/>
      <c r="F421" s="33" t="n"/>
      <c r="G421" s="33" t="n"/>
      <c r="H421" s="33" t="n"/>
      <c r="I421" s="33" t="n"/>
      <c r="J421" s="33" t="n"/>
      <c r="K421" s="34" t="n"/>
      <c r="L421" s="34" t="n"/>
      <c r="M421" s="34" t="n"/>
      <c r="N421" s="82" t="n"/>
      <c r="O421" s="82" t="n"/>
      <c r="P421" s="33" t="n"/>
      <c r="Q421" s="34" t="n"/>
      <c r="R421" s="83" t="n"/>
      <c r="S421" s="34" t="n"/>
      <c r="T421" s="33" t="n"/>
      <c r="U421" s="83" t="n"/>
      <c r="V421" s="33" t="n"/>
      <c r="W421" s="83" t="n"/>
      <c r="X421" s="83" t="n"/>
      <c r="Y421" s="83" t="n"/>
      <c r="Z421" s="83" t="n"/>
      <c r="AA421" s="84">
        <f>IF(OR($A421="",COUNT(W421,X421,Z421,Y421)&lt;1),"",W421+X421+Z421-Y421)</f>
        <v/>
      </c>
      <c r="AB421" s="83" t="n"/>
      <c r="AC421" s="83" t="n"/>
      <c r="AD421" s="83" t="n"/>
      <c r="AE421" s="83" t="n"/>
      <c r="AF421" s="83" t="n"/>
      <c r="AG421" s="83" t="n"/>
      <c r="AH421" s="84">
        <f>IF(OR($A421="",COUNT(AB421,AC421,AD421,AG421,AE421,AF421)&lt;1),"",AB421+AC421+AD421+AG421-AE421-AF421)</f>
        <v/>
      </c>
      <c r="AI421" s="84">
        <f>IF(OR($A421="",COUNT(AA421,AH421)&lt;2),"",AA421-AH421)</f>
        <v/>
      </c>
      <c r="AJ421" s="84">
        <f>IF(OR($A421="",COUNT(W421,AB421)&lt;2),"",W421-AB421)</f>
        <v/>
      </c>
      <c r="AK421" s="83" t="n"/>
      <c r="AL421" s="33" t="n"/>
      <c r="AM421" s="33" t="n"/>
      <c r="AN421" s="83" t="n"/>
      <c r="AO421" s="33" t="n"/>
      <c r="AP421" s="33" t="n"/>
      <c r="AQ421" s="33" t="n"/>
    </row>
    <row r="422">
      <c r="A422" s="33" t="n"/>
      <c r="B422" s="33" t="n"/>
      <c r="C422" s="33" t="n"/>
      <c r="D422" s="33" t="n"/>
      <c r="E422" s="33" t="n"/>
      <c r="F422" s="33" t="n"/>
      <c r="G422" s="33" t="n"/>
      <c r="H422" s="33" t="n"/>
      <c r="I422" s="33" t="n"/>
      <c r="J422" s="33" t="n"/>
      <c r="K422" s="34" t="n"/>
      <c r="L422" s="34" t="n"/>
      <c r="M422" s="34" t="n"/>
      <c r="N422" s="82" t="n"/>
      <c r="O422" s="82" t="n"/>
      <c r="P422" s="33" t="n"/>
      <c r="Q422" s="34" t="n"/>
      <c r="R422" s="83" t="n"/>
      <c r="S422" s="34" t="n"/>
      <c r="T422" s="33" t="n"/>
      <c r="U422" s="83" t="n"/>
      <c r="V422" s="33" t="n"/>
      <c r="W422" s="83" t="n"/>
      <c r="X422" s="83" t="n"/>
      <c r="Y422" s="83" t="n"/>
      <c r="Z422" s="83" t="n"/>
      <c r="AA422" s="84">
        <f>IF(OR($A422="",COUNT(W422,X422,Z422,Y422)&lt;1),"",W422+X422+Z422-Y422)</f>
        <v/>
      </c>
      <c r="AB422" s="83" t="n"/>
      <c r="AC422" s="83" t="n"/>
      <c r="AD422" s="83" t="n"/>
      <c r="AE422" s="83" t="n"/>
      <c r="AF422" s="83" t="n"/>
      <c r="AG422" s="83" t="n"/>
      <c r="AH422" s="84">
        <f>IF(OR($A422="",COUNT(AB422,AC422,AD422,AG422,AE422,AF422)&lt;1),"",AB422+AC422+AD422+AG422-AE422-AF422)</f>
        <v/>
      </c>
      <c r="AI422" s="84">
        <f>IF(OR($A422="",COUNT(AA422,AH422)&lt;2),"",AA422-AH422)</f>
        <v/>
      </c>
      <c r="AJ422" s="84">
        <f>IF(OR($A422="",COUNT(W422,AB422)&lt;2),"",W422-AB422)</f>
        <v/>
      </c>
      <c r="AK422" s="83" t="n"/>
      <c r="AL422" s="33" t="n"/>
      <c r="AM422" s="33" t="n"/>
      <c r="AN422" s="83" t="n"/>
      <c r="AO422" s="33" t="n"/>
      <c r="AP422" s="33" t="n"/>
      <c r="AQ422" s="33" t="n"/>
    </row>
    <row r="423">
      <c r="A423" s="33" t="n"/>
      <c r="B423" s="33" t="n"/>
      <c r="C423" s="33" t="n"/>
      <c r="D423" s="33" t="n"/>
      <c r="E423" s="33" t="n"/>
      <c r="F423" s="33" t="n"/>
      <c r="G423" s="33" t="n"/>
      <c r="H423" s="33" t="n"/>
      <c r="I423" s="33" t="n"/>
      <c r="J423" s="33" t="n"/>
      <c r="K423" s="34" t="n"/>
      <c r="L423" s="34" t="n"/>
      <c r="M423" s="34" t="n"/>
      <c r="N423" s="82" t="n"/>
      <c r="O423" s="82" t="n"/>
      <c r="P423" s="33" t="n"/>
      <c r="Q423" s="34" t="n"/>
      <c r="R423" s="83" t="n"/>
      <c r="S423" s="34" t="n"/>
      <c r="T423" s="33" t="n"/>
      <c r="U423" s="83" t="n"/>
      <c r="V423" s="33" t="n"/>
      <c r="W423" s="83" t="n"/>
      <c r="X423" s="83" t="n"/>
      <c r="Y423" s="83" t="n"/>
      <c r="Z423" s="83" t="n"/>
      <c r="AA423" s="84">
        <f>IF(OR($A423="",COUNT(W423,X423,Z423,Y423)&lt;1),"",W423+X423+Z423-Y423)</f>
        <v/>
      </c>
      <c r="AB423" s="83" t="n"/>
      <c r="AC423" s="83" t="n"/>
      <c r="AD423" s="83" t="n"/>
      <c r="AE423" s="83" t="n"/>
      <c r="AF423" s="83" t="n"/>
      <c r="AG423" s="83" t="n"/>
      <c r="AH423" s="84">
        <f>IF(OR($A423="",COUNT(AB423,AC423,AD423,AG423,AE423,AF423)&lt;1),"",AB423+AC423+AD423+AG423-AE423-AF423)</f>
        <v/>
      </c>
      <c r="AI423" s="84">
        <f>IF(OR($A423="",COUNT(AA423,AH423)&lt;2),"",AA423-AH423)</f>
        <v/>
      </c>
      <c r="AJ423" s="84">
        <f>IF(OR($A423="",COUNT(W423,AB423)&lt;2),"",W423-AB423)</f>
        <v/>
      </c>
      <c r="AK423" s="83" t="n"/>
      <c r="AL423" s="33" t="n"/>
      <c r="AM423" s="33" t="n"/>
      <c r="AN423" s="83" t="n"/>
      <c r="AO423" s="33" t="n"/>
      <c r="AP423" s="33" t="n"/>
      <c r="AQ423" s="33" t="n"/>
    </row>
    <row r="424">
      <c r="A424" s="33" t="n"/>
      <c r="B424" s="33" t="n"/>
      <c r="C424" s="33" t="n"/>
      <c r="D424" s="33" t="n"/>
      <c r="E424" s="33" t="n"/>
      <c r="F424" s="33" t="n"/>
      <c r="G424" s="33" t="n"/>
      <c r="H424" s="33" t="n"/>
      <c r="I424" s="33" t="n"/>
      <c r="J424" s="33" t="n"/>
      <c r="K424" s="34" t="n"/>
      <c r="L424" s="34" t="n"/>
      <c r="M424" s="34" t="n"/>
      <c r="N424" s="82" t="n"/>
      <c r="O424" s="82" t="n"/>
      <c r="P424" s="33" t="n"/>
      <c r="Q424" s="34" t="n"/>
      <c r="R424" s="83" t="n"/>
      <c r="S424" s="34" t="n"/>
      <c r="T424" s="33" t="n"/>
      <c r="U424" s="83" t="n"/>
      <c r="V424" s="33" t="n"/>
      <c r="W424" s="83" t="n"/>
      <c r="X424" s="83" t="n"/>
      <c r="Y424" s="83" t="n"/>
      <c r="Z424" s="83" t="n"/>
      <c r="AA424" s="84">
        <f>IF(OR($A424="",COUNT(W424,X424,Z424,Y424)&lt;1),"",W424+X424+Z424-Y424)</f>
        <v/>
      </c>
      <c r="AB424" s="83" t="n"/>
      <c r="AC424" s="83" t="n"/>
      <c r="AD424" s="83" t="n"/>
      <c r="AE424" s="83" t="n"/>
      <c r="AF424" s="83" t="n"/>
      <c r="AG424" s="83" t="n"/>
      <c r="AH424" s="84">
        <f>IF(OR($A424="",COUNT(AB424,AC424,AD424,AG424,AE424,AF424)&lt;1),"",AB424+AC424+AD424+AG424-AE424-AF424)</f>
        <v/>
      </c>
      <c r="AI424" s="84">
        <f>IF(OR($A424="",COUNT(AA424,AH424)&lt;2),"",AA424-AH424)</f>
        <v/>
      </c>
      <c r="AJ424" s="84">
        <f>IF(OR($A424="",COUNT(W424,AB424)&lt;2),"",W424-AB424)</f>
        <v/>
      </c>
      <c r="AK424" s="83" t="n"/>
      <c r="AL424" s="33" t="n"/>
      <c r="AM424" s="33" t="n"/>
      <c r="AN424" s="83" t="n"/>
      <c r="AO424" s="33" t="n"/>
      <c r="AP424" s="33" t="n"/>
      <c r="AQ424" s="33" t="n"/>
    </row>
    <row r="425">
      <c r="A425" s="33" t="n"/>
      <c r="B425" s="33" t="n"/>
      <c r="C425" s="33" t="n"/>
      <c r="D425" s="33" t="n"/>
      <c r="E425" s="33" t="n"/>
      <c r="F425" s="33" t="n"/>
      <c r="G425" s="33" t="n"/>
      <c r="H425" s="33" t="n"/>
      <c r="I425" s="33" t="n"/>
      <c r="J425" s="33" t="n"/>
      <c r="K425" s="34" t="n"/>
      <c r="L425" s="34" t="n"/>
      <c r="M425" s="34" t="n"/>
      <c r="N425" s="82" t="n"/>
      <c r="O425" s="82" t="n"/>
      <c r="P425" s="33" t="n"/>
      <c r="Q425" s="34" t="n"/>
      <c r="R425" s="83" t="n"/>
      <c r="S425" s="34" t="n"/>
      <c r="T425" s="33" t="n"/>
      <c r="U425" s="83" t="n"/>
      <c r="V425" s="33" t="n"/>
      <c r="W425" s="83" t="n"/>
      <c r="X425" s="83" t="n"/>
      <c r="Y425" s="83" t="n"/>
      <c r="Z425" s="83" t="n"/>
      <c r="AA425" s="84">
        <f>IF(OR($A425="",COUNT(W425,X425,Z425,Y425)&lt;1),"",W425+X425+Z425-Y425)</f>
        <v/>
      </c>
      <c r="AB425" s="83" t="n"/>
      <c r="AC425" s="83" t="n"/>
      <c r="AD425" s="83" t="n"/>
      <c r="AE425" s="83" t="n"/>
      <c r="AF425" s="83" t="n"/>
      <c r="AG425" s="83" t="n"/>
      <c r="AH425" s="84">
        <f>IF(OR($A425="",COUNT(AB425,AC425,AD425,AG425,AE425,AF425)&lt;1),"",AB425+AC425+AD425+AG425-AE425-AF425)</f>
        <v/>
      </c>
      <c r="AI425" s="84">
        <f>IF(OR($A425="",COUNT(AA425,AH425)&lt;2),"",AA425-AH425)</f>
        <v/>
      </c>
      <c r="AJ425" s="84">
        <f>IF(OR($A425="",COUNT(W425,AB425)&lt;2),"",W425-AB425)</f>
        <v/>
      </c>
      <c r="AK425" s="83" t="n"/>
      <c r="AL425" s="33" t="n"/>
      <c r="AM425" s="33" t="n"/>
      <c r="AN425" s="83" t="n"/>
      <c r="AO425" s="33" t="n"/>
      <c r="AP425" s="33" t="n"/>
      <c r="AQ425" s="33" t="n"/>
    </row>
    <row r="426">
      <c r="A426" s="33" t="n"/>
      <c r="B426" s="33" t="n"/>
      <c r="C426" s="33" t="n"/>
      <c r="D426" s="33" t="n"/>
      <c r="E426" s="33" t="n"/>
      <c r="F426" s="33" t="n"/>
      <c r="G426" s="33" t="n"/>
      <c r="H426" s="33" t="n"/>
      <c r="I426" s="33" t="n"/>
      <c r="J426" s="33" t="n"/>
      <c r="K426" s="34" t="n"/>
      <c r="L426" s="34" t="n"/>
      <c r="M426" s="34" t="n"/>
      <c r="N426" s="82" t="n"/>
      <c r="O426" s="82" t="n"/>
      <c r="P426" s="33" t="n"/>
      <c r="Q426" s="34" t="n"/>
      <c r="R426" s="83" t="n"/>
      <c r="S426" s="34" t="n"/>
      <c r="T426" s="33" t="n"/>
      <c r="U426" s="83" t="n"/>
      <c r="V426" s="33" t="n"/>
      <c r="W426" s="83" t="n"/>
      <c r="X426" s="83" t="n"/>
      <c r="Y426" s="83" t="n"/>
      <c r="Z426" s="83" t="n"/>
      <c r="AA426" s="84">
        <f>IF(OR($A426="",COUNT(W426,X426,Z426,Y426)&lt;1),"",W426+X426+Z426-Y426)</f>
        <v/>
      </c>
      <c r="AB426" s="83" t="n"/>
      <c r="AC426" s="83" t="n"/>
      <c r="AD426" s="83" t="n"/>
      <c r="AE426" s="83" t="n"/>
      <c r="AF426" s="83" t="n"/>
      <c r="AG426" s="83" t="n"/>
      <c r="AH426" s="84">
        <f>IF(OR($A426="",COUNT(AB426,AC426,AD426,AG426,AE426,AF426)&lt;1),"",AB426+AC426+AD426+AG426-AE426-AF426)</f>
        <v/>
      </c>
      <c r="AI426" s="84">
        <f>IF(OR($A426="",COUNT(AA426,AH426)&lt;2),"",AA426-AH426)</f>
        <v/>
      </c>
      <c r="AJ426" s="84">
        <f>IF(OR($A426="",COUNT(W426,AB426)&lt;2),"",W426-AB426)</f>
        <v/>
      </c>
      <c r="AK426" s="83" t="n"/>
      <c r="AL426" s="33" t="n"/>
      <c r="AM426" s="33" t="n"/>
      <c r="AN426" s="83" t="n"/>
      <c r="AO426" s="33" t="n"/>
      <c r="AP426" s="33" t="n"/>
      <c r="AQ426" s="33" t="n"/>
    </row>
    <row r="427">
      <c r="A427" s="33" t="n"/>
      <c r="B427" s="33" t="n"/>
      <c r="C427" s="33" t="n"/>
      <c r="D427" s="33" t="n"/>
      <c r="E427" s="33" t="n"/>
      <c r="F427" s="33" t="n"/>
      <c r="G427" s="33" t="n"/>
      <c r="H427" s="33" t="n"/>
      <c r="I427" s="33" t="n"/>
      <c r="J427" s="33" t="n"/>
      <c r="K427" s="34" t="n"/>
      <c r="L427" s="34" t="n"/>
      <c r="M427" s="34" t="n"/>
      <c r="N427" s="82" t="n"/>
      <c r="O427" s="82" t="n"/>
      <c r="P427" s="33" t="n"/>
      <c r="Q427" s="34" t="n"/>
      <c r="R427" s="83" t="n"/>
      <c r="S427" s="34" t="n"/>
      <c r="T427" s="33" t="n"/>
      <c r="U427" s="83" t="n"/>
      <c r="V427" s="33" t="n"/>
      <c r="W427" s="83" t="n"/>
      <c r="X427" s="83" t="n"/>
      <c r="Y427" s="83" t="n"/>
      <c r="Z427" s="83" t="n"/>
      <c r="AA427" s="84">
        <f>IF(OR($A427="",COUNT(W427,X427,Z427,Y427)&lt;1),"",W427+X427+Z427-Y427)</f>
        <v/>
      </c>
      <c r="AB427" s="83" t="n"/>
      <c r="AC427" s="83" t="n"/>
      <c r="AD427" s="83" t="n"/>
      <c r="AE427" s="83" t="n"/>
      <c r="AF427" s="83" t="n"/>
      <c r="AG427" s="83" t="n"/>
      <c r="AH427" s="84">
        <f>IF(OR($A427="",COUNT(AB427,AC427,AD427,AG427,AE427,AF427)&lt;1),"",AB427+AC427+AD427+AG427-AE427-AF427)</f>
        <v/>
      </c>
      <c r="AI427" s="84">
        <f>IF(OR($A427="",COUNT(AA427,AH427)&lt;2),"",AA427-AH427)</f>
        <v/>
      </c>
      <c r="AJ427" s="84">
        <f>IF(OR($A427="",COUNT(W427,AB427)&lt;2),"",W427-AB427)</f>
        <v/>
      </c>
      <c r="AK427" s="83" t="n"/>
      <c r="AL427" s="33" t="n"/>
      <c r="AM427" s="33" t="n"/>
      <c r="AN427" s="83" t="n"/>
      <c r="AO427" s="33" t="n"/>
      <c r="AP427" s="33" t="n"/>
      <c r="AQ427" s="33" t="n"/>
    </row>
    <row r="428">
      <c r="A428" s="33" t="n"/>
      <c r="B428" s="33" t="n"/>
      <c r="C428" s="33" t="n"/>
      <c r="D428" s="33" t="n"/>
      <c r="E428" s="33" t="n"/>
      <c r="F428" s="33" t="n"/>
      <c r="G428" s="33" t="n"/>
      <c r="H428" s="33" t="n"/>
      <c r="I428" s="33" t="n"/>
      <c r="J428" s="33" t="n"/>
      <c r="K428" s="34" t="n"/>
      <c r="L428" s="34" t="n"/>
      <c r="M428" s="34" t="n"/>
      <c r="N428" s="82" t="n"/>
      <c r="O428" s="82" t="n"/>
      <c r="P428" s="33" t="n"/>
      <c r="Q428" s="34" t="n"/>
      <c r="R428" s="83" t="n"/>
      <c r="S428" s="34" t="n"/>
      <c r="T428" s="33" t="n"/>
      <c r="U428" s="83" t="n"/>
      <c r="V428" s="33" t="n"/>
      <c r="W428" s="83" t="n"/>
      <c r="X428" s="83" t="n"/>
      <c r="Y428" s="83" t="n"/>
      <c r="Z428" s="83" t="n"/>
      <c r="AA428" s="84">
        <f>IF(OR($A428="",COUNT(W428,X428,Z428,Y428)&lt;1),"",W428+X428+Z428-Y428)</f>
        <v/>
      </c>
      <c r="AB428" s="83" t="n"/>
      <c r="AC428" s="83" t="n"/>
      <c r="AD428" s="83" t="n"/>
      <c r="AE428" s="83" t="n"/>
      <c r="AF428" s="83" t="n"/>
      <c r="AG428" s="83" t="n"/>
      <c r="AH428" s="84">
        <f>IF(OR($A428="",COUNT(AB428,AC428,AD428,AG428,AE428,AF428)&lt;1),"",AB428+AC428+AD428+AG428-AE428-AF428)</f>
        <v/>
      </c>
      <c r="AI428" s="84">
        <f>IF(OR($A428="",COUNT(AA428,AH428)&lt;2),"",AA428-AH428)</f>
        <v/>
      </c>
      <c r="AJ428" s="84">
        <f>IF(OR($A428="",COUNT(W428,AB428)&lt;2),"",W428-AB428)</f>
        <v/>
      </c>
      <c r="AK428" s="83" t="n"/>
      <c r="AL428" s="33" t="n"/>
      <c r="AM428" s="33" t="n"/>
      <c r="AN428" s="83" t="n"/>
      <c r="AO428" s="33" t="n"/>
      <c r="AP428" s="33" t="n"/>
      <c r="AQ428" s="33" t="n"/>
    </row>
    <row r="429">
      <c r="A429" s="33" t="n"/>
      <c r="B429" s="33" t="n"/>
      <c r="C429" s="33" t="n"/>
      <c r="D429" s="33" t="n"/>
      <c r="E429" s="33" t="n"/>
      <c r="F429" s="33" t="n"/>
      <c r="G429" s="33" t="n"/>
      <c r="H429" s="33" t="n"/>
      <c r="I429" s="33" t="n"/>
      <c r="J429" s="33" t="n"/>
      <c r="K429" s="34" t="n"/>
      <c r="L429" s="34" t="n"/>
      <c r="M429" s="34" t="n"/>
      <c r="N429" s="82" t="n"/>
      <c r="O429" s="82" t="n"/>
      <c r="P429" s="33" t="n"/>
      <c r="Q429" s="34" t="n"/>
      <c r="R429" s="83" t="n"/>
      <c r="S429" s="34" t="n"/>
      <c r="T429" s="33" t="n"/>
      <c r="U429" s="83" t="n"/>
      <c r="V429" s="33" t="n"/>
      <c r="W429" s="83" t="n"/>
      <c r="X429" s="83" t="n"/>
      <c r="Y429" s="83" t="n"/>
      <c r="Z429" s="83" t="n"/>
      <c r="AA429" s="84">
        <f>IF(OR($A429="",COUNT(W429,X429,Z429,Y429)&lt;1),"",W429+X429+Z429-Y429)</f>
        <v/>
      </c>
      <c r="AB429" s="83" t="n"/>
      <c r="AC429" s="83" t="n"/>
      <c r="AD429" s="83" t="n"/>
      <c r="AE429" s="83" t="n"/>
      <c r="AF429" s="83" t="n"/>
      <c r="AG429" s="83" t="n"/>
      <c r="AH429" s="84">
        <f>IF(OR($A429="",COUNT(AB429,AC429,AD429,AG429,AE429,AF429)&lt;1),"",AB429+AC429+AD429+AG429-AE429-AF429)</f>
        <v/>
      </c>
      <c r="AI429" s="84">
        <f>IF(OR($A429="",COUNT(AA429,AH429)&lt;2),"",AA429-AH429)</f>
        <v/>
      </c>
      <c r="AJ429" s="84">
        <f>IF(OR($A429="",COUNT(W429,AB429)&lt;2),"",W429-AB429)</f>
        <v/>
      </c>
      <c r="AK429" s="83" t="n"/>
      <c r="AL429" s="33" t="n"/>
      <c r="AM429" s="33" t="n"/>
      <c r="AN429" s="83" t="n"/>
      <c r="AO429" s="33" t="n"/>
      <c r="AP429" s="33" t="n"/>
      <c r="AQ429" s="33" t="n"/>
    </row>
    <row r="430">
      <c r="A430" s="33" t="n"/>
      <c r="B430" s="33" t="n"/>
      <c r="C430" s="33" t="n"/>
      <c r="D430" s="33" t="n"/>
      <c r="E430" s="33" t="n"/>
      <c r="F430" s="33" t="n"/>
      <c r="G430" s="33" t="n"/>
      <c r="H430" s="33" t="n"/>
      <c r="I430" s="33" t="n"/>
      <c r="J430" s="33" t="n"/>
      <c r="K430" s="34" t="n"/>
      <c r="L430" s="34" t="n"/>
      <c r="M430" s="34" t="n"/>
      <c r="N430" s="82" t="n"/>
      <c r="O430" s="82" t="n"/>
      <c r="P430" s="33" t="n"/>
      <c r="Q430" s="34" t="n"/>
      <c r="R430" s="83" t="n"/>
      <c r="S430" s="34" t="n"/>
      <c r="T430" s="33" t="n"/>
      <c r="U430" s="83" t="n"/>
      <c r="V430" s="33" t="n"/>
      <c r="W430" s="83" t="n"/>
      <c r="X430" s="83" t="n"/>
      <c r="Y430" s="83" t="n"/>
      <c r="Z430" s="83" t="n"/>
      <c r="AA430" s="84">
        <f>IF(OR($A430="",COUNT(W430,X430,Z430,Y430)&lt;1),"",W430+X430+Z430-Y430)</f>
        <v/>
      </c>
      <c r="AB430" s="83" t="n"/>
      <c r="AC430" s="83" t="n"/>
      <c r="AD430" s="83" t="n"/>
      <c r="AE430" s="83" t="n"/>
      <c r="AF430" s="83" t="n"/>
      <c r="AG430" s="83" t="n"/>
      <c r="AH430" s="84">
        <f>IF(OR($A430="",COUNT(AB430,AC430,AD430,AG430,AE430,AF430)&lt;1),"",AB430+AC430+AD430+AG430-AE430-AF430)</f>
        <v/>
      </c>
      <c r="AI430" s="84">
        <f>IF(OR($A430="",COUNT(AA430,AH430)&lt;2),"",AA430-AH430)</f>
        <v/>
      </c>
      <c r="AJ430" s="84">
        <f>IF(OR($A430="",COUNT(W430,AB430)&lt;2),"",W430-AB430)</f>
        <v/>
      </c>
      <c r="AK430" s="83" t="n"/>
      <c r="AL430" s="33" t="n"/>
      <c r="AM430" s="33" t="n"/>
      <c r="AN430" s="83" t="n"/>
      <c r="AO430" s="33" t="n"/>
      <c r="AP430" s="33" t="n"/>
      <c r="AQ430" s="33" t="n"/>
    </row>
    <row r="431">
      <c r="A431" s="33" t="n"/>
      <c r="B431" s="33" t="n"/>
      <c r="C431" s="33" t="n"/>
      <c r="D431" s="33" t="n"/>
      <c r="E431" s="33" t="n"/>
      <c r="F431" s="33" t="n"/>
      <c r="G431" s="33" t="n"/>
      <c r="H431" s="33" t="n"/>
      <c r="I431" s="33" t="n"/>
      <c r="J431" s="33" t="n"/>
      <c r="K431" s="34" t="n"/>
      <c r="L431" s="34" t="n"/>
      <c r="M431" s="34" t="n"/>
      <c r="N431" s="82" t="n"/>
      <c r="O431" s="82" t="n"/>
      <c r="P431" s="33" t="n"/>
      <c r="Q431" s="34" t="n"/>
      <c r="R431" s="83" t="n"/>
      <c r="S431" s="34" t="n"/>
      <c r="T431" s="33" t="n"/>
      <c r="U431" s="83" t="n"/>
      <c r="V431" s="33" t="n"/>
      <c r="W431" s="83" t="n"/>
      <c r="X431" s="83" t="n"/>
      <c r="Y431" s="83" t="n"/>
      <c r="Z431" s="83" t="n"/>
      <c r="AA431" s="84">
        <f>IF(OR($A431="",COUNT(W431,X431,Z431,Y431)&lt;1),"",W431+X431+Z431-Y431)</f>
        <v/>
      </c>
      <c r="AB431" s="83" t="n"/>
      <c r="AC431" s="83" t="n"/>
      <c r="AD431" s="83" t="n"/>
      <c r="AE431" s="83" t="n"/>
      <c r="AF431" s="83" t="n"/>
      <c r="AG431" s="83" t="n"/>
      <c r="AH431" s="84">
        <f>IF(OR($A431="",COUNT(AB431,AC431,AD431,AG431,AE431,AF431)&lt;1),"",AB431+AC431+AD431+AG431-AE431-AF431)</f>
        <v/>
      </c>
      <c r="AI431" s="84">
        <f>IF(OR($A431="",COUNT(AA431,AH431)&lt;2),"",AA431-AH431)</f>
        <v/>
      </c>
      <c r="AJ431" s="84">
        <f>IF(OR($A431="",COUNT(W431,AB431)&lt;2),"",W431-AB431)</f>
        <v/>
      </c>
      <c r="AK431" s="83" t="n"/>
      <c r="AL431" s="33" t="n"/>
      <c r="AM431" s="33" t="n"/>
      <c r="AN431" s="83" t="n"/>
      <c r="AO431" s="33" t="n"/>
      <c r="AP431" s="33" t="n"/>
      <c r="AQ431" s="33" t="n"/>
    </row>
    <row r="432">
      <c r="A432" s="33" t="n"/>
      <c r="B432" s="33" t="n"/>
      <c r="C432" s="33" t="n"/>
      <c r="D432" s="33" t="n"/>
      <c r="E432" s="33" t="n"/>
      <c r="F432" s="33" t="n"/>
      <c r="G432" s="33" t="n"/>
      <c r="H432" s="33" t="n"/>
      <c r="I432" s="33" t="n"/>
      <c r="J432" s="33" t="n"/>
      <c r="K432" s="34" t="n"/>
      <c r="L432" s="34" t="n"/>
      <c r="M432" s="34" t="n"/>
      <c r="N432" s="82" t="n"/>
      <c r="O432" s="82" t="n"/>
      <c r="P432" s="33" t="n"/>
      <c r="Q432" s="34" t="n"/>
      <c r="R432" s="83" t="n"/>
      <c r="S432" s="34" t="n"/>
      <c r="T432" s="33" t="n"/>
      <c r="U432" s="83" t="n"/>
      <c r="V432" s="33" t="n"/>
      <c r="W432" s="83" t="n"/>
      <c r="X432" s="83" t="n"/>
      <c r="Y432" s="83" t="n"/>
      <c r="Z432" s="83" t="n"/>
      <c r="AA432" s="84">
        <f>IF(OR($A432="",COUNT(W432,X432,Z432,Y432)&lt;1),"",W432+X432+Z432-Y432)</f>
        <v/>
      </c>
      <c r="AB432" s="83" t="n"/>
      <c r="AC432" s="83" t="n"/>
      <c r="AD432" s="83" t="n"/>
      <c r="AE432" s="83" t="n"/>
      <c r="AF432" s="83" t="n"/>
      <c r="AG432" s="83" t="n"/>
      <c r="AH432" s="84">
        <f>IF(OR($A432="",COUNT(AB432,AC432,AD432,AG432,AE432,AF432)&lt;1),"",AB432+AC432+AD432+AG432-AE432-AF432)</f>
        <v/>
      </c>
      <c r="AI432" s="84">
        <f>IF(OR($A432="",COUNT(AA432,AH432)&lt;2),"",AA432-AH432)</f>
        <v/>
      </c>
      <c r="AJ432" s="84">
        <f>IF(OR($A432="",COUNT(W432,AB432)&lt;2),"",W432-AB432)</f>
        <v/>
      </c>
      <c r="AK432" s="83" t="n"/>
      <c r="AL432" s="33" t="n"/>
      <c r="AM432" s="33" t="n"/>
      <c r="AN432" s="83" t="n"/>
      <c r="AO432" s="33" t="n"/>
      <c r="AP432" s="33" t="n"/>
      <c r="AQ432" s="33" t="n"/>
    </row>
    <row r="433">
      <c r="A433" s="33" t="n"/>
      <c r="B433" s="33" t="n"/>
      <c r="C433" s="33" t="n"/>
      <c r="D433" s="33" t="n"/>
      <c r="E433" s="33" t="n"/>
      <c r="F433" s="33" t="n"/>
      <c r="G433" s="33" t="n"/>
      <c r="H433" s="33" t="n"/>
      <c r="I433" s="33" t="n"/>
      <c r="J433" s="33" t="n"/>
      <c r="K433" s="34" t="n"/>
      <c r="L433" s="34" t="n"/>
      <c r="M433" s="34" t="n"/>
      <c r="N433" s="82" t="n"/>
      <c r="O433" s="82" t="n"/>
      <c r="P433" s="33" t="n"/>
      <c r="Q433" s="34" t="n"/>
      <c r="R433" s="83" t="n"/>
      <c r="S433" s="34" t="n"/>
      <c r="T433" s="33" t="n"/>
      <c r="U433" s="83" t="n"/>
      <c r="V433" s="33" t="n"/>
      <c r="W433" s="83" t="n"/>
      <c r="X433" s="83" t="n"/>
      <c r="Y433" s="83" t="n"/>
      <c r="Z433" s="83" t="n"/>
      <c r="AA433" s="84">
        <f>IF(OR($A433="",COUNT(W433,X433,Z433,Y433)&lt;1),"",W433+X433+Z433-Y433)</f>
        <v/>
      </c>
      <c r="AB433" s="83" t="n"/>
      <c r="AC433" s="83" t="n"/>
      <c r="AD433" s="83" t="n"/>
      <c r="AE433" s="83" t="n"/>
      <c r="AF433" s="83" t="n"/>
      <c r="AG433" s="83" t="n"/>
      <c r="AH433" s="84">
        <f>IF(OR($A433="",COUNT(AB433,AC433,AD433,AG433,AE433,AF433)&lt;1),"",AB433+AC433+AD433+AG433-AE433-AF433)</f>
        <v/>
      </c>
      <c r="AI433" s="84">
        <f>IF(OR($A433="",COUNT(AA433,AH433)&lt;2),"",AA433-AH433)</f>
        <v/>
      </c>
      <c r="AJ433" s="84">
        <f>IF(OR($A433="",COUNT(W433,AB433)&lt;2),"",W433-AB433)</f>
        <v/>
      </c>
      <c r="AK433" s="83" t="n"/>
      <c r="AL433" s="33" t="n"/>
      <c r="AM433" s="33" t="n"/>
      <c r="AN433" s="83" t="n"/>
      <c r="AO433" s="33" t="n"/>
      <c r="AP433" s="33" t="n"/>
      <c r="AQ433" s="33" t="n"/>
    </row>
    <row r="434">
      <c r="A434" s="33" t="n"/>
      <c r="B434" s="33" t="n"/>
      <c r="C434" s="33" t="n"/>
      <c r="D434" s="33" t="n"/>
      <c r="E434" s="33" t="n"/>
      <c r="F434" s="33" t="n"/>
      <c r="G434" s="33" t="n"/>
      <c r="H434" s="33" t="n"/>
      <c r="I434" s="33" t="n"/>
      <c r="J434" s="33" t="n"/>
      <c r="K434" s="34" t="n"/>
      <c r="L434" s="34" t="n"/>
      <c r="M434" s="34" t="n"/>
      <c r="N434" s="82" t="n"/>
      <c r="O434" s="82" t="n"/>
      <c r="P434" s="33" t="n"/>
      <c r="Q434" s="34" t="n"/>
      <c r="R434" s="83" t="n"/>
      <c r="S434" s="34" t="n"/>
      <c r="T434" s="33" t="n"/>
      <c r="U434" s="83" t="n"/>
      <c r="V434" s="33" t="n"/>
      <c r="W434" s="83" t="n"/>
      <c r="X434" s="83" t="n"/>
      <c r="Y434" s="83" t="n"/>
      <c r="Z434" s="83" t="n"/>
      <c r="AA434" s="84">
        <f>IF(OR($A434="",COUNT(W434,X434,Z434,Y434)&lt;1),"",W434+X434+Z434-Y434)</f>
        <v/>
      </c>
      <c r="AB434" s="83" t="n"/>
      <c r="AC434" s="83" t="n"/>
      <c r="AD434" s="83" t="n"/>
      <c r="AE434" s="83" t="n"/>
      <c r="AF434" s="83" t="n"/>
      <c r="AG434" s="83" t="n"/>
      <c r="AH434" s="84">
        <f>IF(OR($A434="",COUNT(AB434,AC434,AD434,AG434,AE434,AF434)&lt;1),"",AB434+AC434+AD434+AG434-AE434-AF434)</f>
        <v/>
      </c>
      <c r="AI434" s="84">
        <f>IF(OR($A434="",COUNT(AA434,AH434)&lt;2),"",AA434-AH434)</f>
        <v/>
      </c>
      <c r="AJ434" s="84">
        <f>IF(OR($A434="",COUNT(W434,AB434)&lt;2),"",W434-AB434)</f>
        <v/>
      </c>
      <c r="AK434" s="83" t="n"/>
      <c r="AL434" s="33" t="n"/>
      <c r="AM434" s="33" t="n"/>
      <c r="AN434" s="83" t="n"/>
      <c r="AO434" s="33" t="n"/>
      <c r="AP434" s="33" t="n"/>
      <c r="AQ434" s="33" t="n"/>
    </row>
    <row r="435">
      <c r="A435" s="33" t="n"/>
      <c r="B435" s="33" t="n"/>
      <c r="C435" s="33" t="n"/>
      <c r="D435" s="33" t="n"/>
      <c r="E435" s="33" t="n"/>
      <c r="F435" s="33" t="n"/>
      <c r="G435" s="33" t="n"/>
      <c r="H435" s="33" t="n"/>
      <c r="I435" s="33" t="n"/>
      <c r="J435" s="33" t="n"/>
      <c r="K435" s="34" t="n"/>
      <c r="L435" s="34" t="n"/>
      <c r="M435" s="34" t="n"/>
      <c r="N435" s="82" t="n"/>
      <c r="O435" s="82" t="n"/>
      <c r="P435" s="33" t="n"/>
      <c r="Q435" s="34" t="n"/>
      <c r="R435" s="83" t="n"/>
      <c r="S435" s="34" t="n"/>
      <c r="T435" s="33" t="n"/>
      <c r="U435" s="83" t="n"/>
      <c r="V435" s="33" t="n"/>
      <c r="W435" s="83" t="n"/>
      <c r="X435" s="83" t="n"/>
      <c r="Y435" s="83" t="n"/>
      <c r="Z435" s="83" t="n"/>
      <c r="AA435" s="84">
        <f>IF(OR($A435="",COUNT(W435,X435,Z435,Y435)&lt;1),"",W435+X435+Z435-Y435)</f>
        <v/>
      </c>
      <c r="AB435" s="83" t="n"/>
      <c r="AC435" s="83" t="n"/>
      <c r="AD435" s="83" t="n"/>
      <c r="AE435" s="83" t="n"/>
      <c r="AF435" s="83" t="n"/>
      <c r="AG435" s="83" t="n"/>
      <c r="AH435" s="84">
        <f>IF(OR($A435="",COUNT(AB435,AC435,AD435,AG435,AE435,AF435)&lt;1),"",AB435+AC435+AD435+AG435-AE435-AF435)</f>
        <v/>
      </c>
      <c r="AI435" s="84">
        <f>IF(OR($A435="",COUNT(AA435,AH435)&lt;2),"",AA435-AH435)</f>
        <v/>
      </c>
      <c r="AJ435" s="84">
        <f>IF(OR($A435="",COUNT(W435,AB435)&lt;2),"",W435-AB435)</f>
        <v/>
      </c>
      <c r="AK435" s="83" t="n"/>
      <c r="AL435" s="33" t="n"/>
      <c r="AM435" s="33" t="n"/>
      <c r="AN435" s="83" t="n"/>
      <c r="AO435" s="33" t="n"/>
      <c r="AP435" s="33" t="n"/>
      <c r="AQ435" s="33" t="n"/>
    </row>
    <row r="436">
      <c r="A436" s="33" t="n"/>
      <c r="B436" s="33" t="n"/>
      <c r="C436" s="33" t="n"/>
      <c r="D436" s="33" t="n"/>
      <c r="E436" s="33" t="n"/>
      <c r="F436" s="33" t="n"/>
      <c r="G436" s="33" t="n"/>
      <c r="H436" s="33" t="n"/>
      <c r="I436" s="33" t="n"/>
      <c r="J436" s="33" t="n"/>
      <c r="K436" s="34" t="n"/>
      <c r="L436" s="34" t="n"/>
      <c r="M436" s="34" t="n"/>
      <c r="N436" s="82" t="n"/>
      <c r="O436" s="82" t="n"/>
      <c r="P436" s="33" t="n"/>
      <c r="Q436" s="34" t="n"/>
      <c r="R436" s="83" t="n"/>
      <c r="S436" s="34" t="n"/>
      <c r="T436" s="33" t="n"/>
      <c r="U436" s="83" t="n"/>
      <c r="V436" s="33" t="n"/>
      <c r="W436" s="83" t="n"/>
      <c r="X436" s="83" t="n"/>
      <c r="Y436" s="83" t="n"/>
      <c r="Z436" s="83" t="n"/>
      <c r="AA436" s="84">
        <f>IF(OR($A436="",COUNT(W436,X436,Z436,Y436)&lt;1),"",W436+X436+Z436-Y436)</f>
        <v/>
      </c>
      <c r="AB436" s="83" t="n"/>
      <c r="AC436" s="83" t="n"/>
      <c r="AD436" s="83" t="n"/>
      <c r="AE436" s="83" t="n"/>
      <c r="AF436" s="83" t="n"/>
      <c r="AG436" s="83" t="n"/>
      <c r="AH436" s="84">
        <f>IF(OR($A436="",COUNT(AB436,AC436,AD436,AG436,AE436,AF436)&lt;1),"",AB436+AC436+AD436+AG436-AE436-AF436)</f>
        <v/>
      </c>
      <c r="AI436" s="84">
        <f>IF(OR($A436="",COUNT(AA436,AH436)&lt;2),"",AA436-AH436)</f>
        <v/>
      </c>
      <c r="AJ436" s="84">
        <f>IF(OR($A436="",COUNT(W436,AB436)&lt;2),"",W436-AB436)</f>
        <v/>
      </c>
      <c r="AK436" s="83" t="n"/>
      <c r="AL436" s="33" t="n"/>
      <c r="AM436" s="33" t="n"/>
      <c r="AN436" s="83" t="n"/>
      <c r="AO436" s="33" t="n"/>
      <c r="AP436" s="33" t="n"/>
      <c r="AQ436" s="33" t="n"/>
    </row>
    <row r="437">
      <c r="A437" s="33" t="n"/>
      <c r="B437" s="33" t="n"/>
      <c r="C437" s="33" t="n"/>
      <c r="D437" s="33" t="n"/>
      <c r="E437" s="33" t="n"/>
      <c r="F437" s="33" t="n"/>
      <c r="G437" s="33" t="n"/>
      <c r="H437" s="33" t="n"/>
      <c r="I437" s="33" t="n"/>
      <c r="J437" s="33" t="n"/>
      <c r="K437" s="34" t="n"/>
      <c r="L437" s="34" t="n"/>
      <c r="M437" s="34" t="n"/>
      <c r="N437" s="82" t="n"/>
      <c r="O437" s="82" t="n"/>
      <c r="P437" s="33" t="n"/>
      <c r="Q437" s="34" t="n"/>
      <c r="R437" s="83" t="n"/>
      <c r="S437" s="34" t="n"/>
      <c r="T437" s="33" t="n"/>
      <c r="U437" s="83" t="n"/>
      <c r="V437" s="33" t="n"/>
      <c r="W437" s="83" t="n"/>
      <c r="X437" s="83" t="n"/>
      <c r="Y437" s="83" t="n"/>
      <c r="Z437" s="83" t="n"/>
      <c r="AA437" s="84">
        <f>IF(OR($A437="",COUNT(W437,X437,Z437,Y437)&lt;1),"",W437+X437+Z437-Y437)</f>
        <v/>
      </c>
      <c r="AB437" s="83" t="n"/>
      <c r="AC437" s="83" t="n"/>
      <c r="AD437" s="83" t="n"/>
      <c r="AE437" s="83" t="n"/>
      <c r="AF437" s="83" t="n"/>
      <c r="AG437" s="83" t="n"/>
      <c r="AH437" s="84">
        <f>IF(OR($A437="",COUNT(AB437,AC437,AD437,AG437,AE437,AF437)&lt;1),"",AB437+AC437+AD437+AG437-AE437-AF437)</f>
        <v/>
      </c>
      <c r="AI437" s="84">
        <f>IF(OR($A437="",COUNT(AA437,AH437)&lt;2),"",AA437-AH437)</f>
        <v/>
      </c>
      <c r="AJ437" s="84">
        <f>IF(OR($A437="",COUNT(W437,AB437)&lt;2),"",W437-AB437)</f>
        <v/>
      </c>
      <c r="AK437" s="83" t="n"/>
      <c r="AL437" s="33" t="n"/>
      <c r="AM437" s="33" t="n"/>
      <c r="AN437" s="83" t="n"/>
      <c r="AO437" s="33" t="n"/>
      <c r="AP437" s="33" t="n"/>
      <c r="AQ437" s="33" t="n"/>
    </row>
    <row r="438">
      <c r="A438" s="33" t="n"/>
      <c r="B438" s="33" t="n"/>
      <c r="C438" s="33" t="n"/>
      <c r="D438" s="33" t="n"/>
      <c r="E438" s="33" t="n"/>
      <c r="F438" s="33" t="n"/>
      <c r="G438" s="33" t="n"/>
      <c r="H438" s="33" t="n"/>
      <c r="I438" s="33" t="n"/>
      <c r="J438" s="33" t="n"/>
      <c r="K438" s="34" t="n"/>
      <c r="L438" s="34" t="n"/>
      <c r="M438" s="34" t="n"/>
      <c r="N438" s="82" t="n"/>
      <c r="O438" s="82" t="n"/>
      <c r="P438" s="33" t="n"/>
      <c r="Q438" s="34" t="n"/>
      <c r="R438" s="83" t="n"/>
      <c r="S438" s="34" t="n"/>
      <c r="T438" s="33" t="n"/>
      <c r="U438" s="83" t="n"/>
      <c r="V438" s="33" t="n"/>
      <c r="W438" s="83" t="n"/>
      <c r="X438" s="83" t="n"/>
      <c r="Y438" s="83" t="n"/>
      <c r="Z438" s="83" t="n"/>
      <c r="AA438" s="84">
        <f>IF(OR($A438="",COUNT(W438,X438,Z438,Y438)&lt;1),"",W438+X438+Z438-Y438)</f>
        <v/>
      </c>
      <c r="AB438" s="83" t="n"/>
      <c r="AC438" s="83" t="n"/>
      <c r="AD438" s="83" t="n"/>
      <c r="AE438" s="83" t="n"/>
      <c r="AF438" s="83" t="n"/>
      <c r="AG438" s="83" t="n"/>
      <c r="AH438" s="84">
        <f>IF(OR($A438="",COUNT(AB438,AC438,AD438,AG438,AE438,AF438)&lt;1),"",AB438+AC438+AD438+AG438-AE438-AF438)</f>
        <v/>
      </c>
      <c r="AI438" s="84">
        <f>IF(OR($A438="",COUNT(AA438,AH438)&lt;2),"",AA438-AH438)</f>
        <v/>
      </c>
      <c r="AJ438" s="84">
        <f>IF(OR($A438="",COUNT(W438,AB438)&lt;2),"",W438-AB438)</f>
        <v/>
      </c>
      <c r="AK438" s="83" t="n"/>
      <c r="AL438" s="33" t="n"/>
      <c r="AM438" s="33" t="n"/>
      <c r="AN438" s="83" t="n"/>
      <c r="AO438" s="33" t="n"/>
      <c r="AP438" s="33" t="n"/>
      <c r="AQ438" s="33" t="n"/>
    </row>
    <row r="439">
      <c r="A439" s="33" t="n"/>
      <c r="B439" s="33" t="n"/>
      <c r="C439" s="33" t="n"/>
      <c r="D439" s="33" t="n"/>
      <c r="E439" s="33" t="n"/>
      <c r="F439" s="33" t="n"/>
      <c r="G439" s="33" t="n"/>
      <c r="H439" s="33" t="n"/>
      <c r="I439" s="33" t="n"/>
      <c r="J439" s="33" t="n"/>
      <c r="K439" s="34" t="n"/>
      <c r="L439" s="34" t="n"/>
      <c r="M439" s="34" t="n"/>
      <c r="N439" s="82" t="n"/>
      <c r="O439" s="82" t="n"/>
      <c r="P439" s="33" t="n"/>
      <c r="Q439" s="34" t="n"/>
      <c r="R439" s="83" t="n"/>
      <c r="S439" s="34" t="n"/>
      <c r="T439" s="33" t="n"/>
      <c r="U439" s="83" t="n"/>
      <c r="V439" s="33" t="n"/>
      <c r="W439" s="83" t="n"/>
      <c r="X439" s="83" t="n"/>
      <c r="Y439" s="83" t="n"/>
      <c r="Z439" s="83" t="n"/>
      <c r="AA439" s="84">
        <f>IF(OR($A439="",COUNT(W439,X439,Z439,Y439)&lt;1),"",W439+X439+Z439-Y439)</f>
        <v/>
      </c>
      <c r="AB439" s="83" t="n"/>
      <c r="AC439" s="83" t="n"/>
      <c r="AD439" s="83" t="n"/>
      <c r="AE439" s="83" t="n"/>
      <c r="AF439" s="83" t="n"/>
      <c r="AG439" s="83" t="n"/>
      <c r="AH439" s="84">
        <f>IF(OR($A439="",COUNT(AB439,AC439,AD439,AG439,AE439,AF439)&lt;1),"",AB439+AC439+AD439+AG439-AE439-AF439)</f>
        <v/>
      </c>
      <c r="AI439" s="84">
        <f>IF(OR($A439="",COUNT(AA439,AH439)&lt;2),"",AA439-AH439)</f>
        <v/>
      </c>
      <c r="AJ439" s="84">
        <f>IF(OR($A439="",COUNT(W439,AB439)&lt;2),"",W439-AB439)</f>
        <v/>
      </c>
      <c r="AK439" s="83" t="n"/>
      <c r="AL439" s="33" t="n"/>
      <c r="AM439" s="33" t="n"/>
      <c r="AN439" s="83" t="n"/>
      <c r="AO439" s="33" t="n"/>
      <c r="AP439" s="33" t="n"/>
      <c r="AQ439" s="33" t="n"/>
    </row>
    <row r="440">
      <c r="A440" s="33" t="n"/>
      <c r="B440" s="33" t="n"/>
      <c r="C440" s="33" t="n"/>
      <c r="D440" s="33" t="n"/>
      <c r="E440" s="33" t="n"/>
      <c r="F440" s="33" t="n"/>
      <c r="G440" s="33" t="n"/>
      <c r="H440" s="33" t="n"/>
      <c r="I440" s="33" t="n"/>
      <c r="J440" s="33" t="n"/>
      <c r="K440" s="34" t="n"/>
      <c r="L440" s="34" t="n"/>
      <c r="M440" s="34" t="n"/>
      <c r="N440" s="82" t="n"/>
      <c r="O440" s="82" t="n"/>
      <c r="P440" s="33" t="n"/>
      <c r="Q440" s="34" t="n"/>
      <c r="R440" s="83" t="n"/>
      <c r="S440" s="34" t="n"/>
      <c r="T440" s="33" t="n"/>
      <c r="U440" s="83" t="n"/>
      <c r="V440" s="33" t="n"/>
      <c r="W440" s="83" t="n"/>
      <c r="X440" s="83" t="n"/>
      <c r="Y440" s="83" t="n"/>
      <c r="Z440" s="83" t="n"/>
      <c r="AA440" s="84">
        <f>IF(OR($A440="",COUNT(W440,X440,Z440,Y440)&lt;1),"",W440+X440+Z440-Y440)</f>
        <v/>
      </c>
      <c r="AB440" s="83" t="n"/>
      <c r="AC440" s="83" t="n"/>
      <c r="AD440" s="83" t="n"/>
      <c r="AE440" s="83" t="n"/>
      <c r="AF440" s="83" t="n"/>
      <c r="AG440" s="83" t="n"/>
      <c r="AH440" s="84">
        <f>IF(OR($A440="",COUNT(AB440,AC440,AD440,AG440,AE440,AF440)&lt;1),"",AB440+AC440+AD440+AG440-AE440-AF440)</f>
        <v/>
      </c>
      <c r="AI440" s="84">
        <f>IF(OR($A440="",COUNT(AA440,AH440)&lt;2),"",AA440-AH440)</f>
        <v/>
      </c>
      <c r="AJ440" s="84">
        <f>IF(OR($A440="",COUNT(W440,AB440)&lt;2),"",W440-AB440)</f>
        <v/>
      </c>
      <c r="AK440" s="83" t="n"/>
      <c r="AL440" s="33" t="n"/>
      <c r="AM440" s="33" t="n"/>
      <c r="AN440" s="83" t="n"/>
      <c r="AO440" s="33" t="n"/>
      <c r="AP440" s="33" t="n"/>
      <c r="AQ440" s="33" t="n"/>
    </row>
    <row r="441">
      <c r="A441" s="33" t="n"/>
      <c r="B441" s="33" t="n"/>
      <c r="C441" s="33" t="n"/>
      <c r="D441" s="33" t="n"/>
      <c r="E441" s="33" t="n"/>
      <c r="F441" s="33" t="n"/>
      <c r="G441" s="33" t="n"/>
      <c r="H441" s="33" t="n"/>
      <c r="I441" s="33" t="n"/>
      <c r="J441" s="33" t="n"/>
      <c r="K441" s="34" t="n"/>
      <c r="L441" s="34" t="n"/>
      <c r="M441" s="34" t="n"/>
      <c r="N441" s="82" t="n"/>
      <c r="O441" s="82" t="n"/>
      <c r="P441" s="33" t="n"/>
      <c r="Q441" s="34" t="n"/>
      <c r="R441" s="83" t="n"/>
      <c r="S441" s="34" t="n"/>
      <c r="T441" s="33" t="n"/>
      <c r="U441" s="83" t="n"/>
      <c r="V441" s="33" t="n"/>
      <c r="W441" s="83" t="n"/>
      <c r="X441" s="83" t="n"/>
      <c r="Y441" s="83" t="n"/>
      <c r="Z441" s="83" t="n"/>
      <c r="AA441" s="84">
        <f>IF(OR($A441="",COUNT(W441,X441,Z441,Y441)&lt;1),"",W441+X441+Z441-Y441)</f>
        <v/>
      </c>
      <c r="AB441" s="83" t="n"/>
      <c r="AC441" s="83" t="n"/>
      <c r="AD441" s="83" t="n"/>
      <c r="AE441" s="83" t="n"/>
      <c r="AF441" s="83" t="n"/>
      <c r="AG441" s="83" t="n"/>
      <c r="AH441" s="84">
        <f>IF(OR($A441="",COUNT(AB441,AC441,AD441,AG441,AE441,AF441)&lt;1),"",AB441+AC441+AD441+AG441-AE441-AF441)</f>
        <v/>
      </c>
      <c r="AI441" s="84">
        <f>IF(OR($A441="",COUNT(AA441,AH441)&lt;2),"",AA441-AH441)</f>
        <v/>
      </c>
      <c r="AJ441" s="84">
        <f>IF(OR($A441="",COUNT(W441,AB441)&lt;2),"",W441-AB441)</f>
        <v/>
      </c>
      <c r="AK441" s="83" t="n"/>
      <c r="AL441" s="33" t="n"/>
      <c r="AM441" s="33" t="n"/>
      <c r="AN441" s="83" t="n"/>
      <c r="AO441" s="33" t="n"/>
      <c r="AP441" s="33" t="n"/>
      <c r="AQ441" s="33" t="n"/>
    </row>
    <row r="442">
      <c r="A442" s="33" t="n"/>
      <c r="B442" s="33" t="n"/>
      <c r="C442" s="33" t="n"/>
      <c r="D442" s="33" t="n"/>
      <c r="E442" s="33" t="n"/>
      <c r="F442" s="33" t="n"/>
      <c r="G442" s="33" t="n"/>
      <c r="H442" s="33" t="n"/>
      <c r="I442" s="33" t="n"/>
      <c r="J442" s="33" t="n"/>
      <c r="K442" s="34" t="n"/>
      <c r="L442" s="34" t="n"/>
      <c r="M442" s="34" t="n"/>
      <c r="N442" s="82" t="n"/>
      <c r="O442" s="82" t="n"/>
      <c r="P442" s="33" t="n"/>
      <c r="Q442" s="34" t="n"/>
      <c r="R442" s="83" t="n"/>
      <c r="S442" s="34" t="n"/>
      <c r="T442" s="33" t="n"/>
      <c r="U442" s="83" t="n"/>
      <c r="V442" s="33" t="n"/>
      <c r="W442" s="83" t="n"/>
      <c r="X442" s="83" t="n"/>
      <c r="Y442" s="83" t="n"/>
      <c r="Z442" s="83" t="n"/>
      <c r="AA442" s="84">
        <f>IF(OR($A442="",COUNT(W442,X442,Z442,Y442)&lt;1),"",W442+X442+Z442-Y442)</f>
        <v/>
      </c>
      <c r="AB442" s="83" t="n"/>
      <c r="AC442" s="83" t="n"/>
      <c r="AD442" s="83" t="n"/>
      <c r="AE442" s="83" t="n"/>
      <c r="AF442" s="83" t="n"/>
      <c r="AG442" s="83" t="n"/>
      <c r="AH442" s="84">
        <f>IF(OR($A442="",COUNT(AB442,AC442,AD442,AG442,AE442,AF442)&lt;1),"",AB442+AC442+AD442+AG442-AE442-AF442)</f>
        <v/>
      </c>
      <c r="AI442" s="84">
        <f>IF(OR($A442="",COUNT(AA442,AH442)&lt;2),"",AA442-AH442)</f>
        <v/>
      </c>
      <c r="AJ442" s="84">
        <f>IF(OR($A442="",COUNT(W442,AB442)&lt;2),"",W442-AB442)</f>
        <v/>
      </c>
      <c r="AK442" s="83" t="n"/>
      <c r="AL442" s="33" t="n"/>
      <c r="AM442" s="33" t="n"/>
      <c r="AN442" s="83" t="n"/>
      <c r="AO442" s="33" t="n"/>
      <c r="AP442" s="33" t="n"/>
      <c r="AQ442" s="33" t="n"/>
    </row>
    <row r="443">
      <c r="A443" s="33" t="n"/>
      <c r="B443" s="33" t="n"/>
      <c r="C443" s="33" t="n"/>
      <c r="D443" s="33" t="n"/>
      <c r="E443" s="33" t="n"/>
      <c r="F443" s="33" t="n"/>
      <c r="G443" s="33" t="n"/>
      <c r="H443" s="33" t="n"/>
      <c r="I443" s="33" t="n"/>
      <c r="J443" s="33" t="n"/>
      <c r="K443" s="34" t="n"/>
      <c r="L443" s="34" t="n"/>
      <c r="M443" s="34" t="n"/>
      <c r="N443" s="82" t="n"/>
      <c r="O443" s="82" t="n"/>
      <c r="P443" s="33" t="n"/>
      <c r="Q443" s="34" t="n"/>
      <c r="R443" s="83" t="n"/>
      <c r="S443" s="34" t="n"/>
      <c r="T443" s="33" t="n"/>
      <c r="U443" s="83" t="n"/>
      <c r="V443" s="33" t="n"/>
      <c r="W443" s="83" t="n"/>
      <c r="X443" s="83" t="n"/>
      <c r="Y443" s="83" t="n"/>
      <c r="Z443" s="83" t="n"/>
      <c r="AA443" s="84">
        <f>IF(OR($A443="",COUNT(W443,X443,Z443,Y443)&lt;1),"",W443+X443+Z443-Y443)</f>
        <v/>
      </c>
      <c r="AB443" s="83" t="n"/>
      <c r="AC443" s="83" t="n"/>
      <c r="AD443" s="83" t="n"/>
      <c r="AE443" s="83" t="n"/>
      <c r="AF443" s="83" t="n"/>
      <c r="AG443" s="83" t="n"/>
      <c r="AH443" s="84">
        <f>IF(OR($A443="",COUNT(AB443,AC443,AD443,AG443,AE443,AF443)&lt;1),"",AB443+AC443+AD443+AG443-AE443-AF443)</f>
        <v/>
      </c>
      <c r="AI443" s="84">
        <f>IF(OR($A443="",COUNT(AA443,AH443)&lt;2),"",AA443-AH443)</f>
        <v/>
      </c>
      <c r="AJ443" s="84">
        <f>IF(OR($A443="",COUNT(W443,AB443)&lt;2),"",W443-AB443)</f>
        <v/>
      </c>
      <c r="AK443" s="83" t="n"/>
      <c r="AL443" s="33" t="n"/>
      <c r="AM443" s="33" t="n"/>
      <c r="AN443" s="83" t="n"/>
      <c r="AO443" s="33" t="n"/>
      <c r="AP443" s="33" t="n"/>
      <c r="AQ443" s="33" t="n"/>
    </row>
    <row r="444">
      <c r="A444" s="33" t="n"/>
      <c r="B444" s="33" t="n"/>
      <c r="C444" s="33" t="n"/>
      <c r="D444" s="33" t="n"/>
      <c r="E444" s="33" t="n"/>
      <c r="F444" s="33" t="n"/>
      <c r="G444" s="33" t="n"/>
      <c r="H444" s="33" t="n"/>
      <c r="I444" s="33" t="n"/>
      <c r="J444" s="33" t="n"/>
      <c r="K444" s="34" t="n"/>
      <c r="L444" s="34" t="n"/>
      <c r="M444" s="34" t="n"/>
      <c r="N444" s="82" t="n"/>
      <c r="O444" s="82" t="n"/>
      <c r="P444" s="33" t="n"/>
      <c r="Q444" s="34" t="n"/>
      <c r="R444" s="83" t="n"/>
      <c r="S444" s="34" t="n"/>
      <c r="T444" s="33" t="n"/>
      <c r="U444" s="83" t="n"/>
      <c r="V444" s="33" t="n"/>
      <c r="W444" s="83" t="n"/>
      <c r="X444" s="83" t="n"/>
      <c r="Y444" s="83" t="n"/>
      <c r="Z444" s="83" t="n"/>
      <c r="AA444" s="84">
        <f>IF(OR($A444="",COUNT(W444,X444,Z444,Y444)&lt;1),"",W444+X444+Z444-Y444)</f>
        <v/>
      </c>
      <c r="AB444" s="83" t="n"/>
      <c r="AC444" s="83" t="n"/>
      <c r="AD444" s="83" t="n"/>
      <c r="AE444" s="83" t="n"/>
      <c r="AF444" s="83" t="n"/>
      <c r="AG444" s="83" t="n"/>
      <c r="AH444" s="84">
        <f>IF(OR($A444="",COUNT(AB444,AC444,AD444,AG444,AE444,AF444)&lt;1),"",AB444+AC444+AD444+AG444-AE444-AF444)</f>
        <v/>
      </c>
      <c r="AI444" s="84">
        <f>IF(OR($A444="",COUNT(AA444,AH444)&lt;2),"",AA444-AH444)</f>
        <v/>
      </c>
      <c r="AJ444" s="84">
        <f>IF(OR($A444="",COUNT(W444,AB444)&lt;2),"",W444-AB444)</f>
        <v/>
      </c>
      <c r="AK444" s="83" t="n"/>
      <c r="AL444" s="33" t="n"/>
      <c r="AM444" s="33" t="n"/>
      <c r="AN444" s="83" t="n"/>
      <c r="AO444" s="33" t="n"/>
      <c r="AP444" s="33" t="n"/>
      <c r="AQ444" s="33" t="n"/>
    </row>
    <row r="445">
      <c r="A445" s="33" t="n"/>
      <c r="B445" s="33" t="n"/>
      <c r="C445" s="33" t="n"/>
      <c r="D445" s="33" t="n"/>
      <c r="E445" s="33" t="n"/>
      <c r="F445" s="33" t="n"/>
      <c r="G445" s="33" t="n"/>
      <c r="H445" s="33" t="n"/>
      <c r="I445" s="33" t="n"/>
      <c r="J445" s="33" t="n"/>
      <c r="K445" s="34" t="n"/>
      <c r="L445" s="34" t="n"/>
      <c r="M445" s="34" t="n"/>
      <c r="N445" s="82" t="n"/>
      <c r="O445" s="82" t="n"/>
      <c r="P445" s="33" t="n"/>
      <c r="Q445" s="34" t="n"/>
      <c r="R445" s="83" t="n"/>
      <c r="S445" s="34" t="n"/>
      <c r="T445" s="33" t="n"/>
      <c r="U445" s="83" t="n"/>
      <c r="V445" s="33" t="n"/>
      <c r="W445" s="83" t="n"/>
      <c r="X445" s="83" t="n"/>
      <c r="Y445" s="83" t="n"/>
      <c r="Z445" s="83" t="n"/>
      <c r="AA445" s="84">
        <f>IF(OR($A445="",COUNT(W445,X445,Z445,Y445)&lt;1),"",W445+X445+Z445-Y445)</f>
        <v/>
      </c>
      <c r="AB445" s="83" t="n"/>
      <c r="AC445" s="83" t="n"/>
      <c r="AD445" s="83" t="n"/>
      <c r="AE445" s="83" t="n"/>
      <c r="AF445" s="83" t="n"/>
      <c r="AG445" s="83" t="n"/>
      <c r="AH445" s="84">
        <f>IF(OR($A445="",COUNT(AB445,AC445,AD445,AG445,AE445,AF445)&lt;1),"",AB445+AC445+AD445+AG445-AE445-AF445)</f>
        <v/>
      </c>
      <c r="AI445" s="84">
        <f>IF(OR($A445="",COUNT(AA445,AH445)&lt;2),"",AA445-AH445)</f>
        <v/>
      </c>
      <c r="AJ445" s="84">
        <f>IF(OR($A445="",COUNT(W445,AB445)&lt;2),"",W445-AB445)</f>
        <v/>
      </c>
      <c r="AK445" s="83" t="n"/>
      <c r="AL445" s="33" t="n"/>
      <c r="AM445" s="33" t="n"/>
      <c r="AN445" s="83" t="n"/>
      <c r="AO445" s="33" t="n"/>
      <c r="AP445" s="33" t="n"/>
      <c r="AQ445" s="33" t="n"/>
    </row>
    <row r="446">
      <c r="A446" s="33" t="n"/>
      <c r="B446" s="33" t="n"/>
      <c r="C446" s="33" t="n"/>
      <c r="D446" s="33" t="n"/>
      <c r="E446" s="33" t="n"/>
      <c r="F446" s="33" t="n"/>
      <c r="G446" s="33" t="n"/>
      <c r="H446" s="33" t="n"/>
      <c r="I446" s="33" t="n"/>
      <c r="J446" s="33" t="n"/>
      <c r="K446" s="34" t="n"/>
      <c r="L446" s="34" t="n"/>
      <c r="M446" s="34" t="n"/>
      <c r="N446" s="82" t="n"/>
      <c r="O446" s="82" t="n"/>
      <c r="P446" s="33" t="n"/>
      <c r="Q446" s="34" t="n"/>
      <c r="R446" s="83" t="n"/>
      <c r="S446" s="34" t="n"/>
      <c r="T446" s="33" t="n"/>
      <c r="U446" s="83" t="n"/>
      <c r="V446" s="33" t="n"/>
      <c r="W446" s="83" t="n"/>
      <c r="X446" s="83" t="n"/>
      <c r="Y446" s="83" t="n"/>
      <c r="Z446" s="83" t="n"/>
      <c r="AA446" s="84">
        <f>IF(OR($A446="",COUNT(W446,X446,Z446,Y446)&lt;1),"",W446+X446+Z446-Y446)</f>
        <v/>
      </c>
      <c r="AB446" s="83" t="n"/>
      <c r="AC446" s="83" t="n"/>
      <c r="AD446" s="83" t="n"/>
      <c r="AE446" s="83" t="n"/>
      <c r="AF446" s="83" t="n"/>
      <c r="AG446" s="83" t="n"/>
      <c r="AH446" s="84">
        <f>IF(OR($A446="",COUNT(AB446,AC446,AD446,AG446,AE446,AF446)&lt;1),"",AB446+AC446+AD446+AG446-AE446-AF446)</f>
        <v/>
      </c>
      <c r="AI446" s="84">
        <f>IF(OR($A446="",COUNT(AA446,AH446)&lt;2),"",AA446-AH446)</f>
        <v/>
      </c>
      <c r="AJ446" s="84">
        <f>IF(OR($A446="",COUNT(W446,AB446)&lt;2),"",W446-AB446)</f>
        <v/>
      </c>
      <c r="AK446" s="83" t="n"/>
      <c r="AL446" s="33" t="n"/>
      <c r="AM446" s="33" t="n"/>
      <c r="AN446" s="83" t="n"/>
      <c r="AO446" s="33" t="n"/>
      <c r="AP446" s="33" t="n"/>
      <c r="AQ446" s="33" t="n"/>
    </row>
    <row r="447">
      <c r="A447" s="33" t="n"/>
      <c r="B447" s="33" t="n"/>
      <c r="C447" s="33" t="n"/>
      <c r="D447" s="33" t="n"/>
      <c r="E447" s="33" t="n"/>
      <c r="F447" s="33" t="n"/>
      <c r="G447" s="33" t="n"/>
      <c r="H447" s="33" t="n"/>
      <c r="I447" s="33" t="n"/>
      <c r="J447" s="33" t="n"/>
      <c r="K447" s="34" t="n"/>
      <c r="L447" s="34" t="n"/>
      <c r="M447" s="34" t="n"/>
      <c r="N447" s="82" t="n"/>
      <c r="O447" s="82" t="n"/>
      <c r="P447" s="33" t="n"/>
      <c r="Q447" s="34" t="n"/>
      <c r="R447" s="83" t="n"/>
      <c r="S447" s="34" t="n"/>
      <c r="T447" s="33" t="n"/>
      <c r="U447" s="83" t="n"/>
      <c r="V447" s="33" t="n"/>
      <c r="W447" s="83" t="n"/>
      <c r="X447" s="83" t="n"/>
      <c r="Y447" s="83" t="n"/>
      <c r="Z447" s="83" t="n"/>
      <c r="AA447" s="84">
        <f>IF(OR($A447="",COUNT(W447,X447,Z447,Y447)&lt;1),"",W447+X447+Z447-Y447)</f>
        <v/>
      </c>
      <c r="AB447" s="83" t="n"/>
      <c r="AC447" s="83" t="n"/>
      <c r="AD447" s="83" t="n"/>
      <c r="AE447" s="83" t="n"/>
      <c r="AF447" s="83" t="n"/>
      <c r="AG447" s="83" t="n"/>
      <c r="AH447" s="84">
        <f>IF(OR($A447="",COUNT(AB447,AC447,AD447,AG447,AE447,AF447)&lt;1),"",AB447+AC447+AD447+AG447-AE447-AF447)</f>
        <v/>
      </c>
      <c r="AI447" s="84">
        <f>IF(OR($A447="",COUNT(AA447,AH447)&lt;2),"",AA447-AH447)</f>
        <v/>
      </c>
      <c r="AJ447" s="84">
        <f>IF(OR($A447="",COUNT(W447,AB447)&lt;2),"",W447-AB447)</f>
        <v/>
      </c>
      <c r="AK447" s="83" t="n"/>
      <c r="AL447" s="33" t="n"/>
      <c r="AM447" s="33" t="n"/>
      <c r="AN447" s="83" t="n"/>
      <c r="AO447" s="33" t="n"/>
      <c r="AP447" s="33" t="n"/>
      <c r="AQ447" s="33" t="n"/>
    </row>
    <row r="448">
      <c r="A448" s="33" t="n"/>
      <c r="B448" s="33" t="n"/>
      <c r="C448" s="33" t="n"/>
      <c r="D448" s="33" t="n"/>
      <c r="E448" s="33" t="n"/>
      <c r="F448" s="33" t="n"/>
      <c r="G448" s="33" t="n"/>
      <c r="H448" s="33" t="n"/>
      <c r="I448" s="33" t="n"/>
      <c r="J448" s="33" t="n"/>
      <c r="K448" s="34" t="n"/>
      <c r="L448" s="34" t="n"/>
      <c r="M448" s="34" t="n"/>
      <c r="N448" s="82" t="n"/>
      <c r="O448" s="82" t="n"/>
      <c r="P448" s="33" t="n"/>
      <c r="Q448" s="34" t="n"/>
      <c r="R448" s="83" t="n"/>
      <c r="S448" s="34" t="n"/>
      <c r="T448" s="33" t="n"/>
      <c r="U448" s="83" t="n"/>
      <c r="V448" s="33" t="n"/>
      <c r="W448" s="83" t="n"/>
      <c r="X448" s="83" t="n"/>
      <c r="Y448" s="83" t="n"/>
      <c r="Z448" s="83" t="n"/>
      <c r="AA448" s="84">
        <f>IF(OR($A448="",COUNT(W448,X448,Z448,Y448)&lt;1),"",W448+X448+Z448-Y448)</f>
        <v/>
      </c>
      <c r="AB448" s="83" t="n"/>
      <c r="AC448" s="83" t="n"/>
      <c r="AD448" s="83" t="n"/>
      <c r="AE448" s="83" t="n"/>
      <c r="AF448" s="83" t="n"/>
      <c r="AG448" s="83" t="n"/>
      <c r="AH448" s="84">
        <f>IF(OR($A448="",COUNT(AB448,AC448,AD448,AG448,AE448,AF448)&lt;1),"",AB448+AC448+AD448+AG448-AE448-AF448)</f>
        <v/>
      </c>
      <c r="AI448" s="84">
        <f>IF(OR($A448="",COUNT(AA448,AH448)&lt;2),"",AA448-AH448)</f>
        <v/>
      </c>
      <c r="AJ448" s="84">
        <f>IF(OR($A448="",COUNT(W448,AB448)&lt;2),"",W448-AB448)</f>
        <v/>
      </c>
      <c r="AK448" s="83" t="n"/>
      <c r="AL448" s="33" t="n"/>
      <c r="AM448" s="33" t="n"/>
      <c r="AN448" s="83" t="n"/>
      <c r="AO448" s="33" t="n"/>
      <c r="AP448" s="33" t="n"/>
      <c r="AQ448" s="33" t="n"/>
    </row>
    <row r="449">
      <c r="A449" s="33" t="n"/>
      <c r="B449" s="33" t="n"/>
      <c r="C449" s="33" t="n"/>
      <c r="D449" s="33" t="n"/>
      <c r="E449" s="33" t="n"/>
      <c r="F449" s="33" t="n"/>
      <c r="G449" s="33" t="n"/>
      <c r="H449" s="33" t="n"/>
      <c r="I449" s="33" t="n"/>
      <c r="J449" s="33" t="n"/>
      <c r="K449" s="34" t="n"/>
      <c r="L449" s="34" t="n"/>
      <c r="M449" s="34" t="n"/>
      <c r="N449" s="82" t="n"/>
      <c r="O449" s="82" t="n"/>
      <c r="P449" s="33" t="n"/>
      <c r="Q449" s="34" t="n"/>
      <c r="R449" s="83" t="n"/>
      <c r="S449" s="34" t="n"/>
      <c r="T449" s="33" t="n"/>
      <c r="U449" s="83" t="n"/>
      <c r="V449" s="33" t="n"/>
      <c r="W449" s="83" t="n"/>
      <c r="X449" s="83" t="n"/>
      <c r="Y449" s="83" t="n"/>
      <c r="Z449" s="83" t="n"/>
      <c r="AA449" s="84">
        <f>IF(OR($A449="",COUNT(W449,X449,Z449,Y449)&lt;1),"",W449+X449+Z449-Y449)</f>
        <v/>
      </c>
      <c r="AB449" s="83" t="n"/>
      <c r="AC449" s="83" t="n"/>
      <c r="AD449" s="83" t="n"/>
      <c r="AE449" s="83" t="n"/>
      <c r="AF449" s="83" t="n"/>
      <c r="AG449" s="83" t="n"/>
      <c r="AH449" s="84">
        <f>IF(OR($A449="",COUNT(AB449,AC449,AD449,AG449,AE449,AF449)&lt;1),"",AB449+AC449+AD449+AG449-AE449-AF449)</f>
        <v/>
      </c>
      <c r="AI449" s="84">
        <f>IF(OR($A449="",COUNT(AA449,AH449)&lt;2),"",AA449-AH449)</f>
        <v/>
      </c>
      <c r="AJ449" s="84">
        <f>IF(OR($A449="",COUNT(W449,AB449)&lt;2),"",W449-AB449)</f>
        <v/>
      </c>
      <c r="AK449" s="83" t="n"/>
      <c r="AL449" s="33" t="n"/>
      <c r="AM449" s="33" t="n"/>
      <c r="AN449" s="83" t="n"/>
      <c r="AO449" s="33" t="n"/>
      <c r="AP449" s="33" t="n"/>
      <c r="AQ449" s="33" t="n"/>
    </row>
    <row r="450">
      <c r="A450" s="33" t="n"/>
      <c r="B450" s="33" t="n"/>
      <c r="C450" s="33" t="n"/>
      <c r="D450" s="33" t="n"/>
      <c r="E450" s="33" t="n"/>
      <c r="F450" s="33" t="n"/>
      <c r="G450" s="33" t="n"/>
      <c r="H450" s="33" t="n"/>
      <c r="I450" s="33" t="n"/>
      <c r="J450" s="33" t="n"/>
      <c r="K450" s="34" t="n"/>
      <c r="L450" s="34" t="n"/>
      <c r="M450" s="34" t="n"/>
      <c r="N450" s="82" t="n"/>
      <c r="O450" s="82" t="n"/>
      <c r="P450" s="33" t="n"/>
      <c r="Q450" s="34" t="n"/>
      <c r="R450" s="83" t="n"/>
      <c r="S450" s="34" t="n"/>
      <c r="T450" s="33" t="n"/>
      <c r="U450" s="83" t="n"/>
      <c r="V450" s="33" t="n"/>
      <c r="W450" s="83" t="n"/>
      <c r="X450" s="83" t="n"/>
      <c r="Y450" s="83" t="n"/>
      <c r="Z450" s="83" t="n"/>
      <c r="AA450" s="84">
        <f>IF(OR($A450="",COUNT(W450,X450,Z450,Y450)&lt;1),"",W450+X450+Z450-Y450)</f>
        <v/>
      </c>
      <c r="AB450" s="83" t="n"/>
      <c r="AC450" s="83" t="n"/>
      <c r="AD450" s="83" t="n"/>
      <c r="AE450" s="83" t="n"/>
      <c r="AF450" s="83" t="n"/>
      <c r="AG450" s="83" t="n"/>
      <c r="AH450" s="84">
        <f>IF(OR($A450="",COUNT(AB450,AC450,AD450,AG450,AE450,AF450)&lt;1),"",AB450+AC450+AD450+AG450-AE450-AF450)</f>
        <v/>
      </c>
      <c r="AI450" s="84">
        <f>IF(OR($A450="",COUNT(AA450,AH450)&lt;2),"",AA450-AH450)</f>
        <v/>
      </c>
      <c r="AJ450" s="84">
        <f>IF(OR($A450="",COUNT(W450,AB450)&lt;2),"",W450-AB450)</f>
        <v/>
      </c>
      <c r="AK450" s="83" t="n"/>
      <c r="AL450" s="33" t="n"/>
      <c r="AM450" s="33" t="n"/>
      <c r="AN450" s="83" t="n"/>
      <c r="AO450" s="33" t="n"/>
      <c r="AP450" s="33" t="n"/>
      <c r="AQ450" s="33" t="n"/>
    </row>
    <row r="451">
      <c r="A451" s="33" t="n"/>
      <c r="B451" s="33" t="n"/>
      <c r="C451" s="33" t="n"/>
      <c r="D451" s="33" t="n"/>
      <c r="E451" s="33" t="n"/>
      <c r="F451" s="33" t="n"/>
      <c r="G451" s="33" t="n"/>
      <c r="H451" s="33" t="n"/>
      <c r="I451" s="33" t="n"/>
      <c r="J451" s="33" t="n"/>
      <c r="K451" s="34" t="n"/>
      <c r="L451" s="34" t="n"/>
      <c r="M451" s="34" t="n"/>
      <c r="N451" s="82" t="n"/>
      <c r="O451" s="82" t="n"/>
      <c r="P451" s="33" t="n"/>
      <c r="Q451" s="34" t="n"/>
      <c r="R451" s="83" t="n"/>
      <c r="S451" s="34" t="n"/>
      <c r="T451" s="33" t="n"/>
      <c r="U451" s="83" t="n"/>
      <c r="V451" s="33" t="n"/>
      <c r="W451" s="83" t="n"/>
      <c r="X451" s="83" t="n"/>
      <c r="Y451" s="83" t="n"/>
      <c r="Z451" s="83" t="n"/>
      <c r="AA451" s="84">
        <f>IF(OR($A451="",COUNT(W451,X451,Z451,Y451)&lt;1),"",W451+X451+Z451-Y451)</f>
        <v/>
      </c>
      <c r="AB451" s="83" t="n"/>
      <c r="AC451" s="83" t="n"/>
      <c r="AD451" s="83" t="n"/>
      <c r="AE451" s="83" t="n"/>
      <c r="AF451" s="83" t="n"/>
      <c r="AG451" s="83" t="n"/>
      <c r="AH451" s="84">
        <f>IF(OR($A451="",COUNT(AB451,AC451,AD451,AG451,AE451,AF451)&lt;1),"",AB451+AC451+AD451+AG451-AE451-AF451)</f>
        <v/>
      </c>
      <c r="AI451" s="84">
        <f>IF(OR($A451="",COUNT(AA451,AH451)&lt;2),"",AA451-AH451)</f>
        <v/>
      </c>
      <c r="AJ451" s="84">
        <f>IF(OR($A451="",COUNT(W451,AB451)&lt;2),"",W451-AB451)</f>
        <v/>
      </c>
      <c r="AK451" s="83" t="n"/>
      <c r="AL451" s="33" t="n"/>
      <c r="AM451" s="33" t="n"/>
      <c r="AN451" s="83" t="n"/>
      <c r="AO451" s="33" t="n"/>
      <c r="AP451" s="33" t="n"/>
      <c r="AQ451" s="33" t="n"/>
    </row>
    <row r="452">
      <c r="A452" s="33" t="n"/>
      <c r="B452" s="33" t="n"/>
      <c r="C452" s="33" t="n"/>
      <c r="D452" s="33" t="n"/>
      <c r="E452" s="33" t="n"/>
      <c r="F452" s="33" t="n"/>
      <c r="G452" s="33" t="n"/>
      <c r="H452" s="33" t="n"/>
      <c r="I452" s="33" t="n"/>
      <c r="J452" s="33" t="n"/>
      <c r="K452" s="34" t="n"/>
      <c r="L452" s="34" t="n"/>
      <c r="M452" s="34" t="n"/>
      <c r="N452" s="82" t="n"/>
      <c r="O452" s="82" t="n"/>
      <c r="P452" s="33" t="n"/>
      <c r="Q452" s="34" t="n"/>
      <c r="R452" s="83" t="n"/>
      <c r="S452" s="34" t="n"/>
      <c r="T452" s="33" t="n"/>
      <c r="U452" s="83" t="n"/>
      <c r="V452" s="33" t="n"/>
      <c r="W452" s="83" t="n"/>
      <c r="X452" s="83" t="n"/>
      <c r="Y452" s="83" t="n"/>
      <c r="Z452" s="83" t="n"/>
      <c r="AA452" s="84">
        <f>IF(OR($A452="",COUNT(W452,X452,Z452,Y452)&lt;1),"",W452+X452+Z452-Y452)</f>
        <v/>
      </c>
      <c r="AB452" s="83" t="n"/>
      <c r="AC452" s="83" t="n"/>
      <c r="AD452" s="83" t="n"/>
      <c r="AE452" s="83" t="n"/>
      <c r="AF452" s="83" t="n"/>
      <c r="AG452" s="83" t="n"/>
      <c r="AH452" s="84">
        <f>IF(OR($A452="",COUNT(AB452,AC452,AD452,AG452,AE452,AF452)&lt;1),"",AB452+AC452+AD452+AG452-AE452-AF452)</f>
        <v/>
      </c>
      <c r="AI452" s="84">
        <f>IF(OR($A452="",COUNT(AA452,AH452)&lt;2),"",AA452-AH452)</f>
        <v/>
      </c>
      <c r="AJ452" s="84">
        <f>IF(OR($A452="",COUNT(W452,AB452)&lt;2),"",W452-AB452)</f>
        <v/>
      </c>
      <c r="AK452" s="83" t="n"/>
      <c r="AL452" s="33" t="n"/>
      <c r="AM452" s="33" t="n"/>
      <c r="AN452" s="83" t="n"/>
      <c r="AO452" s="33" t="n"/>
      <c r="AP452" s="33" t="n"/>
      <c r="AQ452" s="33" t="n"/>
    </row>
    <row r="453">
      <c r="A453" s="33" t="n"/>
      <c r="B453" s="33" t="n"/>
      <c r="C453" s="33" t="n"/>
      <c r="D453" s="33" t="n"/>
      <c r="E453" s="33" t="n"/>
      <c r="F453" s="33" t="n"/>
      <c r="G453" s="33" t="n"/>
      <c r="H453" s="33" t="n"/>
      <c r="I453" s="33" t="n"/>
      <c r="J453" s="33" t="n"/>
      <c r="K453" s="34" t="n"/>
      <c r="L453" s="34" t="n"/>
      <c r="M453" s="34" t="n"/>
      <c r="N453" s="82" t="n"/>
      <c r="O453" s="82" t="n"/>
      <c r="P453" s="33" t="n"/>
      <c r="Q453" s="34" t="n"/>
      <c r="R453" s="83" t="n"/>
      <c r="S453" s="34" t="n"/>
      <c r="T453" s="33" t="n"/>
      <c r="U453" s="83" t="n"/>
      <c r="V453" s="33" t="n"/>
      <c r="W453" s="83" t="n"/>
      <c r="X453" s="83" t="n"/>
      <c r="Y453" s="83" t="n"/>
      <c r="Z453" s="83" t="n"/>
      <c r="AA453" s="84">
        <f>IF(OR($A453="",COUNT(W453,X453,Z453,Y453)&lt;1),"",W453+X453+Z453-Y453)</f>
        <v/>
      </c>
      <c r="AB453" s="83" t="n"/>
      <c r="AC453" s="83" t="n"/>
      <c r="AD453" s="83" t="n"/>
      <c r="AE453" s="83" t="n"/>
      <c r="AF453" s="83" t="n"/>
      <c r="AG453" s="83" t="n"/>
      <c r="AH453" s="84">
        <f>IF(OR($A453="",COUNT(AB453,AC453,AD453,AG453,AE453,AF453)&lt;1),"",AB453+AC453+AD453+AG453-AE453-AF453)</f>
        <v/>
      </c>
      <c r="AI453" s="84">
        <f>IF(OR($A453="",COUNT(AA453,AH453)&lt;2),"",AA453-AH453)</f>
        <v/>
      </c>
      <c r="AJ453" s="84">
        <f>IF(OR($A453="",COUNT(W453,AB453)&lt;2),"",W453-AB453)</f>
        <v/>
      </c>
      <c r="AK453" s="83" t="n"/>
      <c r="AL453" s="33" t="n"/>
      <c r="AM453" s="33" t="n"/>
      <c r="AN453" s="83" t="n"/>
      <c r="AO453" s="33" t="n"/>
      <c r="AP453" s="33" t="n"/>
      <c r="AQ453" s="33" t="n"/>
    </row>
    <row r="454">
      <c r="A454" s="33" t="n"/>
      <c r="B454" s="33" t="n"/>
      <c r="C454" s="33" t="n"/>
      <c r="D454" s="33" t="n"/>
      <c r="E454" s="33" t="n"/>
      <c r="F454" s="33" t="n"/>
      <c r="G454" s="33" t="n"/>
      <c r="H454" s="33" t="n"/>
      <c r="I454" s="33" t="n"/>
      <c r="J454" s="33" t="n"/>
      <c r="K454" s="34" t="n"/>
      <c r="L454" s="34" t="n"/>
      <c r="M454" s="34" t="n"/>
      <c r="N454" s="82" t="n"/>
      <c r="O454" s="82" t="n"/>
      <c r="P454" s="33" t="n"/>
      <c r="Q454" s="34" t="n"/>
      <c r="R454" s="83" t="n"/>
      <c r="S454" s="34" t="n"/>
      <c r="T454" s="33" t="n"/>
      <c r="U454" s="83" t="n"/>
      <c r="V454" s="33" t="n"/>
      <c r="W454" s="83" t="n"/>
      <c r="X454" s="83" t="n"/>
      <c r="Y454" s="83" t="n"/>
      <c r="Z454" s="83" t="n"/>
      <c r="AA454" s="84">
        <f>IF(OR($A454="",COUNT(W454,X454,Z454,Y454)&lt;1),"",W454+X454+Z454-Y454)</f>
        <v/>
      </c>
      <c r="AB454" s="83" t="n"/>
      <c r="AC454" s="83" t="n"/>
      <c r="AD454" s="83" t="n"/>
      <c r="AE454" s="83" t="n"/>
      <c r="AF454" s="83" t="n"/>
      <c r="AG454" s="83" t="n"/>
      <c r="AH454" s="84">
        <f>IF(OR($A454="",COUNT(AB454,AC454,AD454,AG454,AE454,AF454)&lt;1),"",AB454+AC454+AD454+AG454-AE454-AF454)</f>
        <v/>
      </c>
      <c r="AI454" s="84">
        <f>IF(OR($A454="",COUNT(AA454,AH454)&lt;2),"",AA454-AH454)</f>
        <v/>
      </c>
      <c r="AJ454" s="84">
        <f>IF(OR($A454="",COUNT(W454,AB454)&lt;2),"",W454-AB454)</f>
        <v/>
      </c>
      <c r="AK454" s="83" t="n"/>
      <c r="AL454" s="33" t="n"/>
      <c r="AM454" s="33" t="n"/>
      <c r="AN454" s="83" t="n"/>
      <c r="AO454" s="33" t="n"/>
      <c r="AP454" s="33" t="n"/>
      <c r="AQ454" s="33" t="n"/>
    </row>
    <row r="455">
      <c r="A455" s="33" t="n"/>
      <c r="B455" s="33" t="n"/>
      <c r="C455" s="33" t="n"/>
      <c r="D455" s="33" t="n"/>
      <c r="E455" s="33" t="n"/>
      <c r="F455" s="33" t="n"/>
      <c r="G455" s="33" t="n"/>
      <c r="H455" s="33" t="n"/>
      <c r="I455" s="33" t="n"/>
      <c r="J455" s="33" t="n"/>
      <c r="K455" s="34" t="n"/>
      <c r="L455" s="34" t="n"/>
      <c r="M455" s="34" t="n"/>
      <c r="N455" s="82" t="n"/>
      <c r="O455" s="82" t="n"/>
      <c r="P455" s="33" t="n"/>
      <c r="Q455" s="34" t="n"/>
      <c r="R455" s="83" t="n"/>
      <c r="S455" s="34" t="n"/>
      <c r="T455" s="33" t="n"/>
      <c r="U455" s="83" t="n"/>
      <c r="V455" s="33" t="n"/>
      <c r="W455" s="83" t="n"/>
      <c r="X455" s="83" t="n"/>
      <c r="Y455" s="83" t="n"/>
      <c r="Z455" s="83" t="n"/>
      <c r="AA455" s="84">
        <f>IF(OR($A455="",COUNT(W455,X455,Z455,Y455)&lt;1),"",W455+X455+Z455-Y455)</f>
        <v/>
      </c>
      <c r="AB455" s="83" t="n"/>
      <c r="AC455" s="83" t="n"/>
      <c r="AD455" s="83" t="n"/>
      <c r="AE455" s="83" t="n"/>
      <c r="AF455" s="83" t="n"/>
      <c r="AG455" s="83" t="n"/>
      <c r="AH455" s="84">
        <f>IF(OR($A455="",COUNT(AB455,AC455,AD455,AG455,AE455,AF455)&lt;1),"",AB455+AC455+AD455+AG455-AE455-AF455)</f>
        <v/>
      </c>
      <c r="AI455" s="84">
        <f>IF(OR($A455="",COUNT(AA455,AH455)&lt;2),"",AA455-AH455)</f>
        <v/>
      </c>
      <c r="AJ455" s="84">
        <f>IF(OR($A455="",COUNT(W455,AB455)&lt;2),"",W455-AB455)</f>
        <v/>
      </c>
      <c r="AK455" s="83" t="n"/>
      <c r="AL455" s="33" t="n"/>
      <c r="AM455" s="33" t="n"/>
      <c r="AN455" s="83" t="n"/>
      <c r="AO455" s="33" t="n"/>
      <c r="AP455" s="33" t="n"/>
      <c r="AQ455" s="33" t="n"/>
    </row>
    <row r="456">
      <c r="A456" s="33" t="n"/>
      <c r="B456" s="33" t="n"/>
      <c r="C456" s="33" t="n"/>
      <c r="D456" s="33" t="n"/>
      <c r="E456" s="33" t="n"/>
      <c r="F456" s="33" t="n"/>
      <c r="G456" s="33" t="n"/>
      <c r="H456" s="33" t="n"/>
      <c r="I456" s="33" t="n"/>
      <c r="J456" s="33" t="n"/>
      <c r="K456" s="34" t="n"/>
      <c r="L456" s="34" t="n"/>
      <c r="M456" s="34" t="n"/>
      <c r="N456" s="82" t="n"/>
      <c r="O456" s="82" t="n"/>
      <c r="P456" s="33" t="n"/>
      <c r="Q456" s="34" t="n"/>
      <c r="R456" s="83" t="n"/>
      <c r="S456" s="34" t="n"/>
      <c r="T456" s="33" t="n"/>
      <c r="U456" s="83" t="n"/>
      <c r="V456" s="33" t="n"/>
      <c r="W456" s="83" t="n"/>
      <c r="X456" s="83" t="n"/>
      <c r="Y456" s="83" t="n"/>
      <c r="Z456" s="83" t="n"/>
      <c r="AA456" s="84">
        <f>IF(OR($A456="",COUNT(W456,X456,Z456,Y456)&lt;1),"",W456+X456+Z456-Y456)</f>
        <v/>
      </c>
      <c r="AB456" s="83" t="n"/>
      <c r="AC456" s="83" t="n"/>
      <c r="AD456" s="83" t="n"/>
      <c r="AE456" s="83" t="n"/>
      <c r="AF456" s="83" t="n"/>
      <c r="AG456" s="83" t="n"/>
      <c r="AH456" s="84">
        <f>IF(OR($A456="",COUNT(AB456,AC456,AD456,AG456,AE456,AF456)&lt;1),"",AB456+AC456+AD456+AG456-AE456-AF456)</f>
        <v/>
      </c>
      <c r="AI456" s="84">
        <f>IF(OR($A456="",COUNT(AA456,AH456)&lt;2),"",AA456-AH456)</f>
        <v/>
      </c>
      <c r="AJ456" s="84">
        <f>IF(OR($A456="",COUNT(W456,AB456)&lt;2),"",W456-AB456)</f>
        <v/>
      </c>
      <c r="AK456" s="83" t="n"/>
      <c r="AL456" s="33" t="n"/>
      <c r="AM456" s="33" t="n"/>
      <c r="AN456" s="83" t="n"/>
      <c r="AO456" s="33" t="n"/>
      <c r="AP456" s="33" t="n"/>
      <c r="AQ456" s="33" t="n"/>
    </row>
    <row r="457">
      <c r="A457" s="33" t="n"/>
      <c r="B457" s="33" t="n"/>
      <c r="C457" s="33" t="n"/>
      <c r="D457" s="33" t="n"/>
      <c r="E457" s="33" t="n"/>
      <c r="F457" s="33" t="n"/>
      <c r="G457" s="33" t="n"/>
      <c r="H457" s="33" t="n"/>
      <c r="I457" s="33" t="n"/>
      <c r="J457" s="33" t="n"/>
      <c r="K457" s="34" t="n"/>
      <c r="L457" s="34" t="n"/>
      <c r="M457" s="34" t="n"/>
      <c r="N457" s="82" t="n"/>
      <c r="O457" s="82" t="n"/>
      <c r="P457" s="33" t="n"/>
      <c r="Q457" s="34" t="n"/>
      <c r="R457" s="83" t="n"/>
      <c r="S457" s="34" t="n"/>
      <c r="T457" s="33" t="n"/>
      <c r="U457" s="83" t="n"/>
      <c r="V457" s="33" t="n"/>
      <c r="W457" s="83" t="n"/>
      <c r="X457" s="83" t="n"/>
      <c r="Y457" s="83" t="n"/>
      <c r="Z457" s="83" t="n"/>
      <c r="AA457" s="84">
        <f>IF(OR($A457="",COUNT(W457,X457,Z457,Y457)&lt;1),"",W457+X457+Z457-Y457)</f>
        <v/>
      </c>
      <c r="AB457" s="83" t="n"/>
      <c r="AC457" s="83" t="n"/>
      <c r="AD457" s="83" t="n"/>
      <c r="AE457" s="83" t="n"/>
      <c r="AF457" s="83" t="n"/>
      <c r="AG457" s="83" t="n"/>
      <c r="AH457" s="84">
        <f>IF(OR($A457="",COUNT(AB457,AC457,AD457,AG457,AE457,AF457)&lt;1),"",AB457+AC457+AD457+AG457-AE457-AF457)</f>
        <v/>
      </c>
      <c r="AI457" s="84">
        <f>IF(OR($A457="",COUNT(AA457,AH457)&lt;2),"",AA457-AH457)</f>
        <v/>
      </c>
      <c r="AJ457" s="84">
        <f>IF(OR($A457="",COUNT(W457,AB457)&lt;2),"",W457-AB457)</f>
        <v/>
      </c>
      <c r="AK457" s="83" t="n"/>
      <c r="AL457" s="33" t="n"/>
      <c r="AM457" s="33" t="n"/>
      <c r="AN457" s="83" t="n"/>
      <c r="AO457" s="33" t="n"/>
      <c r="AP457" s="33" t="n"/>
      <c r="AQ457" s="33" t="n"/>
    </row>
    <row r="458">
      <c r="A458" s="33" t="n"/>
      <c r="B458" s="33" t="n"/>
      <c r="C458" s="33" t="n"/>
      <c r="D458" s="33" t="n"/>
      <c r="E458" s="33" t="n"/>
      <c r="F458" s="33" t="n"/>
      <c r="G458" s="33" t="n"/>
      <c r="H458" s="33" t="n"/>
      <c r="I458" s="33" t="n"/>
      <c r="J458" s="33" t="n"/>
      <c r="K458" s="34" t="n"/>
      <c r="L458" s="34" t="n"/>
      <c r="M458" s="34" t="n"/>
      <c r="N458" s="82" t="n"/>
      <c r="O458" s="82" t="n"/>
      <c r="P458" s="33" t="n"/>
      <c r="Q458" s="34" t="n"/>
      <c r="R458" s="83" t="n"/>
      <c r="S458" s="34" t="n"/>
      <c r="T458" s="33" t="n"/>
      <c r="U458" s="83" t="n"/>
      <c r="V458" s="33" t="n"/>
      <c r="W458" s="83" t="n"/>
      <c r="X458" s="83" t="n"/>
      <c r="Y458" s="83" t="n"/>
      <c r="Z458" s="83" t="n"/>
      <c r="AA458" s="84">
        <f>IF(OR($A458="",COUNT(W458,X458,Z458,Y458)&lt;1),"",W458+X458+Z458-Y458)</f>
        <v/>
      </c>
      <c r="AB458" s="83" t="n"/>
      <c r="AC458" s="83" t="n"/>
      <c r="AD458" s="83" t="n"/>
      <c r="AE458" s="83" t="n"/>
      <c r="AF458" s="83" t="n"/>
      <c r="AG458" s="83" t="n"/>
      <c r="AH458" s="84">
        <f>IF(OR($A458="",COUNT(AB458,AC458,AD458,AG458,AE458,AF458)&lt;1),"",AB458+AC458+AD458+AG458-AE458-AF458)</f>
        <v/>
      </c>
      <c r="AI458" s="84">
        <f>IF(OR($A458="",COUNT(AA458,AH458)&lt;2),"",AA458-AH458)</f>
        <v/>
      </c>
      <c r="AJ458" s="84">
        <f>IF(OR($A458="",COUNT(W458,AB458)&lt;2),"",W458-AB458)</f>
        <v/>
      </c>
      <c r="AK458" s="83" t="n"/>
      <c r="AL458" s="33" t="n"/>
      <c r="AM458" s="33" t="n"/>
      <c r="AN458" s="83" t="n"/>
      <c r="AO458" s="33" t="n"/>
      <c r="AP458" s="33" t="n"/>
      <c r="AQ458" s="33" t="n"/>
    </row>
    <row r="459">
      <c r="A459" s="33" t="n"/>
      <c r="B459" s="33" t="n"/>
      <c r="C459" s="33" t="n"/>
      <c r="D459" s="33" t="n"/>
      <c r="E459" s="33" t="n"/>
      <c r="F459" s="33" t="n"/>
      <c r="G459" s="33" t="n"/>
      <c r="H459" s="33" t="n"/>
      <c r="I459" s="33" t="n"/>
      <c r="J459" s="33" t="n"/>
      <c r="K459" s="34" t="n"/>
      <c r="L459" s="34" t="n"/>
      <c r="M459" s="34" t="n"/>
      <c r="N459" s="82" t="n"/>
      <c r="O459" s="82" t="n"/>
      <c r="P459" s="33" t="n"/>
      <c r="Q459" s="34" t="n"/>
      <c r="R459" s="83" t="n"/>
      <c r="S459" s="34" t="n"/>
      <c r="T459" s="33" t="n"/>
      <c r="U459" s="83" t="n"/>
      <c r="V459" s="33" t="n"/>
      <c r="W459" s="83" t="n"/>
      <c r="X459" s="83" t="n"/>
      <c r="Y459" s="83" t="n"/>
      <c r="Z459" s="83" t="n"/>
      <c r="AA459" s="84">
        <f>IF(OR($A459="",COUNT(W459,X459,Z459,Y459)&lt;1),"",W459+X459+Z459-Y459)</f>
        <v/>
      </c>
      <c r="AB459" s="83" t="n"/>
      <c r="AC459" s="83" t="n"/>
      <c r="AD459" s="83" t="n"/>
      <c r="AE459" s="83" t="n"/>
      <c r="AF459" s="83" t="n"/>
      <c r="AG459" s="83" t="n"/>
      <c r="AH459" s="84">
        <f>IF(OR($A459="",COUNT(AB459,AC459,AD459,AG459,AE459,AF459)&lt;1),"",AB459+AC459+AD459+AG459-AE459-AF459)</f>
        <v/>
      </c>
      <c r="AI459" s="84">
        <f>IF(OR($A459="",COUNT(AA459,AH459)&lt;2),"",AA459-AH459)</f>
        <v/>
      </c>
      <c r="AJ459" s="84">
        <f>IF(OR($A459="",COUNT(W459,AB459)&lt;2),"",W459-AB459)</f>
        <v/>
      </c>
      <c r="AK459" s="83" t="n"/>
      <c r="AL459" s="33" t="n"/>
      <c r="AM459" s="33" t="n"/>
      <c r="AN459" s="83" t="n"/>
      <c r="AO459" s="33" t="n"/>
      <c r="AP459" s="33" t="n"/>
      <c r="AQ459" s="33" t="n"/>
    </row>
    <row r="460">
      <c r="A460" s="33" t="n"/>
      <c r="B460" s="33" t="n"/>
      <c r="C460" s="33" t="n"/>
      <c r="D460" s="33" t="n"/>
      <c r="E460" s="33" t="n"/>
      <c r="F460" s="33" t="n"/>
      <c r="G460" s="33" t="n"/>
      <c r="H460" s="33" t="n"/>
      <c r="I460" s="33" t="n"/>
      <c r="J460" s="33" t="n"/>
      <c r="K460" s="34" t="n"/>
      <c r="L460" s="34" t="n"/>
      <c r="M460" s="34" t="n"/>
      <c r="N460" s="82" t="n"/>
      <c r="O460" s="82" t="n"/>
      <c r="P460" s="33" t="n"/>
      <c r="Q460" s="34" t="n"/>
      <c r="R460" s="83" t="n"/>
      <c r="S460" s="34" t="n"/>
      <c r="T460" s="33" t="n"/>
      <c r="U460" s="83" t="n"/>
      <c r="V460" s="33" t="n"/>
      <c r="W460" s="83" t="n"/>
      <c r="X460" s="83" t="n"/>
      <c r="Y460" s="83" t="n"/>
      <c r="Z460" s="83" t="n"/>
      <c r="AA460" s="84">
        <f>IF(OR($A460="",COUNT(W460,X460,Z460,Y460)&lt;1),"",W460+X460+Z460-Y460)</f>
        <v/>
      </c>
      <c r="AB460" s="83" t="n"/>
      <c r="AC460" s="83" t="n"/>
      <c r="AD460" s="83" t="n"/>
      <c r="AE460" s="83" t="n"/>
      <c r="AF460" s="83" t="n"/>
      <c r="AG460" s="83" t="n"/>
      <c r="AH460" s="84">
        <f>IF(OR($A460="",COUNT(AB460,AC460,AD460,AG460,AE460,AF460)&lt;1),"",AB460+AC460+AD460+AG460-AE460-AF460)</f>
        <v/>
      </c>
      <c r="AI460" s="84">
        <f>IF(OR($A460="",COUNT(AA460,AH460)&lt;2),"",AA460-AH460)</f>
        <v/>
      </c>
      <c r="AJ460" s="84">
        <f>IF(OR($A460="",COUNT(W460,AB460)&lt;2),"",W460-AB460)</f>
        <v/>
      </c>
      <c r="AK460" s="83" t="n"/>
      <c r="AL460" s="33" t="n"/>
      <c r="AM460" s="33" t="n"/>
      <c r="AN460" s="83" t="n"/>
      <c r="AO460" s="33" t="n"/>
      <c r="AP460" s="33" t="n"/>
      <c r="AQ460" s="33" t="n"/>
    </row>
    <row r="461">
      <c r="A461" s="33" t="n"/>
      <c r="B461" s="33" t="n"/>
      <c r="C461" s="33" t="n"/>
      <c r="D461" s="33" t="n"/>
      <c r="E461" s="33" t="n"/>
      <c r="F461" s="33" t="n"/>
      <c r="G461" s="33" t="n"/>
      <c r="H461" s="33" t="n"/>
      <c r="I461" s="33" t="n"/>
      <c r="J461" s="33" t="n"/>
      <c r="K461" s="34" t="n"/>
      <c r="L461" s="34" t="n"/>
      <c r="M461" s="34" t="n"/>
      <c r="N461" s="82" t="n"/>
      <c r="O461" s="82" t="n"/>
      <c r="P461" s="33" t="n"/>
      <c r="Q461" s="34" t="n"/>
      <c r="R461" s="83" t="n"/>
      <c r="S461" s="34" t="n"/>
      <c r="T461" s="33" t="n"/>
      <c r="U461" s="83" t="n"/>
      <c r="V461" s="33" t="n"/>
      <c r="W461" s="83" t="n"/>
      <c r="X461" s="83" t="n"/>
      <c r="Y461" s="83" t="n"/>
      <c r="Z461" s="83" t="n"/>
      <c r="AA461" s="84">
        <f>IF(OR($A461="",COUNT(W461,X461,Z461,Y461)&lt;1),"",W461+X461+Z461-Y461)</f>
        <v/>
      </c>
      <c r="AB461" s="83" t="n"/>
      <c r="AC461" s="83" t="n"/>
      <c r="AD461" s="83" t="n"/>
      <c r="AE461" s="83" t="n"/>
      <c r="AF461" s="83" t="n"/>
      <c r="AG461" s="83" t="n"/>
      <c r="AH461" s="84">
        <f>IF(OR($A461="",COUNT(AB461,AC461,AD461,AG461,AE461,AF461)&lt;1),"",AB461+AC461+AD461+AG461-AE461-AF461)</f>
        <v/>
      </c>
      <c r="AI461" s="84">
        <f>IF(OR($A461="",COUNT(AA461,AH461)&lt;2),"",AA461-AH461)</f>
        <v/>
      </c>
      <c r="AJ461" s="84">
        <f>IF(OR($A461="",COUNT(W461,AB461)&lt;2),"",W461-AB461)</f>
        <v/>
      </c>
      <c r="AK461" s="83" t="n"/>
      <c r="AL461" s="33" t="n"/>
      <c r="AM461" s="33" t="n"/>
      <c r="AN461" s="83" t="n"/>
      <c r="AO461" s="33" t="n"/>
      <c r="AP461" s="33" t="n"/>
      <c r="AQ461" s="33" t="n"/>
    </row>
    <row r="462">
      <c r="A462" s="33" t="n"/>
      <c r="B462" s="33" t="n"/>
      <c r="C462" s="33" t="n"/>
      <c r="D462" s="33" t="n"/>
      <c r="E462" s="33" t="n"/>
      <c r="F462" s="33" t="n"/>
      <c r="G462" s="33" t="n"/>
      <c r="H462" s="33" t="n"/>
      <c r="I462" s="33" t="n"/>
      <c r="J462" s="33" t="n"/>
      <c r="K462" s="34" t="n"/>
      <c r="L462" s="34" t="n"/>
      <c r="M462" s="34" t="n"/>
      <c r="N462" s="82" t="n"/>
      <c r="O462" s="82" t="n"/>
      <c r="P462" s="33" t="n"/>
      <c r="Q462" s="34" t="n"/>
      <c r="R462" s="83" t="n"/>
      <c r="S462" s="34" t="n"/>
      <c r="T462" s="33" t="n"/>
      <c r="U462" s="83" t="n"/>
      <c r="V462" s="33" t="n"/>
      <c r="W462" s="83" t="n"/>
      <c r="X462" s="83" t="n"/>
      <c r="Y462" s="83" t="n"/>
      <c r="Z462" s="83" t="n"/>
      <c r="AA462" s="84">
        <f>IF(OR($A462="",COUNT(W462,X462,Z462,Y462)&lt;1),"",W462+X462+Z462-Y462)</f>
        <v/>
      </c>
      <c r="AB462" s="83" t="n"/>
      <c r="AC462" s="83" t="n"/>
      <c r="AD462" s="83" t="n"/>
      <c r="AE462" s="83" t="n"/>
      <c r="AF462" s="83" t="n"/>
      <c r="AG462" s="83" t="n"/>
      <c r="AH462" s="84">
        <f>IF(OR($A462="",COUNT(AB462,AC462,AD462,AG462,AE462,AF462)&lt;1),"",AB462+AC462+AD462+AG462-AE462-AF462)</f>
        <v/>
      </c>
      <c r="AI462" s="84">
        <f>IF(OR($A462="",COUNT(AA462,AH462)&lt;2),"",AA462-AH462)</f>
        <v/>
      </c>
      <c r="AJ462" s="84">
        <f>IF(OR($A462="",COUNT(W462,AB462)&lt;2),"",W462-AB462)</f>
        <v/>
      </c>
      <c r="AK462" s="83" t="n"/>
      <c r="AL462" s="33" t="n"/>
      <c r="AM462" s="33" t="n"/>
      <c r="AN462" s="83" t="n"/>
      <c r="AO462" s="33" t="n"/>
      <c r="AP462" s="33" t="n"/>
      <c r="AQ462" s="33" t="n"/>
    </row>
    <row r="463">
      <c r="A463" s="33" t="n"/>
      <c r="B463" s="33" t="n"/>
      <c r="C463" s="33" t="n"/>
      <c r="D463" s="33" t="n"/>
      <c r="E463" s="33" t="n"/>
      <c r="F463" s="33" t="n"/>
      <c r="G463" s="33" t="n"/>
      <c r="H463" s="33" t="n"/>
      <c r="I463" s="33" t="n"/>
      <c r="J463" s="33" t="n"/>
      <c r="K463" s="34" t="n"/>
      <c r="L463" s="34" t="n"/>
      <c r="M463" s="34" t="n"/>
      <c r="N463" s="82" t="n"/>
      <c r="O463" s="82" t="n"/>
      <c r="P463" s="33" t="n"/>
      <c r="Q463" s="34" t="n"/>
      <c r="R463" s="83" t="n"/>
      <c r="S463" s="34" t="n"/>
      <c r="T463" s="33" t="n"/>
      <c r="U463" s="83" t="n"/>
      <c r="V463" s="33" t="n"/>
      <c r="W463" s="83" t="n"/>
      <c r="X463" s="83" t="n"/>
      <c r="Y463" s="83" t="n"/>
      <c r="Z463" s="83" t="n"/>
      <c r="AA463" s="84">
        <f>IF(OR($A463="",COUNT(W463,X463,Z463,Y463)&lt;1),"",W463+X463+Z463-Y463)</f>
        <v/>
      </c>
      <c r="AB463" s="83" t="n"/>
      <c r="AC463" s="83" t="n"/>
      <c r="AD463" s="83" t="n"/>
      <c r="AE463" s="83" t="n"/>
      <c r="AF463" s="83" t="n"/>
      <c r="AG463" s="83" t="n"/>
      <c r="AH463" s="84">
        <f>IF(OR($A463="",COUNT(AB463,AC463,AD463,AG463,AE463,AF463)&lt;1),"",AB463+AC463+AD463+AG463-AE463-AF463)</f>
        <v/>
      </c>
      <c r="AI463" s="84">
        <f>IF(OR($A463="",COUNT(AA463,AH463)&lt;2),"",AA463-AH463)</f>
        <v/>
      </c>
      <c r="AJ463" s="84">
        <f>IF(OR($A463="",COUNT(W463,AB463)&lt;2),"",W463-AB463)</f>
        <v/>
      </c>
      <c r="AK463" s="83" t="n"/>
      <c r="AL463" s="33" t="n"/>
      <c r="AM463" s="33" t="n"/>
      <c r="AN463" s="83" t="n"/>
      <c r="AO463" s="33" t="n"/>
      <c r="AP463" s="33" t="n"/>
      <c r="AQ463" s="33" t="n"/>
    </row>
    <row r="464">
      <c r="A464" s="33" t="n"/>
      <c r="B464" s="33" t="n"/>
      <c r="C464" s="33" t="n"/>
      <c r="D464" s="33" t="n"/>
      <c r="E464" s="33" t="n"/>
      <c r="F464" s="33" t="n"/>
      <c r="G464" s="33" t="n"/>
      <c r="H464" s="33" t="n"/>
      <c r="I464" s="33" t="n"/>
      <c r="J464" s="33" t="n"/>
      <c r="K464" s="34" t="n"/>
      <c r="L464" s="34" t="n"/>
      <c r="M464" s="34" t="n"/>
      <c r="N464" s="82" t="n"/>
      <c r="O464" s="82" t="n"/>
      <c r="P464" s="33" t="n"/>
      <c r="Q464" s="34" t="n"/>
      <c r="R464" s="83" t="n"/>
      <c r="S464" s="34" t="n"/>
      <c r="T464" s="33" t="n"/>
      <c r="U464" s="83" t="n"/>
      <c r="V464" s="33" t="n"/>
      <c r="W464" s="83" t="n"/>
      <c r="X464" s="83" t="n"/>
      <c r="Y464" s="83" t="n"/>
      <c r="Z464" s="83" t="n"/>
      <c r="AA464" s="84">
        <f>IF(OR($A464="",COUNT(W464,X464,Z464,Y464)&lt;1),"",W464+X464+Z464-Y464)</f>
        <v/>
      </c>
      <c r="AB464" s="83" t="n"/>
      <c r="AC464" s="83" t="n"/>
      <c r="AD464" s="83" t="n"/>
      <c r="AE464" s="83" t="n"/>
      <c r="AF464" s="83" t="n"/>
      <c r="AG464" s="83" t="n"/>
      <c r="AH464" s="84">
        <f>IF(OR($A464="",COUNT(AB464,AC464,AD464,AG464,AE464,AF464)&lt;1),"",AB464+AC464+AD464+AG464-AE464-AF464)</f>
        <v/>
      </c>
      <c r="AI464" s="84">
        <f>IF(OR($A464="",COUNT(AA464,AH464)&lt;2),"",AA464-AH464)</f>
        <v/>
      </c>
      <c r="AJ464" s="84">
        <f>IF(OR($A464="",COUNT(W464,AB464)&lt;2),"",W464-AB464)</f>
        <v/>
      </c>
      <c r="AK464" s="83" t="n"/>
      <c r="AL464" s="33" t="n"/>
      <c r="AM464" s="33" t="n"/>
      <c r="AN464" s="83" t="n"/>
      <c r="AO464" s="33" t="n"/>
      <c r="AP464" s="33" t="n"/>
      <c r="AQ464" s="33" t="n"/>
    </row>
    <row r="465">
      <c r="A465" s="33" t="n"/>
      <c r="B465" s="33" t="n"/>
      <c r="C465" s="33" t="n"/>
      <c r="D465" s="33" t="n"/>
      <c r="E465" s="33" t="n"/>
      <c r="F465" s="33" t="n"/>
      <c r="G465" s="33" t="n"/>
      <c r="H465" s="33" t="n"/>
      <c r="I465" s="33" t="n"/>
      <c r="J465" s="33" t="n"/>
      <c r="K465" s="34" t="n"/>
      <c r="L465" s="34" t="n"/>
      <c r="M465" s="34" t="n"/>
      <c r="N465" s="82" t="n"/>
      <c r="O465" s="82" t="n"/>
      <c r="P465" s="33" t="n"/>
      <c r="Q465" s="34" t="n"/>
      <c r="R465" s="83" t="n"/>
      <c r="S465" s="34" t="n"/>
      <c r="T465" s="33" t="n"/>
      <c r="U465" s="83" t="n"/>
      <c r="V465" s="33" t="n"/>
      <c r="W465" s="83" t="n"/>
      <c r="X465" s="83" t="n"/>
      <c r="Y465" s="83" t="n"/>
      <c r="Z465" s="83" t="n"/>
      <c r="AA465" s="84">
        <f>IF(OR($A465="",COUNT(W465,X465,Z465,Y465)&lt;1),"",W465+X465+Z465-Y465)</f>
        <v/>
      </c>
      <c r="AB465" s="83" t="n"/>
      <c r="AC465" s="83" t="n"/>
      <c r="AD465" s="83" t="n"/>
      <c r="AE465" s="83" t="n"/>
      <c r="AF465" s="83" t="n"/>
      <c r="AG465" s="83" t="n"/>
      <c r="AH465" s="84">
        <f>IF(OR($A465="",COUNT(AB465,AC465,AD465,AG465,AE465,AF465)&lt;1),"",AB465+AC465+AD465+AG465-AE465-AF465)</f>
        <v/>
      </c>
      <c r="AI465" s="84">
        <f>IF(OR($A465="",COUNT(AA465,AH465)&lt;2),"",AA465-AH465)</f>
        <v/>
      </c>
      <c r="AJ465" s="84">
        <f>IF(OR($A465="",COUNT(W465,AB465)&lt;2),"",W465-AB465)</f>
        <v/>
      </c>
      <c r="AK465" s="83" t="n"/>
      <c r="AL465" s="33" t="n"/>
      <c r="AM465" s="33" t="n"/>
      <c r="AN465" s="83" t="n"/>
      <c r="AO465" s="33" t="n"/>
      <c r="AP465" s="33" t="n"/>
      <c r="AQ465" s="33" t="n"/>
    </row>
    <row r="466">
      <c r="A466" s="33" t="n"/>
      <c r="B466" s="33" t="n"/>
      <c r="C466" s="33" t="n"/>
      <c r="D466" s="33" t="n"/>
      <c r="E466" s="33" t="n"/>
      <c r="F466" s="33" t="n"/>
      <c r="G466" s="33" t="n"/>
      <c r="H466" s="33" t="n"/>
      <c r="I466" s="33" t="n"/>
      <c r="J466" s="33" t="n"/>
      <c r="K466" s="34" t="n"/>
      <c r="L466" s="34" t="n"/>
      <c r="M466" s="34" t="n"/>
      <c r="N466" s="82" t="n"/>
      <c r="O466" s="82" t="n"/>
      <c r="P466" s="33" t="n"/>
      <c r="Q466" s="34" t="n"/>
      <c r="R466" s="83" t="n"/>
      <c r="S466" s="34" t="n"/>
      <c r="T466" s="33" t="n"/>
      <c r="U466" s="83" t="n"/>
      <c r="V466" s="33" t="n"/>
      <c r="W466" s="83" t="n"/>
      <c r="X466" s="83" t="n"/>
      <c r="Y466" s="83" t="n"/>
      <c r="Z466" s="83" t="n"/>
      <c r="AA466" s="84">
        <f>IF(OR($A466="",COUNT(W466,X466,Z466,Y466)&lt;1),"",W466+X466+Z466-Y466)</f>
        <v/>
      </c>
      <c r="AB466" s="83" t="n"/>
      <c r="AC466" s="83" t="n"/>
      <c r="AD466" s="83" t="n"/>
      <c r="AE466" s="83" t="n"/>
      <c r="AF466" s="83" t="n"/>
      <c r="AG466" s="83" t="n"/>
      <c r="AH466" s="84">
        <f>IF(OR($A466="",COUNT(AB466,AC466,AD466,AG466,AE466,AF466)&lt;1),"",AB466+AC466+AD466+AG466-AE466-AF466)</f>
        <v/>
      </c>
      <c r="AI466" s="84">
        <f>IF(OR($A466="",COUNT(AA466,AH466)&lt;2),"",AA466-AH466)</f>
        <v/>
      </c>
      <c r="AJ466" s="84">
        <f>IF(OR($A466="",COUNT(W466,AB466)&lt;2),"",W466-AB466)</f>
        <v/>
      </c>
      <c r="AK466" s="83" t="n"/>
      <c r="AL466" s="33" t="n"/>
      <c r="AM466" s="33" t="n"/>
      <c r="AN466" s="83" t="n"/>
      <c r="AO466" s="33" t="n"/>
      <c r="AP466" s="33" t="n"/>
      <c r="AQ466" s="33" t="n"/>
    </row>
    <row r="467">
      <c r="A467" s="33" t="n"/>
      <c r="B467" s="33" t="n"/>
      <c r="C467" s="33" t="n"/>
      <c r="D467" s="33" t="n"/>
      <c r="E467" s="33" t="n"/>
      <c r="F467" s="33" t="n"/>
      <c r="G467" s="33" t="n"/>
      <c r="H467" s="33" t="n"/>
      <c r="I467" s="33" t="n"/>
      <c r="J467" s="33" t="n"/>
      <c r="K467" s="34" t="n"/>
      <c r="L467" s="34" t="n"/>
      <c r="M467" s="34" t="n"/>
      <c r="N467" s="82" t="n"/>
      <c r="O467" s="82" t="n"/>
      <c r="P467" s="33" t="n"/>
      <c r="Q467" s="34" t="n"/>
      <c r="R467" s="83" t="n"/>
      <c r="S467" s="34" t="n"/>
      <c r="T467" s="33" t="n"/>
      <c r="U467" s="83" t="n"/>
      <c r="V467" s="33" t="n"/>
      <c r="W467" s="83" t="n"/>
      <c r="X467" s="83" t="n"/>
      <c r="Y467" s="83" t="n"/>
      <c r="Z467" s="83" t="n"/>
      <c r="AA467" s="84">
        <f>IF(OR($A467="",COUNT(W467,X467,Z467,Y467)&lt;1),"",W467+X467+Z467-Y467)</f>
        <v/>
      </c>
      <c r="AB467" s="83" t="n"/>
      <c r="AC467" s="83" t="n"/>
      <c r="AD467" s="83" t="n"/>
      <c r="AE467" s="83" t="n"/>
      <c r="AF467" s="83" t="n"/>
      <c r="AG467" s="83" t="n"/>
      <c r="AH467" s="84">
        <f>IF(OR($A467="",COUNT(AB467,AC467,AD467,AG467,AE467,AF467)&lt;1),"",AB467+AC467+AD467+AG467-AE467-AF467)</f>
        <v/>
      </c>
      <c r="AI467" s="84">
        <f>IF(OR($A467="",COUNT(AA467,AH467)&lt;2),"",AA467-AH467)</f>
        <v/>
      </c>
      <c r="AJ467" s="84">
        <f>IF(OR($A467="",COUNT(W467,AB467)&lt;2),"",W467-AB467)</f>
        <v/>
      </c>
      <c r="AK467" s="83" t="n"/>
      <c r="AL467" s="33" t="n"/>
      <c r="AM467" s="33" t="n"/>
      <c r="AN467" s="83" t="n"/>
      <c r="AO467" s="33" t="n"/>
      <c r="AP467" s="33" t="n"/>
      <c r="AQ467" s="33" t="n"/>
    </row>
    <row r="468">
      <c r="A468" s="33" t="n"/>
      <c r="B468" s="33" t="n"/>
      <c r="C468" s="33" t="n"/>
      <c r="D468" s="33" t="n"/>
      <c r="E468" s="33" t="n"/>
      <c r="F468" s="33" t="n"/>
      <c r="G468" s="33" t="n"/>
      <c r="H468" s="33" t="n"/>
      <c r="I468" s="33" t="n"/>
      <c r="J468" s="33" t="n"/>
      <c r="K468" s="34" t="n"/>
      <c r="L468" s="34" t="n"/>
      <c r="M468" s="34" t="n"/>
      <c r="N468" s="82" t="n"/>
      <c r="O468" s="82" t="n"/>
      <c r="P468" s="33" t="n"/>
      <c r="Q468" s="34" t="n"/>
      <c r="R468" s="83" t="n"/>
      <c r="S468" s="34" t="n"/>
      <c r="T468" s="33" t="n"/>
      <c r="U468" s="83" t="n"/>
      <c r="V468" s="33" t="n"/>
      <c r="W468" s="83" t="n"/>
      <c r="X468" s="83" t="n"/>
      <c r="Y468" s="83" t="n"/>
      <c r="Z468" s="83" t="n"/>
      <c r="AA468" s="84">
        <f>IF(OR($A468="",COUNT(W468,X468,Z468,Y468)&lt;1),"",W468+X468+Z468-Y468)</f>
        <v/>
      </c>
      <c r="AB468" s="83" t="n"/>
      <c r="AC468" s="83" t="n"/>
      <c r="AD468" s="83" t="n"/>
      <c r="AE468" s="83" t="n"/>
      <c r="AF468" s="83" t="n"/>
      <c r="AG468" s="83" t="n"/>
      <c r="AH468" s="84">
        <f>IF(OR($A468="",COUNT(AB468,AC468,AD468,AG468,AE468,AF468)&lt;1),"",AB468+AC468+AD468+AG468-AE468-AF468)</f>
        <v/>
      </c>
      <c r="AI468" s="84">
        <f>IF(OR($A468="",COUNT(AA468,AH468)&lt;2),"",AA468-AH468)</f>
        <v/>
      </c>
      <c r="AJ468" s="84">
        <f>IF(OR($A468="",COUNT(W468,AB468)&lt;2),"",W468-AB468)</f>
        <v/>
      </c>
      <c r="AK468" s="83" t="n"/>
      <c r="AL468" s="33" t="n"/>
      <c r="AM468" s="33" t="n"/>
      <c r="AN468" s="83" t="n"/>
      <c r="AO468" s="33" t="n"/>
      <c r="AP468" s="33" t="n"/>
      <c r="AQ468" s="33" t="n"/>
    </row>
    <row r="469">
      <c r="A469" s="33" t="n"/>
      <c r="B469" s="33" t="n"/>
      <c r="C469" s="33" t="n"/>
      <c r="D469" s="33" t="n"/>
      <c r="E469" s="33" t="n"/>
      <c r="F469" s="33" t="n"/>
      <c r="G469" s="33" t="n"/>
      <c r="H469" s="33" t="n"/>
      <c r="I469" s="33" t="n"/>
      <c r="J469" s="33" t="n"/>
      <c r="K469" s="34" t="n"/>
      <c r="L469" s="34" t="n"/>
      <c r="M469" s="34" t="n"/>
      <c r="N469" s="82" t="n"/>
      <c r="O469" s="82" t="n"/>
      <c r="P469" s="33" t="n"/>
      <c r="Q469" s="34" t="n"/>
      <c r="R469" s="83" t="n"/>
      <c r="S469" s="34" t="n"/>
      <c r="T469" s="33" t="n"/>
      <c r="U469" s="83" t="n"/>
      <c r="V469" s="33" t="n"/>
      <c r="W469" s="83" t="n"/>
      <c r="X469" s="83" t="n"/>
      <c r="Y469" s="83" t="n"/>
      <c r="Z469" s="83" t="n"/>
      <c r="AA469" s="84">
        <f>IF(OR($A469="",COUNT(W469,X469,Z469,Y469)&lt;1),"",W469+X469+Z469-Y469)</f>
        <v/>
      </c>
      <c r="AB469" s="83" t="n"/>
      <c r="AC469" s="83" t="n"/>
      <c r="AD469" s="83" t="n"/>
      <c r="AE469" s="83" t="n"/>
      <c r="AF469" s="83" t="n"/>
      <c r="AG469" s="83" t="n"/>
      <c r="AH469" s="84">
        <f>IF(OR($A469="",COUNT(AB469,AC469,AD469,AG469,AE469,AF469)&lt;1),"",AB469+AC469+AD469+AG469-AE469-AF469)</f>
        <v/>
      </c>
      <c r="AI469" s="84">
        <f>IF(OR($A469="",COUNT(AA469,AH469)&lt;2),"",AA469-AH469)</f>
        <v/>
      </c>
      <c r="AJ469" s="84">
        <f>IF(OR($A469="",COUNT(W469,AB469)&lt;2),"",W469-AB469)</f>
        <v/>
      </c>
      <c r="AK469" s="83" t="n"/>
      <c r="AL469" s="33" t="n"/>
      <c r="AM469" s="33" t="n"/>
      <c r="AN469" s="83" t="n"/>
      <c r="AO469" s="33" t="n"/>
      <c r="AP469" s="33" t="n"/>
      <c r="AQ469" s="33" t="n"/>
    </row>
    <row r="470">
      <c r="A470" s="33" t="n"/>
      <c r="B470" s="33" t="n"/>
      <c r="C470" s="33" t="n"/>
      <c r="D470" s="33" t="n"/>
      <c r="E470" s="33" t="n"/>
      <c r="F470" s="33" t="n"/>
      <c r="G470" s="33" t="n"/>
      <c r="H470" s="33" t="n"/>
      <c r="I470" s="33" t="n"/>
      <c r="J470" s="33" t="n"/>
      <c r="K470" s="34" t="n"/>
      <c r="L470" s="34" t="n"/>
      <c r="M470" s="34" t="n"/>
      <c r="N470" s="82" t="n"/>
      <c r="O470" s="82" t="n"/>
      <c r="P470" s="33" t="n"/>
      <c r="Q470" s="34" t="n"/>
      <c r="R470" s="83" t="n"/>
      <c r="S470" s="34" t="n"/>
      <c r="T470" s="33" t="n"/>
      <c r="U470" s="83" t="n"/>
      <c r="V470" s="33" t="n"/>
      <c r="W470" s="83" t="n"/>
      <c r="X470" s="83" t="n"/>
      <c r="Y470" s="83" t="n"/>
      <c r="Z470" s="83" t="n"/>
      <c r="AA470" s="84">
        <f>IF(OR($A470="",COUNT(W470,X470,Z470,Y470)&lt;1),"",W470+X470+Z470-Y470)</f>
        <v/>
      </c>
      <c r="AB470" s="83" t="n"/>
      <c r="AC470" s="83" t="n"/>
      <c r="AD470" s="83" t="n"/>
      <c r="AE470" s="83" t="n"/>
      <c r="AF470" s="83" t="n"/>
      <c r="AG470" s="83" t="n"/>
      <c r="AH470" s="84">
        <f>IF(OR($A470="",COUNT(AB470,AC470,AD470,AG470,AE470,AF470)&lt;1),"",AB470+AC470+AD470+AG470-AE470-AF470)</f>
        <v/>
      </c>
      <c r="AI470" s="84">
        <f>IF(OR($A470="",COUNT(AA470,AH470)&lt;2),"",AA470-AH470)</f>
        <v/>
      </c>
      <c r="AJ470" s="84">
        <f>IF(OR($A470="",COUNT(W470,AB470)&lt;2),"",W470-AB470)</f>
        <v/>
      </c>
      <c r="AK470" s="83" t="n"/>
      <c r="AL470" s="33" t="n"/>
      <c r="AM470" s="33" t="n"/>
      <c r="AN470" s="83" t="n"/>
      <c r="AO470" s="33" t="n"/>
      <c r="AP470" s="33" t="n"/>
      <c r="AQ470" s="33" t="n"/>
    </row>
    <row r="471">
      <c r="A471" s="33" t="n"/>
      <c r="B471" s="33" t="n"/>
      <c r="C471" s="33" t="n"/>
      <c r="D471" s="33" t="n"/>
      <c r="E471" s="33" t="n"/>
      <c r="F471" s="33" t="n"/>
      <c r="G471" s="33" t="n"/>
      <c r="H471" s="33" t="n"/>
      <c r="I471" s="33" t="n"/>
      <c r="J471" s="33" t="n"/>
      <c r="K471" s="34" t="n"/>
      <c r="L471" s="34" t="n"/>
      <c r="M471" s="34" t="n"/>
      <c r="N471" s="82" t="n"/>
      <c r="O471" s="82" t="n"/>
      <c r="P471" s="33" t="n"/>
      <c r="Q471" s="34" t="n"/>
      <c r="R471" s="83" t="n"/>
      <c r="S471" s="34" t="n"/>
      <c r="T471" s="33" t="n"/>
      <c r="U471" s="83" t="n"/>
      <c r="V471" s="33" t="n"/>
      <c r="W471" s="83" t="n"/>
      <c r="X471" s="83" t="n"/>
      <c r="Y471" s="83" t="n"/>
      <c r="Z471" s="83" t="n"/>
      <c r="AA471" s="84">
        <f>IF(OR($A471="",COUNT(W471,X471,Z471,Y471)&lt;1),"",W471+X471+Z471-Y471)</f>
        <v/>
      </c>
      <c r="AB471" s="83" t="n"/>
      <c r="AC471" s="83" t="n"/>
      <c r="AD471" s="83" t="n"/>
      <c r="AE471" s="83" t="n"/>
      <c r="AF471" s="83" t="n"/>
      <c r="AG471" s="83" t="n"/>
      <c r="AH471" s="84">
        <f>IF(OR($A471="",COUNT(AB471,AC471,AD471,AG471,AE471,AF471)&lt;1),"",AB471+AC471+AD471+AG471-AE471-AF471)</f>
        <v/>
      </c>
      <c r="AI471" s="84">
        <f>IF(OR($A471="",COUNT(AA471,AH471)&lt;2),"",AA471-AH471)</f>
        <v/>
      </c>
      <c r="AJ471" s="84">
        <f>IF(OR($A471="",COUNT(W471,AB471)&lt;2),"",W471-AB471)</f>
        <v/>
      </c>
      <c r="AK471" s="83" t="n"/>
      <c r="AL471" s="33" t="n"/>
      <c r="AM471" s="33" t="n"/>
      <c r="AN471" s="83" t="n"/>
      <c r="AO471" s="33" t="n"/>
      <c r="AP471" s="33" t="n"/>
      <c r="AQ471" s="33" t="n"/>
    </row>
    <row r="472">
      <c r="A472" s="33" t="n"/>
      <c r="B472" s="33" t="n"/>
      <c r="C472" s="33" t="n"/>
      <c r="D472" s="33" t="n"/>
      <c r="E472" s="33" t="n"/>
      <c r="F472" s="33" t="n"/>
      <c r="G472" s="33" t="n"/>
      <c r="H472" s="33" t="n"/>
      <c r="I472" s="33" t="n"/>
      <c r="J472" s="33" t="n"/>
      <c r="K472" s="34" t="n"/>
      <c r="L472" s="34" t="n"/>
      <c r="M472" s="34" t="n"/>
      <c r="N472" s="82" t="n"/>
      <c r="O472" s="82" t="n"/>
      <c r="P472" s="33" t="n"/>
      <c r="Q472" s="34" t="n"/>
      <c r="R472" s="83" t="n"/>
      <c r="S472" s="34" t="n"/>
      <c r="T472" s="33" t="n"/>
      <c r="U472" s="83" t="n"/>
      <c r="V472" s="33" t="n"/>
      <c r="W472" s="83" t="n"/>
      <c r="X472" s="83" t="n"/>
      <c r="Y472" s="83" t="n"/>
      <c r="Z472" s="83" t="n"/>
      <c r="AA472" s="84">
        <f>IF(OR($A472="",COUNT(W472,X472,Z472,Y472)&lt;1),"",W472+X472+Z472-Y472)</f>
        <v/>
      </c>
      <c r="AB472" s="83" t="n"/>
      <c r="AC472" s="83" t="n"/>
      <c r="AD472" s="83" t="n"/>
      <c r="AE472" s="83" t="n"/>
      <c r="AF472" s="83" t="n"/>
      <c r="AG472" s="83" t="n"/>
      <c r="AH472" s="84">
        <f>IF(OR($A472="",COUNT(AB472,AC472,AD472,AG472,AE472,AF472)&lt;1),"",AB472+AC472+AD472+AG472-AE472-AF472)</f>
        <v/>
      </c>
      <c r="AI472" s="84">
        <f>IF(OR($A472="",COUNT(AA472,AH472)&lt;2),"",AA472-AH472)</f>
        <v/>
      </c>
      <c r="AJ472" s="84">
        <f>IF(OR($A472="",COUNT(W472,AB472)&lt;2),"",W472-AB472)</f>
        <v/>
      </c>
      <c r="AK472" s="83" t="n"/>
      <c r="AL472" s="33" t="n"/>
      <c r="AM472" s="33" t="n"/>
      <c r="AN472" s="83" t="n"/>
      <c r="AO472" s="33" t="n"/>
      <c r="AP472" s="33" t="n"/>
      <c r="AQ472" s="33" t="n"/>
    </row>
    <row r="473">
      <c r="A473" s="33" t="n"/>
      <c r="B473" s="33" t="n"/>
      <c r="C473" s="33" t="n"/>
      <c r="D473" s="33" t="n"/>
      <c r="E473" s="33" t="n"/>
      <c r="F473" s="33" t="n"/>
      <c r="G473" s="33" t="n"/>
      <c r="H473" s="33" t="n"/>
      <c r="I473" s="33" t="n"/>
      <c r="J473" s="33" t="n"/>
      <c r="K473" s="34" t="n"/>
      <c r="L473" s="34" t="n"/>
      <c r="M473" s="34" t="n"/>
      <c r="N473" s="82" t="n"/>
      <c r="O473" s="82" t="n"/>
      <c r="P473" s="33" t="n"/>
      <c r="Q473" s="34" t="n"/>
      <c r="R473" s="83" t="n"/>
      <c r="S473" s="34" t="n"/>
      <c r="T473" s="33" t="n"/>
      <c r="U473" s="83" t="n"/>
      <c r="V473" s="33" t="n"/>
      <c r="W473" s="83" t="n"/>
      <c r="X473" s="83" t="n"/>
      <c r="Y473" s="83" t="n"/>
      <c r="Z473" s="83" t="n"/>
      <c r="AA473" s="84">
        <f>IF(OR($A473="",COUNT(W473,X473,Z473,Y473)&lt;1),"",W473+X473+Z473-Y473)</f>
        <v/>
      </c>
      <c r="AB473" s="83" t="n"/>
      <c r="AC473" s="83" t="n"/>
      <c r="AD473" s="83" t="n"/>
      <c r="AE473" s="83" t="n"/>
      <c r="AF473" s="83" t="n"/>
      <c r="AG473" s="83" t="n"/>
      <c r="AH473" s="84">
        <f>IF(OR($A473="",COUNT(AB473,AC473,AD473,AG473,AE473,AF473)&lt;1),"",AB473+AC473+AD473+AG473-AE473-AF473)</f>
        <v/>
      </c>
      <c r="AI473" s="84">
        <f>IF(OR($A473="",COUNT(AA473,AH473)&lt;2),"",AA473-AH473)</f>
        <v/>
      </c>
      <c r="AJ473" s="84">
        <f>IF(OR($A473="",COUNT(W473,AB473)&lt;2),"",W473-AB473)</f>
        <v/>
      </c>
      <c r="AK473" s="83" t="n"/>
      <c r="AL473" s="33" t="n"/>
      <c r="AM473" s="33" t="n"/>
      <c r="AN473" s="83" t="n"/>
      <c r="AO473" s="33" t="n"/>
      <c r="AP473" s="33" t="n"/>
      <c r="AQ473" s="33" t="n"/>
    </row>
    <row r="474">
      <c r="A474" s="33" t="n"/>
      <c r="B474" s="33" t="n"/>
      <c r="C474" s="33" t="n"/>
      <c r="D474" s="33" t="n"/>
      <c r="E474" s="33" t="n"/>
      <c r="F474" s="33" t="n"/>
      <c r="G474" s="33" t="n"/>
      <c r="H474" s="33" t="n"/>
      <c r="I474" s="33" t="n"/>
      <c r="J474" s="33" t="n"/>
      <c r="K474" s="34" t="n"/>
      <c r="L474" s="34" t="n"/>
      <c r="M474" s="34" t="n"/>
      <c r="N474" s="82" t="n"/>
      <c r="O474" s="82" t="n"/>
      <c r="P474" s="33" t="n"/>
      <c r="Q474" s="34" t="n"/>
      <c r="R474" s="83" t="n"/>
      <c r="S474" s="34" t="n"/>
      <c r="T474" s="33" t="n"/>
      <c r="U474" s="83" t="n"/>
      <c r="V474" s="33" t="n"/>
      <c r="W474" s="83" t="n"/>
      <c r="X474" s="83" t="n"/>
      <c r="Y474" s="83" t="n"/>
      <c r="Z474" s="83" t="n"/>
      <c r="AA474" s="84">
        <f>IF(OR($A474="",COUNT(W474,X474,Z474,Y474)&lt;1),"",W474+X474+Z474-Y474)</f>
        <v/>
      </c>
      <c r="AB474" s="83" t="n"/>
      <c r="AC474" s="83" t="n"/>
      <c r="AD474" s="83" t="n"/>
      <c r="AE474" s="83" t="n"/>
      <c r="AF474" s="83" t="n"/>
      <c r="AG474" s="83" t="n"/>
      <c r="AH474" s="84">
        <f>IF(OR($A474="",COUNT(AB474,AC474,AD474,AG474,AE474,AF474)&lt;1),"",AB474+AC474+AD474+AG474-AE474-AF474)</f>
        <v/>
      </c>
      <c r="AI474" s="84">
        <f>IF(OR($A474="",COUNT(AA474,AH474)&lt;2),"",AA474-AH474)</f>
        <v/>
      </c>
      <c r="AJ474" s="84">
        <f>IF(OR($A474="",COUNT(W474,AB474)&lt;2),"",W474-AB474)</f>
        <v/>
      </c>
      <c r="AK474" s="83" t="n"/>
      <c r="AL474" s="33" t="n"/>
      <c r="AM474" s="33" t="n"/>
      <c r="AN474" s="83" t="n"/>
      <c r="AO474" s="33" t="n"/>
      <c r="AP474" s="33" t="n"/>
      <c r="AQ474" s="33" t="n"/>
    </row>
    <row r="475">
      <c r="A475" s="33" t="n"/>
      <c r="B475" s="33" t="n"/>
      <c r="C475" s="33" t="n"/>
      <c r="D475" s="33" t="n"/>
      <c r="E475" s="33" t="n"/>
      <c r="F475" s="33" t="n"/>
      <c r="G475" s="33" t="n"/>
      <c r="H475" s="33" t="n"/>
      <c r="I475" s="33" t="n"/>
      <c r="J475" s="33" t="n"/>
      <c r="K475" s="34" t="n"/>
      <c r="L475" s="34" t="n"/>
      <c r="M475" s="34" t="n"/>
      <c r="N475" s="82" t="n"/>
      <c r="O475" s="82" t="n"/>
      <c r="P475" s="33" t="n"/>
      <c r="Q475" s="34" t="n"/>
      <c r="R475" s="83" t="n"/>
      <c r="S475" s="34" t="n"/>
      <c r="T475" s="33" t="n"/>
      <c r="U475" s="83" t="n"/>
      <c r="V475" s="33" t="n"/>
      <c r="W475" s="83" t="n"/>
      <c r="X475" s="83" t="n"/>
      <c r="Y475" s="83" t="n"/>
      <c r="Z475" s="83" t="n"/>
      <c r="AA475" s="84">
        <f>IF(OR($A475="",COUNT(W475,X475,Z475,Y475)&lt;1),"",W475+X475+Z475-Y475)</f>
        <v/>
      </c>
      <c r="AB475" s="83" t="n"/>
      <c r="AC475" s="83" t="n"/>
      <c r="AD475" s="83" t="n"/>
      <c r="AE475" s="83" t="n"/>
      <c r="AF475" s="83" t="n"/>
      <c r="AG475" s="83" t="n"/>
      <c r="AH475" s="84">
        <f>IF(OR($A475="",COUNT(AB475,AC475,AD475,AG475,AE475,AF475)&lt;1),"",AB475+AC475+AD475+AG475-AE475-AF475)</f>
        <v/>
      </c>
      <c r="AI475" s="84">
        <f>IF(OR($A475="",COUNT(AA475,AH475)&lt;2),"",AA475-AH475)</f>
        <v/>
      </c>
      <c r="AJ475" s="84">
        <f>IF(OR($A475="",COUNT(W475,AB475)&lt;2),"",W475-AB475)</f>
        <v/>
      </c>
      <c r="AK475" s="83" t="n"/>
      <c r="AL475" s="33" t="n"/>
      <c r="AM475" s="33" t="n"/>
      <c r="AN475" s="83" t="n"/>
      <c r="AO475" s="33" t="n"/>
      <c r="AP475" s="33" t="n"/>
      <c r="AQ475" s="33" t="n"/>
    </row>
    <row r="476">
      <c r="A476" s="33" t="n"/>
      <c r="B476" s="33" t="n"/>
      <c r="C476" s="33" t="n"/>
      <c r="D476" s="33" t="n"/>
      <c r="E476" s="33" t="n"/>
      <c r="F476" s="33" t="n"/>
      <c r="G476" s="33" t="n"/>
      <c r="H476" s="33" t="n"/>
      <c r="I476" s="33" t="n"/>
      <c r="J476" s="33" t="n"/>
      <c r="K476" s="34" t="n"/>
      <c r="L476" s="34" t="n"/>
      <c r="M476" s="34" t="n"/>
      <c r="N476" s="82" t="n"/>
      <c r="O476" s="82" t="n"/>
      <c r="P476" s="33" t="n"/>
      <c r="Q476" s="34" t="n"/>
      <c r="R476" s="83" t="n"/>
      <c r="S476" s="34" t="n"/>
      <c r="T476" s="33" t="n"/>
      <c r="U476" s="83" t="n"/>
      <c r="V476" s="33" t="n"/>
      <c r="W476" s="83" t="n"/>
      <c r="X476" s="83" t="n"/>
      <c r="Y476" s="83" t="n"/>
      <c r="Z476" s="83" t="n"/>
      <c r="AA476" s="84">
        <f>IF(OR($A476="",COUNT(W476,X476,Z476,Y476)&lt;1),"",W476+X476+Z476-Y476)</f>
        <v/>
      </c>
      <c r="AB476" s="83" t="n"/>
      <c r="AC476" s="83" t="n"/>
      <c r="AD476" s="83" t="n"/>
      <c r="AE476" s="83" t="n"/>
      <c r="AF476" s="83" t="n"/>
      <c r="AG476" s="83" t="n"/>
      <c r="AH476" s="84">
        <f>IF(OR($A476="",COUNT(AB476,AC476,AD476,AG476,AE476,AF476)&lt;1),"",AB476+AC476+AD476+AG476-AE476-AF476)</f>
        <v/>
      </c>
      <c r="AI476" s="84">
        <f>IF(OR($A476="",COUNT(AA476,AH476)&lt;2),"",AA476-AH476)</f>
        <v/>
      </c>
      <c r="AJ476" s="84">
        <f>IF(OR($A476="",COUNT(W476,AB476)&lt;2),"",W476-AB476)</f>
        <v/>
      </c>
      <c r="AK476" s="83" t="n"/>
      <c r="AL476" s="33" t="n"/>
      <c r="AM476" s="33" t="n"/>
      <c r="AN476" s="83" t="n"/>
      <c r="AO476" s="33" t="n"/>
      <c r="AP476" s="33" t="n"/>
      <c r="AQ476" s="33" t="n"/>
    </row>
    <row r="477">
      <c r="A477" s="33" t="n"/>
      <c r="B477" s="33" t="n"/>
      <c r="C477" s="33" t="n"/>
      <c r="D477" s="33" t="n"/>
      <c r="E477" s="33" t="n"/>
      <c r="F477" s="33" t="n"/>
      <c r="G477" s="33" t="n"/>
      <c r="H477" s="33" t="n"/>
      <c r="I477" s="33" t="n"/>
      <c r="J477" s="33" t="n"/>
      <c r="K477" s="34" t="n"/>
      <c r="L477" s="34" t="n"/>
      <c r="M477" s="34" t="n"/>
      <c r="N477" s="82" t="n"/>
      <c r="O477" s="82" t="n"/>
      <c r="P477" s="33" t="n"/>
      <c r="Q477" s="34" t="n"/>
      <c r="R477" s="83" t="n"/>
      <c r="S477" s="34" t="n"/>
      <c r="T477" s="33" t="n"/>
      <c r="U477" s="83" t="n"/>
      <c r="V477" s="33" t="n"/>
      <c r="W477" s="83" t="n"/>
      <c r="X477" s="83" t="n"/>
      <c r="Y477" s="83" t="n"/>
      <c r="Z477" s="83" t="n"/>
      <c r="AA477" s="84">
        <f>IF(OR($A477="",COUNT(W477,X477,Z477,Y477)&lt;1),"",W477+X477+Z477-Y477)</f>
        <v/>
      </c>
      <c r="AB477" s="83" t="n"/>
      <c r="AC477" s="83" t="n"/>
      <c r="AD477" s="83" t="n"/>
      <c r="AE477" s="83" t="n"/>
      <c r="AF477" s="83" t="n"/>
      <c r="AG477" s="83" t="n"/>
      <c r="AH477" s="84">
        <f>IF(OR($A477="",COUNT(AB477,AC477,AD477,AG477,AE477,AF477)&lt;1),"",AB477+AC477+AD477+AG477-AE477-AF477)</f>
        <v/>
      </c>
      <c r="AI477" s="84">
        <f>IF(OR($A477="",COUNT(AA477,AH477)&lt;2),"",AA477-AH477)</f>
        <v/>
      </c>
      <c r="AJ477" s="84">
        <f>IF(OR($A477="",COUNT(W477,AB477)&lt;2),"",W477-AB477)</f>
        <v/>
      </c>
      <c r="AK477" s="83" t="n"/>
      <c r="AL477" s="33" t="n"/>
      <c r="AM477" s="33" t="n"/>
      <c r="AN477" s="83" t="n"/>
      <c r="AO477" s="33" t="n"/>
      <c r="AP477" s="33" t="n"/>
      <c r="AQ477" s="33" t="n"/>
    </row>
    <row r="478">
      <c r="A478" s="33" t="n"/>
      <c r="B478" s="33" t="n"/>
      <c r="C478" s="33" t="n"/>
      <c r="D478" s="33" t="n"/>
      <c r="E478" s="33" t="n"/>
      <c r="F478" s="33" t="n"/>
      <c r="G478" s="33" t="n"/>
      <c r="H478" s="33" t="n"/>
      <c r="I478" s="33" t="n"/>
      <c r="J478" s="33" t="n"/>
      <c r="K478" s="34" t="n"/>
      <c r="L478" s="34" t="n"/>
      <c r="M478" s="34" t="n"/>
      <c r="N478" s="82" t="n"/>
      <c r="O478" s="82" t="n"/>
      <c r="P478" s="33" t="n"/>
      <c r="Q478" s="34" t="n"/>
      <c r="R478" s="83" t="n"/>
      <c r="S478" s="34" t="n"/>
      <c r="T478" s="33" t="n"/>
      <c r="U478" s="83" t="n"/>
      <c r="V478" s="33" t="n"/>
      <c r="W478" s="83" t="n"/>
      <c r="X478" s="83" t="n"/>
      <c r="Y478" s="83" t="n"/>
      <c r="Z478" s="83" t="n"/>
      <c r="AA478" s="84">
        <f>IF(OR($A478="",COUNT(W478,X478,Z478,Y478)&lt;1),"",W478+X478+Z478-Y478)</f>
        <v/>
      </c>
      <c r="AB478" s="83" t="n"/>
      <c r="AC478" s="83" t="n"/>
      <c r="AD478" s="83" t="n"/>
      <c r="AE478" s="83" t="n"/>
      <c r="AF478" s="83" t="n"/>
      <c r="AG478" s="83" t="n"/>
      <c r="AH478" s="84">
        <f>IF(OR($A478="",COUNT(AB478,AC478,AD478,AG478,AE478,AF478)&lt;1),"",AB478+AC478+AD478+AG478-AE478-AF478)</f>
        <v/>
      </c>
      <c r="AI478" s="84">
        <f>IF(OR($A478="",COUNT(AA478,AH478)&lt;2),"",AA478-AH478)</f>
        <v/>
      </c>
      <c r="AJ478" s="84">
        <f>IF(OR($A478="",COUNT(W478,AB478)&lt;2),"",W478-AB478)</f>
        <v/>
      </c>
      <c r="AK478" s="83" t="n"/>
      <c r="AL478" s="33" t="n"/>
      <c r="AM478" s="33" t="n"/>
      <c r="AN478" s="83" t="n"/>
      <c r="AO478" s="33" t="n"/>
      <c r="AP478" s="33" t="n"/>
      <c r="AQ478" s="33" t="n"/>
    </row>
    <row r="479">
      <c r="A479" s="33" t="n"/>
      <c r="B479" s="33" t="n"/>
      <c r="C479" s="33" t="n"/>
      <c r="D479" s="33" t="n"/>
      <c r="E479" s="33" t="n"/>
      <c r="F479" s="33" t="n"/>
      <c r="G479" s="33" t="n"/>
      <c r="H479" s="33" t="n"/>
      <c r="I479" s="33" t="n"/>
      <c r="J479" s="33" t="n"/>
      <c r="K479" s="34" t="n"/>
      <c r="L479" s="34" t="n"/>
      <c r="M479" s="34" t="n"/>
      <c r="N479" s="82" t="n"/>
      <c r="O479" s="82" t="n"/>
      <c r="P479" s="33" t="n"/>
      <c r="Q479" s="34" t="n"/>
      <c r="R479" s="83" t="n"/>
      <c r="S479" s="34" t="n"/>
      <c r="T479" s="33" t="n"/>
      <c r="U479" s="83" t="n"/>
      <c r="V479" s="33" t="n"/>
      <c r="W479" s="83" t="n"/>
      <c r="X479" s="83" t="n"/>
      <c r="Y479" s="83" t="n"/>
      <c r="Z479" s="83" t="n"/>
      <c r="AA479" s="84">
        <f>IF(OR($A479="",COUNT(W479,X479,Z479,Y479)&lt;1),"",W479+X479+Z479-Y479)</f>
        <v/>
      </c>
      <c r="AB479" s="83" t="n"/>
      <c r="AC479" s="83" t="n"/>
      <c r="AD479" s="83" t="n"/>
      <c r="AE479" s="83" t="n"/>
      <c r="AF479" s="83" t="n"/>
      <c r="AG479" s="83" t="n"/>
      <c r="AH479" s="84">
        <f>IF(OR($A479="",COUNT(AB479,AC479,AD479,AG479,AE479,AF479)&lt;1),"",AB479+AC479+AD479+AG479-AE479-AF479)</f>
        <v/>
      </c>
      <c r="AI479" s="84">
        <f>IF(OR($A479="",COUNT(AA479,AH479)&lt;2),"",AA479-AH479)</f>
        <v/>
      </c>
      <c r="AJ479" s="84">
        <f>IF(OR($A479="",COUNT(W479,AB479)&lt;2),"",W479-AB479)</f>
        <v/>
      </c>
      <c r="AK479" s="83" t="n"/>
      <c r="AL479" s="33" t="n"/>
      <c r="AM479" s="33" t="n"/>
      <c r="AN479" s="83" t="n"/>
      <c r="AO479" s="33" t="n"/>
      <c r="AP479" s="33" t="n"/>
      <c r="AQ479" s="33" t="n"/>
    </row>
    <row r="480">
      <c r="A480" s="33" t="n"/>
      <c r="B480" s="33" t="n"/>
      <c r="C480" s="33" t="n"/>
      <c r="D480" s="33" t="n"/>
      <c r="E480" s="33" t="n"/>
      <c r="F480" s="33" t="n"/>
      <c r="G480" s="33" t="n"/>
      <c r="H480" s="33" t="n"/>
      <c r="I480" s="33" t="n"/>
      <c r="J480" s="33" t="n"/>
      <c r="K480" s="34" t="n"/>
      <c r="L480" s="34" t="n"/>
      <c r="M480" s="34" t="n"/>
      <c r="N480" s="82" t="n"/>
      <c r="O480" s="82" t="n"/>
      <c r="P480" s="33" t="n"/>
      <c r="Q480" s="34" t="n"/>
      <c r="R480" s="83" t="n"/>
      <c r="S480" s="34" t="n"/>
      <c r="T480" s="33" t="n"/>
      <c r="U480" s="83" t="n"/>
      <c r="V480" s="33" t="n"/>
      <c r="W480" s="83" t="n"/>
      <c r="X480" s="83" t="n"/>
      <c r="Y480" s="83" t="n"/>
      <c r="Z480" s="83" t="n"/>
      <c r="AA480" s="84">
        <f>IF(OR($A480="",COUNT(W480,X480,Z480,Y480)&lt;1),"",W480+X480+Z480-Y480)</f>
        <v/>
      </c>
      <c r="AB480" s="83" t="n"/>
      <c r="AC480" s="83" t="n"/>
      <c r="AD480" s="83" t="n"/>
      <c r="AE480" s="83" t="n"/>
      <c r="AF480" s="83" t="n"/>
      <c r="AG480" s="83" t="n"/>
      <c r="AH480" s="84">
        <f>IF(OR($A480="",COUNT(AB480,AC480,AD480,AG480,AE480,AF480)&lt;1),"",AB480+AC480+AD480+AG480-AE480-AF480)</f>
        <v/>
      </c>
      <c r="AI480" s="84">
        <f>IF(OR($A480="",COUNT(AA480,AH480)&lt;2),"",AA480-AH480)</f>
        <v/>
      </c>
      <c r="AJ480" s="84">
        <f>IF(OR($A480="",COUNT(W480,AB480)&lt;2),"",W480-AB480)</f>
        <v/>
      </c>
      <c r="AK480" s="83" t="n"/>
      <c r="AL480" s="33" t="n"/>
      <c r="AM480" s="33" t="n"/>
      <c r="AN480" s="83" t="n"/>
      <c r="AO480" s="33" t="n"/>
      <c r="AP480" s="33" t="n"/>
      <c r="AQ480" s="33" t="n"/>
    </row>
    <row r="481">
      <c r="A481" s="33" t="n"/>
      <c r="B481" s="33" t="n"/>
      <c r="C481" s="33" t="n"/>
      <c r="D481" s="33" t="n"/>
      <c r="E481" s="33" t="n"/>
      <c r="F481" s="33" t="n"/>
      <c r="G481" s="33" t="n"/>
      <c r="H481" s="33" t="n"/>
      <c r="I481" s="33" t="n"/>
      <c r="J481" s="33" t="n"/>
      <c r="K481" s="34" t="n"/>
      <c r="L481" s="34" t="n"/>
      <c r="M481" s="34" t="n"/>
      <c r="N481" s="82" t="n"/>
      <c r="O481" s="82" t="n"/>
      <c r="P481" s="33" t="n"/>
      <c r="Q481" s="34" t="n"/>
      <c r="R481" s="83" t="n"/>
      <c r="S481" s="34" t="n"/>
      <c r="T481" s="33" t="n"/>
      <c r="U481" s="83" t="n"/>
      <c r="V481" s="33" t="n"/>
      <c r="W481" s="83" t="n"/>
      <c r="X481" s="83" t="n"/>
      <c r="Y481" s="83" t="n"/>
      <c r="Z481" s="83" t="n"/>
      <c r="AA481" s="84">
        <f>IF(OR($A481="",COUNT(W481,X481,Z481,Y481)&lt;1),"",W481+X481+Z481-Y481)</f>
        <v/>
      </c>
      <c r="AB481" s="83" t="n"/>
      <c r="AC481" s="83" t="n"/>
      <c r="AD481" s="83" t="n"/>
      <c r="AE481" s="83" t="n"/>
      <c r="AF481" s="83" t="n"/>
      <c r="AG481" s="83" t="n"/>
      <c r="AH481" s="84">
        <f>IF(OR($A481="",COUNT(AB481,AC481,AD481,AG481,AE481,AF481)&lt;1),"",AB481+AC481+AD481+AG481-AE481-AF481)</f>
        <v/>
      </c>
      <c r="AI481" s="84">
        <f>IF(OR($A481="",COUNT(AA481,AH481)&lt;2),"",AA481-AH481)</f>
        <v/>
      </c>
      <c r="AJ481" s="84">
        <f>IF(OR($A481="",COUNT(W481,AB481)&lt;2),"",W481-AB481)</f>
        <v/>
      </c>
      <c r="AK481" s="83" t="n"/>
      <c r="AL481" s="33" t="n"/>
      <c r="AM481" s="33" t="n"/>
      <c r="AN481" s="83" t="n"/>
      <c r="AO481" s="33" t="n"/>
      <c r="AP481" s="33" t="n"/>
      <c r="AQ481" s="33" t="n"/>
    </row>
    <row r="482">
      <c r="A482" s="33" t="n"/>
      <c r="B482" s="33" t="n"/>
      <c r="C482" s="33" t="n"/>
      <c r="D482" s="33" t="n"/>
      <c r="E482" s="33" t="n"/>
      <c r="F482" s="33" t="n"/>
      <c r="G482" s="33" t="n"/>
      <c r="H482" s="33" t="n"/>
      <c r="I482" s="33" t="n"/>
      <c r="J482" s="33" t="n"/>
      <c r="K482" s="34" t="n"/>
      <c r="L482" s="34" t="n"/>
      <c r="M482" s="34" t="n"/>
      <c r="N482" s="82" t="n"/>
      <c r="O482" s="82" t="n"/>
      <c r="P482" s="33" t="n"/>
      <c r="Q482" s="34" t="n"/>
      <c r="R482" s="83" t="n"/>
      <c r="S482" s="34" t="n"/>
      <c r="T482" s="33" t="n"/>
      <c r="U482" s="83" t="n"/>
      <c r="V482" s="33" t="n"/>
      <c r="W482" s="83" t="n"/>
      <c r="X482" s="83" t="n"/>
      <c r="Y482" s="83" t="n"/>
      <c r="Z482" s="83" t="n"/>
      <c r="AA482" s="84">
        <f>IF(OR($A482="",COUNT(W482,X482,Z482,Y482)&lt;1),"",W482+X482+Z482-Y482)</f>
        <v/>
      </c>
      <c r="AB482" s="83" t="n"/>
      <c r="AC482" s="83" t="n"/>
      <c r="AD482" s="83" t="n"/>
      <c r="AE482" s="83" t="n"/>
      <c r="AF482" s="83" t="n"/>
      <c r="AG482" s="83" t="n"/>
      <c r="AH482" s="84">
        <f>IF(OR($A482="",COUNT(AB482,AC482,AD482,AG482,AE482,AF482)&lt;1),"",AB482+AC482+AD482+AG482-AE482-AF482)</f>
        <v/>
      </c>
      <c r="AI482" s="84">
        <f>IF(OR($A482="",COUNT(AA482,AH482)&lt;2),"",AA482-AH482)</f>
        <v/>
      </c>
      <c r="AJ482" s="84">
        <f>IF(OR($A482="",COUNT(W482,AB482)&lt;2),"",W482-AB482)</f>
        <v/>
      </c>
      <c r="AK482" s="83" t="n"/>
      <c r="AL482" s="33" t="n"/>
      <c r="AM482" s="33" t="n"/>
      <c r="AN482" s="83" t="n"/>
      <c r="AO482" s="33" t="n"/>
      <c r="AP482" s="33" t="n"/>
      <c r="AQ482" s="33" t="n"/>
    </row>
    <row r="483">
      <c r="A483" s="33" t="n"/>
      <c r="B483" s="33" t="n"/>
      <c r="C483" s="33" t="n"/>
      <c r="D483" s="33" t="n"/>
      <c r="E483" s="33" t="n"/>
      <c r="F483" s="33" t="n"/>
      <c r="G483" s="33" t="n"/>
      <c r="H483" s="33" t="n"/>
      <c r="I483" s="33" t="n"/>
      <c r="J483" s="33" t="n"/>
      <c r="K483" s="34" t="n"/>
      <c r="L483" s="34" t="n"/>
      <c r="M483" s="34" t="n"/>
      <c r="N483" s="82" t="n"/>
      <c r="O483" s="82" t="n"/>
      <c r="P483" s="33" t="n"/>
      <c r="Q483" s="34" t="n"/>
      <c r="R483" s="83" t="n"/>
      <c r="S483" s="34" t="n"/>
      <c r="T483" s="33" t="n"/>
      <c r="U483" s="83" t="n"/>
      <c r="V483" s="33" t="n"/>
      <c r="W483" s="83" t="n"/>
      <c r="X483" s="83" t="n"/>
      <c r="Y483" s="83" t="n"/>
      <c r="Z483" s="83" t="n"/>
      <c r="AA483" s="84">
        <f>IF(OR($A483="",COUNT(W483,X483,Z483,Y483)&lt;1),"",W483+X483+Z483-Y483)</f>
        <v/>
      </c>
      <c r="AB483" s="83" t="n"/>
      <c r="AC483" s="83" t="n"/>
      <c r="AD483" s="83" t="n"/>
      <c r="AE483" s="83" t="n"/>
      <c r="AF483" s="83" t="n"/>
      <c r="AG483" s="83" t="n"/>
      <c r="AH483" s="84">
        <f>IF(OR($A483="",COUNT(AB483,AC483,AD483,AG483,AE483,AF483)&lt;1),"",AB483+AC483+AD483+AG483-AE483-AF483)</f>
        <v/>
      </c>
      <c r="AI483" s="84">
        <f>IF(OR($A483="",COUNT(AA483,AH483)&lt;2),"",AA483-AH483)</f>
        <v/>
      </c>
      <c r="AJ483" s="84">
        <f>IF(OR($A483="",COUNT(W483,AB483)&lt;2),"",W483-AB483)</f>
        <v/>
      </c>
      <c r="AK483" s="83" t="n"/>
      <c r="AL483" s="33" t="n"/>
      <c r="AM483" s="33" t="n"/>
      <c r="AN483" s="83" t="n"/>
      <c r="AO483" s="33" t="n"/>
      <c r="AP483" s="33" t="n"/>
      <c r="AQ483" s="33" t="n"/>
    </row>
    <row r="484">
      <c r="A484" s="33" t="n"/>
      <c r="B484" s="33" t="n"/>
      <c r="C484" s="33" t="n"/>
      <c r="D484" s="33" t="n"/>
      <c r="E484" s="33" t="n"/>
      <c r="F484" s="33" t="n"/>
      <c r="G484" s="33" t="n"/>
      <c r="H484" s="33" t="n"/>
      <c r="I484" s="33" t="n"/>
      <c r="J484" s="33" t="n"/>
      <c r="K484" s="34" t="n"/>
      <c r="L484" s="34" t="n"/>
      <c r="M484" s="34" t="n"/>
      <c r="N484" s="82" t="n"/>
      <c r="O484" s="82" t="n"/>
      <c r="P484" s="33" t="n"/>
      <c r="Q484" s="34" t="n"/>
      <c r="R484" s="83" t="n"/>
      <c r="S484" s="34" t="n"/>
      <c r="T484" s="33" t="n"/>
      <c r="U484" s="83" t="n"/>
      <c r="V484" s="33" t="n"/>
      <c r="W484" s="83" t="n"/>
      <c r="X484" s="83" t="n"/>
      <c r="Y484" s="83" t="n"/>
      <c r="Z484" s="83" t="n"/>
      <c r="AA484" s="84">
        <f>IF(OR($A484="",COUNT(W484,X484,Z484,Y484)&lt;1),"",W484+X484+Z484-Y484)</f>
        <v/>
      </c>
      <c r="AB484" s="83" t="n"/>
      <c r="AC484" s="83" t="n"/>
      <c r="AD484" s="83" t="n"/>
      <c r="AE484" s="83" t="n"/>
      <c r="AF484" s="83" t="n"/>
      <c r="AG484" s="83" t="n"/>
      <c r="AH484" s="84">
        <f>IF(OR($A484="",COUNT(AB484,AC484,AD484,AG484,AE484,AF484)&lt;1),"",AB484+AC484+AD484+AG484-AE484-AF484)</f>
        <v/>
      </c>
      <c r="AI484" s="84">
        <f>IF(OR($A484="",COUNT(AA484,AH484)&lt;2),"",AA484-AH484)</f>
        <v/>
      </c>
      <c r="AJ484" s="84">
        <f>IF(OR($A484="",COUNT(W484,AB484)&lt;2),"",W484-AB484)</f>
        <v/>
      </c>
      <c r="AK484" s="83" t="n"/>
      <c r="AL484" s="33" t="n"/>
      <c r="AM484" s="33" t="n"/>
      <c r="AN484" s="83" t="n"/>
      <c r="AO484" s="33" t="n"/>
      <c r="AP484" s="33" t="n"/>
      <c r="AQ484" s="33" t="n"/>
    </row>
    <row r="485">
      <c r="A485" s="33" t="n"/>
      <c r="B485" s="33" t="n"/>
      <c r="C485" s="33" t="n"/>
      <c r="D485" s="33" t="n"/>
      <c r="E485" s="33" t="n"/>
      <c r="F485" s="33" t="n"/>
      <c r="G485" s="33" t="n"/>
      <c r="H485" s="33" t="n"/>
      <c r="I485" s="33" t="n"/>
      <c r="J485" s="33" t="n"/>
      <c r="K485" s="34" t="n"/>
      <c r="L485" s="34" t="n"/>
      <c r="M485" s="34" t="n"/>
      <c r="N485" s="82" t="n"/>
      <c r="O485" s="82" t="n"/>
      <c r="P485" s="33" t="n"/>
      <c r="Q485" s="34" t="n"/>
      <c r="R485" s="83" t="n"/>
      <c r="S485" s="34" t="n"/>
      <c r="T485" s="33" t="n"/>
      <c r="U485" s="83" t="n"/>
      <c r="V485" s="33" t="n"/>
      <c r="W485" s="83" t="n"/>
      <c r="X485" s="83" t="n"/>
      <c r="Y485" s="83" t="n"/>
      <c r="Z485" s="83" t="n"/>
      <c r="AA485" s="84">
        <f>IF(OR($A485="",COUNT(W485,X485,Z485,Y485)&lt;1),"",W485+X485+Z485-Y485)</f>
        <v/>
      </c>
      <c r="AB485" s="83" t="n"/>
      <c r="AC485" s="83" t="n"/>
      <c r="AD485" s="83" t="n"/>
      <c r="AE485" s="83" t="n"/>
      <c r="AF485" s="83" t="n"/>
      <c r="AG485" s="83" t="n"/>
      <c r="AH485" s="84">
        <f>IF(OR($A485="",COUNT(AB485,AC485,AD485,AG485,AE485,AF485)&lt;1),"",AB485+AC485+AD485+AG485-AE485-AF485)</f>
        <v/>
      </c>
      <c r="AI485" s="84">
        <f>IF(OR($A485="",COUNT(AA485,AH485)&lt;2),"",AA485-AH485)</f>
        <v/>
      </c>
      <c r="AJ485" s="84">
        <f>IF(OR($A485="",COUNT(W485,AB485)&lt;2),"",W485-AB485)</f>
        <v/>
      </c>
      <c r="AK485" s="83" t="n"/>
      <c r="AL485" s="33" t="n"/>
      <c r="AM485" s="33" t="n"/>
      <c r="AN485" s="83" t="n"/>
      <c r="AO485" s="33" t="n"/>
      <c r="AP485" s="33" t="n"/>
      <c r="AQ485" s="33" t="n"/>
    </row>
    <row r="486">
      <c r="A486" s="33" t="n"/>
      <c r="B486" s="33" t="n"/>
      <c r="C486" s="33" t="n"/>
      <c r="D486" s="33" t="n"/>
      <c r="E486" s="33" t="n"/>
      <c r="F486" s="33" t="n"/>
      <c r="G486" s="33" t="n"/>
      <c r="H486" s="33" t="n"/>
      <c r="I486" s="33" t="n"/>
      <c r="J486" s="33" t="n"/>
      <c r="K486" s="34" t="n"/>
      <c r="L486" s="34" t="n"/>
      <c r="M486" s="34" t="n"/>
      <c r="N486" s="82" t="n"/>
      <c r="O486" s="82" t="n"/>
      <c r="P486" s="33" t="n"/>
      <c r="Q486" s="34" t="n"/>
      <c r="R486" s="83" t="n"/>
      <c r="S486" s="34" t="n"/>
      <c r="T486" s="33" t="n"/>
      <c r="U486" s="83" t="n"/>
      <c r="V486" s="33" t="n"/>
      <c r="W486" s="83" t="n"/>
      <c r="X486" s="83" t="n"/>
      <c r="Y486" s="83" t="n"/>
      <c r="Z486" s="83" t="n"/>
      <c r="AA486" s="84">
        <f>IF(OR($A486="",COUNT(W486,X486,Z486,Y486)&lt;1),"",W486+X486+Z486-Y486)</f>
        <v/>
      </c>
      <c r="AB486" s="83" t="n"/>
      <c r="AC486" s="83" t="n"/>
      <c r="AD486" s="83" t="n"/>
      <c r="AE486" s="83" t="n"/>
      <c r="AF486" s="83" t="n"/>
      <c r="AG486" s="83" t="n"/>
      <c r="AH486" s="84">
        <f>IF(OR($A486="",COUNT(AB486,AC486,AD486,AG486,AE486,AF486)&lt;1),"",AB486+AC486+AD486+AG486-AE486-AF486)</f>
        <v/>
      </c>
      <c r="AI486" s="84">
        <f>IF(OR($A486="",COUNT(AA486,AH486)&lt;2),"",AA486-AH486)</f>
        <v/>
      </c>
      <c r="AJ486" s="84">
        <f>IF(OR($A486="",COUNT(W486,AB486)&lt;2),"",W486-AB486)</f>
        <v/>
      </c>
      <c r="AK486" s="83" t="n"/>
      <c r="AL486" s="33" t="n"/>
      <c r="AM486" s="33" t="n"/>
      <c r="AN486" s="83" t="n"/>
      <c r="AO486" s="33" t="n"/>
      <c r="AP486" s="33" t="n"/>
      <c r="AQ486" s="33" t="n"/>
    </row>
    <row r="487">
      <c r="A487" s="33" t="n"/>
      <c r="B487" s="33" t="n"/>
      <c r="C487" s="33" t="n"/>
      <c r="D487" s="33" t="n"/>
      <c r="E487" s="33" t="n"/>
      <c r="F487" s="33" t="n"/>
      <c r="G487" s="33" t="n"/>
      <c r="H487" s="33" t="n"/>
      <c r="I487" s="33" t="n"/>
      <c r="J487" s="33" t="n"/>
      <c r="K487" s="34" t="n"/>
      <c r="L487" s="34" t="n"/>
      <c r="M487" s="34" t="n"/>
      <c r="N487" s="82" t="n"/>
      <c r="O487" s="82" t="n"/>
      <c r="P487" s="33" t="n"/>
      <c r="Q487" s="34" t="n"/>
      <c r="R487" s="83" t="n"/>
      <c r="S487" s="34" t="n"/>
      <c r="T487" s="33" t="n"/>
      <c r="U487" s="83" t="n"/>
      <c r="V487" s="33" t="n"/>
      <c r="W487" s="83" t="n"/>
      <c r="X487" s="83" t="n"/>
      <c r="Y487" s="83" t="n"/>
      <c r="Z487" s="83" t="n"/>
      <c r="AA487" s="84">
        <f>IF(OR($A487="",COUNT(W487,X487,Z487,Y487)&lt;1),"",W487+X487+Z487-Y487)</f>
        <v/>
      </c>
      <c r="AB487" s="83" t="n"/>
      <c r="AC487" s="83" t="n"/>
      <c r="AD487" s="83" t="n"/>
      <c r="AE487" s="83" t="n"/>
      <c r="AF487" s="83" t="n"/>
      <c r="AG487" s="83" t="n"/>
      <c r="AH487" s="84">
        <f>IF(OR($A487="",COUNT(AB487,AC487,AD487,AG487,AE487,AF487)&lt;1),"",AB487+AC487+AD487+AG487-AE487-AF487)</f>
        <v/>
      </c>
      <c r="AI487" s="84">
        <f>IF(OR($A487="",COUNT(AA487,AH487)&lt;2),"",AA487-AH487)</f>
        <v/>
      </c>
      <c r="AJ487" s="84">
        <f>IF(OR($A487="",COUNT(W487,AB487)&lt;2),"",W487-AB487)</f>
        <v/>
      </c>
      <c r="AK487" s="83" t="n"/>
      <c r="AL487" s="33" t="n"/>
      <c r="AM487" s="33" t="n"/>
      <c r="AN487" s="83" t="n"/>
      <c r="AO487" s="33" t="n"/>
      <c r="AP487" s="33" t="n"/>
      <c r="AQ487" s="33" t="n"/>
    </row>
    <row r="488">
      <c r="A488" s="33" t="n"/>
      <c r="B488" s="33" t="n"/>
      <c r="C488" s="33" t="n"/>
      <c r="D488" s="33" t="n"/>
      <c r="E488" s="33" t="n"/>
      <c r="F488" s="33" t="n"/>
      <c r="G488" s="33" t="n"/>
      <c r="H488" s="33" t="n"/>
      <c r="I488" s="33" t="n"/>
      <c r="J488" s="33" t="n"/>
      <c r="K488" s="34" t="n"/>
      <c r="L488" s="34" t="n"/>
      <c r="M488" s="34" t="n"/>
      <c r="N488" s="82" t="n"/>
      <c r="O488" s="82" t="n"/>
      <c r="P488" s="33" t="n"/>
      <c r="Q488" s="34" t="n"/>
      <c r="R488" s="83" t="n"/>
      <c r="S488" s="34" t="n"/>
      <c r="T488" s="33" t="n"/>
      <c r="U488" s="83" t="n"/>
      <c r="V488" s="33" t="n"/>
      <c r="W488" s="83" t="n"/>
      <c r="X488" s="83" t="n"/>
      <c r="Y488" s="83" t="n"/>
      <c r="Z488" s="83" t="n"/>
      <c r="AA488" s="84">
        <f>IF(OR($A488="",COUNT(W488,X488,Z488,Y488)&lt;1),"",W488+X488+Z488-Y488)</f>
        <v/>
      </c>
      <c r="AB488" s="83" t="n"/>
      <c r="AC488" s="83" t="n"/>
      <c r="AD488" s="83" t="n"/>
      <c r="AE488" s="83" t="n"/>
      <c r="AF488" s="83" t="n"/>
      <c r="AG488" s="83" t="n"/>
      <c r="AH488" s="84">
        <f>IF(OR($A488="",COUNT(AB488,AC488,AD488,AG488,AE488,AF488)&lt;1),"",AB488+AC488+AD488+AG488-AE488-AF488)</f>
        <v/>
      </c>
      <c r="AI488" s="84">
        <f>IF(OR($A488="",COUNT(AA488,AH488)&lt;2),"",AA488-AH488)</f>
        <v/>
      </c>
      <c r="AJ488" s="84">
        <f>IF(OR($A488="",COUNT(W488,AB488)&lt;2),"",W488-AB488)</f>
        <v/>
      </c>
      <c r="AK488" s="83" t="n"/>
      <c r="AL488" s="33" t="n"/>
      <c r="AM488" s="33" t="n"/>
      <c r="AN488" s="83" t="n"/>
      <c r="AO488" s="33" t="n"/>
      <c r="AP488" s="33" t="n"/>
      <c r="AQ488" s="33" t="n"/>
    </row>
    <row r="489">
      <c r="A489" s="33" t="n"/>
      <c r="B489" s="33" t="n"/>
      <c r="C489" s="33" t="n"/>
      <c r="D489" s="33" t="n"/>
      <c r="E489" s="33" t="n"/>
      <c r="F489" s="33" t="n"/>
      <c r="G489" s="33" t="n"/>
      <c r="H489" s="33" t="n"/>
      <c r="I489" s="33" t="n"/>
      <c r="J489" s="33" t="n"/>
      <c r="K489" s="34" t="n"/>
      <c r="L489" s="34" t="n"/>
      <c r="M489" s="34" t="n"/>
      <c r="N489" s="82" t="n"/>
      <c r="O489" s="82" t="n"/>
      <c r="P489" s="33" t="n"/>
      <c r="Q489" s="34" t="n"/>
      <c r="R489" s="83" t="n"/>
      <c r="S489" s="34" t="n"/>
      <c r="T489" s="33" t="n"/>
      <c r="U489" s="83" t="n"/>
      <c r="V489" s="33" t="n"/>
      <c r="W489" s="83" t="n"/>
      <c r="X489" s="83" t="n"/>
      <c r="Y489" s="83" t="n"/>
      <c r="Z489" s="83" t="n"/>
      <c r="AA489" s="84">
        <f>IF(OR($A489="",COUNT(W489,X489,Z489,Y489)&lt;1),"",W489+X489+Z489-Y489)</f>
        <v/>
      </c>
      <c r="AB489" s="83" t="n"/>
      <c r="AC489" s="83" t="n"/>
      <c r="AD489" s="83" t="n"/>
      <c r="AE489" s="83" t="n"/>
      <c r="AF489" s="83" t="n"/>
      <c r="AG489" s="83" t="n"/>
      <c r="AH489" s="84">
        <f>IF(OR($A489="",COUNT(AB489,AC489,AD489,AG489,AE489,AF489)&lt;1),"",AB489+AC489+AD489+AG489-AE489-AF489)</f>
        <v/>
      </c>
      <c r="AI489" s="84">
        <f>IF(OR($A489="",COUNT(AA489,AH489)&lt;2),"",AA489-AH489)</f>
        <v/>
      </c>
      <c r="AJ489" s="84">
        <f>IF(OR($A489="",COUNT(W489,AB489)&lt;2),"",W489-AB489)</f>
        <v/>
      </c>
      <c r="AK489" s="83" t="n"/>
      <c r="AL489" s="33" t="n"/>
      <c r="AM489" s="33" t="n"/>
      <c r="AN489" s="83" t="n"/>
      <c r="AO489" s="33" t="n"/>
      <c r="AP489" s="33" t="n"/>
      <c r="AQ489" s="33" t="n"/>
    </row>
    <row r="490">
      <c r="A490" s="33" t="n"/>
      <c r="B490" s="33" t="n"/>
      <c r="C490" s="33" t="n"/>
      <c r="D490" s="33" t="n"/>
      <c r="E490" s="33" t="n"/>
      <c r="F490" s="33" t="n"/>
      <c r="G490" s="33" t="n"/>
      <c r="H490" s="33" t="n"/>
      <c r="I490" s="33" t="n"/>
      <c r="J490" s="33" t="n"/>
      <c r="K490" s="34" t="n"/>
      <c r="L490" s="34" t="n"/>
      <c r="M490" s="34" t="n"/>
      <c r="N490" s="82" t="n"/>
      <c r="O490" s="82" t="n"/>
      <c r="P490" s="33" t="n"/>
      <c r="Q490" s="34" t="n"/>
      <c r="R490" s="83" t="n"/>
      <c r="S490" s="34" t="n"/>
      <c r="T490" s="33" t="n"/>
      <c r="U490" s="83" t="n"/>
      <c r="V490" s="33" t="n"/>
      <c r="W490" s="83" t="n"/>
      <c r="X490" s="83" t="n"/>
      <c r="Y490" s="83" t="n"/>
      <c r="Z490" s="83" t="n"/>
      <c r="AA490" s="84">
        <f>IF(OR($A490="",COUNT(W490,X490,Z490,Y490)&lt;1),"",W490+X490+Z490-Y490)</f>
        <v/>
      </c>
      <c r="AB490" s="83" t="n"/>
      <c r="AC490" s="83" t="n"/>
      <c r="AD490" s="83" t="n"/>
      <c r="AE490" s="83" t="n"/>
      <c r="AF490" s="83" t="n"/>
      <c r="AG490" s="83" t="n"/>
      <c r="AH490" s="84">
        <f>IF(OR($A490="",COUNT(AB490,AC490,AD490,AG490,AE490,AF490)&lt;1),"",AB490+AC490+AD490+AG490-AE490-AF490)</f>
        <v/>
      </c>
      <c r="AI490" s="84">
        <f>IF(OR($A490="",COUNT(AA490,AH490)&lt;2),"",AA490-AH490)</f>
        <v/>
      </c>
      <c r="AJ490" s="84">
        <f>IF(OR($A490="",COUNT(W490,AB490)&lt;2),"",W490-AB490)</f>
        <v/>
      </c>
      <c r="AK490" s="83" t="n"/>
      <c r="AL490" s="33" t="n"/>
      <c r="AM490" s="33" t="n"/>
      <c r="AN490" s="83" t="n"/>
      <c r="AO490" s="33" t="n"/>
      <c r="AP490" s="33" t="n"/>
      <c r="AQ490" s="33" t="n"/>
    </row>
    <row r="491">
      <c r="A491" s="33" t="n"/>
      <c r="B491" s="33" t="n"/>
      <c r="C491" s="33" t="n"/>
      <c r="D491" s="33" t="n"/>
      <c r="E491" s="33" t="n"/>
      <c r="F491" s="33" t="n"/>
      <c r="G491" s="33" t="n"/>
      <c r="H491" s="33" t="n"/>
      <c r="I491" s="33" t="n"/>
      <c r="J491" s="33" t="n"/>
      <c r="K491" s="34" t="n"/>
      <c r="L491" s="34" t="n"/>
      <c r="M491" s="34" t="n"/>
      <c r="N491" s="82" t="n"/>
      <c r="O491" s="82" t="n"/>
      <c r="P491" s="33" t="n"/>
      <c r="Q491" s="34" t="n"/>
      <c r="R491" s="83" t="n"/>
      <c r="S491" s="34" t="n"/>
      <c r="T491" s="33" t="n"/>
      <c r="U491" s="83" t="n"/>
      <c r="V491" s="33" t="n"/>
      <c r="W491" s="83" t="n"/>
      <c r="X491" s="83" t="n"/>
      <c r="Y491" s="83" t="n"/>
      <c r="Z491" s="83" t="n"/>
      <c r="AA491" s="84">
        <f>IF(OR($A491="",COUNT(W491,X491,Z491,Y491)&lt;1),"",W491+X491+Z491-Y491)</f>
        <v/>
      </c>
      <c r="AB491" s="83" t="n"/>
      <c r="AC491" s="83" t="n"/>
      <c r="AD491" s="83" t="n"/>
      <c r="AE491" s="83" t="n"/>
      <c r="AF491" s="83" t="n"/>
      <c r="AG491" s="83" t="n"/>
      <c r="AH491" s="84">
        <f>IF(OR($A491="",COUNT(AB491,AC491,AD491,AG491,AE491,AF491)&lt;1),"",AB491+AC491+AD491+AG491-AE491-AF491)</f>
        <v/>
      </c>
      <c r="AI491" s="84">
        <f>IF(OR($A491="",COUNT(AA491,AH491)&lt;2),"",AA491-AH491)</f>
        <v/>
      </c>
      <c r="AJ491" s="84">
        <f>IF(OR($A491="",COUNT(W491,AB491)&lt;2),"",W491-AB491)</f>
        <v/>
      </c>
      <c r="AK491" s="83" t="n"/>
      <c r="AL491" s="33" t="n"/>
      <c r="AM491" s="33" t="n"/>
      <c r="AN491" s="83" t="n"/>
      <c r="AO491" s="33" t="n"/>
      <c r="AP491" s="33" t="n"/>
      <c r="AQ491" s="33" t="n"/>
    </row>
    <row r="492">
      <c r="A492" s="33" t="n"/>
      <c r="B492" s="33" t="n"/>
      <c r="C492" s="33" t="n"/>
      <c r="D492" s="33" t="n"/>
      <c r="E492" s="33" t="n"/>
      <c r="F492" s="33" t="n"/>
      <c r="G492" s="33" t="n"/>
      <c r="H492" s="33" t="n"/>
      <c r="I492" s="33" t="n"/>
      <c r="J492" s="33" t="n"/>
      <c r="K492" s="34" t="n"/>
      <c r="L492" s="34" t="n"/>
      <c r="M492" s="34" t="n"/>
      <c r="N492" s="82" t="n"/>
      <c r="O492" s="82" t="n"/>
      <c r="P492" s="33" t="n"/>
      <c r="Q492" s="34" t="n"/>
      <c r="R492" s="83" t="n"/>
      <c r="S492" s="34" t="n"/>
      <c r="T492" s="33" t="n"/>
      <c r="U492" s="83" t="n"/>
      <c r="V492" s="33" t="n"/>
      <c r="W492" s="83" t="n"/>
      <c r="X492" s="83" t="n"/>
      <c r="Y492" s="83" t="n"/>
      <c r="Z492" s="83" t="n"/>
      <c r="AA492" s="84">
        <f>IF(OR($A492="",COUNT(W492,X492,Z492,Y492)&lt;1),"",W492+X492+Z492-Y492)</f>
        <v/>
      </c>
      <c r="AB492" s="83" t="n"/>
      <c r="AC492" s="83" t="n"/>
      <c r="AD492" s="83" t="n"/>
      <c r="AE492" s="83" t="n"/>
      <c r="AF492" s="83" t="n"/>
      <c r="AG492" s="83" t="n"/>
      <c r="AH492" s="84">
        <f>IF(OR($A492="",COUNT(AB492,AC492,AD492,AG492,AE492,AF492)&lt;1),"",AB492+AC492+AD492+AG492-AE492-AF492)</f>
        <v/>
      </c>
      <c r="AI492" s="84">
        <f>IF(OR($A492="",COUNT(AA492,AH492)&lt;2),"",AA492-AH492)</f>
        <v/>
      </c>
      <c r="AJ492" s="84">
        <f>IF(OR($A492="",COUNT(W492,AB492)&lt;2),"",W492-AB492)</f>
        <v/>
      </c>
      <c r="AK492" s="83" t="n"/>
      <c r="AL492" s="33" t="n"/>
      <c r="AM492" s="33" t="n"/>
      <c r="AN492" s="83" t="n"/>
      <c r="AO492" s="33" t="n"/>
      <c r="AP492" s="33" t="n"/>
      <c r="AQ492" s="33" t="n"/>
    </row>
    <row r="493">
      <c r="A493" s="33" t="n"/>
      <c r="B493" s="33" t="n"/>
      <c r="C493" s="33" t="n"/>
      <c r="D493" s="33" t="n"/>
      <c r="E493" s="33" t="n"/>
      <c r="F493" s="33" t="n"/>
      <c r="G493" s="33" t="n"/>
      <c r="H493" s="33" t="n"/>
      <c r="I493" s="33" t="n"/>
      <c r="J493" s="33" t="n"/>
      <c r="K493" s="34" t="n"/>
      <c r="L493" s="34" t="n"/>
      <c r="M493" s="34" t="n"/>
      <c r="N493" s="82" t="n"/>
      <c r="O493" s="82" t="n"/>
      <c r="P493" s="33" t="n"/>
      <c r="Q493" s="34" t="n"/>
      <c r="R493" s="83" t="n"/>
      <c r="S493" s="34" t="n"/>
      <c r="T493" s="33" t="n"/>
      <c r="U493" s="83" t="n"/>
      <c r="V493" s="33" t="n"/>
      <c r="W493" s="83" t="n"/>
      <c r="X493" s="83" t="n"/>
      <c r="Y493" s="83" t="n"/>
      <c r="Z493" s="83" t="n"/>
      <c r="AA493" s="84">
        <f>IF(OR($A493="",COUNT(W493,X493,Z493,Y493)&lt;1),"",W493+X493+Z493-Y493)</f>
        <v/>
      </c>
      <c r="AB493" s="83" t="n"/>
      <c r="AC493" s="83" t="n"/>
      <c r="AD493" s="83" t="n"/>
      <c r="AE493" s="83" t="n"/>
      <c r="AF493" s="83" t="n"/>
      <c r="AG493" s="83" t="n"/>
      <c r="AH493" s="84">
        <f>IF(OR($A493="",COUNT(AB493,AC493,AD493,AG493,AE493,AF493)&lt;1),"",AB493+AC493+AD493+AG493-AE493-AF493)</f>
        <v/>
      </c>
      <c r="AI493" s="84">
        <f>IF(OR($A493="",COUNT(AA493,AH493)&lt;2),"",AA493-AH493)</f>
        <v/>
      </c>
      <c r="AJ493" s="84">
        <f>IF(OR($A493="",COUNT(W493,AB493)&lt;2),"",W493-AB493)</f>
        <v/>
      </c>
      <c r="AK493" s="83" t="n"/>
      <c r="AL493" s="33" t="n"/>
      <c r="AM493" s="33" t="n"/>
      <c r="AN493" s="83" t="n"/>
      <c r="AO493" s="33" t="n"/>
      <c r="AP493" s="33" t="n"/>
      <c r="AQ493" s="33" t="n"/>
    </row>
    <row r="494">
      <c r="A494" s="33" t="n"/>
      <c r="B494" s="33" t="n"/>
      <c r="C494" s="33" t="n"/>
      <c r="D494" s="33" t="n"/>
      <c r="E494" s="33" t="n"/>
      <c r="F494" s="33" t="n"/>
      <c r="G494" s="33" t="n"/>
      <c r="H494" s="33" t="n"/>
      <c r="I494" s="33" t="n"/>
      <c r="J494" s="33" t="n"/>
      <c r="K494" s="34" t="n"/>
      <c r="L494" s="34" t="n"/>
      <c r="M494" s="34" t="n"/>
      <c r="N494" s="82" t="n"/>
      <c r="O494" s="82" t="n"/>
      <c r="P494" s="33" t="n"/>
      <c r="Q494" s="34" t="n"/>
      <c r="R494" s="83" t="n"/>
      <c r="S494" s="34" t="n"/>
      <c r="T494" s="33" t="n"/>
      <c r="U494" s="83" t="n"/>
      <c r="V494" s="33" t="n"/>
      <c r="W494" s="83" t="n"/>
      <c r="X494" s="83" t="n"/>
      <c r="Y494" s="83" t="n"/>
      <c r="Z494" s="83" t="n"/>
      <c r="AA494" s="84">
        <f>IF(OR($A494="",COUNT(W494,X494,Z494,Y494)&lt;1),"",W494+X494+Z494-Y494)</f>
        <v/>
      </c>
      <c r="AB494" s="83" t="n"/>
      <c r="AC494" s="83" t="n"/>
      <c r="AD494" s="83" t="n"/>
      <c r="AE494" s="83" t="n"/>
      <c r="AF494" s="83" t="n"/>
      <c r="AG494" s="83" t="n"/>
      <c r="AH494" s="84">
        <f>IF(OR($A494="",COUNT(AB494,AC494,AD494,AG494,AE494,AF494)&lt;1),"",AB494+AC494+AD494+AG494-AE494-AF494)</f>
        <v/>
      </c>
      <c r="AI494" s="84">
        <f>IF(OR($A494="",COUNT(AA494,AH494)&lt;2),"",AA494-AH494)</f>
        <v/>
      </c>
      <c r="AJ494" s="84">
        <f>IF(OR($A494="",COUNT(W494,AB494)&lt;2),"",W494-AB494)</f>
        <v/>
      </c>
      <c r="AK494" s="83" t="n"/>
      <c r="AL494" s="33" t="n"/>
      <c r="AM494" s="33" t="n"/>
      <c r="AN494" s="83" t="n"/>
      <c r="AO494" s="33" t="n"/>
      <c r="AP494" s="33" t="n"/>
      <c r="AQ494" s="33" t="n"/>
    </row>
    <row r="495">
      <c r="A495" s="33" t="n"/>
      <c r="B495" s="33" t="n"/>
      <c r="C495" s="33" t="n"/>
      <c r="D495" s="33" t="n"/>
      <c r="E495" s="33" t="n"/>
      <c r="F495" s="33" t="n"/>
      <c r="G495" s="33" t="n"/>
      <c r="H495" s="33" t="n"/>
      <c r="I495" s="33" t="n"/>
      <c r="J495" s="33" t="n"/>
      <c r="K495" s="34" t="n"/>
      <c r="L495" s="34" t="n"/>
      <c r="M495" s="34" t="n"/>
      <c r="N495" s="82" t="n"/>
      <c r="O495" s="82" t="n"/>
      <c r="P495" s="33" t="n"/>
      <c r="Q495" s="34" t="n"/>
      <c r="R495" s="83" t="n"/>
      <c r="S495" s="34" t="n"/>
      <c r="T495" s="33" t="n"/>
      <c r="U495" s="83" t="n"/>
      <c r="V495" s="33" t="n"/>
      <c r="W495" s="83" t="n"/>
      <c r="X495" s="83" t="n"/>
      <c r="Y495" s="83" t="n"/>
      <c r="Z495" s="83" t="n"/>
      <c r="AA495" s="84">
        <f>IF(OR($A495="",COUNT(W495,X495,Z495,Y495)&lt;1),"",W495+X495+Z495-Y495)</f>
        <v/>
      </c>
      <c r="AB495" s="83" t="n"/>
      <c r="AC495" s="83" t="n"/>
      <c r="AD495" s="83" t="n"/>
      <c r="AE495" s="83" t="n"/>
      <c r="AF495" s="83" t="n"/>
      <c r="AG495" s="83" t="n"/>
      <c r="AH495" s="84">
        <f>IF(OR($A495="",COUNT(AB495,AC495,AD495,AG495,AE495,AF495)&lt;1),"",AB495+AC495+AD495+AG495-AE495-AF495)</f>
        <v/>
      </c>
      <c r="AI495" s="84">
        <f>IF(OR($A495="",COUNT(AA495,AH495)&lt;2),"",AA495-AH495)</f>
        <v/>
      </c>
      <c r="AJ495" s="84">
        <f>IF(OR($A495="",COUNT(W495,AB495)&lt;2),"",W495-AB495)</f>
        <v/>
      </c>
      <c r="AK495" s="83" t="n"/>
      <c r="AL495" s="33" t="n"/>
      <c r="AM495" s="33" t="n"/>
      <c r="AN495" s="83" t="n"/>
      <c r="AO495" s="33" t="n"/>
      <c r="AP495" s="33" t="n"/>
      <c r="AQ495" s="33" t="n"/>
    </row>
    <row r="496">
      <c r="A496" s="33" t="n"/>
      <c r="B496" s="33" t="n"/>
      <c r="C496" s="33" t="n"/>
      <c r="D496" s="33" t="n"/>
      <c r="E496" s="33" t="n"/>
      <c r="F496" s="33" t="n"/>
      <c r="G496" s="33" t="n"/>
      <c r="H496" s="33" t="n"/>
      <c r="I496" s="33" t="n"/>
      <c r="J496" s="33" t="n"/>
      <c r="K496" s="34" t="n"/>
      <c r="L496" s="34" t="n"/>
      <c r="M496" s="34" t="n"/>
      <c r="N496" s="82" t="n"/>
      <c r="O496" s="82" t="n"/>
      <c r="P496" s="33" t="n"/>
      <c r="Q496" s="34" t="n"/>
      <c r="R496" s="83" t="n"/>
      <c r="S496" s="34" t="n"/>
      <c r="T496" s="33" t="n"/>
      <c r="U496" s="83" t="n"/>
      <c r="V496" s="33" t="n"/>
      <c r="W496" s="83" t="n"/>
      <c r="X496" s="83" t="n"/>
      <c r="Y496" s="83" t="n"/>
      <c r="Z496" s="83" t="n"/>
      <c r="AA496" s="84">
        <f>IF(OR($A496="",COUNT(W496,X496,Z496,Y496)&lt;1),"",W496+X496+Z496-Y496)</f>
        <v/>
      </c>
      <c r="AB496" s="83" t="n"/>
      <c r="AC496" s="83" t="n"/>
      <c r="AD496" s="83" t="n"/>
      <c r="AE496" s="83" t="n"/>
      <c r="AF496" s="83" t="n"/>
      <c r="AG496" s="83" t="n"/>
      <c r="AH496" s="84">
        <f>IF(OR($A496="",COUNT(AB496,AC496,AD496,AG496,AE496,AF496)&lt;1),"",AB496+AC496+AD496+AG496-AE496-AF496)</f>
        <v/>
      </c>
      <c r="AI496" s="84">
        <f>IF(OR($A496="",COUNT(AA496,AH496)&lt;2),"",AA496-AH496)</f>
        <v/>
      </c>
      <c r="AJ496" s="84">
        <f>IF(OR($A496="",COUNT(W496,AB496)&lt;2),"",W496-AB496)</f>
        <v/>
      </c>
      <c r="AK496" s="83" t="n"/>
      <c r="AL496" s="33" t="n"/>
      <c r="AM496" s="33" t="n"/>
      <c r="AN496" s="83" t="n"/>
      <c r="AO496" s="33" t="n"/>
      <c r="AP496" s="33" t="n"/>
      <c r="AQ496" s="33" t="n"/>
    </row>
    <row r="497">
      <c r="A497" s="33" t="n"/>
      <c r="B497" s="33" t="n"/>
      <c r="C497" s="33" t="n"/>
      <c r="D497" s="33" t="n"/>
      <c r="E497" s="33" t="n"/>
      <c r="F497" s="33" t="n"/>
      <c r="G497" s="33" t="n"/>
      <c r="H497" s="33" t="n"/>
      <c r="I497" s="33" t="n"/>
      <c r="J497" s="33" t="n"/>
      <c r="K497" s="34" t="n"/>
      <c r="L497" s="34" t="n"/>
      <c r="M497" s="34" t="n"/>
      <c r="N497" s="82" t="n"/>
      <c r="O497" s="82" t="n"/>
      <c r="P497" s="33" t="n"/>
      <c r="Q497" s="34" t="n"/>
      <c r="R497" s="83" t="n"/>
      <c r="S497" s="34" t="n"/>
      <c r="T497" s="33" t="n"/>
      <c r="U497" s="83" t="n"/>
      <c r="V497" s="33" t="n"/>
      <c r="W497" s="83" t="n"/>
      <c r="X497" s="83" t="n"/>
      <c r="Y497" s="83" t="n"/>
      <c r="Z497" s="83" t="n"/>
      <c r="AA497" s="84">
        <f>IF(OR($A497="",COUNT(W497,X497,Z497,Y497)&lt;1),"",W497+X497+Z497-Y497)</f>
        <v/>
      </c>
      <c r="AB497" s="83" t="n"/>
      <c r="AC497" s="83" t="n"/>
      <c r="AD497" s="83" t="n"/>
      <c r="AE497" s="83" t="n"/>
      <c r="AF497" s="83" t="n"/>
      <c r="AG497" s="83" t="n"/>
      <c r="AH497" s="84">
        <f>IF(OR($A497="",COUNT(AB497,AC497,AD497,AG497,AE497,AF497)&lt;1),"",AB497+AC497+AD497+AG497-AE497-AF497)</f>
        <v/>
      </c>
      <c r="AI497" s="84">
        <f>IF(OR($A497="",COUNT(AA497,AH497)&lt;2),"",AA497-AH497)</f>
        <v/>
      </c>
      <c r="AJ497" s="84">
        <f>IF(OR($A497="",COUNT(W497,AB497)&lt;2),"",W497-AB497)</f>
        <v/>
      </c>
      <c r="AK497" s="83" t="n"/>
      <c r="AL497" s="33" t="n"/>
      <c r="AM497" s="33" t="n"/>
      <c r="AN497" s="83" t="n"/>
      <c r="AO497" s="33" t="n"/>
      <c r="AP497" s="33" t="n"/>
      <c r="AQ497" s="33" t="n"/>
    </row>
    <row r="498">
      <c r="A498" s="33" t="n"/>
      <c r="B498" s="33" t="n"/>
      <c r="C498" s="33" t="n"/>
      <c r="D498" s="33" t="n"/>
      <c r="E498" s="33" t="n"/>
      <c r="F498" s="33" t="n"/>
      <c r="G498" s="33" t="n"/>
      <c r="H498" s="33" t="n"/>
      <c r="I498" s="33" t="n"/>
      <c r="J498" s="33" t="n"/>
      <c r="K498" s="34" t="n"/>
      <c r="L498" s="34" t="n"/>
      <c r="M498" s="34" t="n"/>
      <c r="N498" s="82" t="n"/>
      <c r="O498" s="82" t="n"/>
      <c r="P498" s="33" t="n"/>
      <c r="Q498" s="34" t="n"/>
      <c r="R498" s="83" t="n"/>
      <c r="S498" s="34" t="n"/>
      <c r="T498" s="33" t="n"/>
      <c r="U498" s="83" t="n"/>
      <c r="V498" s="33" t="n"/>
      <c r="W498" s="83" t="n"/>
      <c r="X498" s="83" t="n"/>
      <c r="Y498" s="83" t="n"/>
      <c r="Z498" s="83" t="n"/>
      <c r="AA498" s="84">
        <f>IF(OR($A498="",COUNT(W498,X498,Z498,Y498)&lt;1),"",W498+X498+Z498-Y498)</f>
        <v/>
      </c>
      <c r="AB498" s="83" t="n"/>
      <c r="AC498" s="83" t="n"/>
      <c r="AD498" s="83" t="n"/>
      <c r="AE498" s="83" t="n"/>
      <c r="AF498" s="83" t="n"/>
      <c r="AG498" s="83" t="n"/>
      <c r="AH498" s="84">
        <f>IF(OR($A498="",COUNT(AB498,AC498,AD498,AG498,AE498,AF498)&lt;1),"",AB498+AC498+AD498+AG498-AE498-AF498)</f>
        <v/>
      </c>
      <c r="AI498" s="84">
        <f>IF(OR($A498="",COUNT(AA498,AH498)&lt;2),"",AA498-AH498)</f>
        <v/>
      </c>
      <c r="AJ498" s="84">
        <f>IF(OR($A498="",COUNT(W498,AB498)&lt;2),"",W498-AB498)</f>
        <v/>
      </c>
      <c r="AK498" s="83" t="n"/>
      <c r="AL498" s="33" t="n"/>
      <c r="AM498" s="33" t="n"/>
      <c r="AN498" s="83" t="n"/>
      <c r="AO498" s="33" t="n"/>
      <c r="AP498" s="33" t="n"/>
      <c r="AQ498" s="33" t="n"/>
    </row>
    <row r="499">
      <c r="A499" s="33" t="n"/>
      <c r="B499" s="33" t="n"/>
      <c r="C499" s="33" t="n"/>
      <c r="D499" s="33" t="n"/>
      <c r="E499" s="33" t="n"/>
      <c r="F499" s="33" t="n"/>
      <c r="G499" s="33" t="n"/>
      <c r="H499" s="33" t="n"/>
      <c r="I499" s="33" t="n"/>
      <c r="J499" s="33" t="n"/>
      <c r="K499" s="34" t="n"/>
      <c r="L499" s="34" t="n"/>
      <c r="M499" s="34" t="n"/>
      <c r="N499" s="82" t="n"/>
      <c r="O499" s="82" t="n"/>
      <c r="P499" s="33" t="n"/>
      <c r="Q499" s="34" t="n"/>
      <c r="R499" s="83" t="n"/>
      <c r="S499" s="34" t="n"/>
      <c r="T499" s="33" t="n"/>
      <c r="U499" s="83" t="n"/>
      <c r="V499" s="33" t="n"/>
      <c r="W499" s="83" t="n"/>
      <c r="X499" s="83" t="n"/>
      <c r="Y499" s="83" t="n"/>
      <c r="Z499" s="83" t="n"/>
      <c r="AA499" s="84">
        <f>IF(OR($A499="",COUNT(W499,X499,Z499,Y499)&lt;1),"",W499+X499+Z499-Y499)</f>
        <v/>
      </c>
      <c r="AB499" s="83" t="n"/>
      <c r="AC499" s="83" t="n"/>
      <c r="AD499" s="83" t="n"/>
      <c r="AE499" s="83" t="n"/>
      <c r="AF499" s="83" t="n"/>
      <c r="AG499" s="83" t="n"/>
      <c r="AH499" s="84">
        <f>IF(OR($A499="",COUNT(AB499,AC499,AD499,AG499,AE499,AF499)&lt;1),"",AB499+AC499+AD499+AG499-AE499-AF499)</f>
        <v/>
      </c>
      <c r="AI499" s="84">
        <f>IF(OR($A499="",COUNT(AA499,AH499)&lt;2),"",AA499-AH499)</f>
        <v/>
      </c>
      <c r="AJ499" s="84">
        <f>IF(OR($A499="",COUNT(W499,AB499)&lt;2),"",W499-AB499)</f>
        <v/>
      </c>
      <c r="AK499" s="83" t="n"/>
      <c r="AL499" s="33" t="n"/>
      <c r="AM499" s="33" t="n"/>
      <c r="AN499" s="83" t="n"/>
      <c r="AO499" s="33" t="n"/>
      <c r="AP499" s="33" t="n"/>
      <c r="AQ499" s="33" t="n"/>
    </row>
    <row r="500">
      <c r="A500" s="33" t="n"/>
      <c r="B500" s="33" t="n"/>
      <c r="C500" s="33" t="n"/>
      <c r="D500" s="33" t="n"/>
      <c r="E500" s="33" t="n"/>
      <c r="F500" s="33" t="n"/>
      <c r="G500" s="33" t="n"/>
      <c r="H500" s="33" t="n"/>
      <c r="I500" s="33" t="n"/>
      <c r="J500" s="33" t="n"/>
      <c r="K500" s="34" t="n"/>
      <c r="L500" s="34" t="n"/>
      <c r="M500" s="34" t="n"/>
      <c r="N500" s="82" t="n"/>
      <c r="O500" s="82" t="n"/>
      <c r="P500" s="33" t="n"/>
      <c r="Q500" s="34" t="n"/>
      <c r="R500" s="83" t="n"/>
      <c r="S500" s="34" t="n"/>
      <c r="T500" s="33" t="n"/>
      <c r="U500" s="83" t="n"/>
      <c r="V500" s="33" t="n"/>
      <c r="W500" s="83" t="n"/>
      <c r="X500" s="83" t="n"/>
      <c r="Y500" s="83" t="n"/>
      <c r="Z500" s="83" t="n"/>
      <c r="AA500" s="84">
        <f>IF(OR($A500="",COUNT(W500,X500,Z500,Y500)&lt;1),"",W500+X500+Z500-Y500)</f>
        <v/>
      </c>
      <c r="AB500" s="83" t="n"/>
      <c r="AC500" s="83" t="n"/>
      <c r="AD500" s="83" t="n"/>
      <c r="AE500" s="83" t="n"/>
      <c r="AF500" s="83" t="n"/>
      <c r="AG500" s="83" t="n"/>
      <c r="AH500" s="84">
        <f>IF(OR($A500="",COUNT(AB500,AC500,AD500,AG500,AE500,AF500)&lt;1),"",AB500+AC500+AD500+AG500-AE500-AF500)</f>
        <v/>
      </c>
      <c r="AI500" s="84">
        <f>IF(OR($A500="",COUNT(AA500,AH500)&lt;2),"",AA500-AH500)</f>
        <v/>
      </c>
      <c r="AJ500" s="84">
        <f>IF(OR($A500="",COUNT(W500,AB500)&lt;2),"",W500-AB500)</f>
        <v/>
      </c>
      <c r="AK500" s="83" t="n"/>
      <c r="AL500" s="33" t="n"/>
      <c r="AM500" s="33" t="n"/>
      <c r="AN500" s="83" t="n"/>
      <c r="AO500" s="33" t="n"/>
      <c r="AP500" s="33" t="n"/>
      <c r="AQ500" s="33" t="n"/>
    </row>
    <row r="501">
      <c r="A501" s="33" t="n"/>
      <c r="B501" s="33" t="n"/>
      <c r="C501" s="33" t="n"/>
      <c r="D501" s="33" t="n"/>
      <c r="E501" s="33" t="n"/>
      <c r="F501" s="33" t="n"/>
      <c r="G501" s="33" t="n"/>
      <c r="H501" s="33" t="n"/>
      <c r="I501" s="33" t="n"/>
      <c r="J501" s="33" t="n"/>
      <c r="K501" s="34" t="n"/>
      <c r="L501" s="34" t="n"/>
      <c r="M501" s="34" t="n"/>
      <c r="N501" s="82" t="n"/>
      <c r="O501" s="82" t="n"/>
      <c r="P501" s="33" t="n"/>
      <c r="Q501" s="34" t="n"/>
      <c r="R501" s="83" t="n"/>
      <c r="S501" s="34" t="n"/>
      <c r="T501" s="33" t="n"/>
      <c r="U501" s="83" t="n"/>
      <c r="V501" s="33" t="n"/>
      <c r="W501" s="83" t="n"/>
      <c r="X501" s="83" t="n"/>
      <c r="Y501" s="83" t="n"/>
      <c r="Z501" s="83" t="n"/>
      <c r="AA501" s="84">
        <f>IF(OR($A501="",COUNT(W501,X501,Z501,Y501)&lt;1),"",W501+X501+Z501-Y501)</f>
        <v/>
      </c>
      <c r="AB501" s="83" t="n"/>
      <c r="AC501" s="83" t="n"/>
      <c r="AD501" s="83" t="n"/>
      <c r="AE501" s="83" t="n"/>
      <c r="AF501" s="83" t="n"/>
      <c r="AG501" s="83" t="n"/>
      <c r="AH501" s="84">
        <f>IF(OR($A501="",COUNT(AB501,AC501,AD501,AG501,AE501,AF501)&lt;1),"",AB501+AC501+AD501+AG501-AE501-AF501)</f>
        <v/>
      </c>
      <c r="AI501" s="84">
        <f>IF(OR($A501="",COUNT(AA501,AH501)&lt;2),"",AA501-AH501)</f>
        <v/>
      </c>
      <c r="AJ501" s="84">
        <f>IF(OR($A501="",COUNT(W501,AB501)&lt;2),"",W501-AB501)</f>
        <v/>
      </c>
      <c r="AK501" s="83" t="n"/>
      <c r="AL501" s="33" t="n"/>
      <c r="AM501" s="33" t="n"/>
      <c r="AN501" s="83" t="n"/>
      <c r="AO501" s="33" t="n"/>
      <c r="AP501" s="33" t="n"/>
      <c r="AQ501" s="33" t="n"/>
    </row>
    <row r="503">
      <c r="A503" s="4" t="inlineStr">
        <is>
          <t>Kontrollen</t>
        </is>
      </c>
    </row>
    <row r="504">
      <c r="B504" s="32" t="inlineStr">
        <is>
          <t>Summe Umbuchungen AHK über alle Anlagen = 0</t>
        </is>
      </c>
      <c r="J504" s="79">
        <f>IF(OR(COUNTA($A$2:$A$501)=0),"",SUM($Z$2:$Z$501))</f>
        <v/>
      </c>
      <c r="L504" s="38">
        <f>IF(J504="","offen",IF(ABS(J504)&lt;0.005,"OK","ABWEICHUNG"))</f>
        <v/>
      </c>
    </row>
    <row r="505">
      <c r="B505" s="32" t="inlineStr">
        <is>
          <t>Summe Umbuchungen kum. AfA über alle Anlagen = 0</t>
        </is>
      </c>
      <c r="J505" s="79">
        <f>IF(OR(COUNTA($A$2:$A$501)=0),"",SUM($AG$2:$AG$501))</f>
        <v/>
      </c>
      <c r="L505" s="38">
        <f>IF(J505="","offen",IF(ABS(J505)&lt;0.005,"OK","ABWEICHUNG"))</f>
        <v/>
      </c>
    </row>
    <row r="506">
      <c r="B506" s="32" t="inlineStr">
        <is>
          <t>kum. AfA 31.12. laut Mandant = Fortschreibung</t>
        </is>
      </c>
      <c r="J506" s="79">
        <f t="array" ref="J506">IF(OR(COUNTA($A$2:$A$501)=0),"",SUMPRODUCT(($A$2:$A$501&lt;&gt;"")*($AH$2:$AH$501&lt;&gt;"")*(((($AB$2:$AB$501&lt;&gt;"")+($AC$2:$AC$501&lt;&gt;"")+($AD$2:$AD$501&lt;&gt;"")+($AE$2:$AE$501&lt;&gt;"")+($AF$2:$AF$501&lt;&gt;"")+($AG$2:$AG$501&lt;&gt;""))&gt;0))*(ROUND(ABS($AB$2:$AB$501+$AC$2:$AC$501+$AD$2:$AD$501-$AE$2:$AE$501-$AF$2:$AF$501+$AG$2:$AG$501-IFERROR($AH$2:$AH$501*1,0)),2)&gt;$AN$2:$AN$501)*ABS($AB$2:$AB$501+$AC$2:$AC$501+$AD$2:$AD$501-$AE$2:$AE$501-$AF$2:$AF$501+$AG$2:$AG$501-IFERROR($AH$2:$AH$501*1,0))))</f>
        <v/>
      </c>
      <c r="L506" s="38">
        <f>IF(J506="","offen",IF(ABS(J506)&lt;0.005,"OK","ABWEICHUNG"))</f>
        <v/>
      </c>
    </row>
    <row r="507">
      <c r="B507" s="32" t="inlineStr">
        <is>
          <t>keine Anlagen-Nr. doppelt vergeben</t>
        </is>
      </c>
      <c r="J507" s="79">
        <f>IF(OR(COUNTA($A$2:$A$501)=0),"",COUNTA($A$2:$A$501)-SUMPRODUCT(($A$2:$A$501&lt;&gt;"")/COUNTIF($A$2:$A$501,$A$2:$A$501&amp;"")))</f>
        <v/>
      </c>
      <c r="L507" s="38">
        <f>IF(J507="","offen",IF(J507=0,"OK","ABWEICHUNG"))</f>
        <v/>
      </c>
    </row>
    <row r="508">
      <c r="B508" s="32" t="inlineStr">
        <is>
          <t>keine Eintragung unterhalb von Zeile 501</t>
        </is>
      </c>
      <c r="J508" s="79">
        <f>IF(OR(COUNTA($A$2:$A$501)=0),"",COUNTA($A$502:$A$502))</f>
        <v/>
      </c>
      <c r="L508" s="38">
        <f>IF(J508="","offen",IF(J508=0,"OK","ABWEICHUNG"))</f>
        <v/>
      </c>
    </row>
  </sheetData>
  <autoFilter ref="A1:AP501"/>
  <dataValidations count="4">
    <dataValidation sqref="T2:T501" showDropDown="0" showInputMessage="0" showErrorMessage="0" allowBlank="1" type="list">
      <formula1>"Verkauf,Verschrottung,Diebstahl / Verlust,Tausch,Umbuchung ins Umlaufvermögen,Entnahme,Sonstiges"</formula1>
    </dataValidation>
    <dataValidation sqref="AM2:AM501" showDropDown="0" showInputMessage="0" showErrorMessage="0" allowBlank="1" type="list">
      <formula1>"Ja,Nein"</formula1>
    </dataValidation>
    <dataValidation sqref="AO2:AO501" showDropDown="0" showInputMessage="0" showErrorMessage="0" allowBlank="1" type="list">
      <formula1>"Ja,Nein"</formula1>
    </dataValidation>
    <dataValidation sqref="AP2:AP501" showDropDown="0" showInputMessage="0" showErrorMessage="0" allowBlank="1" type="list">
      <formula1>"Zugang,Umbuchung,Übertrag,Nachträgliche AK"</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T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width="14" customWidth="1" min="8" max="8"/>
    <col width="16" customWidth="1" min="9" max="9"/>
    <col width="26" customWidth="1" min="10" max="10"/>
    <col width="16" customWidth="1" min="11" max="11"/>
    <col width="16" customWidth="1" min="12" max="12"/>
    <col width="14" customWidth="1" min="13" max="13"/>
    <col width="30" customWidth="1" min="14" max="14"/>
    <col hidden="1" width="14" customWidth="1" min="15" max="15"/>
    <col hidden="1" width="14" customWidth="1" min="16" max="16"/>
    <col hidden="1" width="14" customWidth="1" min="17" max="17"/>
    <col hidden="1" width="14" customWidth="1" min="18" max="18"/>
    <col hidden="1" width="14" customWidth="1" min="19" max="19"/>
    <col hidden="1" width="14" customWidth="1" min="20" max="20"/>
    <col hidden="1" width="14" customWidth="1" min="21" max="21"/>
    <col hidden="1" width="14" customWidth="1" min="22" max="22"/>
    <col hidden="1" width="14" customWidth="1" min="23" max="23"/>
    <col hidden="1" width="14" customWidth="1" min="24" max="24"/>
    <col width="10" customWidth="1" min="25" max="25"/>
    <col width="12" customWidth="1" min="26" max="26"/>
    <col width="16" customWidth="1" min="27" max="27"/>
    <col width="14" customWidth="1" min="28" max="28"/>
    <col width="12" customWidth="1" min="29" max="29"/>
    <col width="16" customWidth="1" min="30" max="30"/>
    <col width="10" customWidth="1" min="31" max="31"/>
    <col width="16" customWidth="1" min="32" max="32"/>
    <col width="14" customWidth="1" min="33" max="33"/>
    <col hidden="1" width="14" customWidth="1" min="34" max="34"/>
    <col hidden="1" width="14" customWidth="1" min="35" max="35"/>
    <col hidden="1" width="14" customWidth="1" min="36" max="36"/>
    <col hidden="1" width="14" customWidth="1" min="37" max="37"/>
    <col hidden="1" width="14" customWidth="1" min="38" max="38"/>
    <col hidden="1" width="14" customWidth="1" min="39" max="39"/>
    <col hidden="1" width="14" customWidth="1" min="40" max="40"/>
    <col hidden="1" width="14" customWidth="1" min="41" max="41"/>
    <col hidden="1" width="14" customWidth="1" min="42" max="42"/>
    <col hidden="1" width="14" customWidth="1" min="43" max="43"/>
    <col hidden="1" width="14" customWidth="1" min="44" max="44"/>
    <col hidden="1" width="14" customWidth="1" min="45" max="45"/>
    <col hidden="1" width="13" customWidth="1" min="46" max="46"/>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40" t="inlineStr">
        <is>
          <t>Zugangsdatum</t>
        </is>
      </c>
      <c r="I1" s="40" t="inlineStr">
        <is>
          <t>Zugang AHK</t>
        </is>
      </c>
      <c r="J1" s="42" t="inlineStr">
        <is>
          <t>Lieferant</t>
        </is>
      </c>
      <c r="K1" s="42" t="inlineStr">
        <is>
          <t>Lieferanten-Nr.</t>
        </is>
      </c>
      <c r="L1" s="42" t="inlineStr">
        <is>
          <t>Belegnummer</t>
        </is>
      </c>
      <c r="M1" s="42" t="inlineStr">
        <is>
          <t>Belegdatum</t>
        </is>
      </c>
      <c r="N1" s="42" t="inlineStr">
        <is>
          <t>Buchungstext</t>
        </is>
      </c>
      <c r="O1" s="39" t="inlineStr">
        <is>
          <t>Nutzungsdauer (Jahre)</t>
        </is>
      </c>
      <c r="P1" s="39" t="inlineStr">
        <is>
          <t>Bestellnummer</t>
        </is>
      </c>
      <c r="Q1" s="39" t="inlineStr">
        <is>
          <t>Buchungsdatum</t>
        </is>
      </c>
      <c r="R1" s="39" t="inlineStr">
        <is>
          <t>Rechnungsbetrag (brutto)</t>
        </is>
      </c>
      <c r="S1" s="39" t="inlineStr">
        <is>
          <t>Umsatzsteuer</t>
        </is>
      </c>
      <c r="T1" s="39" t="inlineStr">
        <is>
          <t>Anschaffungsnebenkosten</t>
        </is>
      </c>
      <c r="U1" s="39" t="inlineStr">
        <is>
          <t>Aktivierter Betrag</t>
        </is>
      </c>
      <c r="V1" s="39" t="inlineStr">
        <is>
          <t>davon Grund (EUR)</t>
        </is>
      </c>
      <c r="W1" s="39" t="inlineStr">
        <is>
          <t>Angebotenes Skonto (Basispunkte)</t>
        </is>
      </c>
      <c r="X1" s="39" t="inlineStr">
        <is>
          <t>Skonto gezogen</t>
        </is>
      </c>
      <c r="Y1" s="40" t="inlineStr">
        <is>
          <t>Währung</t>
        </is>
      </c>
      <c r="Z1" s="40" t="inlineStr">
        <is>
          <t>Bewegungsart</t>
        </is>
      </c>
      <c r="AA1" s="40" t="inlineStr">
        <is>
          <t>AHK zu GJ-Beginn</t>
        </is>
      </c>
      <c r="AB1" s="41" t="inlineStr">
        <is>
          <t>AfA-Beginn</t>
        </is>
      </c>
      <c r="AC1" s="41" t="inlineStr">
        <is>
          <t>Nutzungsdauer (Monate)</t>
        </is>
      </c>
      <c r="AD1" s="41" t="inlineStr">
        <is>
          <t>AfA-Methode</t>
        </is>
      </c>
      <c r="AE1" s="41" t="inlineStr">
        <is>
          <t>AfA-Satz %</t>
        </is>
      </c>
      <c r="AF1" s="39" t="inlineStr">
        <is>
          <t>Kostenstelle</t>
        </is>
      </c>
      <c r="AG1" s="39" t="inlineStr">
        <is>
          <t>Standort</t>
        </is>
      </c>
      <c r="AH1" s="39" t="inlineStr">
        <is>
          <t>Kurs zu EUR</t>
        </is>
      </c>
      <c r="AI1" s="39" t="inlineStr">
        <is>
          <t>Lieferbedingung (Incoterm)</t>
        </is>
      </c>
      <c r="AJ1" s="39" t="inlineStr">
        <is>
          <t>Datum des Risikoübergangs</t>
        </is>
      </c>
      <c r="AK1" s="39" t="inlineStr">
        <is>
          <t>Lieferscheindatum</t>
        </is>
      </c>
      <c r="AL1" s="39" t="inlineStr">
        <is>
          <t>Datum des Abnahmeprotokolls</t>
        </is>
      </c>
      <c r="AM1" s="39" t="inlineStr">
        <is>
          <t>Wareneingang vorhanden</t>
        </is>
      </c>
      <c r="AN1" s="39" t="inlineStr">
        <is>
          <t>Datum der Genehmigung</t>
        </is>
      </c>
      <c r="AO1" s="39" t="inlineStr">
        <is>
          <t>Genehmigt durch</t>
        </is>
      </c>
      <c r="AP1" s="39" t="inlineStr">
        <is>
          <t>Nahestehende Person</t>
        </is>
      </c>
      <c r="AQ1" s="39" t="inlineStr">
        <is>
          <t>Zahlungsart</t>
        </is>
      </c>
      <c r="AR1" s="39" t="inlineStr">
        <is>
          <t>Storno nach Stichtag</t>
        </is>
      </c>
      <c r="AS1" s="39" t="inlineStr">
        <is>
          <t>Manuelle Buchung</t>
        </is>
      </c>
      <c r="AT1" s="43" t="inlineStr">
        <is>
          <t>Zeilen-ID</t>
        </is>
      </c>
    </row>
    <row r="2">
      <c r="A2" s="44" t="n"/>
      <c r="B2" s="44" t="n"/>
      <c r="C2" s="44" t="n"/>
      <c r="D2" s="44" t="n"/>
      <c r="E2" s="44" t="n"/>
      <c r="F2" s="44" t="n"/>
      <c r="G2" s="45" t="n"/>
      <c r="H2" s="45" t="n"/>
      <c r="I2" s="85" t="n"/>
      <c r="J2" s="44" t="n"/>
      <c r="K2" s="44" t="n"/>
      <c r="L2" s="44" t="n"/>
      <c r="M2" s="45" t="n"/>
      <c r="N2" s="44" t="n"/>
      <c r="O2" s="86" t="n"/>
      <c r="P2" s="44" t="n"/>
      <c r="Q2" s="45" t="n"/>
      <c r="R2" s="85" t="n"/>
      <c r="S2" s="85" t="n"/>
      <c r="T2" s="85" t="n"/>
      <c r="U2" s="85" t="n"/>
      <c r="V2" s="85" t="n"/>
      <c r="W2" s="86" t="n"/>
      <c r="X2" s="44" t="n"/>
      <c r="Y2" s="44" t="n"/>
      <c r="Z2" s="44" t="n"/>
      <c r="AA2" s="85" t="n"/>
      <c r="AB2" s="45" t="n"/>
      <c r="AC2" s="86" t="n"/>
      <c r="AD2" s="44" t="n"/>
      <c r="AE2" s="87" t="n"/>
      <c r="AF2" s="44" t="n"/>
      <c r="AG2" s="44" t="n"/>
      <c r="AH2" s="87" t="n"/>
      <c r="AI2" s="44" t="n"/>
      <c r="AJ2" s="45" t="n"/>
      <c r="AK2" s="45" t="n"/>
      <c r="AL2" s="45" t="n"/>
      <c r="AM2" s="44" t="n"/>
      <c r="AN2" s="45" t="n"/>
      <c r="AO2" s="44" t="n"/>
      <c r="AP2" s="44" t="n"/>
      <c r="AQ2" s="44" t="n"/>
      <c r="AR2" s="44" t="n"/>
      <c r="AS2" s="44" t="n"/>
    </row>
    <row r="3">
      <c r="A3" s="44" t="n"/>
      <c r="B3" s="44" t="n"/>
      <c r="C3" s="44" t="n"/>
      <c r="D3" s="44" t="n"/>
      <c r="E3" s="44" t="n"/>
      <c r="F3" s="44" t="n"/>
      <c r="G3" s="45" t="n"/>
      <c r="H3" s="45" t="n"/>
      <c r="I3" s="85" t="n"/>
      <c r="J3" s="44" t="n"/>
      <c r="K3" s="44" t="n"/>
      <c r="L3" s="44" t="n"/>
      <c r="M3" s="45" t="n"/>
      <c r="N3" s="44" t="n"/>
      <c r="O3" s="86" t="n"/>
      <c r="P3" s="44" t="n"/>
      <c r="Q3" s="45" t="n"/>
      <c r="R3" s="85" t="n"/>
      <c r="S3" s="85" t="n"/>
      <c r="T3" s="85" t="n"/>
      <c r="U3" s="85" t="n"/>
      <c r="V3" s="85" t="n"/>
      <c r="W3" s="86" t="n"/>
      <c r="X3" s="44" t="n"/>
      <c r="Y3" s="44" t="n"/>
      <c r="Z3" s="44" t="n"/>
      <c r="AA3" s="85" t="n"/>
      <c r="AB3" s="45" t="n"/>
      <c r="AC3" s="86" t="n"/>
      <c r="AD3" s="44" t="n"/>
      <c r="AE3" s="87" t="n"/>
      <c r="AF3" s="44" t="n"/>
      <c r="AG3" s="44" t="n"/>
      <c r="AH3" s="87" t="n"/>
      <c r="AI3" s="44" t="n"/>
      <c r="AJ3" s="45" t="n"/>
      <c r="AK3" s="45" t="n"/>
      <c r="AL3" s="45" t="n"/>
      <c r="AM3" s="44" t="n"/>
      <c r="AN3" s="45" t="n"/>
      <c r="AO3" s="44" t="n"/>
      <c r="AP3" s="44" t="n"/>
      <c r="AQ3" s="44" t="n"/>
      <c r="AR3" s="44" t="n"/>
      <c r="AS3" s="44" t="n"/>
    </row>
    <row r="4">
      <c r="A4" s="44" t="n"/>
      <c r="B4" s="44" t="n"/>
      <c r="C4" s="44" t="n"/>
      <c r="D4" s="44" t="n"/>
      <c r="E4" s="44" t="n"/>
      <c r="F4" s="44" t="n"/>
      <c r="G4" s="45" t="n"/>
      <c r="H4" s="45" t="n"/>
      <c r="I4" s="85" t="n"/>
      <c r="J4" s="44" t="n"/>
      <c r="K4" s="44" t="n"/>
      <c r="L4" s="44" t="n"/>
      <c r="M4" s="45" t="n"/>
      <c r="N4" s="44" t="n"/>
      <c r="O4" s="86" t="n"/>
      <c r="P4" s="44" t="n"/>
      <c r="Q4" s="45" t="n"/>
      <c r="R4" s="85" t="n"/>
      <c r="S4" s="85" t="n"/>
      <c r="T4" s="85" t="n"/>
      <c r="U4" s="85" t="n"/>
      <c r="V4" s="85" t="n"/>
      <c r="W4" s="86" t="n"/>
      <c r="X4" s="44" t="n"/>
      <c r="Y4" s="44" t="n"/>
      <c r="Z4" s="44" t="n"/>
      <c r="AA4" s="85" t="n"/>
      <c r="AB4" s="45" t="n"/>
      <c r="AC4" s="86" t="n"/>
      <c r="AD4" s="44" t="n"/>
      <c r="AE4" s="87" t="n"/>
      <c r="AF4" s="44" t="n"/>
      <c r="AG4" s="44" t="n"/>
      <c r="AH4" s="87" t="n"/>
      <c r="AI4" s="44" t="n"/>
      <c r="AJ4" s="45" t="n"/>
      <c r="AK4" s="45" t="n"/>
      <c r="AL4" s="45" t="n"/>
      <c r="AM4" s="44" t="n"/>
      <c r="AN4" s="45" t="n"/>
      <c r="AO4" s="44" t="n"/>
      <c r="AP4" s="44" t="n"/>
      <c r="AQ4" s="44" t="n"/>
      <c r="AR4" s="44" t="n"/>
      <c r="AS4" s="44" t="n"/>
    </row>
    <row r="5">
      <c r="A5" s="44" t="n"/>
      <c r="B5" s="44" t="n"/>
      <c r="C5" s="44" t="n"/>
      <c r="D5" s="44" t="n"/>
      <c r="E5" s="44" t="n"/>
      <c r="F5" s="44" t="n"/>
      <c r="G5" s="45" t="n"/>
      <c r="H5" s="45" t="n"/>
      <c r="I5" s="85" t="n"/>
      <c r="J5" s="44" t="n"/>
      <c r="K5" s="44" t="n"/>
      <c r="L5" s="44" t="n"/>
      <c r="M5" s="45" t="n"/>
      <c r="N5" s="44" t="n"/>
      <c r="O5" s="86" t="n"/>
      <c r="P5" s="44" t="n"/>
      <c r="Q5" s="45" t="n"/>
      <c r="R5" s="85" t="n"/>
      <c r="S5" s="85" t="n"/>
      <c r="T5" s="85" t="n"/>
      <c r="U5" s="85" t="n"/>
      <c r="V5" s="85" t="n"/>
      <c r="W5" s="86" t="n"/>
      <c r="X5" s="44" t="n"/>
      <c r="Y5" s="44" t="n"/>
      <c r="Z5" s="44" t="n"/>
      <c r="AA5" s="85" t="n"/>
      <c r="AB5" s="45" t="n"/>
      <c r="AC5" s="86" t="n"/>
      <c r="AD5" s="44" t="n"/>
      <c r="AE5" s="87" t="n"/>
      <c r="AF5" s="44" t="n"/>
      <c r="AG5" s="44" t="n"/>
      <c r="AH5" s="87" t="n"/>
      <c r="AI5" s="44" t="n"/>
      <c r="AJ5" s="45" t="n"/>
      <c r="AK5" s="45" t="n"/>
      <c r="AL5" s="45" t="n"/>
      <c r="AM5" s="44" t="n"/>
      <c r="AN5" s="45" t="n"/>
      <c r="AO5" s="44" t="n"/>
      <c r="AP5" s="44" t="n"/>
      <c r="AQ5" s="44" t="n"/>
      <c r="AR5" s="44" t="n"/>
      <c r="AS5" s="44" t="n"/>
    </row>
    <row r="6">
      <c r="A6" s="44" t="n"/>
      <c r="B6" s="44" t="n"/>
      <c r="C6" s="44" t="n"/>
      <c r="D6" s="44" t="n"/>
      <c r="E6" s="44" t="n"/>
      <c r="F6" s="44" t="n"/>
      <c r="G6" s="45" t="n"/>
      <c r="H6" s="45" t="n"/>
      <c r="I6" s="85" t="n"/>
      <c r="J6" s="44" t="n"/>
      <c r="K6" s="44" t="n"/>
      <c r="L6" s="44" t="n"/>
      <c r="M6" s="45" t="n"/>
      <c r="N6" s="44" t="n"/>
      <c r="O6" s="86" t="n"/>
      <c r="P6" s="44" t="n"/>
      <c r="Q6" s="45" t="n"/>
      <c r="R6" s="85" t="n"/>
      <c r="S6" s="85" t="n"/>
      <c r="T6" s="85" t="n"/>
      <c r="U6" s="85" t="n"/>
      <c r="V6" s="85" t="n"/>
      <c r="W6" s="86" t="n"/>
      <c r="X6" s="44" t="n"/>
      <c r="Y6" s="44" t="n"/>
      <c r="Z6" s="44" t="n"/>
      <c r="AA6" s="85" t="n"/>
      <c r="AB6" s="45" t="n"/>
      <c r="AC6" s="86" t="n"/>
      <c r="AD6" s="44" t="n"/>
      <c r="AE6" s="87" t="n"/>
      <c r="AF6" s="44" t="n"/>
      <c r="AG6" s="44" t="n"/>
      <c r="AH6" s="87" t="n"/>
      <c r="AI6" s="44" t="n"/>
      <c r="AJ6" s="45" t="n"/>
      <c r="AK6" s="45" t="n"/>
      <c r="AL6" s="45" t="n"/>
      <c r="AM6" s="44" t="n"/>
      <c r="AN6" s="45" t="n"/>
      <c r="AO6" s="44" t="n"/>
      <c r="AP6" s="44" t="n"/>
      <c r="AQ6" s="44" t="n"/>
      <c r="AR6" s="44" t="n"/>
      <c r="AS6" s="44" t="n"/>
    </row>
    <row r="7">
      <c r="A7" s="44" t="n"/>
      <c r="B7" s="44" t="n"/>
      <c r="C7" s="44" t="n"/>
      <c r="D7" s="44" t="n"/>
      <c r="E7" s="44" t="n"/>
      <c r="F7" s="44" t="n"/>
      <c r="G7" s="45" t="n"/>
      <c r="H7" s="45" t="n"/>
      <c r="I7" s="85" t="n"/>
      <c r="J7" s="44" t="n"/>
      <c r="K7" s="44" t="n"/>
      <c r="L7" s="44" t="n"/>
      <c r="M7" s="45" t="n"/>
      <c r="N7" s="44" t="n"/>
      <c r="O7" s="86" t="n"/>
      <c r="P7" s="44" t="n"/>
      <c r="Q7" s="45" t="n"/>
      <c r="R7" s="85" t="n"/>
      <c r="S7" s="85" t="n"/>
      <c r="T7" s="85" t="n"/>
      <c r="U7" s="85" t="n"/>
      <c r="V7" s="85" t="n"/>
      <c r="W7" s="86" t="n"/>
      <c r="X7" s="44" t="n"/>
      <c r="Y7" s="44" t="n"/>
      <c r="Z7" s="44" t="n"/>
      <c r="AA7" s="85" t="n"/>
      <c r="AB7" s="45" t="n"/>
      <c r="AC7" s="86" t="n"/>
      <c r="AD7" s="44" t="n"/>
      <c r="AE7" s="87" t="n"/>
      <c r="AF7" s="44" t="n"/>
      <c r="AG7" s="44" t="n"/>
      <c r="AH7" s="87" t="n"/>
      <c r="AI7" s="44" t="n"/>
      <c r="AJ7" s="45" t="n"/>
      <c r="AK7" s="45" t="n"/>
      <c r="AL7" s="45" t="n"/>
      <c r="AM7" s="44" t="n"/>
      <c r="AN7" s="45" t="n"/>
      <c r="AO7" s="44" t="n"/>
      <c r="AP7" s="44" t="n"/>
      <c r="AQ7" s="44" t="n"/>
      <c r="AR7" s="44" t="n"/>
      <c r="AS7" s="44" t="n"/>
    </row>
    <row r="8">
      <c r="A8" s="44" t="n"/>
      <c r="B8" s="44" t="n"/>
      <c r="C8" s="44" t="n"/>
      <c r="D8" s="44" t="n"/>
      <c r="E8" s="44" t="n"/>
      <c r="F8" s="44" t="n"/>
      <c r="G8" s="45" t="n"/>
      <c r="H8" s="45" t="n"/>
      <c r="I8" s="85" t="n"/>
      <c r="J8" s="44" t="n"/>
      <c r="K8" s="44" t="n"/>
      <c r="L8" s="44" t="n"/>
      <c r="M8" s="45" t="n"/>
      <c r="N8" s="44" t="n"/>
      <c r="O8" s="86" t="n"/>
      <c r="P8" s="44" t="n"/>
      <c r="Q8" s="45" t="n"/>
      <c r="R8" s="85" t="n"/>
      <c r="S8" s="85" t="n"/>
      <c r="T8" s="85" t="n"/>
      <c r="U8" s="85" t="n"/>
      <c r="V8" s="85" t="n"/>
      <c r="W8" s="86" t="n"/>
      <c r="X8" s="44" t="n"/>
      <c r="Y8" s="44" t="n"/>
      <c r="Z8" s="44" t="n"/>
      <c r="AA8" s="85" t="n"/>
      <c r="AB8" s="45" t="n"/>
      <c r="AC8" s="86" t="n"/>
      <c r="AD8" s="44" t="n"/>
      <c r="AE8" s="87" t="n"/>
      <c r="AF8" s="44" t="n"/>
      <c r="AG8" s="44" t="n"/>
      <c r="AH8" s="87" t="n"/>
      <c r="AI8" s="44" t="n"/>
      <c r="AJ8" s="45" t="n"/>
      <c r="AK8" s="45" t="n"/>
      <c r="AL8" s="45" t="n"/>
      <c r="AM8" s="44" t="n"/>
      <c r="AN8" s="45" t="n"/>
      <c r="AO8" s="44" t="n"/>
      <c r="AP8" s="44" t="n"/>
      <c r="AQ8" s="44" t="n"/>
      <c r="AR8" s="44" t="n"/>
      <c r="AS8" s="44" t="n"/>
    </row>
    <row r="9">
      <c r="A9" s="44" t="n"/>
      <c r="B9" s="44" t="n"/>
      <c r="C9" s="44" t="n"/>
      <c r="D9" s="44" t="n"/>
      <c r="E9" s="44" t="n"/>
      <c r="F9" s="44" t="n"/>
      <c r="G9" s="45" t="n"/>
      <c r="H9" s="45" t="n"/>
      <c r="I9" s="85" t="n"/>
      <c r="J9" s="44" t="n"/>
      <c r="K9" s="44" t="n"/>
      <c r="L9" s="44" t="n"/>
      <c r="M9" s="45" t="n"/>
      <c r="N9" s="44" t="n"/>
      <c r="O9" s="86" t="n"/>
      <c r="P9" s="44" t="n"/>
      <c r="Q9" s="45" t="n"/>
      <c r="R9" s="85" t="n"/>
      <c r="S9" s="85" t="n"/>
      <c r="T9" s="85" t="n"/>
      <c r="U9" s="85" t="n"/>
      <c r="V9" s="85" t="n"/>
      <c r="W9" s="86" t="n"/>
      <c r="X9" s="44" t="n"/>
      <c r="Y9" s="44" t="n"/>
      <c r="Z9" s="44" t="n"/>
      <c r="AA9" s="85" t="n"/>
      <c r="AB9" s="45" t="n"/>
      <c r="AC9" s="86" t="n"/>
      <c r="AD9" s="44" t="n"/>
      <c r="AE9" s="87" t="n"/>
      <c r="AF9" s="44" t="n"/>
      <c r="AG9" s="44" t="n"/>
      <c r="AH9" s="87" t="n"/>
      <c r="AI9" s="44" t="n"/>
      <c r="AJ9" s="45" t="n"/>
      <c r="AK9" s="45" t="n"/>
      <c r="AL9" s="45" t="n"/>
      <c r="AM9" s="44" t="n"/>
      <c r="AN9" s="45" t="n"/>
      <c r="AO9" s="44" t="n"/>
      <c r="AP9" s="44" t="n"/>
      <c r="AQ9" s="44" t="n"/>
      <c r="AR9" s="44" t="n"/>
      <c r="AS9" s="44" t="n"/>
    </row>
    <row r="10">
      <c r="A10" s="44" t="n"/>
      <c r="B10" s="44" t="n"/>
      <c r="C10" s="44" t="n"/>
      <c r="D10" s="44" t="n"/>
      <c r="E10" s="44" t="n"/>
      <c r="F10" s="44" t="n"/>
      <c r="G10" s="45" t="n"/>
      <c r="H10" s="45" t="n"/>
      <c r="I10" s="85" t="n"/>
      <c r="J10" s="44" t="n"/>
      <c r="K10" s="44" t="n"/>
      <c r="L10" s="44" t="n"/>
      <c r="M10" s="45" t="n"/>
      <c r="N10" s="44" t="n"/>
      <c r="O10" s="86" t="n"/>
      <c r="P10" s="44" t="n"/>
      <c r="Q10" s="45" t="n"/>
      <c r="R10" s="85" t="n"/>
      <c r="S10" s="85" t="n"/>
      <c r="T10" s="85" t="n"/>
      <c r="U10" s="85" t="n"/>
      <c r="V10" s="85" t="n"/>
      <c r="W10" s="86" t="n"/>
      <c r="X10" s="44" t="n"/>
      <c r="Y10" s="44" t="n"/>
      <c r="Z10" s="44" t="n"/>
      <c r="AA10" s="85" t="n"/>
      <c r="AB10" s="45" t="n"/>
      <c r="AC10" s="86" t="n"/>
      <c r="AD10" s="44" t="n"/>
      <c r="AE10" s="87" t="n"/>
      <c r="AF10" s="44" t="n"/>
      <c r="AG10" s="44" t="n"/>
      <c r="AH10" s="87" t="n"/>
      <c r="AI10" s="44" t="n"/>
      <c r="AJ10" s="45" t="n"/>
      <c r="AK10" s="45" t="n"/>
      <c r="AL10" s="45" t="n"/>
      <c r="AM10" s="44" t="n"/>
      <c r="AN10" s="45" t="n"/>
      <c r="AO10" s="44" t="n"/>
      <c r="AP10" s="44" t="n"/>
      <c r="AQ10" s="44" t="n"/>
      <c r="AR10" s="44" t="n"/>
      <c r="AS10" s="44" t="n"/>
    </row>
    <row r="11">
      <c r="A11" s="44" t="n"/>
      <c r="B11" s="44" t="n"/>
      <c r="C11" s="44" t="n"/>
      <c r="D11" s="44" t="n"/>
      <c r="E11" s="44" t="n"/>
      <c r="F11" s="44" t="n"/>
      <c r="G11" s="45" t="n"/>
      <c r="H11" s="45" t="n"/>
      <c r="I11" s="85" t="n"/>
      <c r="J11" s="44" t="n"/>
      <c r="K11" s="44" t="n"/>
      <c r="L11" s="44" t="n"/>
      <c r="M11" s="45" t="n"/>
      <c r="N11" s="44" t="n"/>
      <c r="O11" s="86" t="n"/>
      <c r="P11" s="44" t="n"/>
      <c r="Q11" s="45" t="n"/>
      <c r="R11" s="85" t="n"/>
      <c r="S11" s="85" t="n"/>
      <c r="T11" s="85" t="n"/>
      <c r="U11" s="85" t="n"/>
      <c r="V11" s="85" t="n"/>
      <c r="W11" s="86" t="n"/>
      <c r="X11" s="44" t="n"/>
      <c r="Y11" s="44" t="n"/>
      <c r="Z11" s="44" t="n"/>
      <c r="AA11" s="85" t="n"/>
      <c r="AB11" s="45" t="n"/>
      <c r="AC11" s="86" t="n"/>
      <c r="AD11" s="44" t="n"/>
      <c r="AE11" s="87" t="n"/>
      <c r="AF11" s="44" t="n"/>
      <c r="AG11" s="44" t="n"/>
      <c r="AH11" s="87" t="n"/>
      <c r="AI11" s="44" t="n"/>
      <c r="AJ11" s="45" t="n"/>
      <c r="AK11" s="45" t="n"/>
      <c r="AL11" s="45" t="n"/>
      <c r="AM11" s="44" t="n"/>
      <c r="AN11" s="45" t="n"/>
      <c r="AO11" s="44" t="n"/>
      <c r="AP11" s="44" t="n"/>
      <c r="AQ11" s="44" t="n"/>
      <c r="AR11" s="44" t="n"/>
      <c r="AS11" s="44" t="n"/>
    </row>
    <row r="12">
      <c r="A12" s="44" t="n"/>
      <c r="B12" s="44" t="n"/>
      <c r="C12" s="44" t="n"/>
      <c r="D12" s="44" t="n"/>
      <c r="E12" s="44" t="n"/>
      <c r="F12" s="44" t="n"/>
      <c r="G12" s="45" t="n"/>
      <c r="H12" s="45" t="n"/>
      <c r="I12" s="85" t="n"/>
      <c r="J12" s="44" t="n"/>
      <c r="K12" s="44" t="n"/>
      <c r="L12" s="44" t="n"/>
      <c r="M12" s="45" t="n"/>
      <c r="N12" s="44" t="n"/>
      <c r="O12" s="86" t="n"/>
      <c r="P12" s="44" t="n"/>
      <c r="Q12" s="45" t="n"/>
      <c r="R12" s="85" t="n"/>
      <c r="S12" s="85" t="n"/>
      <c r="T12" s="85" t="n"/>
      <c r="U12" s="85" t="n"/>
      <c r="V12" s="85" t="n"/>
      <c r="W12" s="86" t="n"/>
      <c r="X12" s="44" t="n"/>
      <c r="Y12" s="44" t="n"/>
      <c r="Z12" s="44" t="n"/>
      <c r="AA12" s="85" t="n"/>
      <c r="AB12" s="45" t="n"/>
      <c r="AC12" s="86" t="n"/>
      <c r="AD12" s="44" t="n"/>
      <c r="AE12" s="87" t="n"/>
      <c r="AF12" s="44" t="n"/>
      <c r="AG12" s="44" t="n"/>
      <c r="AH12" s="87" t="n"/>
      <c r="AI12" s="44" t="n"/>
      <c r="AJ12" s="45" t="n"/>
      <c r="AK12" s="45" t="n"/>
      <c r="AL12" s="45" t="n"/>
      <c r="AM12" s="44" t="n"/>
      <c r="AN12" s="45" t="n"/>
      <c r="AO12" s="44" t="n"/>
      <c r="AP12" s="44" t="n"/>
      <c r="AQ12" s="44" t="n"/>
      <c r="AR12" s="44" t="n"/>
      <c r="AS12" s="44" t="n"/>
    </row>
    <row r="13">
      <c r="A13" s="44" t="n"/>
      <c r="B13" s="44" t="n"/>
      <c r="C13" s="44" t="n"/>
      <c r="D13" s="44" t="n"/>
      <c r="E13" s="44" t="n"/>
      <c r="F13" s="44" t="n"/>
      <c r="G13" s="45" t="n"/>
      <c r="H13" s="45" t="n"/>
      <c r="I13" s="85" t="n"/>
      <c r="J13" s="44" t="n"/>
      <c r="K13" s="44" t="n"/>
      <c r="L13" s="44" t="n"/>
      <c r="M13" s="45" t="n"/>
      <c r="N13" s="44" t="n"/>
      <c r="O13" s="86" t="n"/>
      <c r="P13" s="44" t="n"/>
      <c r="Q13" s="45" t="n"/>
      <c r="R13" s="85" t="n"/>
      <c r="S13" s="85" t="n"/>
      <c r="T13" s="85" t="n"/>
      <c r="U13" s="85" t="n"/>
      <c r="V13" s="85" t="n"/>
      <c r="W13" s="86" t="n"/>
      <c r="X13" s="44" t="n"/>
      <c r="Y13" s="44" t="n"/>
      <c r="Z13" s="44" t="n"/>
      <c r="AA13" s="85" t="n"/>
      <c r="AB13" s="45" t="n"/>
      <c r="AC13" s="86" t="n"/>
      <c r="AD13" s="44" t="n"/>
      <c r="AE13" s="87" t="n"/>
      <c r="AF13" s="44" t="n"/>
      <c r="AG13" s="44" t="n"/>
      <c r="AH13" s="87" t="n"/>
      <c r="AI13" s="44" t="n"/>
      <c r="AJ13" s="45" t="n"/>
      <c r="AK13" s="45" t="n"/>
      <c r="AL13" s="45" t="n"/>
      <c r="AM13" s="44" t="n"/>
      <c r="AN13" s="45" t="n"/>
      <c r="AO13" s="44" t="n"/>
      <c r="AP13" s="44" t="n"/>
      <c r="AQ13" s="44" t="n"/>
      <c r="AR13" s="44" t="n"/>
      <c r="AS13" s="44" t="n"/>
    </row>
    <row r="14">
      <c r="A14" s="44" t="n"/>
      <c r="B14" s="44" t="n"/>
      <c r="C14" s="44" t="n"/>
      <c r="D14" s="44" t="n"/>
      <c r="E14" s="44" t="n"/>
      <c r="F14" s="44" t="n"/>
      <c r="G14" s="45" t="n"/>
      <c r="H14" s="45" t="n"/>
      <c r="I14" s="85" t="n"/>
      <c r="J14" s="44" t="n"/>
      <c r="K14" s="44" t="n"/>
      <c r="L14" s="44" t="n"/>
      <c r="M14" s="45" t="n"/>
      <c r="N14" s="44" t="n"/>
      <c r="O14" s="86" t="n"/>
      <c r="P14" s="44" t="n"/>
      <c r="Q14" s="45" t="n"/>
      <c r="R14" s="85" t="n"/>
      <c r="S14" s="85" t="n"/>
      <c r="T14" s="85" t="n"/>
      <c r="U14" s="85" t="n"/>
      <c r="V14" s="85" t="n"/>
      <c r="W14" s="86" t="n"/>
      <c r="X14" s="44" t="n"/>
      <c r="Y14" s="44" t="n"/>
      <c r="Z14" s="44" t="n"/>
      <c r="AA14" s="85" t="n"/>
      <c r="AB14" s="45" t="n"/>
      <c r="AC14" s="86" t="n"/>
      <c r="AD14" s="44" t="n"/>
      <c r="AE14" s="87" t="n"/>
      <c r="AF14" s="44" t="n"/>
      <c r="AG14" s="44" t="n"/>
      <c r="AH14" s="87" t="n"/>
      <c r="AI14" s="44" t="n"/>
      <c r="AJ14" s="45" t="n"/>
      <c r="AK14" s="45" t="n"/>
      <c r="AL14" s="45" t="n"/>
      <c r="AM14" s="44" t="n"/>
      <c r="AN14" s="45" t="n"/>
      <c r="AO14" s="44" t="n"/>
      <c r="AP14" s="44" t="n"/>
      <c r="AQ14" s="44" t="n"/>
      <c r="AR14" s="44" t="n"/>
      <c r="AS14" s="44" t="n"/>
    </row>
    <row r="15">
      <c r="A15" s="44" t="n"/>
      <c r="B15" s="44" t="n"/>
      <c r="C15" s="44" t="n"/>
      <c r="D15" s="44" t="n"/>
      <c r="E15" s="44" t="n"/>
      <c r="F15" s="44" t="n"/>
      <c r="G15" s="45" t="n"/>
      <c r="H15" s="45" t="n"/>
      <c r="I15" s="85" t="n"/>
      <c r="J15" s="44" t="n"/>
      <c r="K15" s="44" t="n"/>
      <c r="L15" s="44" t="n"/>
      <c r="M15" s="45" t="n"/>
      <c r="N15" s="44" t="n"/>
      <c r="O15" s="86" t="n"/>
      <c r="P15" s="44" t="n"/>
      <c r="Q15" s="45" t="n"/>
      <c r="R15" s="85" t="n"/>
      <c r="S15" s="85" t="n"/>
      <c r="T15" s="85" t="n"/>
      <c r="U15" s="85" t="n"/>
      <c r="V15" s="85" t="n"/>
      <c r="W15" s="86" t="n"/>
      <c r="X15" s="44" t="n"/>
      <c r="Y15" s="44" t="n"/>
      <c r="Z15" s="44" t="n"/>
      <c r="AA15" s="85" t="n"/>
      <c r="AB15" s="45" t="n"/>
      <c r="AC15" s="86" t="n"/>
      <c r="AD15" s="44" t="n"/>
      <c r="AE15" s="87" t="n"/>
      <c r="AF15" s="44" t="n"/>
      <c r="AG15" s="44" t="n"/>
      <c r="AH15" s="87" t="n"/>
      <c r="AI15" s="44" t="n"/>
      <c r="AJ15" s="45" t="n"/>
      <c r="AK15" s="45" t="n"/>
      <c r="AL15" s="45" t="n"/>
      <c r="AM15" s="44" t="n"/>
      <c r="AN15" s="45" t="n"/>
      <c r="AO15" s="44" t="n"/>
      <c r="AP15" s="44" t="n"/>
      <c r="AQ15" s="44" t="n"/>
      <c r="AR15" s="44" t="n"/>
      <c r="AS15" s="44" t="n"/>
    </row>
    <row r="16">
      <c r="A16" s="44" t="n"/>
      <c r="B16" s="44" t="n"/>
      <c r="C16" s="44" t="n"/>
      <c r="D16" s="44" t="n"/>
      <c r="E16" s="44" t="n"/>
      <c r="F16" s="44" t="n"/>
      <c r="G16" s="45" t="n"/>
      <c r="H16" s="45" t="n"/>
      <c r="I16" s="85" t="n"/>
      <c r="J16" s="44" t="n"/>
      <c r="K16" s="44" t="n"/>
      <c r="L16" s="44" t="n"/>
      <c r="M16" s="45" t="n"/>
      <c r="N16" s="44" t="n"/>
      <c r="O16" s="86" t="n"/>
      <c r="P16" s="44" t="n"/>
      <c r="Q16" s="45" t="n"/>
      <c r="R16" s="85" t="n"/>
      <c r="S16" s="85" t="n"/>
      <c r="T16" s="85" t="n"/>
      <c r="U16" s="85" t="n"/>
      <c r="V16" s="85" t="n"/>
      <c r="W16" s="86" t="n"/>
      <c r="X16" s="44" t="n"/>
      <c r="Y16" s="44" t="n"/>
      <c r="Z16" s="44" t="n"/>
      <c r="AA16" s="85" t="n"/>
      <c r="AB16" s="45" t="n"/>
      <c r="AC16" s="86" t="n"/>
      <c r="AD16" s="44" t="n"/>
      <c r="AE16" s="87" t="n"/>
      <c r="AF16" s="44" t="n"/>
      <c r="AG16" s="44" t="n"/>
      <c r="AH16" s="87" t="n"/>
      <c r="AI16" s="44" t="n"/>
      <c r="AJ16" s="45" t="n"/>
      <c r="AK16" s="45" t="n"/>
      <c r="AL16" s="45" t="n"/>
      <c r="AM16" s="44" t="n"/>
      <c r="AN16" s="45" t="n"/>
      <c r="AO16" s="44" t="n"/>
      <c r="AP16" s="44" t="n"/>
      <c r="AQ16" s="44" t="n"/>
      <c r="AR16" s="44" t="n"/>
      <c r="AS16" s="44" t="n"/>
    </row>
    <row r="17">
      <c r="A17" s="44" t="n"/>
      <c r="B17" s="44" t="n"/>
      <c r="C17" s="44" t="n"/>
      <c r="D17" s="44" t="n"/>
      <c r="E17" s="44" t="n"/>
      <c r="F17" s="44" t="n"/>
      <c r="G17" s="45" t="n"/>
      <c r="H17" s="45" t="n"/>
      <c r="I17" s="85" t="n"/>
      <c r="J17" s="44" t="n"/>
      <c r="K17" s="44" t="n"/>
      <c r="L17" s="44" t="n"/>
      <c r="M17" s="45" t="n"/>
      <c r="N17" s="44" t="n"/>
      <c r="O17" s="86" t="n"/>
      <c r="P17" s="44" t="n"/>
      <c r="Q17" s="45" t="n"/>
      <c r="R17" s="85" t="n"/>
      <c r="S17" s="85" t="n"/>
      <c r="T17" s="85" t="n"/>
      <c r="U17" s="85" t="n"/>
      <c r="V17" s="85" t="n"/>
      <c r="W17" s="86" t="n"/>
      <c r="X17" s="44" t="n"/>
      <c r="Y17" s="44" t="n"/>
      <c r="Z17" s="44" t="n"/>
      <c r="AA17" s="85" t="n"/>
      <c r="AB17" s="45" t="n"/>
      <c r="AC17" s="86" t="n"/>
      <c r="AD17" s="44" t="n"/>
      <c r="AE17" s="87" t="n"/>
      <c r="AF17" s="44" t="n"/>
      <c r="AG17" s="44" t="n"/>
      <c r="AH17" s="87" t="n"/>
      <c r="AI17" s="44" t="n"/>
      <c r="AJ17" s="45" t="n"/>
      <c r="AK17" s="45" t="n"/>
      <c r="AL17" s="45" t="n"/>
      <c r="AM17" s="44" t="n"/>
      <c r="AN17" s="45" t="n"/>
      <c r="AO17" s="44" t="n"/>
      <c r="AP17" s="44" t="n"/>
      <c r="AQ17" s="44" t="n"/>
      <c r="AR17" s="44" t="n"/>
      <c r="AS17" s="44" t="n"/>
    </row>
    <row r="18">
      <c r="A18" s="44" t="n"/>
      <c r="B18" s="44" t="n"/>
      <c r="C18" s="44" t="n"/>
      <c r="D18" s="44" t="n"/>
      <c r="E18" s="44" t="n"/>
      <c r="F18" s="44" t="n"/>
      <c r="G18" s="45" t="n"/>
      <c r="H18" s="45" t="n"/>
      <c r="I18" s="85" t="n"/>
      <c r="J18" s="44" t="n"/>
      <c r="K18" s="44" t="n"/>
      <c r="L18" s="44" t="n"/>
      <c r="M18" s="45" t="n"/>
      <c r="N18" s="44" t="n"/>
      <c r="O18" s="86" t="n"/>
      <c r="P18" s="44" t="n"/>
      <c r="Q18" s="45" t="n"/>
      <c r="R18" s="85" t="n"/>
      <c r="S18" s="85" t="n"/>
      <c r="T18" s="85" t="n"/>
      <c r="U18" s="85" t="n"/>
      <c r="V18" s="85" t="n"/>
      <c r="W18" s="86" t="n"/>
      <c r="X18" s="44" t="n"/>
      <c r="Y18" s="44" t="n"/>
      <c r="Z18" s="44" t="n"/>
      <c r="AA18" s="85" t="n"/>
      <c r="AB18" s="45" t="n"/>
      <c r="AC18" s="86" t="n"/>
      <c r="AD18" s="44" t="n"/>
      <c r="AE18" s="87" t="n"/>
      <c r="AF18" s="44" t="n"/>
      <c r="AG18" s="44" t="n"/>
      <c r="AH18" s="87" t="n"/>
      <c r="AI18" s="44" t="n"/>
      <c r="AJ18" s="45" t="n"/>
      <c r="AK18" s="45" t="n"/>
      <c r="AL18" s="45" t="n"/>
      <c r="AM18" s="44" t="n"/>
      <c r="AN18" s="45" t="n"/>
      <c r="AO18" s="44" t="n"/>
      <c r="AP18" s="44" t="n"/>
      <c r="AQ18" s="44" t="n"/>
      <c r="AR18" s="44" t="n"/>
      <c r="AS18" s="44" t="n"/>
    </row>
    <row r="19">
      <c r="A19" s="44" t="n"/>
      <c r="B19" s="44" t="n"/>
      <c r="C19" s="44" t="n"/>
      <c r="D19" s="44" t="n"/>
      <c r="E19" s="44" t="n"/>
      <c r="F19" s="44" t="n"/>
      <c r="G19" s="45" t="n"/>
      <c r="H19" s="45" t="n"/>
      <c r="I19" s="85" t="n"/>
      <c r="J19" s="44" t="n"/>
      <c r="K19" s="44" t="n"/>
      <c r="L19" s="44" t="n"/>
      <c r="M19" s="45" t="n"/>
      <c r="N19" s="44" t="n"/>
      <c r="O19" s="86" t="n"/>
      <c r="P19" s="44" t="n"/>
      <c r="Q19" s="45" t="n"/>
      <c r="R19" s="85" t="n"/>
      <c r="S19" s="85" t="n"/>
      <c r="T19" s="85" t="n"/>
      <c r="U19" s="85" t="n"/>
      <c r="V19" s="85" t="n"/>
      <c r="W19" s="86" t="n"/>
      <c r="X19" s="44" t="n"/>
      <c r="Y19" s="44" t="n"/>
      <c r="Z19" s="44" t="n"/>
      <c r="AA19" s="85" t="n"/>
      <c r="AB19" s="45" t="n"/>
      <c r="AC19" s="86" t="n"/>
      <c r="AD19" s="44" t="n"/>
      <c r="AE19" s="87" t="n"/>
      <c r="AF19" s="44" t="n"/>
      <c r="AG19" s="44" t="n"/>
      <c r="AH19" s="87" t="n"/>
      <c r="AI19" s="44" t="n"/>
      <c r="AJ19" s="45" t="n"/>
      <c r="AK19" s="45" t="n"/>
      <c r="AL19" s="45" t="n"/>
      <c r="AM19" s="44" t="n"/>
      <c r="AN19" s="45" t="n"/>
      <c r="AO19" s="44" t="n"/>
      <c r="AP19" s="44" t="n"/>
      <c r="AQ19" s="44" t="n"/>
      <c r="AR19" s="44" t="n"/>
      <c r="AS19" s="44" t="n"/>
    </row>
    <row r="20">
      <c r="A20" s="44" t="n"/>
      <c r="B20" s="44" t="n"/>
      <c r="C20" s="44" t="n"/>
      <c r="D20" s="44" t="n"/>
      <c r="E20" s="44" t="n"/>
      <c r="F20" s="44" t="n"/>
      <c r="G20" s="45" t="n"/>
      <c r="H20" s="45" t="n"/>
      <c r="I20" s="85" t="n"/>
      <c r="J20" s="44" t="n"/>
      <c r="K20" s="44" t="n"/>
      <c r="L20" s="44" t="n"/>
      <c r="M20" s="45" t="n"/>
      <c r="N20" s="44" t="n"/>
      <c r="O20" s="86" t="n"/>
      <c r="P20" s="44" t="n"/>
      <c r="Q20" s="45" t="n"/>
      <c r="R20" s="85" t="n"/>
      <c r="S20" s="85" t="n"/>
      <c r="T20" s="85" t="n"/>
      <c r="U20" s="85" t="n"/>
      <c r="V20" s="85" t="n"/>
      <c r="W20" s="86" t="n"/>
      <c r="X20" s="44" t="n"/>
      <c r="Y20" s="44" t="n"/>
      <c r="Z20" s="44" t="n"/>
      <c r="AA20" s="85" t="n"/>
      <c r="AB20" s="45" t="n"/>
      <c r="AC20" s="86" t="n"/>
      <c r="AD20" s="44" t="n"/>
      <c r="AE20" s="87" t="n"/>
      <c r="AF20" s="44" t="n"/>
      <c r="AG20" s="44" t="n"/>
      <c r="AH20" s="87" t="n"/>
      <c r="AI20" s="44" t="n"/>
      <c r="AJ20" s="45" t="n"/>
      <c r="AK20" s="45" t="n"/>
      <c r="AL20" s="45" t="n"/>
      <c r="AM20" s="44" t="n"/>
      <c r="AN20" s="45" t="n"/>
      <c r="AO20" s="44" t="n"/>
      <c r="AP20" s="44" t="n"/>
      <c r="AQ20" s="44" t="n"/>
      <c r="AR20" s="44" t="n"/>
      <c r="AS20" s="44" t="n"/>
    </row>
    <row r="21">
      <c r="A21" s="44" t="n"/>
      <c r="B21" s="44" t="n"/>
      <c r="C21" s="44" t="n"/>
      <c r="D21" s="44" t="n"/>
      <c r="E21" s="44" t="n"/>
      <c r="F21" s="44" t="n"/>
      <c r="G21" s="45" t="n"/>
      <c r="H21" s="45" t="n"/>
      <c r="I21" s="85" t="n"/>
      <c r="J21" s="44" t="n"/>
      <c r="K21" s="44" t="n"/>
      <c r="L21" s="44" t="n"/>
      <c r="M21" s="45" t="n"/>
      <c r="N21" s="44" t="n"/>
      <c r="O21" s="86" t="n"/>
      <c r="P21" s="44" t="n"/>
      <c r="Q21" s="45" t="n"/>
      <c r="R21" s="85" t="n"/>
      <c r="S21" s="85" t="n"/>
      <c r="T21" s="85" t="n"/>
      <c r="U21" s="85" t="n"/>
      <c r="V21" s="85" t="n"/>
      <c r="W21" s="86" t="n"/>
      <c r="X21" s="44" t="n"/>
      <c r="Y21" s="44" t="n"/>
      <c r="Z21" s="44" t="n"/>
      <c r="AA21" s="85" t="n"/>
      <c r="AB21" s="45" t="n"/>
      <c r="AC21" s="86" t="n"/>
      <c r="AD21" s="44" t="n"/>
      <c r="AE21" s="87" t="n"/>
      <c r="AF21" s="44" t="n"/>
      <c r="AG21" s="44" t="n"/>
      <c r="AH21" s="87" t="n"/>
      <c r="AI21" s="44" t="n"/>
      <c r="AJ21" s="45" t="n"/>
      <c r="AK21" s="45" t="n"/>
      <c r="AL21" s="45" t="n"/>
      <c r="AM21" s="44" t="n"/>
      <c r="AN21" s="45" t="n"/>
      <c r="AO21" s="44" t="n"/>
      <c r="AP21" s="44" t="n"/>
      <c r="AQ21" s="44" t="n"/>
      <c r="AR21" s="44" t="n"/>
      <c r="AS21" s="44" t="n"/>
    </row>
    <row r="22">
      <c r="A22" s="44" t="n"/>
      <c r="B22" s="44" t="n"/>
      <c r="C22" s="44" t="n"/>
      <c r="D22" s="44" t="n"/>
      <c r="E22" s="44" t="n"/>
      <c r="F22" s="44" t="n"/>
      <c r="G22" s="45" t="n"/>
      <c r="H22" s="45" t="n"/>
      <c r="I22" s="85" t="n"/>
      <c r="J22" s="44" t="n"/>
      <c r="K22" s="44" t="n"/>
      <c r="L22" s="44" t="n"/>
      <c r="M22" s="45" t="n"/>
      <c r="N22" s="44" t="n"/>
      <c r="O22" s="86" t="n"/>
      <c r="P22" s="44" t="n"/>
      <c r="Q22" s="45" t="n"/>
      <c r="R22" s="85" t="n"/>
      <c r="S22" s="85" t="n"/>
      <c r="T22" s="85" t="n"/>
      <c r="U22" s="85" t="n"/>
      <c r="V22" s="85" t="n"/>
      <c r="W22" s="86" t="n"/>
      <c r="X22" s="44" t="n"/>
      <c r="Y22" s="44" t="n"/>
      <c r="Z22" s="44" t="n"/>
      <c r="AA22" s="85" t="n"/>
      <c r="AB22" s="45" t="n"/>
      <c r="AC22" s="86" t="n"/>
      <c r="AD22" s="44" t="n"/>
      <c r="AE22" s="87" t="n"/>
      <c r="AF22" s="44" t="n"/>
      <c r="AG22" s="44" t="n"/>
      <c r="AH22" s="87" t="n"/>
      <c r="AI22" s="44" t="n"/>
      <c r="AJ22" s="45" t="n"/>
      <c r="AK22" s="45" t="n"/>
      <c r="AL22" s="45" t="n"/>
      <c r="AM22" s="44" t="n"/>
      <c r="AN22" s="45" t="n"/>
      <c r="AO22" s="44" t="n"/>
      <c r="AP22" s="44" t="n"/>
      <c r="AQ22" s="44" t="n"/>
      <c r="AR22" s="44" t="n"/>
      <c r="AS22" s="44" t="n"/>
    </row>
    <row r="23">
      <c r="A23" s="44" t="n"/>
      <c r="B23" s="44" t="n"/>
      <c r="C23" s="44" t="n"/>
      <c r="D23" s="44" t="n"/>
      <c r="E23" s="44" t="n"/>
      <c r="F23" s="44" t="n"/>
      <c r="G23" s="45" t="n"/>
      <c r="H23" s="45" t="n"/>
      <c r="I23" s="85" t="n"/>
      <c r="J23" s="44" t="n"/>
      <c r="K23" s="44" t="n"/>
      <c r="L23" s="44" t="n"/>
      <c r="M23" s="45" t="n"/>
      <c r="N23" s="44" t="n"/>
      <c r="O23" s="86" t="n"/>
      <c r="P23" s="44" t="n"/>
      <c r="Q23" s="45" t="n"/>
      <c r="R23" s="85" t="n"/>
      <c r="S23" s="85" t="n"/>
      <c r="T23" s="85" t="n"/>
      <c r="U23" s="85" t="n"/>
      <c r="V23" s="85" t="n"/>
      <c r="W23" s="86" t="n"/>
      <c r="X23" s="44" t="n"/>
      <c r="Y23" s="44" t="n"/>
      <c r="Z23" s="44" t="n"/>
      <c r="AA23" s="85" t="n"/>
      <c r="AB23" s="45" t="n"/>
      <c r="AC23" s="86" t="n"/>
      <c r="AD23" s="44" t="n"/>
      <c r="AE23" s="87" t="n"/>
      <c r="AF23" s="44" t="n"/>
      <c r="AG23" s="44" t="n"/>
      <c r="AH23" s="87" t="n"/>
      <c r="AI23" s="44" t="n"/>
      <c r="AJ23" s="45" t="n"/>
      <c r="AK23" s="45" t="n"/>
      <c r="AL23" s="45" t="n"/>
      <c r="AM23" s="44" t="n"/>
      <c r="AN23" s="45" t="n"/>
      <c r="AO23" s="44" t="n"/>
      <c r="AP23" s="44" t="n"/>
      <c r="AQ23" s="44" t="n"/>
      <c r="AR23" s="44" t="n"/>
      <c r="AS23" s="44" t="n"/>
    </row>
    <row r="24">
      <c r="A24" s="44" t="n"/>
      <c r="B24" s="44" t="n"/>
      <c r="C24" s="44" t="n"/>
      <c r="D24" s="44" t="n"/>
      <c r="E24" s="44" t="n"/>
      <c r="F24" s="44" t="n"/>
      <c r="G24" s="45" t="n"/>
      <c r="H24" s="45" t="n"/>
      <c r="I24" s="85" t="n"/>
      <c r="J24" s="44" t="n"/>
      <c r="K24" s="44" t="n"/>
      <c r="L24" s="44" t="n"/>
      <c r="M24" s="45" t="n"/>
      <c r="N24" s="44" t="n"/>
      <c r="O24" s="86" t="n"/>
      <c r="P24" s="44" t="n"/>
      <c r="Q24" s="45" t="n"/>
      <c r="R24" s="85" t="n"/>
      <c r="S24" s="85" t="n"/>
      <c r="T24" s="85" t="n"/>
      <c r="U24" s="85" t="n"/>
      <c r="V24" s="85" t="n"/>
      <c r="W24" s="86" t="n"/>
      <c r="X24" s="44" t="n"/>
      <c r="Y24" s="44" t="n"/>
      <c r="Z24" s="44" t="n"/>
      <c r="AA24" s="85" t="n"/>
      <c r="AB24" s="45" t="n"/>
      <c r="AC24" s="86" t="n"/>
      <c r="AD24" s="44" t="n"/>
      <c r="AE24" s="87" t="n"/>
      <c r="AF24" s="44" t="n"/>
      <c r="AG24" s="44" t="n"/>
      <c r="AH24" s="87" t="n"/>
      <c r="AI24" s="44" t="n"/>
      <c r="AJ24" s="45" t="n"/>
      <c r="AK24" s="45" t="n"/>
      <c r="AL24" s="45" t="n"/>
      <c r="AM24" s="44" t="n"/>
      <c r="AN24" s="45" t="n"/>
      <c r="AO24" s="44" t="n"/>
      <c r="AP24" s="44" t="n"/>
      <c r="AQ24" s="44" t="n"/>
      <c r="AR24" s="44" t="n"/>
      <c r="AS24" s="44" t="n"/>
    </row>
    <row r="25">
      <c r="A25" s="44" t="n"/>
      <c r="B25" s="44" t="n"/>
      <c r="C25" s="44" t="n"/>
      <c r="D25" s="44" t="n"/>
      <c r="E25" s="44" t="n"/>
      <c r="F25" s="44" t="n"/>
      <c r="G25" s="45" t="n"/>
      <c r="H25" s="45" t="n"/>
      <c r="I25" s="85" t="n"/>
      <c r="J25" s="44" t="n"/>
      <c r="K25" s="44" t="n"/>
      <c r="L25" s="44" t="n"/>
      <c r="M25" s="45" t="n"/>
      <c r="N25" s="44" t="n"/>
      <c r="O25" s="86" t="n"/>
      <c r="P25" s="44" t="n"/>
      <c r="Q25" s="45" t="n"/>
      <c r="R25" s="85" t="n"/>
      <c r="S25" s="85" t="n"/>
      <c r="T25" s="85" t="n"/>
      <c r="U25" s="85" t="n"/>
      <c r="V25" s="85" t="n"/>
      <c r="W25" s="86" t="n"/>
      <c r="X25" s="44" t="n"/>
      <c r="Y25" s="44" t="n"/>
      <c r="Z25" s="44" t="n"/>
      <c r="AA25" s="85" t="n"/>
      <c r="AB25" s="45" t="n"/>
      <c r="AC25" s="86" t="n"/>
      <c r="AD25" s="44" t="n"/>
      <c r="AE25" s="87" t="n"/>
      <c r="AF25" s="44" t="n"/>
      <c r="AG25" s="44" t="n"/>
      <c r="AH25" s="87" t="n"/>
      <c r="AI25" s="44" t="n"/>
      <c r="AJ25" s="45" t="n"/>
      <c r="AK25" s="45" t="n"/>
      <c r="AL25" s="45" t="n"/>
      <c r="AM25" s="44" t="n"/>
      <c r="AN25" s="45" t="n"/>
      <c r="AO25" s="44" t="n"/>
      <c r="AP25" s="44" t="n"/>
      <c r="AQ25" s="44" t="n"/>
      <c r="AR25" s="44" t="n"/>
      <c r="AS25" s="44" t="n"/>
    </row>
    <row r="26">
      <c r="A26" s="44" t="n"/>
      <c r="B26" s="44" t="n"/>
      <c r="C26" s="44" t="n"/>
      <c r="D26" s="44" t="n"/>
      <c r="E26" s="44" t="n"/>
      <c r="F26" s="44" t="n"/>
      <c r="G26" s="45" t="n"/>
      <c r="H26" s="45" t="n"/>
      <c r="I26" s="85" t="n"/>
      <c r="J26" s="44" t="n"/>
      <c r="K26" s="44" t="n"/>
      <c r="L26" s="44" t="n"/>
      <c r="M26" s="45" t="n"/>
      <c r="N26" s="44" t="n"/>
      <c r="O26" s="86" t="n"/>
      <c r="P26" s="44" t="n"/>
      <c r="Q26" s="45" t="n"/>
      <c r="R26" s="85" t="n"/>
      <c r="S26" s="85" t="n"/>
      <c r="T26" s="85" t="n"/>
      <c r="U26" s="85" t="n"/>
      <c r="V26" s="85" t="n"/>
      <c r="W26" s="86" t="n"/>
      <c r="X26" s="44" t="n"/>
      <c r="Y26" s="44" t="n"/>
      <c r="Z26" s="44" t="n"/>
      <c r="AA26" s="85" t="n"/>
      <c r="AB26" s="45" t="n"/>
      <c r="AC26" s="86" t="n"/>
      <c r="AD26" s="44" t="n"/>
      <c r="AE26" s="87" t="n"/>
      <c r="AF26" s="44" t="n"/>
      <c r="AG26" s="44" t="n"/>
      <c r="AH26" s="87" t="n"/>
      <c r="AI26" s="44" t="n"/>
      <c r="AJ26" s="45" t="n"/>
      <c r="AK26" s="45" t="n"/>
      <c r="AL26" s="45" t="n"/>
      <c r="AM26" s="44" t="n"/>
      <c r="AN26" s="45" t="n"/>
      <c r="AO26" s="44" t="n"/>
      <c r="AP26" s="44" t="n"/>
      <c r="AQ26" s="44" t="n"/>
      <c r="AR26" s="44" t="n"/>
      <c r="AS26" s="44" t="n"/>
    </row>
    <row r="27">
      <c r="A27" s="44" t="n"/>
      <c r="B27" s="44" t="n"/>
      <c r="C27" s="44" t="n"/>
      <c r="D27" s="44" t="n"/>
      <c r="E27" s="44" t="n"/>
      <c r="F27" s="44" t="n"/>
      <c r="G27" s="45" t="n"/>
      <c r="H27" s="45" t="n"/>
      <c r="I27" s="85" t="n"/>
      <c r="J27" s="44" t="n"/>
      <c r="K27" s="44" t="n"/>
      <c r="L27" s="44" t="n"/>
      <c r="M27" s="45" t="n"/>
      <c r="N27" s="44" t="n"/>
      <c r="O27" s="86" t="n"/>
      <c r="P27" s="44" t="n"/>
      <c r="Q27" s="45" t="n"/>
      <c r="R27" s="85" t="n"/>
      <c r="S27" s="85" t="n"/>
      <c r="T27" s="85" t="n"/>
      <c r="U27" s="85" t="n"/>
      <c r="V27" s="85" t="n"/>
      <c r="W27" s="86" t="n"/>
      <c r="X27" s="44" t="n"/>
      <c r="Y27" s="44" t="n"/>
      <c r="Z27" s="44" t="n"/>
      <c r="AA27" s="85" t="n"/>
      <c r="AB27" s="45" t="n"/>
      <c r="AC27" s="86" t="n"/>
      <c r="AD27" s="44" t="n"/>
      <c r="AE27" s="87" t="n"/>
      <c r="AF27" s="44" t="n"/>
      <c r="AG27" s="44" t="n"/>
      <c r="AH27" s="87" t="n"/>
      <c r="AI27" s="44" t="n"/>
      <c r="AJ27" s="45" t="n"/>
      <c r="AK27" s="45" t="n"/>
      <c r="AL27" s="45" t="n"/>
      <c r="AM27" s="44" t="n"/>
      <c r="AN27" s="45" t="n"/>
      <c r="AO27" s="44" t="n"/>
      <c r="AP27" s="44" t="n"/>
      <c r="AQ27" s="44" t="n"/>
      <c r="AR27" s="44" t="n"/>
      <c r="AS27" s="44" t="n"/>
    </row>
    <row r="28">
      <c r="A28" s="44" t="n"/>
      <c r="B28" s="44" t="n"/>
      <c r="C28" s="44" t="n"/>
      <c r="D28" s="44" t="n"/>
      <c r="E28" s="44" t="n"/>
      <c r="F28" s="44" t="n"/>
      <c r="G28" s="45" t="n"/>
      <c r="H28" s="45" t="n"/>
      <c r="I28" s="85" t="n"/>
      <c r="J28" s="44" t="n"/>
      <c r="K28" s="44" t="n"/>
      <c r="L28" s="44" t="n"/>
      <c r="M28" s="45" t="n"/>
      <c r="N28" s="44" t="n"/>
      <c r="O28" s="86" t="n"/>
      <c r="P28" s="44" t="n"/>
      <c r="Q28" s="45" t="n"/>
      <c r="R28" s="85" t="n"/>
      <c r="S28" s="85" t="n"/>
      <c r="T28" s="85" t="n"/>
      <c r="U28" s="85" t="n"/>
      <c r="V28" s="85" t="n"/>
      <c r="W28" s="86" t="n"/>
      <c r="X28" s="44" t="n"/>
      <c r="Y28" s="44" t="n"/>
      <c r="Z28" s="44" t="n"/>
      <c r="AA28" s="85" t="n"/>
      <c r="AB28" s="45" t="n"/>
      <c r="AC28" s="86" t="n"/>
      <c r="AD28" s="44" t="n"/>
      <c r="AE28" s="87" t="n"/>
      <c r="AF28" s="44" t="n"/>
      <c r="AG28" s="44" t="n"/>
      <c r="AH28" s="87" t="n"/>
      <c r="AI28" s="44" t="n"/>
      <c r="AJ28" s="45" t="n"/>
      <c r="AK28" s="45" t="n"/>
      <c r="AL28" s="45" t="n"/>
      <c r="AM28" s="44" t="n"/>
      <c r="AN28" s="45" t="n"/>
      <c r="AO28" s="44" t="n"/>
      <c r="AP28" s="44" t="n"/>
      <c r="AQ28" s="44" t="n"/>
      <c r="AR28" s="44" t="n"/>
      <c r="AS28" s="44" t="n"/>
    </row>
    <row r="29">
      <c r="A29" s="44" t="n"/>
      <c r="B29" s="44" t="n"/>
      <c r="C29" s="44" t="n"/>
      <c r="D29" s="44" t="n"/>
      <c r="E29" s="44" t="n"/>
      <c r="F29" s="44" t="n"/>
      <c r="G29" s="45" t="n"/>
      <c r="H29" s="45" t="n"/>
      <c r="I29" s="85" t="n"/>
      <c r="J29" s="44" t="n"/>
      <c r="K29" s="44" t="n"/>
      <c r="L29" s="44" t="n"/>
      <c r="M29" s="45" t="n"/>
      <c r="N29" s="44" t="n"/>
      <c r="O29" s="86" t="n"/>
      <c r="P29" s="44" t="n"/>
      <c r="Q29" s="45" t="n"/>
      <c r="R29" s="85" t="n"/>
      <c r="S29" s="85" t="n"/>
      <c r="T29" s="85" t="n"/>
      <c r="U29" s="85" t="n"/>
      <c r="V29" s="85" t="n"/>
      <c r="W29" s="86" t="n"/>
      <c r="X29" s="44" t="n"/>
      <c r="Y29" s="44" t="n"/>
      <c r="Z29" s="44" t="n"/>
      <c r="AA29" s="85" t="n"/>
      <c r="AB29" s="45" t="n"/>
      <c r="AC29" s="86" t="n"/>
      <c r="AD29" s="44" t="n"/>
      <c r="AE29" s="87" t="n"/>
      <c r="AF29" s="44" t="n"/>
      <c r="AG29" s="44" t="n"/>
      <c r="AH29" s="87" t="n"/>
      <c r="AI29" s="44" t="n"/>
      <c r="AJ29" s="45" t="n"/>
      <c r="AK29" s="45" t="n"/>
      <c r="AL29" s="45" t="n"/>
      <c r="AM29" s="44" t="n"/>
      <c r="AN29" s="45" t="n"/>
      <c r="AO29" s="44" t="n"/>
      <c r="AP29" s="44" t="n"/>
      <c r="AQ29" s="44" t="n"/>
      <c r="AR29" s="44" t="n"/>
      <c r="AS29" s="44" t="n"/>
    </row>
    <row r="30">
      <c r="A30" s="44" t="n"/>
      <c r="B30" s="44" t="n"/>
      <c r="C30" s="44" t="n"/>
      <c r="D30" s="44" t="n"/>
      <c r="E30" s="44" t="n"/>
      <c r="F30" s="44" t="n"/>
      <c r="G30" s="45" t="n"/>
      <c r="H30" s="45" t="n"/>
      <c r="I30" s="85" t="n"/>
      <c r="J30" s="44" t="n"/>
      <c r="K30" s="44" t="n"/>
      <c r="L30" s="44" t="n"/>
      <c r="M30" s="45" t="n"/>
      <c r="N30" s="44" t="n"/>
      <c r="O30" s="86" t="n"/>
      <c r="P30" s="44" t="n"/>
      <c r="Q30" s="45" t="n"/>
      <c r="R30" s="85" t="n"/>
      <c r="S30" s="85" t="n"/>
      <c r="T30" s="85" t="n"/>
      <c r="U30" s="85" t="n"/>
      <c r="V30" s="85" t="n"/>
      <c r="W30" s="86" t="n"/>
      <c r="X30" s="44" t="n"/>
      <c r="Y30" s="44" t="n"/>
      <c r="Z30" s="44" t="n"/>
      <c r="AA30" s="85" t="n"/>
      <c r="AB30" s="45" t="n"/>
      <c r="AC30" s="86" t="n"/>
      <c r="AD30" s="44" t="n"/>
      <c r="AE30" s="87" t="n"/>
      <c r="AF30" s="44" t="n"/>
      <c r="AG30" s="44" t="n"/>
      <c r="AH30" s="87" t="n"/>
      <c r="AI30" s="44" t="n"/>
      <c r="AJ30" s="45" t="n"/>
      <c r="AK30" s="45" t="n"/>
      <c r="AL30" s="45" t="n"/>
      <c r="AM30" s="44" t="n"/>
      <c r="AN30" s="45" t="n"/>
      <c r="AO30" s="44" t="n"/>
      <c r="AP30" s="44" t="n"/>
      <c r="AQ30" s="44" t="n"/>
      <c r="AR30" s="44" t="n"/>
      <c r="AS30" s="44" t="n"/>
    </row>
    <row r="31">
      <c r="A31" s="44" t="n"/>
      <c r="B31" s="44" t="n"/>
      <c r="C31" s="44" t="n"/>
      <c r="D31" s="44" t="n"/>
      <c r="E31" s="44" t="n"/>
      <c r="F31" s="44" t="n"/>
      <c r="G31" s="45" t="n"/>
      <c r="H31" s="45" t="n"/>
      <c r="I31" s="85" t="n"/>
      <c r="J31" s="44" t="n"/>
      <c r="K31" s="44" t="n"/>
      <c r="L31" s="44" t="n"/>
      <c r="M31" s="45" t="n"/>
      <c r="N31" s="44" t="n"/>
      <c r="O31" s="86" t="n"/>
      <c r="P31" s="44" t="n"/>
      <c r="Q31" s="45" t="n"/>
      <c r="R31" s="85" t="n"/>
      <c r="S31" s="85" t="n"/>
      <c r="T31" s="85" t="n"/>
      <c r="U31" s="85" t="n"/>
      <c r="V31" s="85" t="n"/>
      <c r="W31" s="86" t="n"/>
      <c r="X31" s="44" t="n"/>
      <c r="Y31" s="44" t="n"/>
      <c r="Z31" s="44" t="n"/>
      <c r="AA31" s="85" t="n"/>
      <c r="AB31" s="45" t="n"/>
      <c r="AC31" s="86" t="n"/>
      <c r="AD31" s="44" t="n"/>
      <c r="AE31" s="87" t="n"/>
      <c r="AF31" s="44" t="n"/>
      <c r="AG31" s="44" t="n"/>
      <c r="AH31" s="87" t="n"/>
      <c r="AI31" s="44" t="n"/>
      <c r="AJ31" s="45" t="n"/>
      <c r="AK31" s="45" t="n"/>
      <c r="AL31" s="45" t="n"/>
      <c r="AM31" s="44" t="n"/>
      <c r="AN31" s="45" t="n"/>
      <c r="AO31" s="44" t="n"/>
      <c r="AP31" s="44" t="n"/>
      <c r="AQ31" s="44" t="n"/>
      <c r="AR31" s="44" t="n"/>
      <c r="AS31" s="44" t="n"/>
    </row>
    <row r="32">
      <c r="A32" s="44" t="n"/>
      <c r="B32" s="44" t="n"/>
      <c r="C32" s="44" t="n"/>
      <c r="D32" s="44" t="n"/>
      <c r="E32" s="44" t="n"/>
      <c r="F32" s="44" t="n"/>
      <c r="G32" s="45" t="n"/>
      <c r="H32" s="45" t="n"/>
      <c r="I32" s="85" t="n"/>
      <c r="J32" s="44" t="n"/>
      <c r="K32" s="44" t="n"/>
      <c r="L32" s="44" t="n"/>
      <c r="M32" s="45" t="n"/>
      <c r="N32" s="44" t="n"/>
      <c r="O32" s="86" t="n"/>
      <c r="P32" s="44" t="n"/>
      <c r="Q32" s="45" t="n"/>
      <c r="R32" s="85" t="n"/>
      <c r="S32" s="85" t="n"/>
      <c r="T32" s="85" t="n"/>
      <c r="U32" s="85" t="n"/>
      <c r="V32" s="85" t="n"/>
      <c r="W32" s="86" t="n"/>
      <c r="X32" s="44" t="n"/>
      <c r="Y32" s="44" t="n"/>
      <c r="Z32" s="44" t="n"/>
      <c r="AA32" s="85" t="n"/>
      <c r="AB32" s="45" t="n"/>
      <c r="AC32" s="86" t="n"/>
      <c r="AD32" s="44" t="n"/>
      <c r="AE32" s="87" t="n"/>
      <c r="AF32" s="44" t="n"/>
      <c r="AG32" s="44" t="n"/>
      <c r="AH32" s="87" t="n"/>
      <c r="AI32" s="44" t="n"/>
      <c r="AJ32" s="45" t="n"/>
      <c r="AK32" s="45" t="n"/>
      <c r="AL32" s="45" t="n"/>
      <c r="AM32" s="44" t="n"/>
      <c r="AN32" s="45" t="n"/>
      <c r="AO32" s="44" t="n"/>
      <c r="AP32" s="44" t="n"/>
      <c r="AQ32" s="44" t="n"/>
      <c r="AR32" s="44" t="n"/>
      <c r="AS32" s="44" t="n"/>
    </row>
    <row r="33">
      <c r="A33" s="44" t="n"/>
      <c r="B33" s="44" t="n"/>
      <c r="C33" s="44" t="n"/>
      <c r="D33" s="44" t="n"/>
      <c r="E33" s="44" t="n"/>
      <c r="F33" s="44" t="n"/>
      <c r="G33" s="45" t="n"/>
      <c r="H33" s="45" t="n"/>
      <c r="I33" s="85" t="n"/>
      <c r="J33" s="44" t="n"/>
      <c r="K33" s="44" t="n"/>
      <c r="L33" s="44" t="n"/>
      <c r="M33" s="45" t="n"/>
      <c r="N33" s="44" t="n"/>
      <c r="O33" s="86" t="n"/>
      <c r="P33" s="44" t="n"/>
      <c r="Q33" s="45" t="n"/>
      <c r="R33" s="85" t="n"/>
      <c r="S33" s="85" t="n"/>
      <c r="T33" s="85" t="n"/>
      <c r="U33" s="85" t="n"/>
      <c r="V33" s="85" t="n"/>
      <c r="W33" s="86" t="n"/>
      <c r="X33" s="44" t="n"/>
      <c r="Y33" s="44" t="n"/>
      <c r="Z33" s="44" t="n"/>
      <c r="AA33" s="85" t="n"/>
      <c r="AB33" s="45" t="n"/>
      <c r="AC33" s="86" t="n"/>
      <c r="AD33" s="44" t="n"/>
      <c r="AE33" s="87" t="n"/>
      <c r="AF33" s="44" t="n"/>
      <c r="AG33" s="44" t="n"/>
      <c r="AH33" s="87" t="n"/>
      <c r="AI33" s="44" t="n"/>
      <c r="AJ33" s="45" t="n"/>
      <c r="AK33" s="45" t="n"/>
      <c r="AL33" s="45" t="n"/>
      <c r="AM33" s="44" t="n"/>
      <c r="AN33" s="45" t="n"/>
      <c r="AO33" s="44" t="n"/>
      <c r="AP33" s="44" t="n"/>
      <c r="AQ33" s="44" t="n"/>
      <c r="AR33" s="44" t="n"/>
      <c r="AS33" s="44" t="n"/>
    </row>
    <row r="34">
      <c r="A34" s="44" t="n"/>
      <c r="B34" s="44" t="n"/>
      <c r="C34" s="44" t="n"/>
      <c r="D34" s="44" t="n"/>
      <c r="E34" s="44" t="n"/>
      <c r="F34" s="44" t="n"/>
      <c r="G34" s="45" t="n"/>
      <c r="H34" s="45" t="n"/>
      <c r="I34" s="85" t="n"/>
      <c r="J34" s="44" t="n"/>
      <c r="K34" s="44" t="n"/>
      <c r="L34" s="44" t="n"/>
      <c r="M34" s="45" t="n"/>
      <c r="N34" s="44" t="n"/>
      <c r="O34" s="86" t="n"/>
      <c r="P34" s="44" t="n"/>
      <c r="Q34" s="45" t="n"/>
      <c r="R34" s="85" t="n"/>
      <c r="S34" s="85" t="n"/>
      <c r="T34" s="85" t="n"/>
      <c r="U34" s="85" t="n"/>
      <c r="V34" s="85" t="n"/>
      <c r="W34" s="86" t="n"/>
      <c r="X34" s="44" t="n"/>
      <c r="Y34" s="44" t="n"/>
      <c r="Z34" s="44" t="n"/>
      <c r="AA34" s="85" t="n"/>
      <c r="AB34" s="45" t="n"/>
      <c r="AC34" s="86" t="n"/>
      <c r="AD34" s="44" t="n"/>
      <c r="AE34" s="87" t="n"/>
      <c r="AF34" s="44" t="n"/>
      <c r="AG34" s="44" t="n"/>
      <c r="AH34" s="87" t="n"/>
      <c r="AI34" s="44" t="n"/>
      <c r="AJ34" s="45" t="n"/>
      <c r="AK34" s="45" t="n"/>
      <c r="AL34" s="45" t="n"/>
      <c r="AM34" s="44" t="n"/>
      <c r="AN34" s="45" t="n"/>
      <c r="AO34" s="44" t="n"/>
      <c r="AP34" s="44" t="n"/>
      <c r="AQ34" s="44" t="n"/>
      <c r="AR34" s="44" t="n"/>
      <c r="AS34" s="44" t="n"/>
    </row>
    <row r="35">
      <c r="A35" s="44" t="n"/>
      <c r="B35" s="44" t="n"/>
      <c r="C35" s="44" t="n"/>
      <c r="D35" s="44" t="n"/>
      <c r="E35" s="44" t="n"/>
      <c r="F35" s="44" t="n"/>
      <c r="G35" s="45" t="n"/>
      <c r="H35" s="45" t="n"/>
      <c r="I35" s="85" t="n"/>
      <c r="J35" s="44" t="n"/>
      <c r="K35" s="44" t="n"/>
      <c r="L35" s="44" t="n"/>
      <c r="M35" s="45" t="n"/>
      <c r="N35" s="44" t="n"/>
      <c r="O35" s="86" t="n"/>
      <c r="P35" s="44" t="n"/>
      <c r="Q35" s="45" t="n"/>
      <c r="R35" s="85" t="n"/>
      <c r="S35" s="85" t="n"/>
      <c r="T35" s="85" t="n"/>
      <c r="U35" s="85" t="n"/>
      <c r="V35" s="85" t="n"/>
      <c r="W35" s="86" t="n"/>
      <c r="X35" s="44" t="n"/>
      <c r="Y35" s="44" t="n"/>
      <c r="Z35" s="44" t="n"/>
      <c r="AA35" s="85" t="n"/>
      <c r="AB35" s="45" t="n"/>
      <c r="AC35" s="86" t="n"/>
      <c r="AD35" s="44" t="n"/>
      <c r="AE35" s="87" t="n"/>
      <c r="AF35" s="44" t="n"/>
      <c r="AG35" s="44" t="n"/>
      <c r="AH35" s="87" t="n"/>
      <c r="AI35" s="44" t="n"/>
      <c r="AJ35" s="45" t="n"/>
      <c r="AK35" s="45" t="n"/>
      <c r="AL35" s="45" t="n"/>
      <c r="AM35" s="44" t="n"/>
      <c r="AN35" s="45" t="n"/>
      <c r="AO35" s="44" t="n"/>
      <c r="AP35" s="44" t="n"/>
      <c r="AQ35" s="44" t="n"/>
      <c r="AR35" s="44" t="n"/>
      <c r="AS35" s="44" t="n"/>
    </row>
    <row r="36">
      <c r="A36" s="44" t="n"/>
      <c r="B36" s="44" t="n"/>
      <c r="C36" s="44" t="n"/>
      <c r="D36" s="44" t="n"/>
      <c r="E36" s="44" t="n"/>
      <c r="F36" s="44" t="n"/>
      <c r="G36" s="45" t="n"/>
      <c r="H36" s="45" t="n"/>
      <c r="I36" s="85" t="n"/>
      <c r="J36" s="44" t="n"/>
      <c r="K36" s="44" t="n"/>
      <c r="L36" s="44" t="n"/>
      <c r="M36" s="45" t="n"/>
      <c r="N36" s="44" t="n"/>
      <c r="O36" s="86" t="n"/>
      <c r="P36" s="44" t="n"/>
      <c r="Q36" s="45" t="n"/>
      <c r="R36" s="85" t="n"/>
      <c r="S36" s="85" t="n"/>
      <c r="T36" s="85" t="n"/>
      <c r="U36" s="85" t="n"/>
      <c r="V36" s="85" t="n"/>
      <c r="W36" s="86" t="n"/>
      <c r="X36" s="44" t="n"/>
      <c r="Y36" s="44" t="n"/>
      <c r="Z36" s="44" t="n"/>
      <c r="AA36" s="85" t="n"/>
      <c r="AB36" s="45" t="n"/>
      <c r="AC36" s="86" t="n"/>
      <c r="AD36" s="44" t="n"/>
      <c r="AE36" s="87" t="n"/>
      <c r="AF36" s="44" t="n"/>
      <c r="AG36" s="44" t="n"/>
      <c r="AH36" s="87" t="n"/>
      <c r="AI36" s="44" t="n"/>
      <c r="AJ36" s="45" t="n"/>
      <c r="AK36" s="45" t="n"/>
      <c r="AL36" s="45" t="n"/>
      <c r="AM36" s="44" t="n"/>
      <c r="AN36" s="45" t="n"/>
      <c r="AO36" s="44" t="n"/>
      <c r="AP36" s="44" t="n"/>
      <c r="AQ36" s="44" t="n"/>
      <c r="AR36" s="44" t="n"/>
      <c r="AS36" s="44" t="n"/>
    </row>
    <row r="37">
      <c r="A37" s="44" t="n"/>
      <c r="B37" s="44" t="n"/>
      <c r="C37" s="44" t="n"/>
      <c r="D37" s="44" t="n"/>
      <c r="E37" s="44" t="n"/>
      <c r="F37" s="44" t="n"/>
      <c r="G37" s="45" t="n"/>
      <c r="H37" s="45" t="n"/>
      <c r="I37" s="85" t="n"/>
      <c r="J37" s="44" t="n"/>
      <c r="K37" s="44" t="n"/>
      <c r="L37" s="44" t="n"/>
      <c r="M37" s="45" t="n"/>
      <c r="N37" s="44" t="n"/>
      <c r="O37" s="86" t="n"/>
      <c r="P37" s="44" t="n"/>
      <c r="Q37" s="45" t="n"/>
      <c r="R37" s="85" t="n"/>
      <c r="S37" s="85" t="n"/>
      <c r="T37" s="85" t="n"/>
      <c r="U37" s="85" t="n"/>
      <c r="V37" s="85" t="n"/>
      <c r="W37" s="86" t="n"/>
      <c r="X37" s="44" t="n"/>
      <c r="Y37" s="44" t="n"/>
      <c r="Z37" s="44" t="n"/>
      <c r="AA37" s="85" t="n"/>
      <c r="AB37" s="45" t="n"/>
      <c r="AC37" s="86" t="n"/>
      <c r="AD37" s="44" t="n"/>
      <c r="AE37" s="87" t="n"/>
      <c r="AF37" s="44" t="n"/>
      <c r="AG37" s="44" t="n"/>
      <c r="AH37" s="87" t="n"/>
      <c r="AI37" s="44" t="n"/>
      <c r="AJ37" s="45" t="n"/>
      <c r="AK37" s="45" t="n"/>
      <c r="AL37" s="45" t="n"/>
      <c r="AM37" s="44" t="n"/>
      <c r="AN37" s="45" t="n"/>
      <c r="AO37" s="44" t="n"/>
      <c r="AP37" s="44" t="n"/>
      <c r="AQ37" s="44" t="n"/>
      <c r="AR37" s="44" t="n"/>
      <c r="AS37" s="44" t="n"/>
    </row>
    <row r="38">
      <c r="A38" s="44" t="n"/>
      <c r="B38" s="44" t="n"/>
      <c r="C38" s="44" t="n"/>
      <c r="D38" s="44" t="n"/>
      <c r="E38" s="44" t="n"/>
      <c r="F38" s="44" t="n"/>
      <c r="G38" s="45" t="n"/>
      <c r="H38" s="45" t="n"/>
      <c r="I38" s="85" t="n"/>
      <c r="J38" s="44" t="n"/>
      <c r="K38" s="44" t="n"/>
      <c r="L38" s="44" t="n"/>
      <c r="M38" s="45" t="n"/>
      <c r="N38" s="44" t="n"/>
      <c r="O38" s="86" t="n"/>
      <c r="P38" s="44" t="n"/>
      <c r="Q38" s="45" t="n"/>
      <c r="R38" s="85" t="n"/>
      <c r="S38" s="85" t="n"/>
      <c r="T38" s="85" t="n"/>
      <c r="U38" s="85" t="n"/>
      <c r="V38" s="85" t="n"/>
      <c r="W38" s="86" t="n"/>
      <c r="X38" s="44" t="n"/>
      <c r="Y38" s="44" t="n"/>
      <c r="Z38" s="44" t="n"/>
      <c r="AA38" s="85" t="n"/>
      <c r="AB38" s="45" t="n"/>
      <c r="AC38" s="86" t="n"/>
      <c r="AD38" s="44" t="n"/>
      <c r="AE38" s="87" t="n"/>
      <c r="AF38" s="44" t="n"/>
      <c r="AG38" s="44" t="n"/>
      <c r="AH38" s="87" t="n"/>
      <c r="AI38" s="44" t="n"/>
      <c r="AJ38" s="45" t="n"/>
      <c r="AK38" s="45" t="n"/>
      <c r="AL38" s="45" t="n"/>
      <c r="AM38" s="44" t="n"/>
      <c r="AN38" s="45" t="n"/>
      <c r="AO38" s="44" t="n"/>
      <c r="AP38" s="44" t="n"/>
      <c r="AQ38" s="44" t="n"/>
      <c r="AR38" s="44" t="n"/>
      <c r="AS38" s="44" t="n"/>
    </row>
    <row r="39">
      <c r="A39" s="44" t="n"/>
      <c r="B39" s="44" t="n"/>
      <c r="C39" s="44" t="n"/>
      <c r="D39" s="44" t="n"/>
      <c r="E39" s="44" t="n"/>
      <c r="F39" s="44" t="n"/>
      <c r="G39" s="45" t="n"/>
      <c r="H39" s="45" t="n"/>
      <c r="I39" s="85" t="n"/>
      <c r="J39" s="44" t="n"/>
      <c r="K39" s="44" t="n"/>
      <c r="L39" s="44" t="n"/>
      <c r="M39" s="45" t="n"/>
      <c r="N39" s="44" t="n"/>
      <c r="O39" s="86" t="n"/>
      <c r="P39" s="44" t="n"/>
      <c r="Q39" s="45" t="n"/>
      <c r="R39" s="85" t="n"/>
      <c r="S39" s="85" t="n"/>
      <c r="T39" s="85" t="n"/>
      <c r="U39" s="85" t="n"/>
      <c r="V39" s="85" t="n"/>
      <c r="W39" s="86" t="n"/>
      <c r="X39" s="44" t="n"/>
      <c r="Y39" s="44" t="n"/>
      <c r="Z39" s="44" t="n"/>
      <c r="AA39" s="85" t="n"/>
      <c r="AB39" s="45" t="n"/>
      <c r="AC39" s="86" t="n"/>
      <c r="AD39" s="44" t="n"/>
      <c r="AE39" s="87" t="n"/>
      <c r="AF39" s="44" t="n"/>
      <c r="AG39" s="44" t="n"/>
      <c r="AH39" s="87" t="n"/>
      <c r="AI39" s="44" t="n"/>
      <c r="AJ39" s="45" t="n"/>
      <c r="AK39" s="45" t="n"/>
      <c r="AL39" s="45" t="n"/>
      <c r="AM39" s="44" t="n"/>
      <c r="AN39" s="45" t="n"/>
      <c r="AO39" s="44" t="n"/>
      <c r="AP39" s="44" t="n"/>
      <c r="AQ39" s="44" t="n"/>
      <c r="AR39" s="44" t="n"/>
      <c r="AS39" s="44" t="n"/>
    </row>
    <row r="40">
      <c r="A40" s="44" t="n"/>
      <c r="B40" s="44" t="n"/>
      <c r="C40" s="44" t="n"/>
      <c r="D40" s="44" t="n"/>
      <c r="E40" s="44" t="n"/>
      <c r="F40" s="44" t="n"/>
      <c r="G40" s="45" t="n"/>
      <c r="H40" s="45" t="n"/>
      <c r="I40" s="85" t="n"/>
      <c r="J40" s="44" t="n"/>
      <c r="K40" s="44" t="n"/>
      <c r="L40" s="44" t="n"/>
      <c r="M40" s="45" t="n"/>
      <c r="N40" s="44" t="n"/>
      <c r="O40" s="86" t="n"/>
      <c r="P40" s="44" t="n"/>
      <c r="Q40" s="45" t="n"/>
      <c r="R40" s="85" t="n"/>
      <c r="S40" s="85" t="n"/>
      <c r="T40" s="85" t="n"/>
      <c r="U40" s="85" t="n"/>
      <c r="V40" s="85" t="n"/>
      <c r="W40" s="86" t="n"/>
      <c r="X40" s="44" t="n"/>
      <c r="Y40" s="44" t="n"/>
      <c r="Z40" s="44" t="n"/>
      <c r="AA40" s="85" t="n"/>
      <c r="AB40" s="45" t="n"/>
      <c r="AC40" s="86" t="n"/>
      <c r="AD40" s="44" t="n"/>
      <c r="AE40" s="87" t="n"/>
      <c r="AF40" s="44" t="n"/>
      <c r="AG40" s="44" t="n"/>
      <c r="AH40" s="87" t="n"/>
      <c r="AI40" s="44" t="n"/>
      <c r="AJ40" s="45" t="n"/>
      <c r="AK40" s="45" t="n"/>
      <c r="AL40" s="45" t="n"/>
      <c r="AM40" s="44" t="n"/>
      <c r="AN40" s="45" t="n"/>
      <c r="AO40" s="44" t="n"/>
      <c r="AP40" s="44" t="n"/>
      <c r="AQ40" s="44" t="n"/>
      <c r="AR40" s="44" t="n"/>
      <c r="AS40" s="44" t="n"/>
    </row>
    <row r="41">
      <c r="A41" s="44" t="n"/>
      <c r="B41" s="44" t="n"/>
      <c r="C41" s="44" t="n"/>
      <c r="D41" s="44" t="n"/>
      <c r="E41" s="44" t="n"/>
      <c r="F41" s="44" t="n"/>
      <c r="G41" s="45" t="n"/>
      <c r="H41" s="45" t="n"/>
      <c r="I41" s="85" t="n"/>
      <c r="J41" s="44" t="n"/>
      <c r="K41" s="44" t="n"/>
      <c r="L41" s="44" t="n"/>
      <c r="M41" s="45" t="n"/>
      <c r="N41" s="44" t="n"/>
      <c r="O41" s="86" t="n"/>
      <c r="P41" s="44" t="n"/>
      <c r="Q41" s="45" t="n"/>
      <c r="R41" s="85" t="n"/>
      <c r="S41" s="85" t="n"/>
      <c r="T41" s="85" t="n"/>
      <c r="U41" s="85" t="n"/>
      <c r="V41" s="85" t="n"/>
      <c r="W41" s="86" t="n"/>
      <c r="X41" s="44" t="n"/>
      <c r="Y41" s="44" t="n"/>
      <c r="Z41" s="44" t="n"/>
      <c r="AA41" s="85" t="n"/>
      <c r="AB41" s="45" t="n"/>
      <c r="AC41" s="86" t="n"/>
      <c r="AD41" s="44" t="n"/>
      <c r="AE41" s="87" t="n"/>
      <c r="AF41" s="44" t="n"/>
      <c r="AG41" s="44" t="n"/>
      <c r="AH41" s="87" t="n"/>
      <c r="AI41" s="44" t="n"/>
      <c r="AJ41" s="45" t="n"/>
      <c r="AK41" s="45" t="n"/>
      <c r="AL41" s="45" t="n"/>
      <c r="AM41" s="44" t="n"/>
      <c r="AN41" s="45" t="n"/>
      <c r="AO41" s="44" t="n"/>
      <c r="AP41" s="44" t="n"/>
      <c r="AQ41" s="44" t="n"/>
      <c r="AR41" s="44" t="n"/>
      <c r="AS41" s="44" t="n"/>
    </row>
    <row r="42">
      <c r="A42" s="44" t="n"/>
      <c r="B42" s="44" t="n"/>
      <c r="C42" s="44" t="n"/>
      <c r="D42" s="44" t="n"/>
      <c r="E42" s="44" t="n"/>
      <c r="F42" s="44" t="n"/>
      <c r="G42" s="45" t="n"/>
      <c r="H42" s="45" t="n"/>
      <c r="I42" s="85" t="n"/>
      <c r="J42" s="44" t="n"/>
      <c r="K42" s="44" t="n"/>
      <c r="L42" s="44" t="n"/>
      <c r="M42" s="45" t="n"/>
      <c r="N42" s="44" t="n"/>
      <c r="O42" s="86" t="n"/>
      <c r="P42" s="44" t="n"/>
      <c r="Q42" s="45" t="n"/>
      <c r="R42" s="85" t="n"/>
      <c r="S42" s="85" t="n"/>
      <c r="T42" s="85" t="n"/>
      <c r="U42" s="85" t="n"/>
      <c r="V42" s="85" t="n"/>
      <c r="W42" s="86" t="n"/>
      <c r="X42" s="44" t="n"/>
      <c r="Y42" s="44" t="n"/>
      <c r="Z42" s="44" t="n"/>
      <c r="AA42" s="85" t="n"/>
      <c r="AB42" s="45" t="n"/>
      <c r="AC42" s="86" t="n"/>
      <c r="AD42" s="44" t="n"/>
      <c r="AE42" s="87" t="n"/>
      <c r="AF42" s="44" t="n"/>
      <c r="AG42" s="44" t="n"/>
      <c r="AH42" s="87" t="n"/>
      <c r="AI42" s="44" t="n"/>
      <c r="AJ42" s="45" t="n"/>
      <c r="AK42" s="45" t="n"/>
      <c r="AL42" s="45" t="n"/>
      <c r="AM42" s="44" t="n"/>
      <c r="AN42" s="45" t="n"/>
      <c r="AO42" s="44" t="n"/>
      <c r="AP42" s="44" t="n"/>
      <c r="AQ42" s="44" t="n"/>
      <c r="AR42" s="44" t="n"/>
      <c r="AS42" s="44" t="n"/>
    </row>
    <row r="43">
      <c r="A43" s="44" t="n"/>
      <c r="B43" s="44" t="n"/>
      <c r="C43" s="44" t="n"/>
      <c r="D43" s="44" t="n"/>
      <c r="E43" s="44" t="n"/>
      <c r="F43" s="44" t="n"/>
      <c r="G43" s="45" t="n"/>
      <c r="H43" s="45" t="n"/>
      <c r="I43" s="85" t="n"/>
      <c r="J43" s="44" t="n"/>
      <c r="K43" s="44" t="n"/>
      <c r="L43" s="44" t="n"/>
      <c r="M43" s="45" t="n"/>
      <c r="N43" s="44" t="n"/>
      <c r="O43" s="86" t="n"/>
      <c r="P43" s="44" t="n"/>
      <c r="Q43" s="45" t="n"/>
      <c r="R43" s="85" t="n"/>
      <c r="S43" s="85" t="n"/>
      <c r="T43" s="85" t="n"/>
      <c r="U43" s="85" t="n"/>
      <c r="V43" s="85" t="n"/>
      <c r="W43" s="86" t="n"/>
      <c r="X43" s="44" t="n"/>
      <c r="Y43" s="44" t="n"/>
      <c r="Z43" s="44" t="n"/>
      <c r="AA43" s="85" t="n"/>
      <c r="AB43" s="45" t="n"/>
      <c r="AC43" s="86" t="n"/>
      <c r="AD43" s="44" t="n"/>
      <c r="AE43" s="87" t="n"/>
      <c r="AF43" s="44" t="n"/>
      <c r="AG43" s="44" t="n"/>
      <c r="AH43" s="87" t="n"/>
      <c r="AI43" s="44" t="n"/>
      <c r="AJ43" s="45" t="n"/>
      <c r="AK43" s="45" t="n"/>
      <c r="AL43" s="45" t="n"/>
      <c r="AM43" s="44" t="n"/>
      <c r="AN43" s="45" t="n"/>
      <c r="AO43" s="44" t="n"/>
      <c r="AP43" s="44" t="n"/>
      <c r="AQ43" s="44" t="n"/>
      <c r="AR43" s="44" t="n"/>
      <c r="AS43" s="44" t="n"/>
    </row>
    <row r="44">
      <c r="A44" s="44" t="n"/>
      <c r="B44" s="44" t="n"/>
      <c r="C44" s="44" t="n"/>
      <c r="D44" s="44" t="n"/>
      <c r="E44" s="44" t="n"/>
      <c r="F44" s="44" t="n"/>
      <c r="G44" s="45" t="n"/>
      <c r="H44" s="45" t="n"/>
      <c r="I44" s="85" t="n"/>
      <c r="J44" s="44" t="n"/>
      <c r="K44" s="44" t="n"/>
      <c r="L44" s="44" t="n"/>
      <c r="M44" s="45" t="n"/>
      <c r="N44" s="44" t="n"/>
      <c r="O44" s="86" t="n"/>
      <c r="P44" s="44" t="n"/>
      <c r="Q44" s="45" t="n"/>
      <c r="R44" s="85" t="n"/>
      <c r="S44" s="85" t="n"/>
      <c r="T44" s="85" t="n"/>
      <c r="U44" s="85" t="n"/>
      <c r="V44" s="85" t="n"/>
      <c r="W44" s="86" t="n"/>
      <c r="X44" s="44" t="n"/>
      <c r="Y44" s="44" t="n"/>
      <c r="Z44" s="44" t="n"/>
      <c r="AA44" s="85" t="n"/>
      <c r="AB44" s="45" t="n"/>
      <c r="AC44" s="86" t="n"/>
      <c r="AD44" s="44" t="n"/>
      <c r="AE44" s="87" t="n"/>
      <c r="AF44" s="44" t="n"/>
      <c r="AG44" s="44" t="n"/>
      <c r="AH44" s="87" t="n"/>
      <c r="AI44" s="44" t="n"/>
      <c r="AJ44" s="45" t="n"/>
      <c r="AK44" s="45" t="n"/>
      <c r="AL44" s="45" t="n"/>
      <c r="AM44" s="44" t="n"/>
      <c r="AN44" s="45" t="n"/>
      <c r="AO44" s="44" t="n"/>
      <c r="AP44" s="44" t="n"/>
      <c r="AQ44" s="44" t="n"/>
      <c r="AR44" s="44" t="n"/>
      <c r="AS44" s="44" t="n"/>
    </row>
    <row r="45">
      <c r="A45" s="44" t="n"/>
      <c r="B45" s="44" t="n"/>
      <c r="C45" s="44" t="n"/>
      <c r="D45" s="44" t="n"/>
      <c r="E45" s="44" t="n"/>
      <c r="F45" s="44" t="n"/>
      <c r="G45" s="45" t="n"/>
      <c r="H45" s="45" t="n"/>
      <c r="I45" s="85" t="n"/>
      <c r="J45" s="44" t="n"/>
      <c r="K45" s="44" t="n"/>
      <c r="L45" s="44" t="n"/>
      <c r="M45" s="45" t="n"/>
      <c r="N45" s="44" t="n"/>
      <c r="O45" s="86" t="n"/>
      <c r="P45" s="44" t="n"/>
      <c r="Q45" s="45" t="n"/>
      <c r="R45" s="85" t="n"/>
      <c r="S45" s="85" t="n"/>
      <c r="T45" s="85" t="n"/>
      <c r="U45" s="85" t="n"/>
      <c r="V45" s="85" t="n"/>
      <c r="W45" s="86" t="n"/>
      <c r="X45" s="44" t="n"/>
      <c r="Y45" s="44" t="n"/>
      <c r="Z45" s="44" t="n"/>
      <c r="AA45" s="85" t="n"/>
      <c r="AB45" s="45" t="n"/>
      <c r="AC45" s="86" t="n"/>
      <c r="AD45" s="44" t="n"/>
      <c r="AE45" s="87" t="n"/>
      <c r="AF45" s="44" t="n"/>
      <c r="AG45" s="44" t="n"/>
      <c r="AH45" s="87" t="n"/>
      <c r="AI45" s="44" t="n"/>
      <c r="AJ45" s="45" t="n"/>
      <c r="AK45" s="45" t="n"/>
      <c r="AL45" s="45" t="n"/>
      <c r="AM45" s="44" t="n"/>
      <c r="AN45" s="45" t="n"/>
      <c r="AO45" s="44" t="n"/>
      <c r="AP45" s="44" t="n"/>
      <c r="AQ45" s="44" t="n"/>
      <c r="AR45" s="44" t="n"/>
      <c r="AS45" s="44" t="n"/>
    </row>
    <row r="46">
      <c r="A46" s="44" t="n"/>
      <c r="B46" s="44" t="n"/>
      <c r="C46" s="44" t="n"/>
      <c r="D46" s="44" t="n"/>
      <c r="E46" s="44" t="n"/>
      <c r="F46" s="44" t="n"/>
      <c r="G46" s="45" t="n"/>
      <c r="H46" s="45" t="n"/>
      <c r="I46" s="85" t="n"/>
      <c r="J46" s="44" t="n"/>
      <c r="K46" s="44" t="n"/>
      <c r="L46" s="44" t="n"/>
      <c r="M46" s="45" t="n"/>
      <c r="N46" s="44" t="n"/>
      <c r="O46" s="86" t="n"/>
      <c r="P46" s="44" t="n"/>
      <c r="Q46" s="45" t="n"/>
      <c r="R46" s="85" t="n"/>
      <c r="S46" s="85" t="n"/>
      <c r="T46" s="85" t="n"/>
      <c r="U46" s="85" t="n"/>
      <c r="V46" s="85" t="n"/>
      <c r="W46" s="86" t="n"/>
      <c r="X46" s="44" t="n"/>
      <c r="Y46" s="44" t="n"/>
      <c r="Z46" s="44" t="n"/>
      <c r="AA46" s="85" t="n"/>
      <c r="AB46" s="45" t="n"/>
      <c r="AC46" s="86" t="n"/>
      <c r="AD46" s="44" t="n"/>
      <c r="AE46" s="87" t="n"/>
      <c r="AF46" s="44" t="n"/>
      <c r="AG46" s="44" t="n"/>
      <c r="AH46" s="87" t="n"/>
      <c r="AI46" s="44" t="n"/>
      <c r="AJ46" s="45" t="n"/>
      <c r="AK46" s="45" t="n"/>
      <c r="AL46" s="45" t="n"/>
      <c r="AM46" s="44" t="n"/>
      <c r="AN46" s="45" t="n"/>
      <c r="AO46" s="44" t="n"/>
      <c r="AP46" s="44" t="n"/>
      <c r="AQ46" s="44" t="n"/>
      <c r="AR46" s="44" t="n"/>
      <c r="AS46" s="44" t="n"/>
    </row>
    <row r="47">
      <c r="A47" s="44" t="n"/>
      <c r="B47" s="44" t="n"/>
      <c r="C47" s="44" t="n"/>
      <c r="D47" s="44" t="n"/>
      <c r="E47" s="44" t="n"/>
      <c r="F47" s="44" t="n"/>
      <c r="G47" s="45" t="n"/>
      <c r="H47" s="45" t="n"/>
      <c r="I47" s="85" t="n"/>
      <c r="J47" s="44" t="n"/>
      <c r="K47" s="44" t="n"/>
      <c r="L47" s="44" t="n"/>
      <c r="M47" s="45" t="n"/>
      <c r="N47" s="44" t="n"/>
      <c r="O47" s="86" t="n"/>
      <c r="P47" s="44" t="n"/>
      <c r="Q47" s="45" t="n"/>
      <c r="R47" s="85" t="n"/>
      <c r="S47" s="85" t="n"/>
      <c r="T47" s="85" t="n"/>
      <c r="U47" s="85" t="n"/>
      <c r="V47" s="85" t="n"/>
      <c r="W47" s="86" t="n"/>
      <c r="X47" s="44" t="n"/>
      <c r="Y47" s="44" t="n"/>
      <c r="Z47" s="44" t="n"/>
      <c r="AA47" s="85" t="n"/>
      <c r="AB47" s="45" t="n"/>
      <c r="AC47" s="86" t="n"/>
      <c r="AD47" s="44" t="n"/>
      <c r="AE47" s="87" t="n"/>
      <c r="AF47" s="44" t="n"/>
      <c r="AG47" s="44" t="n"/>
      <c r="AH47" s="87" t="n"/>
      <c r="AI47" s="44" t="n"/>
      <c r="AJ47" s="45" t="n"/>
      <c r="AK47" s="45" t="n"/>
      <c r="AL47" s="45" t="n"/>
      <c r="AM47" s="44" t="n"/>
      <c r="AN47" s="45" t="n"/>
      <c r="AO47" s="44" t="n"/>
      <c r="AP47" s="44" t="n"/>
      <c r="AQ47" s="44" t="n"/>
      <c r="AR47" s="44" t="n"/>
      <c r="AS47" s="44" t="n"/>
    </row>
    <row r="48">
      <c r="A48" s="44" t="n"/>
      <c r="B48" s="44" t="n"/>
      <c r="C48" s="44" t="n"/>
      <c r="D48" s="44" t="n"/>
      <c r="E48" s="44" t="n"/>
      <c r="F48" s="44" t="n"/>
      <c r="G48" s="45" t="n"/>
      <c r="H48" s="45" t="n"/>
      <c r="I48" s="85" t="n"/>
      <c r="J48" s="44" t="n"/>
      <c r="K48" s="44" t="n"/>
      <c r="L48" s="44" t="n"/>
      <c r="M48" s="45" t="n"/>
      <c r="N48" s="44" t="n"/>
      <c r="O48" s="86" t="n"/>
      <c r="P48" s="44" t="n"/>
      <c r="Q48" s="45" t="n"/>
      <c r="R48" s="85" t="n"/>
      <c r="S48" s="85" t="n"/>
      <c r="T48" s="85" t="n"/>
      <c r="U48" s="85" t="n"/>
      <c r="V48" s="85" t="n"/>
      <c r="W48" s="86" t="n"/>
      <c r="X48" s="44" t="n"/>
      <c r="Y48" s="44" t="n"/>
      <c r="Z48" s="44" t="n"/>
      <c r="AA48" s="85" t="n"/>
      <c r="AB48" s="45" t="n"/>
      <c r="AC48" s="86" t="n"/>
      <c r="AD48" s="44" t="n"/>
      <c r="AE48" s="87" t="n"/>
      <c r="AF48" s="44" t="n"/>
      <c r="AG48" s="44" t="n"/>
      <c r="AH48" s="87" t="n"/>
      <c r="AI48" s="44" t="n"/>
      <c r="AJ48" s="45" t="n"/>
      <c r="AK48" s="45" t="n"/>
      <c r="AL48" s="45" t="n"/>
      <c r="AM48" s="44" t="n"/>
      <c r="AN48" s="45" t="n"/>
      <c r="AO48" s="44" t="n"/>
      <c r="AP48" s="44" t="n"/>
      <c r="AQ48" s="44" t="n"/>
      <c r="AR48" s="44" t="n"/>
      <c r="AS48" s="44" t="n"/>
    </row>
    <row r="49">
      <c r="A49" s="44" t="n"/>
      <c r="B49" s="44" t="n"/>
      <c r="C49" s="44" t="n"/>
      <c r="D49" s="44" t="n"/>
      <c r="E49" s="44" t="n"/>
      <c r="F49" s="44" t="n"/>
      <c r="G49" s="45" t="n"/>
      <c r="H49" s="45" t="n"/>
      <c r="I49" s="85" t="n"/>
      <c r="J49" s="44" t="n"/>
      <c r="K49" s="44" t="n"/>
      <c r="L49" s="44" t="n"/>
      <c r="M49" s="45" t="n"/>
      <c r="N49" s="44" t="n"/>
      <c r="O49" s="86" t="n"/>
      <c r="P49" s="44" t="n"/>
      <c r="Q49" s="45" t="n"/>
      <c r="R49" s="85" t="n"/>
      <c r="S49" s="85" t="n"/>
      <c r="T49" s="85" t="n"/>
      <c r="U49" s="85" t="n"/>
      <c r="V49" s="85" t="n"/>
      <c r="W49" s="86" t="n"/>
      <c r="X49" s="44" t="n"/>
      <c r="Y49" s="44" t="n"/>
      <c r="Z49" s="44" t="n"/>
      <c r="AA49" s="85" t="n"/>
      <c r="AB49" s="45" t="n"/>
      <c r="AC49" s="86" t="n"/>
      <c r="AD49" s="44" t="n"/>
      <c r="AE49" s="87" t="n"/>
      <c r="AF49" s="44" t="n"/>
      <c r="AG49" s="44" t="n"/>
      <c r="AH49" s="87" t="n"/>
      <c r="AI49" s="44" t="n"/>
      <c r="AJ49" s="45" t="n"/>
      <c r="AK49" s="45" t="n"/>
      <c r="AL49" s="45" t="n"/>
      <c r="AM49" s="44" t="n"/>
      <c r="AN49" s="45" t="n"/>
      <c r="AO49" s="44" t="n"/>
      <c r="AP49" s="44" t="n"/>
      <c r="AQ49" s="44" t="n"/>
      <c r="AR49" s="44" t="n"/>
      <c r="AS49" s="44" t="n"/>
    </row>
    <row r="50">
      <c r="A50" s="44" t="n"/>
      <c r="B50" s="44" t="n"/>
      <c r="C50" s="44" t="n"/>
      <c r="D50" s="44" t="n"/>
      <c r="E50" s="44" t="n"/>
      <c r="F50" s="44" t="n"/>
      <c r="G50" s="45" t="n"/>
      <c r="H50" s="45" t="n"/>
      <c r="I50" s="85" t="n"/>
      <c r="J50" s="44" t="n"/>
      <c r="K50" s="44" t="n"/>
      <c r="L50" s="44" t="n"/>
      <c r="M50" s="45" t="n"/>
      <c r="N50" s="44" t="n"/>
      <c r="O50" s="86" t="n"/>
      <c r="P50" s="44" t="n"/>
      <c r="Q50" s="45" t="n"/>
      <c r="R50" s="85" t="n"/>
      <c r="S50" s="85" t="n"/>
      <c r="T50" s="85" t="n"/>
      <c r="U50" s="85" t="n"/>
      <c r="V50" s="85" t="n"/>
      <c r="W50" s="86" t="n"/>
      <c r="X50" s="44" t="n"/>
      <c r="Y50" s="44" t="n"/>
      <c r="Z50" s="44" t="n"/>
      <c r="AA50" s="85" t="n"/>
      <c r="AB50" s="45" t="n"/>
      <c r="AC50" s="86" t="n"/>
      <c r="AD50" s="44" t="n"/>
      <c r="AE50" s="87" t="n"/>
      <c r="AF50" s="44" t="n"/>
      <c r="AG50" s="44" t="n"/>
      <c r="AH50" s="87" t="n"/>
      <c r="AI50" s="44" t="n"/>
      <c r="AJ50" s="45" t="n"/>
      <c r="AK50" s="45" t="n"/>
      <c r="AL50" s="45" t="n"/>
      <c r="AM50" s="44" t="n"/>
      <c r="AN50" s="45" t="n"/>
      <c r="AO50" s="44" t="n"/>
      <c r="AP50" s="44" t="n"/>
      <c r="AQ50" s="44" t="n"/>
      <c r="AR50" s="44" t="n"/>
      <c r="AS50" s="44" t="n"/>
    </row>
    <row r="51">
      <c r="A51" s="44" t="n"/>
      <c r="B51" s="44" t="n"/>
      <c r="C51" s="44" t="n"/>
      <c r="D51" s="44" t="n"/>
      <c r="E51" s="44" t="n"/>
      <c r="F51" s="44" t="n"/>
      <c r="G51" s="45" t="n"/>
      <c r="H51" s="45" t="n"/>
      <c r="I51" s="85" t="n"/>
      <c r="J51" s="44" t="n"/>
      <c r="K51" s="44" t="n"/>
      <c r="L51" s="44" t="n"/>
      <c r="M51" s="45" t="n"/>
      <c r="N51" s="44" t="n"/>
      <c r="O51" s="86" t="n"/>
      <c r="P51" s="44" t="n"/>
      <c r="Q51" s="45" t="n"/>
      <c r="R51" s="85" t="n"/>
      <c r="S51" s="85" t="n"/>
      <c r="T51" s="85" t="n"/>
      <c r="U51" s="85" t="n"/>
      <c r="V51" s="85" t="n"/>
      <c r="W51" s="86" t="n"/>
      <c r="X51" s="44" t="n"/>
      <c r="Y51" s="44" t="n"/>
      <c r="Z51" s="44" t="n"/>
      <c r="AA51" s="85" t="n"/>
      <c r="AB51" s="45" t="n"/>
      <c r="AC51" s="86" t="n"/>
      <c r="AD51" s="44" t="n"/>
      <c r="AE51" s="87" t="n"/>
      <c r="AF51" s="44" t="n"/>
      <c r="AG51" s="44" t="n"/>
      <c r="AH51" s="87" t="n"/>
      <c r="AI51" s="44" t="n"/>
      <c r="AJ51" s="45" t="n"/>
      <c r="AK51" s="45" t="n"/>
      <c r="AL51" s="45" t="n"/>
      <c r="AM51" s="44" t="n"/>
      <c r="AN51" s="45" t="n"/>
      <c r="AO51" s="44" t="n"/>
      <c r="AP51" s="44" t="n"/>
      <c r="AQ51" s="44" t="n"/>
      <c r="AR51" s="44" t="n"/>
      <c r="AS51" s="44" t="n"/>
    </row>
    <row r="52">
      <c r="A52" s="44" t="n"/>
      <c r="B52" s="44" t="n"/>
      <c r="C52" s="44" t="n"/>
      <c r="D52" s="44" t="n"/>
      <c r="E52" s="44" t="n"/>
      <c r="F52" s="44" t="n"/>
      <c r="G52" s="45" t="n"/>
      <c r="H52" s="45" t="n"/>
      <c r="I52" s="85" t="n"/>
      <c r="J52" s="44" t="n"/>
      <c r="K52" s="44" t="n"/>
      <c r="L52" s="44" t="n"/>
      <c r="M52" s="45" t="n"/>
      <c r="N52" s="44" t="n"/>
      <c r="O52" s="86" t="n"/>
      <c r="P52" s="44" t="n"/>
      <c r="Q52" s="45" t="n"/>
      <c r="R52" s="85" t="n"/>
      <c r="S52" s="85" t="n"/>
      <c r="T52" s="85" t="n"/>
      <c r="U52" s="85" t="n"/>
      <c r="V52" s="85" t="n"/>
      <c r="W52" s="86" t="n"/>
      <c r="X52" s="44" t="n"/>
      <c r="Y52" s="44" t="n"/>
      <c r="Z52" s="44" t="n"/>
      <c r="AA52" s="85" t="n"/>
      <c r="AB52" s="45" t="n"/>
      <c r="AC52" s="86" t="n"/>
      <c r="AD52" s="44" t="n"/>
      <c r="AE52" s="87" t="n"/>
      <c r="AF52" s="44" t="n"/>
      <c r="AG52" s="44" t="n"/>
      <c r="AH52" s="87" t="n"/>
      <c r="AI52" s="44" t="n"/>
      <c r="AJ52" s="45" t="n"/>
      <c r="AK52" s="45" t="n"/>
      <c r="AL52" s="45" t="n"/>
      <c r="AM52" s="44" t="n"/>
      <c r="AN52" s="45" t="n"/>
      <c r="AO52" s="44" t="n"/>
      <c r="AP52" s="44" t="n"/>
      <c r="AQ52" s="44" t="n"/>
      <c r="AR52" s="44" t="n"/>
      <c r="AS52" s="44" t="n"/>
    </row>
    <row r="53">
      <c r="A53" s="44" t="n"/>
      <c r="B53" s="44" t="n"/>
      <c r="C53" s="44" t="n"/>
      <c r="D53" s="44" t="n"/>
      <c r="E53" s="44" t="n"/>
      <c r="F53" s="44" t="n"/>
      <c r="G53" s="45" t="n"/>
      <c r="H53" s="45" t="n"/>
      <c r="I53" s="85" t="n"/>
      <c r="J53" s="44" t="n"/>
      <c r="K53" s="44" t="n"/>
      <c r="L53" s="44" t="n"/>
      <c r="M53" s="45" t="n"/>
      <c r="N53" s="44" t="n"/>
      <c r="O53" s="86" t="n"/>
      <c r="P53" s="44" t="n"/>
      <c r="Q53" s="45" t="n"/>
      <c r="R53" s="85" t="n"/>
      <c r="S53" s="85" t="n"/>
      <c r="T53" s="85" t="n"/>
      <c r="U53" s="85" t="n"/>
      <c r="V53" s="85" t="n"/>
      <c r="W53" s="86" t="n"/>
      <c r="X53" s="44" t="n"/>
      <c r="Y53" s="44" t="n"/>
      <c r="Z53" s="44" t="n"/>
      <c r="AA53" s="85" t="n"/>
      <c r="AB53" s="45" t="n"/>
      <c r="AC53" s="86" t="n"/>
      <c r="AD53" s="44" t="n"/>
      <c r="AE53" s="87" t="n"/>
      <c r="AF53" s="44" t="n"/>
      <c r="AG53" s="44" t="n"/>
      <c r="AH53" s="87" t="n"/>
      <c r="AI53" s="44" t="n"/>
      <c r="AJ53" s="45" t="n"/>
      <c r="AK53" s="45" t="n"/>
      <c r="AL53" s="45" t="n"/>
      <c r="AM53" s="44" t="n"/>
      <c r="AN53" s="45" t="n"/>
      <c r="AO53" s="44" t="n"/>
      <c r="AP53" s="44" t="n"/>
      <c r="AQ53" s="44" t="n"/>
      <c r="AR53" s="44" t="n"/>
      <c r="AS53" s="44" t="n"/>
    </row>
    <row r="54">
      <c r="A54" s="44" t="n"/>
      <c r="B54" s="44" t="n"/>
      <c r="C54" s="44" t="n"/>
      <c r="D54" s="44" t="n"/>
      <c r="E54" s="44" t="n"/>
      <c r="F54" s="44" t="n"/>
      <c r="G54" s="45" t="n"/>
      <c r="H54" s="45" t="n"/>
      <c r="I54" s="85" t="n"/>
      <c r="J54" s="44" t="n"/>
      <c r="K54" s="44" t="n"/>
      <c r="L54" s="44" t="n"/>
      <c r="M54" s="45" t="n"/>
      <c r="N54" s="44" t="n"/>
      <c r="O54" s="86" t="n"/>
      <c r="P54" s="44" t="n"/>
      <c r="Q54" s="45" t="n"/>
      <c r="R54" s="85" t="n"/>
      <c r="S54" s="85" t="n"/>
      <c r="T54" s="85" t="n"/>
      <c r="U54" s="85" t="n"/>
      <c r="V54" s="85" t="n"/>
      <c r="W54" s="86" t="n"/>
      <c r="X54" s="44" t="n"/>
      <c r="Y54" s="44" t="n"/>
      <c r="Z54" s="44" t="n"/>
      <c r="AA54" s="85" t="n"/>
      <c r="AB54" s="45" t="n"/>
      <c r="AC54" s="86" t="n"/>
      <c r="AD54" s="44" t="n"/>
      <c r="AE54" s="87" t="n"/>
      <c r="AF54" s="44" t="n"/>
      <c r="AG54" s="44" t="n"/>
      <c r="AH54" s="87" t="n"/>
      <c r="AI54" s="44" t="n"/>
      <c r="AJ54" s="45" t="n"/>
      <c r="AK54" s="45" t="n"/>
      <c r="AL54" s="45" t="n"/>
      <c r="AM54" s="44" t="n"/>
      <c r="AN54" s="45" t="n"/>
      <c r="AO54" s="44" t="n"/>
      <c r="AP54" s="44" t="n"/>
      <c r="AQ54" s="44" t="n"/>
      <c r="AR54" s="44" t="n"/>
      <c r="AS54" s="44" t="n"/>
    </row>
    <row r="55">
      <c r="A55" s="44" t="n"/>
      <c r="B55" s="44" t="n"/>
      <c r="C55" s="44" t="n"/>
      <c r="D55" s="44" t="n"/>
      <c r="E55" s="44" t="n"/>
      <c r="F55" s="44" t="n"/>
      <c r="G55" s="45" t="n"/>
      <c r="H55" s="45" t="n"/>
      <c r="I55" s="85" t="n"/>
      <c r="J55" s="44" t="n"/>
      <c r="K55" s="44" t="n"/>
      <c r="L55" s="44" t="n"/>
      <c r="M55" s="45" t="n"/>
      <c r="N55" s="44" t="n"/>
      <c r="O55" s="86" t="n"/>
      <c r="P55" s="44" t="n"/>
      <c r="Q55" s="45" t="n"/>
      <c r="R55" s="85" t="n"/>
      <c r="S55" s="85" t="n"/>
      <c r="T55" s="85" t="n"/>
      <c r="U55" s="85" t="n"/>
      <c r="V55" s="85" t="n"/>
      <c r="W55" s="86" t="n"/>
      <c r="X55" s="44" t="n"/>
      <c r="Y55" s="44" t="n"/>
      <c r="Z55" s="44" t="n"/>
      <c r="AA55" s="85" t="n"/>
      <c r="AB55" s="45" t="n"/>
      <c r="AC55" s="86" t="n"/>
      <c r="AD55" s="44" t="n"/>
      <c r="AE55" s="87" t="n"/>
      <c r="AF55" s="44" t="n"/>
      <c r="AG55" s="44" t="n"/>
      <c r="AH55" s="87" t="n"/>
      <c r="AI55" s="44" t="n"/>
      <c r="AJ55" s="45" t="n"/>
      <c r="AK55" s="45" t="n"/>
      <c r="AL55" s="45" t="n"/>
      <c r="AM55" s="44" t="n"/>
      <c r="AN55" s="45" t="n"/>
      <c r="AO55" s="44" t="n"/>
      <c r="AP55" s="44" t="n"/>
      <c r="AQ55" s="44" t="n"/>
      <c r="AR55" s="44" t="n"/>
      <c r="AS55" s="44" t="n"/>
    </row>
    <row r="56">
      <c r="A56" s="44" t="n"/>
      <c r="B56" s="44" t="n"/>
      <c r="C56" s="44" t="n"/>
      <c r="D56" s="44" t="n"/>
      <c r="E56" s="44" t="n"/>
      <c r="F56" s="44" t="n"/>
      <c r="G56" s="45" t="n"/>
      <c r="H56" s="45" t="n"/>
      <c r="I56" s="85" t="n"/>
      <c r="J56" s="44" t="n"/>
      <c r="K56" s="44" t="n"/>
      <c r="L56" s="44" t="n"/>
      <c r="M56" s="45" t="n"/>
      <c r="N56" s="44" t="n"/>
      <c r="O56" s="86" t="n"/>
      <c r="P56" s="44" t="n"/>
      <c r="Q56" s="45" t="n"/>
      <c r="R56" s="85" t="n"/>
      <c r="S56" s="85" t="n"/>
      <c r="T56" s="85" t="n"/>
      <c r="U56" s="85" t="n"/>
      <c r="V56" s="85" t="n"/>
      <c r="W56" s="86" t="n"/>
      <c r="X56" s="44" t="n"/>
      <c r="Y56" s="44" t="n"/>
      <c r="Z56" s="44" t="n"/>
      <c r="AA56" s="85" t="n"/>
      <c r="AB56" s="45" t="n"/>
      <c r="AC56" s="86" t="n"/>
      <c r="AD56" s="44" t="n"/>
      <c r="AE56" s="87" t="n"/>
      <c r="AF56" s="44" t="n"/>
      <c r="AG56" s="44" t="n"/>
      <c r="AH56" s="87" t="n"/>
      <c r="AI56" s="44" t="n"/>
      <c r="AJ56" s="45" t="n"/>
      <c r="AK56" s="45" t="n"/>
      <c r="AL56" s="45" t="n"/>
      <c r="AM56" s="44" t="n"/>
      <c r="AN56" s="45" t="n"/>
      <c r="AO56" s="44" t="n"/>
      <c r="AP56" s="44" t="n"/>
      <c r="AQ56" s="44" t="n"/>
      <c r="AR56" s="44" t="n"/>
      <c r="AS56" s="44" t="n"/>
    </row>
    <row r="57">
      <c r="A57" s="44" t="n"/>
      <c r="B57" s="44" t="n"/>
      <c r="C57" s="44" t="n"/>
      <c r="D57" s="44" t="n"/>
      <c r="E57" s="44" t="n"/>
      <c r="F57" s="44" t="n"/>
      <c r="G57" s="45" t="n"/>
      <c r="H57" s="45" t="n"/>
      <c r="I57" s="85" t="n"/>
      <c r="J57" s="44" t="n"/>
      <c r="K57" s="44" t="n"/>
      <c r="L57" s="44" t="n"/>
      <c r="M57" s="45" t="n"/>
      <c r="N57" s="44" t="n"/>
      <c r="O57" s="86" t="n"/>
      <c r="P57" s="44" t="n"/>
      <c r="Q57" s="45" t="n"/>
      <c r="R57" s="85" t="n"/>
      <c r="S57" s="85" t="n"/>
      <c r="T57" s="85" t="n"/>
      <c r="U57" s="85" t="n"/>
      <c r="V57" s="85" t="n"/>
      <c r="W57" s="86" t="n"/>
      <c r="X57" s="44" t="n"/>
      <c r="Y57" s="44" t="n"/>
      <c r="Z57" s="44" t="n"/>
      <c r="AA57" s="85" t="n"/>
      <c r="AB57" s="45" t="n"/>
      <c r="AC57" s="86" t="n"/>
      <c r="AD57" s="44" t="n"/>
      <c r="AE57" s="87" t="n"/>
      <c r="AF57" s="44" t="n"/>
      <c r="AG57" s="44" t="n"/>
      <c r="AH57" s="87" t="n"/>
      <c r="AI57" s="44" t="n"/>
      <c r="AJ57" s="45" t="n"/>
      <c r="AK57" s="45" t="n"/>
      <c r="AL57" s="45" t="n"/>
      <c r="AM57" s="44" t="n"/>
      <c r="AN57" s="45" t="n"/>
      <c r="AO57" s="44" t="n"/>
      <c r="AP57" s="44" t="n"/>
      <c r="AQ57" s="44" t="n"/>
      <c r="AR57" s="44" t="n"/>
      <c r="AS57" s="44" t="n"/>
    </row>
    <row r="58">
      <c r="A58" s="44" t="n"/>
      <c r="B58" s="44" t="n"/>
      <c r="C58" s="44" t="n"/>
      <c r="D58" s="44" t="n"/>
      <c r="E58" s="44" t="n"/>
      <c r="F58" s="44" t="n"/>
      <c r="G58" s="45" t="n"/>
      <c r="H58" s="45" t="n"/>
      <c r="I58" s="85" t="n"/>
      <c r="J58" s="44" t="n"/>
      <c r="K58" s="44" t="n"/>
      <c r="L58" s="44" t="n"/>
      <c r="M58" s="45" t="n"/>
      <c r="N58" s="44" t="n"/>
      <c r="O58" s="86" t="n"/>
      <c r="P58" s="44" t="n"/>
      <c r="Q58" s="45" t="n"/>
      <c r="R58" s="85" t="n"/>
      <c r="S58" s="85" t="n"/>
      <c r="T58" s="85" t="n"/>
      <c r="U58" s="85" t="n"/>
      <c r="V58" s="85" t="n"/>
      <c r="W58" s="86" t="n"/>
      <c r="X58" s="44" t="n"/>
      <c r="Y58" s="44" t="n"/>
      <c r="Z58" s="44" t="n"/>
      <c r="AA58" s="85" t="n"/>
      <c r="AB58" s="45" t="n"/>
      <c r="AC58" s="86" t="n"/>
      <c r="AD58" s="44" t="n"/>
      <c r="AE58" s="87" t="n"/>
      <c r="AF58" s="44" t="n"/>
      <c r="AG58" s="44" t="n"/>
      <c r="AH58" s="87" t="n"/>
      <c r="AI58" s="44" t="n"/>
      <c r="AJ58" s="45" t="n"/>
      <c r="AK58" s="45" t="n"/>
      <c r="AL58" s="45" t="n"/>
      <c r="AM58" s="44" t="n"/>
      <c r="AN58" s="45" t="n"/>
      <c r="AO58" s="44" t="n"/>
      <c r="AP58" s="44" t="n"/>
      <c r="AQ58" s="44" t="n"/>
      <c r="AR58" s="44" t="n"/>
      <c r="AS58" s="44" t="n"/>
    </row>
    <row r="59">
      <c r="A59" s="44" t="n"/>
      <c r="B59" s="44" t="n"/>
      <c r="C59" s="44" t="n"/>
      <c r="D59" s="44" t="n"/>
      <c r="E59" s="44" t="n"/>
      <c r="F59" s="44" t="n"/>
      <c r="G59" s="45" t="n"/>
      <c r="H59" s="45" t="n"/>
      <c r="I59" s="85" t="n"/>
      <c r="J59" s="44" t="n"/>
      <c r="K59" s="44" t="n"/>
      <c r="L59" s="44" t="n"/>
      <c r="M59" s="45" t="n"/>
      <c r="N59" s="44" t="n"/>
      <c r="O59" s="86" t="n"/>
      <c r="P59" s="44" t="n"/>
      <c r="Q59" s="45" t="n"/>
      <c r="R59" s="85" t="n"/>
      <c r="S59" s="85" t="n"/>
      <c r="T59" s="85" t="n"/>
      <c r="U59" s="85" t="n"/>
      <c r="V59" s="85" t="n"/>
      <c r="W59" s="86" t="n"/>
      <c r="X59" s="44" t="n"/>
      <c r="Y59" s="44" t="n"/>
      <c r="Z59" s="44" t="n"/>
      <c r="AA59" s="85" t="n"/>
      <c r="AB59" s="45" t="n"/>
      <c r="AC59" s="86" t="n"/>
      <c r="AD59" s="44" t="n"/>
      <c r="AE59" s="87" t="n"/>
      <c r="AF59" s="44" t="n"/>
      <c r="AG59" s="44" t="n"/>
      <c r="AH59" s="87" t="n"/>
      <c r="AI59" s="44" t="n"/>
      <c r="AJ59" s="45" t="n"/>
      <c r="AK59" s="45" t="n"/>
      <c r="AL59" s="45" t="n"/>
      <c r="AM59" s="44" t="n"/>
      <c r="AN59" s="45" t="n"/>
      <c r="AO59" s="44" t="n"/>
      <c r="AP59" s="44" t="n"/>
      <c r="AQ59" s="44" t="n"/>
      <c r="AR59" s="44" t="n"/>
      <c r="AS59" s="44" t="n"/>
    </row>
    <row r="60">
      <c r="A60" s="44" t="n"/>
      <c r="B60" s="44" t="n"/>
      <c r="C60" s="44" t="n"/>
      <c r="D60" s="44" t="n"/>
      <c r="E60" s="44" t="n"/>
      <c r="F60" s="44" t="n"/>
      <c r="G60" s="45" t="n"/>
      <c r="H60" s="45" t="n"/>
      <c r="I60" s="85" t="n"/>
      <c r="J60" s="44" t="n"/>
      <c r="K60" s="44" t="n"/>
      <c r="L60" s="44" t="n"/>
      <c r="M60" s="45" t="n"/>
      <c r="N60" s="44" t="n"/>
      <c r="O60" s="86" t="n"/>
      <c r="P60" s="44" t="n"/>
      <c r="Q60" s="45" t="n"/>
      <c r="R60" s="85" t="n"/>
      <c r="S60" s="85" t="n"/>
      <c r="T60" s="85" t="n"/>
      <c r="U60" s="85" t="n"/>
      <c r="V60" s="85" t="n"/>
      <c r="W60" s="86" t="n"/>
      <c r="X60" s="44" t="n"/>
      <c r="Y60" s="44" t="n"/>
      <c r="Z60" s="44" t="n"/>
      <c r="AA60" s="85" t="n"/>
      <c r="AB60" s="45" t="n"/>
      <c r="AC60" s="86" t="n"/>
      <c r="AD60" s="44" t="n"/>
      <c r="AE60" s="87" t="n"/>
      <c r="AF60" s="44" t="n"/>
      <c r="AG60" s="44" t="n"/>
      <c r="AH60" s="87" t="n"/>
      <c r="AI60" s="44" t="n"/>
      <c r="AJ60" s="45" t="n"/>
      <c r="AK60" s="45" t="n"/>
      <c r="AL60" s="45" t="n"/>
      <c r="AM60" s="44" t="n"/>
      <c r="AN60" s="45" t="n"/>
      <c r="AO60" s="44" t="n"/>
      <c r="AP60" s="44" t="n"/>
      <c r="AQ60" s="44" t="n"/>
      <c r="AR60" s="44" t="n"/>
      <c r="AS60" s="44" t="n"/>
    </row>
    <row r="61">
      <c r="A61" s="44" t="n"/>
      <c r="B61" s="44" t="n"/>
      <c r="C61" s="44" t="n"/>
      <c r="D61" s="44" t="n"/>
      <c r="E61" s="44" t="n"/>
      <c r="F61" s="44" t="n"/>
      <c r="G61" s="45" t="n"/>
      <c r="H61" s="45" t="n"/>
      <c r="I61" s="85" t="n"/>
      <c r="J61" s="44" t="n"/>
      <c r="K61" s="44" t="n"/>
      <c r="L61" s="44" t="n"/>
      <c r="M61" s="45" t="n"/>
      <c r="N61" s="44" t="n"/>
      <c r="O61" s="86" t="n"/>
      <c r="P61" s="44" t="n"/>
      <c r="Q61" s="45" t="n"/>
      <c r="R61" s="85" t="n"/>
      <c r="S61" s="85" t="n"/>
      <c r="T61" s="85" t="n"/>
      <c r="U61" s="85" t="n"/>
      <c r="V61" s="85" t="n"/>
      <c r="W61" s="86" t="n"/>
      <c r="X61" s="44" t="n"/>
      <c r="Y61" s="44" t="n"/>
      <c r="Z61" s="44" t="n"/>
      <c r="AA61" s="85" t="n"/>
      <c r="AB61" s="45" t="n"/>
      <c r="AC61" s="86" t="n"/>
      <c r="AD61" s="44" t="n"/>
      <c r="AE61" s="87" t="n"/>
      <c r="AF61" s="44" t="n"/>
      <c r="AG61" s="44" t="n"/>
      <c r="AH61" s="87" t="n"/>
      <c r="AI61" s="44" t="n"/>
      <c r="AJ61" s="45" t="n"/>
      <c r="AK61" s="45" t="n"/>
      <c r="AL61" s="45" t="n"/>
      <c r="AM61" s="44" t="n"/>
      <c r="AN61" s="45" t="n"/>
      <c r="AO61" s="44" t="n"/>
      <c r="AP61" s="44" t="n"/>
      <c r="AQ61" s="44" t="n"/>
      <c r="AR61" s="44" t="n"/>
      <c r="AS61" s="44" t="n"/>
    </row>
    <row r="62">
      <c r="A62" s="44" t="n"/>
      <c r="B62" s="44" t="n"/>
      <c r="C62" s="44" t="n"/>
      <c r="D62" s="44" t="n"/>
      <c r="E62" s="44" t="n"/>
      <c r="F62" s="44" t="n"/>
      <c r="G62" s="45" t="n"/>
      <c r="H62" s="45" t="n"/>
      <c r="I62" s="85" t="n"/>
      <c r="J62" s="44" t="n"/>
      <c r="K62" s="44" t="n"/>
      <c r="L62" s="44" t="n"/>
      <c r="M62" s="45" t="n"/>
      <c r="N62" s="44" t="n"/>
      <c r="O62" s="86" t="n"/>
      <c r="P62" s="44" t="n"/>
      <c r="Q62" s="45" t="n"/>
      <c r="R62" s="85" t="n"/>
      <c r="S62" s="85" t="n"/>
      <c r="T62" s="85" t="n"/>
      <c r="U62" s="85" t="n"/>
      <c r="V62" s="85" t="n"/>
      <c r="W62" s="86" t="n"/>
      <c r="X62" s="44" t="n"/>
      <c r="Y62" s="44" t="n"/>
      <c r="Z62" s="44" t="n"/>
      <c r="AA62" s="85" t="n"/>
      <c r="AB62" s="45" t="n"/>
      <c r="AC62" s="86" t="n"/>
      <c r="AD62" s="44" t="n"/>
      <c r="AE62" s="87" t="n"/>
      <c r="AF62" s="44" t="n"/>
      <c r="AG62" s="44" t="n"/>
      <c r="AH62" s="87" t="n"/>
      <c r="AI62" s="44" t="n"/>
      <c r="AJ62" s="45" t="n"/>
      <c r="AK62" s="45" t="n"/>
      <c r="AL62" s="45" t="n"/>
      <c r="AM62" s="44" t="n"/>
      <c r="AN62" s="45" t="n"/>
      <c r="AO62" s="44" t="n"/>
      <c r="AP62" s="44" t="n"/>
      <c r="AQ62" s="44" t="n"/>
      <c r="AR62" s="44" t="n"/>
      <c r="AS62" s="44" t="n"/>
    </row>
    <row r="63">
      <c r="A63" s="44" t="n"/>
      <c r="B63" s="44" t="n"/>
      <c r="C63" s="44" t="n"/>
      <c r="D63" s="44" t="n"/>
      <c r="E63" s="44" t="n"/>
      <c r="F63" s="44" t="n"/>
      <c r="G63" s="45" t="n"/>
      <c r="H63" s="45" t="n"/>
      <c r="I63" s="85" t="n"/>
      <c r="J63" s="44" t="n"/>
      <c r="K63" s="44" t="n"/>
      <c r="L63" s="44" t="n"/>
      <c r="M63" s="45" t="n"/>
      <c r="N63" s="44" t="n"/>
      <c r="O63" s="86" t="n"/>
      <c r="P63" s="44" t="n"/>
      <c r="Q63" s="45" t="n"/>
      <c r="R63" s="85" t="n"/>
      <c r="S63" s="85" t="n"/>
      <c r="T63" s="85" t="n"/>
      <c r="U63" s="85" t="n"/>
      <c r="V63" s="85" t="n"/>
      <c r="W63" s="86" t="n"/>
      <c r="X63" s="44" t="n"/>
      <c r="Y63" s="44" t="n"/>
      <c r="Z63" s="44" t="n"/>
      <c r="AA63" s="85" t="n"/>
      <c r="AB63" s="45" t="n"/>
      <c r="AC63" s="86" t="n"/>
      <c r="AD63" s="44" t="n"/>
      <c r="AE63" s="87" t="n"/>
      <c r="AF63" s="44" t="n"/>
      <c r="AG63" s="44" t="n"/>
      <c r="AH63" s="87" t="n"/>
      <c r="AI63" s="44" t="n"/>
      <c r="AJ63" s="45" t="n"/>
      <c r="AK63" s="45" t="n"/>
      <c r="AL63" s="45" t="n"/>
      <c r="AM63" s="44" t="n"/>
      <c r="AN63" s="45" t="n"/>
      <c r="AO63" s="44" t="n"/>
      <c r="AP63" s="44" t="n"/>
      <c r="AQ63" s="44" t="n"/>
      <c r="AR63" s="44" t="n"/>
      <c r="AS63" s="44" t="n"/>
    </row>
    <row r="64">
      <c r="A64" s="44" t="n"/>
      <c r="B64" s="44" t="n"/>
      <c r="C64" s="44" t="n"/>
      <c r="D64" s="44" t="n"/>
      <c r="E64" s="44" t="n"/>
      <c r="F64" s="44" t="n"/>
      <c r="G64" s="45" t="n"/>
      <c r="H64" s="45" t="n"/>
      <c r="I64" s="85" t="n"/>
      <c r="J64" s="44" t="n"/>
      <c r="K64" s="44" t="n"/>
      <c r="L64" s="44" t="n"/>
      <c r="M64" s="45" t="n"/>
      <c r="N64" s="44" t="n"/>
      <c r="O64" s="86" t="n"/>
      <c r="P64" s="44" t="n"/>
      <c r="Q64" s="45" t="n"/>
      <c r="R64" s="85" t="n"/>
      <c r="S64" s="85" t="n"/>
      <c r="T64" s="85" t="n"/>
      <c r="U64" s="85" t="n"/>
      <c r="V64" s="85" t="n"/>
      <c r="W64" s="86" t="n"/>
      <c r="X64" s="44" t="n"/>
      <c r="Y64" s="44" t="n"/>
      <c r="Z64" s="44" t="n"/>
      <c r="AA64" s="85" t="n"/>
      <c r="AB64" s="45" t="n"/>
      <c r="AC64" s="86" t="n"/>
      <c r="AD64" s="44" t="n"/>
      <c r="AE64" s="87" t="n"/>
      <c r="AF64" s="44" t="n"/>
      <c r="AG64" s="44" t="n"/>
      <c r="AH64" s="87" t="n"/>
      <c r="AI64" s="44" t="n"/>
      <c r="AJ64" s="45" t="n"/>
      <c r="AK64" s="45" t="n"/>
      <c r="AL64" s="45" t="n"/>
      <c r="AM64" s="44" t="n"/>
      <c r="AN64" s="45" t="n"/>
      <c r="AO64" s="44" t="n"/>
      <c r="AP64" s="44" t="n"/>
      <c r="AQ64" s="44" t="n"/>
      <c r="AR64" s="44" t="n"/>
      <c r="AS64" s="44" t="n"/>
    </row>
    <row r="65">
      <c r="A65" s="44" t="n"/>
      <c r="B65" s="44" t="n"/>
      <c r="C65" s="44" t="n"/>
      <c r="D65" s="44" t="n"/>
      <c r="E65" s="44" t="n"/>
      <c r="F65" s="44" t="n"/>
      <c r="G65" s="45" t="n"/>
      <c r="H65" s="45" t="n"/>
      <c r="I65" s="85" t="n"/>
      <c r="J65" s="44" t="n"/>
      <c r="K65" s="44" t="n"/>
      <c r="L65" s="44" t="n"/>
      <c r="M65" s="45" t="n"/>
      <c r="N65" s="44" t="n"/>
      <c r="O65" s="86" t="n"/>
      <c r="P65" s="44" t="n"/>
      <c r="Q65" s="45" t="n"/>
      <c r="R65" s="85" t="n"/>
      <c r="S65" s="85" t="n"/>
      <c r="T65" s="85" t="n"/>
      <c r="U65" s="85" t="n"/>
      <c r="V65" s="85" t="n"/>
      <c r="W65" s="86" t="n"/>
      <c r="X65" s="44" t="n"/>
      <c r="Y65" s="44" t="n"/>
      <c r="Z65" s="44" t="n"/>
      <c r="AA65" s="85" t="n"/>
      <c r="AB65" s="45" t="n"/>
      <c r="AC65" s="86" t="n"/>
      <c r="AD65" s="44" t="n"/>
      <c r="AE65" s="87" t="n"/>
      <c r="AF65" s="44" t="n"/>
      <c r="AG65" s="44" t="n"/>
      <c r="AH65" s="87" t="n"/>
      <c r="AI65" s="44" t="n"/>
      <c r="AJ65" s="45" t="n"/>
      <c r="AK65" s="45" t="n"/>
      <c r="AL65" s="45" t="n"/>
      <c r="AM65" s="44" t="n"/>
      <c r="AN65" s="45" t="n"/>
      <c r="AO65" s="44" t="n"/>
      <c r="AP65" s="44" t="n"/>
      <c r="AQ65" s="44" t="n"/>
      <c r="AR65" s="44" t="n"/>
      <c r="AS65" s="44" t="n"/>
    </row>
    <row r="66">
      <c r="A66" s="44" t="n"/>
      <c r="B66" s="44" t="n"/>
      <c r="C66" s="44" t="n"/>
      <c r="D66" s="44" t="n"/>
      <c r="E66" s="44" t="n"/>
      <c r="F66" s="44" t="n"/>
      <c r="G66" s="45" t="n"/>
      <c r="H66" s="45" t="n"/>
      <c r="I66" s="85" t="n"/>
      <c r="J66" s="44" t="n"/>
      <c r="K66" s="44" t="n"/>
      <c r="L66" s="44" t="n"/>
      <c r="M66" s="45" t="n"/>
      <c r="N66" s="44" t="n"/>
      <c r="O66" s="86" t="n"/>
      <c r="P66" s="44" t="n"/>
      <c r="Q66" s="45" t="n"/>
      <c r="R66" s="85" t="n"/>
      <c r="S66" s="85" t="n"/>
      <c r="T66" s="85" t="n"/>
      <c r="U66" s="85" t="n"/>
      <c r="V66" s="85" t="n"/>
      <c r="W66" s="86" t="n"/>
      <c r="X66" s="44" t="n"/>
      <c r="Y66" s="44" t="n"/>
      <c r="Z66" s="44" t="n"/>
      <c r="AA66" s="85" t="n"/>
      <c r="AB66" s="45" t="n"/>
      <c r="AC66" s="86" t="n"/>
      <c r="AD66" s="44" t="n"/>
      <c r="AE66" s="87" t="n"/>
      <c r="AF66" s="44" t="n"/>
      <c r="AG66" s="44" t="n"/>
      <c r="AH66" s="87" t="n"/>
      <c r="AI66" s="44" t="n"/>
      <c r="AJ66" s="45" t="n"/>
      <c r="AK66" s="45" t="n"/>
      <c r="AL66" s="45" t="n"/>
      <c r="AM66" s="44" t="n"/>
      <c r="AN66" s="45" t="n"/>
      <c r="AO66" s="44" t="n"/>
      <c r="AP66" s="44" t="n"/>
      <c r="AQ66" s="44" t="n"/>
      <c r="AR66" s="44" t="n"/>
      <c r="AS66" s="44" t="n"/>
    </row>
    <row r="67">
      <c r="A67" s="44" t="n"/>
      <c r="B67" s="44" t="n"/>
      <c r="C67" s="44" t="n"/>
      <c r="D67" s="44" t="n"/>
      <c r="E67" s="44" t="n"/>
      <c r="F67" s="44" t="n"/>
      <c r="G67" s="45" t="n"/>
      <c r="H67" s="45" t="n"/>
      <c r="I67" s="85" t="n"/>
      <c r="J67" s="44" t="n"/>
      <c r="K67" s="44" t="n"/>
      <c r="L67" s="44" t="n"/>
      <c r="M67" s="45" t="n"/>
      <c r="N67" s="44" t="n"/>
      <c r="O67" s="86" t="n"/>
      <c r="P67" s="44" t="n"/>
      <c r="Q67" s="45" t="n"/>
      <c r="R67" s="85" t="n"/>
      <c r="S67" s="85" t="n"/>
      <c r="T67" s="85" t="n"/>
      <c r="U67" s="85" t="n"/>
      <c r="V67" s="85" t="n"/>
      <c r="W67" s="86" t="n"/>
      <c r="X67" s="44" t="n"/>
      <c r="Y67" s="44" t="n"/>
      <c r="Z67" s="44" t="n"/>
      <c r="AA67" s="85" t="n"/>
      <c r="AB67" s="45" t="n"/>
      <c r="AC67" s="86" t="n"/>
      <c r="AD67" s="44" t="n"/>
      <c r="AE67" s="87" t="n"/>
      <c r="AF67" s="44" t="n"/>
      <c r="AG67" s="44" t="n"/>
      <c r="AH67" s="87" t="n"/>
      <c r="AI67" s="44" t="n"/>
      <c r="AJ67" s="45" t="n"/>
      <c r="AK67" s="45" t="n"/>
      <c r="AL67" s="45" t="n"/>
      <c r="AM67" s="44" t="n"/>
      <c r="AN67" s="45" t="n"/>
      <c r="AO67" s="44" t="n"/>
      <c r="AP67" s="44" t="n"/>
      <c r="AQ67" s="44" t="n"/>
      <c r="AR67" s="44" t="n"/>
      <c r="AS67" s="44" t="n"/>
    </row>
    <row r="68">
      <c r="A68" s="44" t="n"/>
      <c r="B68" s="44" t="n"/>
      <c r="C68" s="44" t="n"/>
      <c r="D68" s="44" t="n"/>
      <c r="E68" s="44" t="n"/>
      <c r="F68" s="44" t="n"/>
      <c r="G68" s="45" t="n"/>
      <c r="H68" s="45" t="n"/>
      <c r="I68" s="85" t="n"/>
      <c r="J68" s="44" t="n"/>
      <c r="K68" s="44" t="n"/>
      <c r="L68" s="44" t="n"/>
      <c r="M68" s="45" t="n"/>
      <c r="N68" s="44" t="n"/>
      <c r="O68" s="86" t="n"/>
      <c r="P68" s="44" t="n"/>
      <c r="Q68" s="45" t="n"/>
      <c r="R68" s="85" t="n"/>
      <c r="S68" s="85" t="n"/>
      <c r="T68" s="85" t="n"/>
      <c r="U68" s="85" t="n"/>
      <c r="V68" s="85" t="n"/>
      <c r="W68" s="86" t="n"/>
      <c r="X68" s="44" t="n"/>
      <c r="Y68" s="44" t="n"/>
      <c r="Z68" s="44" t="n"/>
      <c r="AA68" s="85" t="n"/>
      <c r="AB68" s="45" t="n"/>
      <c r="AC68" s="86" t="n"/>
      <c r="AD68" s="44" t="n"/>
      <c r="AE68" s="87" t="n"/>
      <c r="AF68" s="44" t="n"/>
      <c r="AG68" s="44" t="n"/>
      <c r="AH68" s="87" t="n"/>
      <c r="AI68" s="44" t="n"/>
      <c r="AJ68" s="45" t="n"/>
      <c r="AK68" s="45" t="n"/>
      <c r="AL68" s="45" t="n"/>
      <c r="AM68" s="44" t="n"/>
      <c r="AN68" s="45" t="n"/>
      <c r="AO68" s="44" t="n"/>
      <c r="AP68" s="44" t="n"/>
      <c r="AQ68" s="44" t="n"/>
      <c r="AR68" s="44" t="n"/>
      <c r="AS68" s="44" t="n"/>
    </row>
    <row r="69">
      <c r="A69" s="44" t="n"/>
      <c r="B69" s="44" t="n"/>
      <c r="C69" s="44" t="n"/>
      <c r="D69" s="44" t="n"/>
      <c r="E69" s="44" t="n"/>
      <c r="F69" s="44" t="n"/>
      <c r="G69" s="45" t="n"/>
      <c r="H69" s="45" t="n"/>
      <c r="I69" s="85" t="n"/>
      <c r="J69" s="44" t="n"/>
      <c r="K69" s="44" t="n"/>
      <c r="L69" s="44" t="n"/>
      <c r="M69" s="45" t="n"/>
      <c r="N69" s="44" t="n"/>
      <c r="O69" s="86" t="n"/>
      <c r="P69" s="44" t="n"/>
      <c r="Q69" s="45" t="n"/>
      <c r="R69" s="85" t="n"/>
      <c r="S69" s="85" t="n"/>
      <c r="T69" s="85" t="n"/>
      <c r="U69" s="85" t="n"/>
      <c r="V69" s="85" t="n"/>
      <c r="W69" s="86" t="n"/>
      <c r="X69" s="44" t="n"/>
      <c r="Y69" s="44" t="n"/>
      <c r="Z69" s="44" t="n"/>
      <c r="AA69" s="85" t="n"/>
      <c r="AB69" s="45" t="n"/>
      <c r="AC69" s="86" t="n"/>
      <c r="AD69" s="44" t="n"/>
      <c r="AE69" s="87" t="n"/>
      <c r="AF69" s="44" t="n"/>
      <c r="AG69" s="44" t="n"/>
      <c r="AH69" s="87" t="n"/>
      <c r="AI69" s="44" t="n"/>
      <c r="AJ69" s="45" t="n"/>
      <c r="AK69" s="45" t="n"/>
      <c r="AL69" s="45" t="n"/>
      <c r="AM69" s="44" t="n"/>
      <c r="AN69" s="45" t="n"/>
      <c r="AO69" s="44" t="n"/>
      <c r="AP69" s="44" t="n"/>
      <c r="AQ69" s="44" t="n"/>
      <c r="AR69" s="44" t="n"/>
      <c r="AS69" s="44" t="n"/>
    </row>
    <row r="70">
      <c r="A70" s="44" t="n"/>
      <c r="B70" s="44" t="n"/>
      <c r="C70" s="44" t="n"/>
      <c r="D70" s="44" t="n"/>
      <c r="E70" s="44" t="n"/>
      <c r="F70" s="44" t="n"/>
      <c r="G70" s="45" t="n"/>
      <c r="H70" s="45" t="n"/>
      <c r="I70" s="85" t="n"/>
      <c r="J70" s="44" t="n"/>
      <c r="K70" s="44" t="n"/>
      <c r="L70" s="44" t="n"/>
      <c r="M70" s="45" t="n"/>
      <c r="N70" s="44" t="n"/>
      <c r="O70" s="86" t="n"/>
      <c r="P70" s="44" t="n"/>
      <c r="Q70" s="45" t="n"/>
      <c r="R70" s="85" t="n"/>
      <c r="S70" s="85" t="n"/>
      <c r="T70" s="85" t="n"/>
      <c r="U70" s="85" t="n"/>
      <c r="V70" s="85" t="n"/>
      <c r="W70" s="86" t="n"/>
      <c r="X70" s="44" t="n"/>
      <c r="Y70" s="44" t="n"/>
      <c r="Z70" s="44" t="n"/>
      <c r="AA70" s="85" t="n"/>
      <c r="AB70" s="45" t="n"/>
      <c r="AC70" s="86" t="n"/>
      <c r="AD70" s="44" t="n"/>
      <c r="AE70" s="87" t="n"/>
      <c r="AF70" s="44" t="n"/>
      <c r="AG70" s="44" t="n"/>
      <c r="AH70" s="87" t="n"/>
      <c r="AI70" s="44" t="n"/>
      <c r="AJ70" s="45" t="n"/>
      <c r="AK70" s="45" t="n"/>
      <c r="AL70" s="45" t="n"/>
      <c r="AM70" s="44" t="n"/>
      <c r="AN70" s="45" t="n"/>
      <c r="AO70" s="44" t="n"/>
      <c r="AP70" s="44" t="n"/>
      <c r="AQ70" s="44" t="n"/>
      <c r="AR70" s="44" t="n"/>
      <c r="AS70" s="44" t="n"/>
    </row>
    <row r="71">
      <c r="A71" s="44" t="n"/>
      <c r="B71" s="44" t="n"/>
      <c r="C71" s="44" t="n"/>
      <c r="D71" s="44" t="n"/>
      <c r="E71" s="44" t="n"/>
      <c r="F71" s="44" t="n"/>
      <c r="G71" s="45" t="n"/>
      <c r="H71" s="45" t="n"/>
      <c r="I71" s="85" t="n"/>
      <c r="J71" s="44" t="n"/>
      <c r="K71" s="44" t="n"/>
      <c r="L71" s="44" t="n"/>
      <c r="M71" s="45" t="n"/>
      <c r="N71" s="44" t="n"/>
      <c r="O71" s="86" t="n"/>
      <c r="P71" s="44" t="n"/>
      <c r="Q71" s="45" t="n"/>
      <c r="R71" s="85" t="n"/>
      <c r="S71" s="85" t="n"/>
      <c r="T71" s="85" t="n"/>
      <c r="U71" s="85" t="n"/>
      <c r="V71" s="85" t="n"/>
      <c r="W71" s="86" t="n"/>
      <c r="X71" s="44" t="n"/>
      <c r="Y71" s="44" t="n"/>
      <c r="Z71" s="44" t="n"/>
      <c r="AA71" s="85" t="n"/>
      <c r="AB71" s="45" t="n"/>
      <c r="AC71" s="86" t="n"/>
      <c r="AD71" s="44" t="n"/>
      <c r="AE71" s="87" t="n"/>
      <c r="AF71" s="44" t="n"/>
      <c r="AG71" s="44" t="n"/>
      <c r="AH71" s="87" t="n"/>
      <c r="AI71" s="44" t="n"/>
      <c r="AJ71" s="45" t="n"/>
      <c r="AK71" s="45" t="n"/>
      <c r="AL71" s="45" t="n"/>
      <c r="AM71" s="44" t="n"/>
      <c r="AN71" s="45" t="n"/>
      <c r="AO71" s="44" t="n"/>
      <c r="AP71" s="44" t="n"/>
      <c r="AQ71" s="44" t="n"/>
      <c r="AR71" s="44" t="n"/>
      <c r="AS71" s="44" t="n"/>
    </row>
    <row r="72">
      <c r="A72" s="44" t="n"/>
      <c r="B72" s="44" t="n"/>
      <c r="C72" s="44" t="n"/>
      <c r="D72" s="44" t="n"/>
      <c r="E72" s="44" t="n"/>
      <c r="F72" s="44" t="n"/>
      <c r="G72" s="45" t="n"/>
      <c r="H72" s="45" t="n"/>
      <c r="I72" s="85" t="n"/>
      <c r="J72" s="44" t="n"/>
      <c r="K72" s="44" t="n"/>
      <c r="L72" s="44" t="n"/>
      <c r="M72" s="45" t="n"/>
      <c r="N72" s="44" t="n"/>
      <c r="O72" s="86" t="n"/>
      <c r="P72" s="44" t="n"/>
      <c r="Q72" s="45" t="n"/>
      <c r="R72" s="85" t="n"/>
      <c r="S72" s="85" t="n"/>
      <c r="T72" s="85" t="n"/>
      <c r="U72" s="85" t="n"/>
      <c r="V72" s="85" t="n"/>
      <c r="W72" s="86" t="n"/>
      <c r="X72" s="44" t="n"/>
      <c r="Y72" s="44" t="n"/>
      <c r="Z72" s="44" t="n"/>
      <c r="AA72" s="85" t="n"/>
      <c r="AB72" s="45" t="n"/>
      <c r="AC72" s="86" t="n"/>
      <c r="AD72" s="44" t="n"/>
      <c r="AE72" s="87" t="n"/>
      <c r="AF72" s="44" t="n"/>
      <c r="AG72" s="44" t="n"/>
      <c r="AH72" s="87" t="n"/>
      <c r="AI72" s="44" t="n"/>
      <c r="AJ72" s="45" t="n"/>
      <c r="AK72" s="45" t="n"/>
      <c r="AL72" s="45" t="n"/>
      <c r="AM72" s="44" t="n"/>
      <c r="AN72" s="45" t="n"/>
      <c r="AO72" s="44" t="n"/>
      <c r="AP72" s="44" t="n"/>
      <c r="AQ72" s="44" t="n"/>
      <c r="AR72" s="44" t="n"/>
      <c r="AS72" s="44" t="n"/>
    </row>
    <row r="73">
      <c r="A73" s="44" t="n"/>
      <c r="B73" s="44" t="n"/>
      <c r="C73" s="44" t="n"/>
      <c r="D73" s="44" t="n"/>
      <c r="E73" s="44" t="n"/>
      <c r="F73" s="44" t="n"/>
      <c r="G73" s="45" t="n"/>
      <c r="H73" s="45" t="n"/>
      <c r="I73" s="85" t="n"/>
      <c r="J73" s="44" t="n"/>
      <c r="K73" s="44" t="n"/>
      <c r="L73" s="44" t="n"/>
      <c r="M73" s="45" t="n"/>
      <c r="N73" s="44" t="n"/>
      <c r="O73" s="86" t="n"/>
      <c r="P73" s="44" t="n"/>
      <c r="Q73" s="45" t="n"/>
      <c r="R73" s="85" t="n"/>
      <c r="S73" s="85" t="n"/>
      <c r="T73" s="85" t="n"/>
      <c r="U73" s="85" t="n"/>
      <c r="V73" s="85" t="n"/>
      <c r="W73" s="86" t="n"/>
      <c r="X73" s="44" t="n"/>
      <c r="Y73" s="44" t="n"/>
      <c r="Z73" s="44" t="n"/>
      <c r="AA73" s="85" t="n"/>
      <c r="AB73" s="45" t="n"/>
      <c r="AC73" s="86" t="n"/>
      <c r="AD73" s="44" t="n"/>
      <c r="AE73" s="87" t="n"/>
      <c r="AF73" s="44" t="n"/>
      <c r="AG73" s="44" t="n"/>
      <c r="AH73" s="87" t="n"/>
      <c r="AI73" s="44" t="n"/>
      <c r="AJ73" s="45" t="n"/>
      <c r="AK73" s="45" t="n"/>
      <c r="AL73" s="45" t="n"/>
      <c r="AM73" s="44" t="n"/>
      <c r="AN73" s="45" t="n"/>
      <c r="AO73" s="44" t="n"/>
      <c r="AP73" s="44" t="n"/>
      <c r="AQ73" s="44" t="n"/>
      <c r="AR73" s="44" t="n"/>
      <c r="AS73" s="44" t="n"/>
    </row>
    <row r="74">
      <c r="A74" s="44" t="n"/>
      <c r="B74" s="44" t="n"/>
      <c r="C74" s="44" t="n"/>
      <c r="D74" s="44" t="n"/>
      <c r="E74" s="44" t="n"/>
      <c r="F74" s="44" t="n"/>
      <c r="G74" s="45" t="n"/>
      <c r="H74" s="45" t="n"/>
      <c r="I74" s="85" t="n"/>
      <c r="J74" s="44" t="n"/>
      <c r="K74" s="44" t="n"/>
      <c r="L74" s="44" t="n"/>
      <c r="M74" s="45" t="n"/>
      <c r="N74" s="44" t="n"/>
      <c r="O74" s="86" t="n"/>
      <c r="P74" s="44" t="n"/>
      <c r="Q74" s="45" t="n"/>
      <c r="R74" s="85" t="n"/>
      <c r="S74" s="85" t="n"/>
      <c r="T74" s="85" t="n"/>
      <c r="U74" s="85" t="n"/>
      <c r="V74" s="85" t="n"/>
      <c r="W74" s="86" t="n"/>
      <c r="X74" s="44" t="n"/>
      <c r="Y74" s="44" t="n"/>
      <c r="Z74" s="44" t="n"/>
      <c r="AA74" s="85" t="n"/>
      <c r="AB74" s="45" t="n"/>
      <c r="AC74" s="86" t="n"/>
      <c r="AD74" s="44" t="n"/>
      <c r="AE74" s="87" t="n"/>
      <c r="AF74" s="44" t="n"/>
      <c r="AG74" s="44" t="n"/>
      <c r="AH74" s="87" t="n"/>
      <c r="AI74" s="44" t="n"/>
      <c r="AJ74" s="45" t="n"/>
      <c r="AK74" s="45" t="n"/>
      <c r="AL74" s="45" t="n"/>
      <c r="AM74" s="44" t="n"/>
      <c r="AN74" s="45" t="n"/>
      <c r="AO74" s="44" t="n"/>
      <c r="AP74" s="44" t="n"/>
      <c r="AQ74" s="44" t="n"/>
      <c r="AR74" s="44" t="n"/>
      <c r="AS74" s="44" t="n"/>
    </row>
    <row r="75">
      <c r="A75" s="44" t="n"/>
      <c r="B75" s="44" t="n"/>
      <c r="C75" s="44" t="n"/>
      <c r="D75" s="44" t="n"/>
      <c r="E75" s="44" t="n"/>
      <c r="F75" s="44" t="n"/>
      <c r="G75" s="45" t="n"/>
      <c r="H75" s="45" t="n"/>
      <c r="I75" s="85" t="n"/>
      <c r="J75" s="44" t="n"/>
      <c r="K75" s="44" t="n"/>
      <c r="L75" s="44" t="n"/>
      <c r="M75" s="45" t="n"/>
      <c r="N75" s="44" t="n"/>
      <c r="O75" s="86" t="n"/>
      <c r="P75" s="44" t="n"/>
      <c r="Q75" s="45" t="n"/>
      <c r="R75" s="85" t="n"/>
      <c r="S75" s="85" t="n"/>
      <c r="T75" s="85" t="n"/>
      <c r="U75" s="85" t="n"/>
      <c r="V75" s="85" t="n"/>
      <c r="W75" s="86" t="n"/>
      <c r="X75" s="44" t="n"/>
      <c r="Y75" s="44" t="n"/>
      <c r="Z75" s="44" t="n"/>
      <c r="AA75" s="85" t="n"/>
      <c r="AB75" s="45" t="n"/>
      <c r="AC75" s="86" t="n"/>
      <c r="AD75" s="44" t="n"/>
      <c r="AE75" s="87" t="n"/>
      <c r="AF75" s="44" t="n"/>
      <c r="AG75" s="44" t="n"/>
      <c r="AH75" s="87" t="n"/>
      <c r="AI75" s="44" t="n"/>
      <c r="AJ75" s="45" t="n"/>
      <c r="AK75" s="45" t="n"/>
      <c r="AL75" s="45" t="n"/>
      <c r="AM75" s="44" t="n"/>
      <c r="AN75" s="45" t="n"/>
      <c r="AO75" s="44" t="n"/>
      <c r="AP75" s="44" t="n"/>
      <c r="AQ75" s="44" t="n"/>
      <c r="AR75" s="44" t="n"/>
      <c r="AS75" s="44" t="n"/>
    </row>
    <row r="76">
      <c r="A76" s="44" t="n"/>
      <c r="B76" s="44" t="n"/>
      <c r="C76" s="44" t="n"/>
      <c r="D76" s="44" t="n"/>
      <c r="E76" s="44" t="n"/>
      <c r="F76" s="44" t="n"/>
      <c r="G76" s="45" t="n"/>
      <c r="H76" s="45" t="n"/>
      <c r="I76" s="85" t="n"/>
      <c r="J76" s="44" t="n"/>
      <c r="K76" s="44" t="n"/>
      <c r="L76" s="44" t="n"/>
      <c r="M76" s="45" t="n"/>
      <c r="N76" s="44" t="n"/>
      <c r="O76" s="86" t="n"/>
      <c r="P76" s="44" t="n"/>
      <c r="Q76" s="45" t="n"/>
      <c r="R76" s="85" t="n"/>
      <c r="S76" s="85" t="n"/>
      <c r="T76" s="85" t="n"/>
      <c r="U76" s="85" t="n"/>
      <c r="V76" s="85" t="n"/>
      <c r="W76" s="86" t="n"/>
      <c r="X76" s="44" t="n"/>
      <c r="Y76" s="44" t="n"/>
      <c r="Z76" s="44" t="n"/>
      <c r="AA76" s="85" t="n"/>
      <c r="AB76" s="45" t="n"/>
      <c r="AC76" s="86" t="n"/>
      <c r="AD76" s="44" t="n"/>
      <c r="AE76" s="87" t="n"/>
      <c r="AF76" s="44" t="n"/>
      <c r="AG76" s="44" t="n"/>
      <c r="AH76" s="87" t="n"/>
      <c r="AI76" s="44" t="n"/>
      <c r="AJ76" s="45" t="n"/>
      <c r="AK76" s="45" t="n"/>
      <c r="AL76" s="45" t="n"/>
      <c r="AM76" s="44" t="n"/>
      <c r="AN76" s="45" t="n"/>
      <c r="AO76" s="44" t="n"/>
      <c r="AP76" s="44" t="n"/>
      <c r="AQ76" s="44" t="n"/>
      <c r="AR76" s="44" t="n"/>
      <c r="AS76" s="44" t="n"/>
    </row>
    <row r="77">
      <c r="A77" s="44" t="n"/>
      <c r="B77" s="44" t="n"/>
      <c r="C77" s="44" t="n"/>
      <c r="D77" s="44" t="n"/>
      <c r="E77" s="44" t="n"/>
      <c r="F77" s="44" t="n"/>
      <c r="G77" s="45" t="n"/>
      <c r="H77" s="45" t="n"/>
      <c r="I77" s="85" t="n"/>
      <c r="J77" s="44" t="n"/>
      <c r="K77" s="44" t="n"/>
      <c r="L77" s="44" t="n"/>
      <c r="M77" s="45" t="n"/>
      <c r="N77" s="44" t="n"/>
      <c r="O77" s="86" t="n"/>
      <c r="P77" s="44" t="n"/>
      <c r="Q77" s="45" t="n"/>
      <c r="R77" s="85" t="n"/>
      <c r="S77" s="85" t="n"/>
      <c r="T77" s="85" t="n"/>
      <c r="U77" s="85" t="n"/>
      <c r="V77" s="85" t="n"/>
      <c r="W77" s="86" t="n"/>
      <c r="X77" s="44" t="n"/>
      <c r="Y77" s="44" t="n"/>
      <c r="Z77" s="44" t="n"/>
      <c r="AA77" s="85" t="n"/>
      <c r="AB77" s="45" t="n"/>
      <c r="AC77" s="86" t="n"/>
      <c r="AD77" s="44" t="n"/>
      <c r="AE77" s="87" t="n"/>
      <c r="AF77" s="44" t="n"/>
      <c r="AG77" s="44" t="n"/>
      <c r="AH77" s="87" t="n"/>
      <c r="AI77" s="44" t="n"/>
      <c r="AJ77" s="45" t="n"/>
      <c r="AK77" s="45" t="n"/>
      <c r="AL77" s="45" t="n"/>
      <c r="AM77" s="44" t="n"/>
      <c r="AN77" s="45" t="n"/>
      <c r="AO77" s="44" t="n"/>
      <c r="AP77" s="44" t="n"/>
      <c r="AQ77" s="44" t="n"/>
      <c r="AR77" s="44" t="n"/>
      <c r="AS77" s="44" t="n"/>
    </row>
    <row r="78">
      <c r="A78" s="44" t="n"/>
      <c r="B78" s="44" t="n"/>
      <c r="C78" s="44" t="n"/>
      <c r="D78" s="44" t="n"/>
      <c r="E78" s="44" t="n"/>
      <c r="F78" s="44" t="n"/>
      <c r="G78" s="45" t="n"/>
      <c r="H78" s="45" t="n"/>
      <c r="I78" s="85" t="n"/>
      <c r="J78" s="44" t="n"/>
      <c r="K78" s="44" t="n"/>
      <c r="L78" s="44" t="n"/>
      <c r="M78" s="45" t="n"/>
      <c r="N78" s="44" t="n"/>
      <c r="O78" s="86" t="n"/>
      <c r="P78" s="44" t="n"/>
      <c r="Q78" s="45" t="n"/>
      <c r="R78" s="85" t="n"/>
      <c r="S78" s="85" t="n"/>
      <c r="T78" s="85" t="n"/>
      <c r="U78" s="85" t="n"/>
      <c r="V78" s="85" t="n"/>
      <c r="W78" s="86" t="n"/>
      <c r="X78" s="44" t="n"/>
      <c r="Y78" s="44" t="n"/>
      <c r="Z78" s="44" t="n"/>
      <c r="AA78" s="85" t="n"/>
      <c r="AB78" s="45" t="n"/>
      <c r="AC78" s="86" t="n"/>
      <c r="AD78" s="44" t="n"/>
      <c r="AE78" s="87" t="n"/>
      <c r="AF78" s="44" t="n"/>
      <c r="AG78" s="44" t="n"/>
      <c r="AH78" s="87" t="n"/>
      <c r="AI78" s="44" t="n"/>
      <c r="AJ78" s="45" t="n"/>
      <c r="AK78" s="45" t="n"/>
      <c r="AL78" s="45" t="n"/>
      <c r="AM78" s="44" t="n"/>
      <c r="AN78" s="45" t="n"/>
      <c r="AO78" s="44" t="n"/>
      <c r="AP78" s="44" t="n"/>
      <c r="AQ78" s="44" t="n"/>
      <c r="AR78" s="44" t="n"/>
      <c r="AS78" s="44" t="n"/>
    </row>
    <row r="79">
      <c r="A79" s="44" t="n"/>
      <c r="B79" s="44" t="n"/>
      <c r="C79" s="44" t="n"/>
      <c r="D79" s="44" t="n"/>
      <c r="E79" s="44" t="n"/>
      <c r="F79" s="44" t="n"/>
      <c r="G79" s="45" t="n"/>
      <c r="H79" s="45" t="n"/>
      <c r="I79" s="85" t="n"/>
      <c r="J79" s="44" t="n"/>
      <c r="K79" s="44" t="n"/>
      <c r="L79" s="44" t="n"/>
      <c r="M79" s="45" t="n"/>
      <c r="N79" s="44" t="n"/>
      <c r="O79" s="86" t="n"/>
      <c r="P79" s="44" t="n"/>
      <c r="Q79" s="45" t="n"/>
      <c r="R79" s="85" t="n"/>
      <c r="S79" s="85" t="n"/>
      <c r="T79" s="85" t="n"/>
      <c r="U79" s="85" t="n"/>
      <c r="V79" s="85" t="n"/>
      <c r="W79" s="86" t="n"/>
      <c r="X79" s="44" t="n"/>
      <c r="Y79" s="44" t="n"/>
      <c r="Z79" s="44" t="n"/>
      <c r="AA79" s="85" t="n"/>
      <c r="AB79" s="45" t="n"/>
      <c r="AC79" s="86" t="n"/>
      <c r="AD79" s="44" t="n"/>
      <c r="AE79" s="87" t="n"/>
      <c r="AF79" s="44" t="n"/>
      <c r="AG79" s="44" t="n"/>
      <c r="AH79" s="87" t="n"/>
      <c r="AI79" s="44" t="n"/>
      <c r="AJ79" s="45" t="n"/>
      <c r="AK79" s="45" t="n"/>
      <c r="AL79" s="45" t="n"/>
      <c r="AM79" s="44" t="n"/>
      <c r="AN79" s="45" t="n"/>
      <c r="AO79" s="44" t="n"/>
      <c r="AP79" s="44" t="n"/>
      <c r="AQ79" s="44" t="n"/>
      <c r="AR79" s="44" t="n"/>
      <c r="AS79" s="44" t="n"/>
    </row>
    <row r="80">
      <c r="A80" s="44" t="n"/>
      <c r="B80" s="44" t="n"/>
      <c r="C80" s="44" t="n"/>
      <c r="D80" s="44" t="n"/>
      <c r="E80" s="44" t="n"/>
      <c r="F80" s="44" t="n"/>
      <c r="G80" s="45" t="n"/>
      <c r="H80" s="45" t="n"/>
      <c r="I80" s="85" t="n"/>
      <c r="J80" s="44" t="n"/>
      <c r="K80" s="44" t="n"/>
      <c r="L80" s="44" t="n"/>
      <c r="M80" s="45" t="n"/>
      <c r="N80" s="44" t="n"/>
      <c r="O80" s="86" t="n"/>
      <c r="P80" s="44" t="n"/>
      <c r="Q80" s="45" t="n"/>
      <c r="R80" s="85" t="n"/>
      <c r="S80" s="85" t="n"/>
      <c r="T80" s="85" t="n"/>
      <c r="U80" s="85" t="n"/>
      <c r="V80" s="85" t="n"/>
      <c r="W80" s="86" t="n"/>
      <c r="X80" s="44" t="n"/>
      <c r="Y80" s="44" t="n"/>
      <c r="Z80" s="44" t="n"/>
      <c r="AA80" s="85" t="n"/>
      <c r="AB80" s="45" t="n"/>
      <c r="AC80" s="86" t="n"/>
      <c r="AD80" s="44" t="n"/>
      <c r="AE80" s="87" t="n"/>
      <c r="AF80" s="44" t="n"/>
      <c r="AG80" s="44" t="n"/>
      <c r="AH80" s="87" t="n"/>
      <c r="AI80" s="44" t="n"/>
      <c r="AJ80" s="45" t="n"/>
      <c r="AK80" s="45" t="n"/>
      <c r="AL80" s="45" t="n"/>
      <c r="AM80" s="44" t="n"/>
      <c r="AN80" s="45" t="n"/>
      <c r="AO80" s="44" t="n"/>
      <c r="AP80" s="44" t="n"/>
      <c r="AQ80" s="44" t="n"/>
      <c r="AR80" s="44" t="n"/>
      <c r="AS80" s="44" t="n"/>
    </row>
    <row r="81">
      <c r="A81" s="44" t="n"/>
      <c r="B81" s="44" t="n"/>
      <c r="C81" s="44" t="n"/>
      <c r="D81" s="44" t="n"/>
      <c r="E81" s="44" t="n"/>
      <c r="F81" s="44" t="n"/>
      <c r="G81" s="45" t="n"/>
      <c r="H81" s="45" t="n"/>
      <c r="I81" s="85" t="n"/>
      <c r="J81" s="44" t="n"/>
      <c r="K81" s="44" t="n"/>
      <c r="L81" s="44" t="n"/>
      <c r="M81" s="45" t="n"/>
      <c r="N81" s="44" t="n"/>
      <c r="O81" s="86" t="n"/>
      <c r="P81" s="44" t="n"/>
      <c r="Q81" s="45" t="n"/>
      <c r="R81" s="85" t="n"/>
      <c r="S81" s="85" t="n"/>
      <c r="T81" s="85" t="n"/>
      <c r="U81" s="85" t="n"/>
      <c r="V81" s="85" t="n"/>
      <c r="W81" s="86" t="n"/>
      <c r="X81" s="44" t="n"/>
      <c r="Y81" s="44" t="n"/>
      <c r="Z81" s="44" t="n"/>
      <c r="AA81" s="85" t="n"/>
      <c r="AB81" s="45" t="n"/>
      <c r="AC81" s="86" t="n"/>
      <c r="AD81" s="44" t="n"/>
      <c r="AE81" s="87" t="n"/>
      <c r="AF81" s="44" t="n"/>
      <c r="AG81" s="44" t="n"/>
      <c r="AH81" s="87" t="n"/>
      <c r="AI81" s="44" t="n"/>
      <c r="AJ81" s="45" t="n"/>
      <c r="AK81" s="45" t="n"/>
      <c r="AL81" s="45" t="n"/>
      <c r="AM81" s="44" t="n"/>
      <c r="AN81" s="45" t="n"/>
      <c r="AO81" s="44" t="n"/>
      <c r="AP81" s="44" t="n"/>
      <c r="AQ81" s="44" t="n"/>
      <c r="AR81" s="44" t="n"/>
      <c r="AS81" s="44" t="n"/>
    </row>
    <row r="82">
      <c r="A82" s="44" t="n"/>
      <c r="B82" s="44" t="n"/>
      <c r="C82" s="44" t="n"/>
      <c r="D82" s="44" t="n"/>
      <c r="E82" s="44" t="n"/>
      <c r="F82" s="44" t="n"/>
      <c r="G82" s="45" t="n"/>
      <c r="H82" s="45" t="n"/>
      <c r="I82" s="85" t="n"/>
      <c r="J82" s="44" t="n"/>
      <c r="K82" s="44" t="n"/>
      <c r="L82" s="44" t="n"/>
      <c r="M82" s="45" t="n"/>
      <c r="N82" s="44" t="n"/>
      <c r="O82" s="86" t="n"/>
      <c r="P82" s="44" t="n"/>
      <c r="Q82" s="45" t="n"/>
      <c r="R82" s="85" t="n"/>
      <c r="S82" s="85" t="n"/>
      <c r="T82" s="85" t="n"/>
      <c r="U82" s="85" t="n"/>
      <c r="V82" s="85" t="n"/>
      <c r="W82" s="86" t="n"/>
      <c r="X82" s="44" t="n"/>
      <c r="Y82" s="44" t="n"/>
      <c r="Z82" s="44" t="n"/>
      <c r="AA82" s="85" t="n"/>
      <c r="AB82" s="45" t="n"/>
      <c r="AC82" s="86" t="n"/>
      <c r="AD82" s="44" t="n"/>
      <c r="AE82" s="87" t="n"/>
      <c r="AF82" s="44" t="n"/>
      <c r="AG82" s="44" t="n"/>
      <c r="AH82" s="87" t="n"/>
      <c r="AI82" s="44" t="n"/>
      <c r="AJ82" s="45" t="n"/>
      <c r="AK82" s="45" t="n"/>
      <c r="AL82" s="45" t="n"/>
      <c r="AM82" s="44" t="n"/>
      <c r="AN82" s="45" t="n"/>
      <c r="AO82" s="44" t="n"/>
      <c r="AP82" s="44" t="n"/>
      <c r="AQ82" s="44" t="n"/>
      <c r="AR82" s="44" t="n"/>
      <c r="AS82" s="44" t="n"/>
    </row>
    <row r="83">
      <c r="A83" s="44" t="n"/>
      <c r="B83" s="44" t="n"/>
      <c r="C83" s="44" t="n"/>
      <c r="D83" s="44" t="n"/>
      <c r="E83" s="44" t="n"/>
      <c r="F83" s="44" t="n"/>
      <c r="G83" s="45" t="n"/>
      <c r="H83" s="45" t="n"/>
      <c r="I83" s="85" t="n"/>
      <c r="J83" s="44" t="n"/>
      <c r="K83" s="44" t="n"/>
      <c r="L83" s="44" t="n"/>
      <c r="M83" s="45" t="n"/>
      <c r="N83" s="44" t="n"/>
      <c r="O83" s="86" t="n"/>
      <c r="P83" s="44" t="n"/>
      <c r="Q83" s="45" t="n"/>
      <c r="R83" s="85" t="n"/>
      <c r="S83" s="85" t="n"/>
      <c r="T83" s="85" t="n"/>
      <c r="U83" s="85" t="n"/>
      <c r="V83" s="85" t="n"/>
      <c r="W83" s="86" t="n"/>
      <c r="X83" s="44" t="n"/>
      <c r="Y83" s="44" t="n"/>
      <c r="Z83" s="44" t="n"/>
      <c r="AA83" s="85" t="n"/>
      <c r="AB83" s="45" t="n"/>
      <c r="AC83" s="86" t="n"/>
      <c r="AD83" s="44" t="n"/>
      <c r="AE83" s="87" t="n"/>
      <c r="AF83" s="44" t="n"/>
      <c r="AG83" s="44" t="n"/>
      <c r="AH83" s="87" t="n"/>
      <c r="AI83" s="44" t="n"/>
      <c r="AJ83" s="45" t="n"/>
      <c r="AK83" s="45" t="n"/>
      <c r="AL83" s="45" t="n"/>
      <c r="AM83" s="44" t="n"/>
      <c r="AN83" s="45" t="n"/>
      <c r="AO83" s="44" t="n"/>
      <c r="AP83" s="44" t="n"/>
      <c r="AQ83" s="44" t="n"/>
      <c r="AR83" s="44" t="n"/>
      <c r="AS83" s="44" t="n"/>
    </row>
    <row r="84">
      <c r="A84" s="44" t="n"/>
      <c r="B84" s="44" t="n"/>
      <c r="C84" s="44" t="n"/>
      <c r="D84" s="44" t="n"/>
      <c r="E84" s="44" t="n"/>
      <c r="F84" s="44" t="n"/>
      <c r="G84" s="45" t="n"/>
      <c r="H84" s="45" t="n"/>
      <c r="I84" s="85" t="n"/>
      <c r="J84" s="44" t="n"/>
      <c r="K84" s="44" t="n"/>
      <c r="L84" s="44" t="n"/>
      <c r="M84" s="45" t="n"/>
      <c r="N84" s="44" t="n"/>
      <c r="O84" s="86" t="n"/>
      <c r="P84" s="44" t="n"/>
      <c r="Q84" s="45" t="n"/>
      <c r="R84" s="85" t="n"/>
      <c r="S84" s="85" t="n"/>
      <c r="T84" s="85" t="n"/>
      <c r="U84" s="85" t="n"/>
      <c r="V84" s="85" t="n"/>
      <c r="W84" s="86" t="n"/>
      <c r="X84" s="44" t="n"/>
      <c r="Y84" s="44" t="n"/>
      <c r="Z84" s="44" t="n"/>
      <c r="AA84" s="85" t="n"/>
      <c r="AB84" s="45" t="n"/>
      <c r="AC84" s="86" t="n"/>
      <c r="AD84" s="44" t="n"/>
      <c r="AE84" s="87" t="n"/>
      <c r="AF84" s="44" t="n"/>
      <c r="AG84" s="44" t="n"/>
      <c r="AH84" s="87" t="n"/>
      <c r="AI84" s="44" t="n"/>
      <c r="AJ84" s="45" t="n"/>
      <c r="AK84" s="45" t="n"/>
      <c r="AL84" s="45" t="n"/>
      <c r="AM84" s="44" t="n"/>
      <c r="AN84" s="45" t="n"/>
      <c r="AO84" s="44" t="n"/>
      <c r="AP84" s="44" t="n"/>
      <c r="AQ84" s="44" t="n"/>
      <c r="AR84" s="44" t="n"/>
      <c r="AS84" s="44" t="n"/>
    </row>
    <row r="85">
      <c r="A85" s="44" t="n"/>
      <c r="B85" s="44" t="n"/>
      <c r="C85" s="44" t="n"/>
      <c r="D85" s="44" t="n"/>
      <c r="E85" s="44" t="n"/>
      <c r="F85" s="44" t="n"/>
      <c r="G85" s="45" t="n"/>
      <c r="H85" s="45" t="n"/>
      <c r="I85" s="85" t="n"/>
      <c r="J85" s="44" t="n"/>
      <c r="K85" s="44" t="n"/>
      <c r="L85" s="44" t="n"/>
      <c r="M85" s="45" t="n"/>
      <c r="N85" s="44" t="n"/>
      <c r="O85" s="86" t="n"/>
      <c r="P85" s="44" t="n"/>
      <c r="Q85" s="45" t="n"/>
      <c r="R85" s="85" t="n"/>
      <c r="S85" s="85" t="n"/>
      <c r="T85" s="85" t="n"/>
      <c r="U85" s="85" t="n"/>
      <c r="V85" s="85" t="n"/>
      <c r="W85" s="86" t="n"/>
      <c r="X85" s="44" t="n"/>
      <c r="Y85" s="44" t="n"/>
      <c r="Z85" s="44" t="n"/>
      <c r="AA85" s="85" t="n"/>
      <c r="AB85" s="45" t="n"/>
      <c r="AC85" s="86" t="n"/>
      <c r="AD85" s="44" t="n"/>
      <c r="AE85" s="87" t="n"/>
      <c r="AF85" s="44" t="n"/>
      <c r="AG85" s="44" t="n"/>
      <c r="AH85" s="87" t="n"/>
      <c r="AI85" s="44" t="n"/>
      <c r="AJ85" s="45" t="n"/>
      <c r="AK85" s="45" t="n"/>
      <c r="AL85" s="45" t="n"/>
      <c r="AM85" s="44" t="n"/>
      <c r="AN85" s="45" t="n"/>
      <c r="AO85" s="44" t="n"/>
      <c r="AP85" s="44" t="n"/>
      <c r="AQ85" s="44" t="n"/>
      <c r="AR85" s="44" t="n"/>
      <c r="AS85" s="44" t="n"/>
    </row>
    <row r="86">
      <c r="A86" s="44" t="n"/>
      <c r="B86" s="44" t="n"/>
      <c r="C86" s="44" t="n"/>
      <c r="D86" s="44" t="n"/>
      <c r="E86" s="44" t="n"/>
      <c r="F86" s="44" t="n"/>
      <c r="G86" s="45" t="n"/>
      <c r="H86" s="45" t="n"/>
      <c r="I86" s="85" t="n"/>
      <c r="J86" s="44" t="n"/>
      <c r="K86" s="44" t="n"/>
      <c r="L86" s="44" t="n"/>
      <c r="M86" s="45" t="n"/>
      <c r="N86" s="44" t="n"/>
      <c r="O86" s="86" t="n"/>
      <c r="P86" s="44" t="n"/>
      <c r="Q86" s="45" t="n"/>
      <c r="R86" s="85" t="n"/>
      <c r="S86" s="85" t="n"/>
      <c r="T86" s="85" t="n"/>
      <c r="U86" s="85" t="n"/>
      <c r="V86" s="85" t="n"/>
      <c r="W86" s="86" t="n"/>
      <c r="X86" s="44" t="n"/>
      <c r="Y86" s="44" t="n"/>
      <c r="Z86" s="44" t="n"/>
      <c r="AA86" s="85" t="n"/>
      <c r="AB86" s="45" t="n"/>
      <c r="AC86" s="86" t="n"/>
      <c r="AD86" s="44" t="n"/>
      <c r="AE86" s="87" t="n"/>
      <c r="AF86" s="44" t="n"/>
      <c r="AG86" s="44" t="n"/>
      <c r="AH86" s="87" t="n"/>
      <c r="AI86" s="44" t="n"/>
      <c r="AJ86" s="45" t="n"/>
      <c r="AK86" s="45" t="n"/>
      <c r="AL86" s="45" t="n"/>
      <c r="AM86" s="44" t="n"/>
      <c r="AN86" s="45" t="n"/>
      <c r="AO86" s="44" t="n"/>
      <c r="AP86" s="44" t="n"/>
      <c r="AQ86" s="44" t="n"/>
      <c r="AR86" s="44" t="n"/>
      <c r="AS86" s="44" t="n"/>
    </row>
    <row r="87">
      <c r="A87" s="44" t="n"/>
      <c r="B87" s="44" t="n"/>
      <c r="C87" s="44" t="n"/>
      <c r="D87" s="44" t="n"/>
      <c r="E87" s="44" t="n"/>
      <c r="F87" s="44" t="n"/>
      <c r="G87" s="45" t="n"/>
      <c r="H87" s="45" t="n"/>
      <c r="I87" s="85" t="n"/>
      <c r="J87" s="44" t="n"/>
      <c r="K87" s="44" t="n"/>
      <c r="L87" s="44" t="n"/>
      <c r="M87" s="45" t="n"/>
      <c r="N87" s="44" t="n"/>
      <c r="O87" s="86" t="n"/>
      <c r="P87" s="44" t="n"/>
      <c r="Q87" s="45" t="n"/>
      <c r="R87" s="85" t="n"/>
      <c r="S87" s="85" t="n"/>
      <c r="T87" s="85" t="n"/>
      <c r="U87" s="85" t="n"/>
      <c r="V87" s="85" t="n"/>
      <c r="W87" s="86" t="n"/>
      <c r="X87" s="44" t="n"/>
      <c r="Y87" s="44" t="n"/>
      <c r="Z87" s="44" t="n"/>
      <c r="AA87" s="85" t="n"/>
      <c r="AB87" s="45" t="n"/>
      <c r="AC87" s="86" t="n"/>
      <c r="AD87" s="44" t="n"/>
      <c r="AE87" s="87" t="n"/>
      <c r="AF87" s="44" t="n"/>
      <c r="AG87" s="44" t="n"/>
      <c r="AH87" s="87" t="n"/>
      <c r="AI87" s="44" t="n"/>
      <c r="AJ87" s="45" t="n"/>
      <c r="AK87" s="45" t="n"/>
      <c r="AL87" s="45" t="n"/>
      <c r="AM87" s="44" t="n"/>
      <c r="AN87" s="45" t="n"/>
      <c r="AO87" s="44" t="n"/>
      <c r="AP87" s="44" t="n"/>
      <c r="AQ87" s="44" t="n"/>
      <c r="AR87" s="44" t="n"/>
      <c r="AS87" s="44" t="n"/>
    </row>
    <row r="88">
      <c r="A88" s="44" t="n"/>
      <c r="B88" s="44" t="n"/>
      <c r="C88" s="44" t="n"/>
      <c r="D88" s="44" t="n"/>
      <c r="E88" s="44" t="n"/>
      <c r="F88" s="44" t="n"/>
      <c r="G88" s="45" t="n"/>
      <c r="H88" s="45" t="n"/>
      <c r="I88" s="85" t="n"/>
      <c r="J88" s="44" t="n"/>
      <c r="K88" s="44" t="n"/>
      <c r="L88" s="44" t="n"/>
      <c r="M88" s="45" t="n"/>
      <c r="N88" s="44" t="n"/>
      <c r="O88" s="86" t="n"/>
      <c r="P88" s="44" t="n"/>
      <c r="Q88" s="45" t="n"/>
      <c r="R88" s="85" t="n"/>
      <c r="S88" s="85" t="n"/>
      <c r="T88" s="85" t="n"/>
      <c r="U88" s="85" t="n"/>
      <c r="V88" s="85" t="n"/>
      <c r="W88" s="86" t="n"/>
      <c r="X88" s="44" t="n"/>
      <c r="Y88" s="44" t="n"/>
      <c r="Z88" s="44" t="n"/>
      <c r="AA88" s="85" t="n"/>
      <c r="AB88" s="45" t="n"/>
      <c r="AC88" s="86" t="n"/>
      <c r="AD88" s="44" t="n"/>
      <c r="AE88" s="87" t="n"/>
      <c r="AF88" s="44" t="n"/>
      <c r="AG88" s="44" t="n"/>
      <c r="AH88" s="87" t="n"/>
      <c r="AI88" s="44" t="n"/>
      <c r="AJ88" s="45" t="n"/>
      <c r="AK88" s="45" t="n"/>
      <c r="AL88" s="45" t="n"/>
      <c r="AM88" s="44" t="n"/>
      <c r="AN88" s="45" t="n"/>
      <c r="AO88" s="44" t="n"/>
      <c r="AP88" s="44" t="n"/>
      <c r="AQ88" s="44" t="n"/>
      <c r="AR88" s="44" t="n"/>
      <c r="AS88" s="44" t="n"/>
    </row>
    <row r="89">
      <c r="A89" s="44" t="n"/>
      <c r="B89" s="44" t="n"/>
      <c r="C89" s="44" t="n"/>
      <c r="D89" s="44" t="n"/>
      <c r="E89" s="44" t="n"/>
      <c r="F89" s="44" t="n"/>
      <c r="G89" s="45" t="n"/>
      <c r="H89" s="45" t="n"/>
      <c r="I89" s="85" t="n"/>
      <c r="J89" s="44" t="n"/>
      <c r="K89" s="44" t="n"/>
      <c r="L89" s="44" t="n"/>
      <c r="M89" s="45" t="n"/>
      <c r="N89" s="44" t="n"/>
      <c r="O89" s="86" t="n"/>
      <c r="P89" s="44" t="n"/>
      <c r="Q89" s="45" t="n"/>
      <c r="R89" s="85" t="n"/>
      <c r="S89" s="85" t="n"/>
      <c r="T89" s="85" t="n"/>
      <c r="U89" s="85" t="n"/>
      <c r="V89" s="85" t="n"/>
      <c r="W89" s="86" t="n"/>
      <c r="X89" s="44" t="n"/>
      <c r="Y89" s="44" t="n"/>
      <c r="Z89" s="44" t="n"/>
      <c r="AA89" s="85" t="n"/>
      <c r="AB89" s="45" t="n"/>
      <c r="AC89" s="86" t="n"/>
      <c r="AD89" s="44" t="n"/>
      <c r="AE89" s="87" t="n"/>
      <c r="AF89" s="44" t="n"/>
      <c r="AG89" s="44" t="n"/>
      <c r="AH89" s="87" t="n"/>
      <c r="AI89" s="44" t="n"/>
      <c r="AJ89" s="45" t="n"/>
      <c r="AK89" s="45" t="n"/>
      <c r="AL89" s="45" t="n"/>
      <c r="AM89" s="44" t="n"/>
      <c r="AN89" s="45" t="n"/>
      <c r="AO89" s="44" t="n"/>
      <c r="AP89" s="44" t="n"/>
      <c r="AQ89" s="44" t="n"/>
      <c r="AR89" s="44" t="n"/>
      <c r="AS89" s="44" t="n"/>
    </row>
    <row r="90">
      <c r="A90" s="44" t="n"/>
      <c r="B90" s="44" t="n"/>
      <c r="C90" s="44" t="n"/>
      <c r="D90" s="44" t="n"/>
      <c r="E90" s="44" t="n"/>
      <c r="F90" s="44" t="n"/>
      <c r="G90" s="45" t="n"/>
      <c r="H90" s="45" t="n"/>
      <c r="I90" s="85" t="n"/>
      <c r="J90" s="44" t="n"/>
      <c r="K90" s="44" t="n"/>
      <c r="L90" s="44" t="n"/>
      <c r="M90" s="45" t="n"/>
      <c r="N90" s="44" t="n"/>
      <c r="O90" s="86" t="n"/>
      <c r="P90" s="44" t="n"/>
      <c r="Q90" s="45" t="n"/>
      <c r="R90" s="85" t="n"/>
      <c r="S90" s="85" t="n"/>
      <c r="T90" s="85" t="n"/>
      <c r="U90" s="85" t="n"/>
      <c r="V90" s="85" t="n"/>
      <c r="W90" s="86" t="n"/>
      <c r="X90" s="44" t="n"/>
      <c r="Y90" s="44" t="n"/>
      <c r="Z90" s="44" t="n"/>
      <c r="AA90" s="85" t="n"/>
      <c r="AB90" s="45" t="n"/>
      <c r="AC90" s="86" t="n"/>
      <c r="AD90" s="44" t="n"/>
      <c r="AE90" s="87" t="n"/>
      <c r="AF90" s="44" t="n"/>
      <c r="AG90" s="44" t="n"/>
      <c r="AH90" s="87" t="n"/>
      <c r="AI90" s="44" t="n"/>
      <c r="AJ90" s="45" t="n"/>
      <c r="AK90" s="45" t="n"/>
      <c r="AL90" s="45" t="n"/>
      <c r="AM90" s="44" t="n"/>
      <c r="AN90" s="45" t="n"/>
      <c r="AO90" s="44" t="n"/>
      <c r="AP90" s="44" t="n"/>
      <c r="AQ90" s="44" t="n"/>
      <c r="AR90" s="44" t="n"/>
      <c r="AS90" s="44" t="n"/>
    </row>
    <row r="91">
      <c r="A91" s="44" t="n"/>
      <c r="B91" s="44" t="n"/>
      <c r="C91" s="44" t="n"/>
      <c r="D91" s="44" t="n"/>
      <c r="E91" s="44" t="n"/>
      <c r="F91" s="44" t="n"/>
      <c r="G91" s="45" t="n"/>
      <c r="H91" s="45" t="n"/>
      <c r="I91" s="85" t="n"/>
      <c r="J91" s="44" t="n"/>
      <c r="K91" s="44" t="n"/>
      <c r="L91" s="44" t="n"/>
      <c r="M91" s="45" t="n"/>
      <c r="N91" s="44" t="n"/>
      <c r="O91" s="86" t="n"/>
      <c r="P91" s="44" t="n"/>
      <c r="Q91" s="45" t="n"/>
      <c r="R91" s="85" t="n"/>
      <c r="S91" s="85" t="n"/>
      <c r="T91" s="85" t="n"/>
      <c r="U91" s="85" t="n"/>
      <c r="V91" s="85" t="n"/>
      <c r="W91" s="86" t="n"/>
      <c r="X91" s="44" t="n"/>
      <c r="Y91" s="44" t="n"/>
      <c r="Z91" s="44" t="n"/>
      <c r="AA91" s="85" t="n"/>
      <c r="AB91" s="45" t="n"/>
      <c r="AC91" s="86" t="n"/>
      <c r="AD91" s="44" t="n"/>
      <c r="AE91" s="87" t="n"/>
      <c r="AF91" s="44" t="n"/>
      <c r="AG91" s="44" t="n"/>
      <c r="AH91" s="87" t="n"/>
      <c r="AI91" s="44" t="n"/>
      <c r="AJ91" s="45" t="n"/>
      <c r="AK91" s="45" t="n"/>
      <c r="AL91" s="45" t="n"/>
      <c r="AM91" s="44" t="n"/>
      <c r="AN91" s="45" t="n"/>
      <c r="AO91" s="44" t="n"/>
      <c r="AP91" s="44" t="n"/>
      <c r="AQ91" s="44" t="n"/>
      <c r="AR91" s="44" t="n"/>
      <c r="AS91" s="44" t="n"/>
    </row>
    <row r="92">
      <c r="A92" s="44" t="n"/>
      <c r="B92" s="44" t="n"/>
      <c r="C92" s="44" t="n"/>
      <c r="D92" s="44" t="n"/>
      <c r="E92" s="44" t="n"/>
      <c r="F92" s="44" t="n"/>
      <c r="G92" s="45" t="n"/>
      <c r="H92" s="45" t="n"/>
      <c r="I92" s="85" t="n"/>
      <c r="J92" s="44" t="n"/>
      <c r="K92" s="44" t="n"/>
      <c r="L92" s="44" t="n"/>
      <c r="M92" s="45" t="n"/>
      <c r="N92" s="44" t="n"/>
      <c r="O92" s="86" t="n"/>
      <c r="P92" s="44" t="n"/>
      <c r="Q92" s="45" t="n"/>
      <c r="R92" s="85" t="n"/>
      <c r="S92" s="85" t="n"/>
      <c r="T92" s="85" t="n"/>
      <c r="U92" s="85" t="n"/>
      <c r="V92" s="85" t="n"/>
      <c r="W92" s="86" t="n"/>
      <c r="X92" s="44" t="n"/>
      <c r="Y92" s="44" t="n"/>
      <c r="Z92" s="44" t="n"/>
      <c r="AA92" s="85" t="n"/>
      <c r="AB92" s="45" t="n"/>
      <c r="AC92" s="86" t="n"/>
      <c r="AD92" s="44" t="n"/>
      <c r="AE92" s="87" t="n"/>
      <c r="AF92" s="44" t="n"/>
      <c r="AG92" s="44" t="n"/>
      <c r="AH92" s="87" t="n"/>
      <c r="AI92" s="44" t="n"/>
      <c r="AJ92" s="45" t="n"/>
      <c r="AK92" s="45" t="n"/>
      <c r="AL92" s="45" t="n"/>
      <c r="AM92" s="44" t="n"/>
      <c r="AN92" s="45" t="n"/>
      <c r="AO92" s="44" t="n"/>
      <c r="AP92" s="44" t="n"/>
      <c r="AQ92" s="44" t="n"/>
      <c r="AR92" s="44" t="n"/>
      <c r="AS92" s="44" t="n"/>
    </row>
    <row r="93">
      <c r="A93" s="44" t="n"/>
      <c r="B93" s="44" t="n"/>
      <c r="C93" s="44" t="n"/>
      <c r="D93" s="44" t="n"/>
      <c r="E93" s="44" t="n"/>
      <c r="F93" s="44" t="n"/>
      <c r="G93" s="45" t="n"/>
      <c r="H93" s="45" t="n"/>
      <c r="I93" s="85" t="n"/>
      <c r="J93" s="44" t="n"/>
      <c r="K93" s="44" t="n"/>
      <c r="L93" s="44" t="n"/>
      <c r="M93" s="45" t="n"/>
      <c r="N93" s="44" t="n"/>
      <c r="O93" s="86" t="n"/>
      <c r="P93" s="44" t="n"/>
      <c r="Q93" s="45" t="n"/>
      <c r="R93" s="85" t="n"/>
      <c r="S93" s="85" t="n"/>
      <c r="T93" s="85" t="n"/>
      <c r="U93" s="85" t="n"/>
      <c r="V93" s="85" t="n"/>
      <c r="W93" s="86" t="n"/>
      <c r="X93" s="44" t="n"/>
      <c r="Y93" s="44" t="n"/>
      <c r="Z93" s="44" t="n"/>
      <c r="AA93" s="85" t="n"/>
      <c r="AB93" s="45" t="n"/>
      <c r="AC93" s="86" t="n"/>
      <c r="AD93" s="44" t="n"/>
      <c r="AE93" s="87" t="n"/>
      <c r="AF93" s="44" t="n"/>
      <c r="AG93" s="44" t="n"/>
      <c r="AH93" s="87" t="n"/>
      <c r="AI93" s="44" t="n"/>
      <c r="AJ93" s="45" t="n"/>
      <c r="AK93" s="45" t="n"/>
      <c r="AL93" s="45" t="n"/>
      <c r="AM93" s="44" t="n"/>
      <c r="AN93" s="45" t="n"/>
      <c r="AO93" s="44" t="n"/>
      <c r="AP93" s="44" t="n"/>
      <c r="AQ93" s="44" t="n"/>
      <c r="AR93" s="44" t="n"/>
      <c r="AS93" s="44" t="n"/>
    </row>
    <row r="94">
      <c r="A94" s="44" t="n"/>
      <c r="B94" s="44" t="n"/>
      <c r="C94" s="44" t="n"/>
      <c r="D94" s="44" t="n"/>
      <c r="E94" s="44" t="n"/>
      <c r="F94" s="44" t="n"/>
      <c r="G94" s="45" t="n"/>
      <c r="H94" s="45" t="n"/>
      <c r="I94" s="85" t="n"/>
      <c r="J94" s="44" t="n"/>
      <c r="K94" s="44" t="n"/>
      <c r="L94" s="44" t="n"/>
      <c r="M94" s="45" t="n"/>
      <c r="N94" s="44" t="n"/>
      <c r="O94" s="86" t="n"/>
      <c r="P94" s="44" t="n"/>
      <c r="Q94" s="45" t="n"/>
      <c r="R94" s="85" t="n"/>
      <c r="S94" s="85" t="n"/>
      <c r="T94" s="85" t="n"/>
      <c r="U94" s="85" t="n"/>
      <c r="V94" s="85" t="n"/>
      <c r="W94" s="86" t="n"/>
      <c r="X94" s="44" t="n"/>
      <c r="Y94" s="44" t="n"/>
      <c r="Z94" s="44" t="n"/>
      <c r="AA94" s="85" t="n"/>
      <c r="AB94" s="45" t="n"/>
      <c r="AC94" s="86" t="n"/>
      <c r="AD94" s="44" t="n"/>
      <c r="AE94" s="87" t="n"/>
      <c r="AF94" s="44" t="n"/>
      <c r="AG94" s="44" t="n"/>
      <c r="AH94" s="87" t="n"/>
      <c r="AI94" s="44" t="n"/>
      <c r="AJ94" s="45" t="n"/>
      <c r="AK94" s="45" t="n"/>
      <c r="AL94" s="45" t="n"/>
      <c r="AM94" s="44" t="n"/>
      <c r="AN94" s="45" t="n"/>
      <c r="AO94" s="44" t="n"/>
      <c r="AP94" s="44" t="n"/>
      <c r="AQ94" s="44" t="n"/>
      <c r="AR94" s="44" t="n"/>
      <c r="AS94" s="44" t="n"/>
    </row>
    <row r="95">
      <c r="A95" s="44" t="n"/>
      <c r="B95" s="44" t="n"/>
      <c r="C95" s="44" t="n"/>
      <c r="D95" s="44" t="n"/>
      <c r="E95" s="44" t="n"/>
      <c r="F95" s="44" t="n"/>
      <c r="G95" s="45" t="n"/>
      <c r="H95" s="45" t="n"/>
      <c r="I95" s="85" t="n"/>
      <c r="J95" s="44" t="n"/>
      <c r="K95" s="44" t="n"/>
      <c r="L95" s="44" t="n"/>
      <c r="M95" s="45" t="n"/>
      <c r="N95" s="44" t="n"/>
      <c r="O95" s="86" t="n"/>
      <c r="P95" s="44" t="n"/>
      <c r="Q95" s="45" t="n"/>
      <c r="R95" s="85" t="n"/>
      <c r="S95" s="85" t="n"/>
      <c r="T95" s="85" t="n"/>
      <c r="U95" s="85" t="n"/>
      <c r="V95" s="85" t="n"/>
      <c r="W95" s="86" t="n"/>
      <c r="X95" s="44" t="n"/>
      <c r="Y95" s="44" t="n"/>
      <c r="Z95" s="44" t="n"/>
      <c r="AA95" s="85" t="n"/>
      <c r="AB95" s="45" t="n"/>
      <c r="AC95" s="86" t="n"/>
      <c r="AD95" s="44" t="n"/>
      <c r="AE95" s="87" t="n"/>
      <c r="AF95" s="44" t="n"/>
      <c r="AG95" s="44" t="n"/>
      <c r="AH95" s="87" t="n"/>
      <c r="AI95" s="44" t="n"/>
      <c r="AJ95" s="45" t="n"/>
      <c r="AK95" s="45" t="n"/>
      <c r="AL95" s="45" t="n"/>
      <c r="AM95" s="44" t="n"/>
      <c r="AN95" s="45" t="n"/>
      <c r="AO95" s="44" t="n"/>
      <c r="AP95" s="44" t="n"/>
      <c r="AQ95" s="44" t="n"/>
      <c r="AR95" s="44" t="n"/>
      <c r="AS95" s="44" t="n"/>
    </row>
    <row r="96">
      <c r="A96" s="44" t="n"/>
      <c r="B96" s="44" t="n"/>
      <c r="C96" s="44" t="n"/>
      <c r="D96" s="44" t="n"/>
      <c r="E96" s="44" t="n"/>
      <c r="F96" s="44" t="n"/>
      <c r="G96" s="45" t="n"/>
      <c r="H96" s="45" t="n"/>
      <c r="I96" s="85" t="n"/>
      <c r="J96" s="44" t="n"/>
      <c r="K96" s="44" t="n"/>
      <c r="L96" s="44" t="n"/>
      <c r="M96" s="45" t="n"/>
      <c r="N96" s="44" t="n"/>
      <c r="O96" s="86" t="n"/>
      <c r="P96" s="44" t="n"/>
      <c r="Q96" s="45" t="n"/>
      <c r="R96" s="85" t="n"/>
      <c r="S96" s="85" t="n"/>
      <c r="T96" s="85" t="n"/>
      <c r="U96" s="85" t="n"/>
      <c r="V96" s="85" t="n"/>
      <c r="W96" s="86" t="n"/>
      <c r="X96" s="44" t="n"/>
      <c r="Y96" s="44" t="n"/>
      <c r="Z96" s="44" t="n"/>
      <c r="AA96" s="85" t="n"/>
      <c r="AB96" s="45" t="n"/>
      <c r="AC96" s="86" t="n"/>
      <c r="AD96" s="44" t="n"/>
      <c r="AE96" s="87" t="n"/>
      <c r="AF96" s="44" t="n"/>
      <c r="AG96" s="44" t="n"/>
      <c r="AH96" s="87" t="n"/>
      <c r="AI96" s="44" t="n"/>
      <c r="AJ96" s="45" t="n"/>
      <c r="AK96" s="45" t="n"/>
      <c r="AL96" s="45" t="n"/>
      <c r="AM96" s="44" t="n"/>
      <c r="AN96" s="45" t="n"/>
      <c r="AO96" s="44" t="n"/>
      <c r="AP96" s="44" t="n"/>
      <c r="AQ96" s="44" t="n"/>
      <c r="AR96" s="44" t="n"/>
      <c r="AS96" s="44" t="n"/>
    </row>
    <row r="97">
      <c r="A97" s="44" t="n"/>
      <c r="B97" s="44" t="n"/>
      <c r="C97" s="44" t="n"/>
      <c r="D97" s="44" t="n"/>
      <c r="E97" s="44" t="n"/>
      <c r="F97" s="44" t="n"/>
      <c r="G97" s="45" t="n"/>
      <c r="H97" s="45" t="n"/>
      <c r="I97" s="85" t="n"/>
      <c r="J97" s="44" t="n"/>
      <c r="K97" s="44" t="n"/>
      <c r="L97" s="44" t="n"/>
      <c r="M97" s="45" t="n"/>
      <c r="N97" s="44" t="n"/>
      <c r="O97" s="86" t="n"/>
      <c r="P97" s="44" t="n"/>
      <c r="Q97" s="45" t="n"/>
      <c r="R97" s="85" t="n"/>
      <c r="S97" s="85" t="n"/>
      <c r="T97" s="85" t="n"/>
      <c r="U97" s="85" t="n"/>
      <c r="V97" s="85" t="n"/>
      <c r="W97" s="86" t="n"/>
      <c r="X97" s="44" t="n"/>
      <c r="Y97" s="44" t="n"/>
      <c r="Z97" s="44" t="n"/>
      <c r="AA97" s="85" t="n"/>
      <c r="AB97" s="45" t="n"/>
      <c r="AC97" s="86" t="n"/>
      <c r="AD97" s="44" t="n"/>
      <c r="AE97" s="87" t="n"/>
      <c r="AF97" s="44" t="n"/>
      <c r="AG97" s="44" t="n"/>
      <c r="AH97" s="87" t="n"/>
      <c r="AI97" s="44" t="n"/>
      <c r="AJ97" s="45" t="n"/>
      <c r="AK97" s="45" t="n"/>
      <c r="AL97" s="45" t="n"/>
      <c r="AM97" s="44" t="n"/>
      <c r="AN97" s="45" t="n"/>
      <c r="AO97" s="44" t="n"/>
      <c r="AP97" s="44" t="n"/>
      <c r="AQ97" s="44" t="n"/>
      <c r="AR97" s="44" t="n"/>
      <c r="AS97" s="44" t="n"/>
    </row>
    <row r="98">
      <c r="A98" s="44" t="n"/>
      <c r="B98" s="44" t="n"/>
      <c r="C98" s="44" t="n"/>
      <c r="D98" s="44" t="n"/>
      <c r="E98" s="44" t="n"/>
      <c r="F98" s="44" t="n"/>
      <c r="G98" s="45" t="n"/>
      <c r="H98" s="45" t="n"/>
      <c r="I98" s="85" t="n"/>
      <c r="J98" s="44" t="n"/>
      <c r="K98" s="44" t="n"/>
      <c r="L98" s="44" t="n"/>
      <c r="M98" s="45" t="n"/>
      <c r="N98" s="44" t="n"/>
      <c r="O98" s="86" t="n"/>
      <c r="P98" s="44" t="n"/>
      <c r="Q98" s="45" t="n"/>
      <c r="R98" s="85" t="n"/>
      <c r="S98" s="85" t="n"/>
      <c r="T98" s="85" t="n"/>
      <c r="U98" s="85" t="n"/>
      <c r="V98" s="85" t="n"/>
      <c r="W98" s="86" t="n"/>
      <c r="X98" s="44" t="n"/>
      <c r="Y98" s="44" t="n"/>
      <c r="Z98" s="44" t="n"/>
      <c r="AA98" s="85" t="n"/>
      <c r="AB98" s="45" t="n"/>
      <c r="AC98" s="86" t="n"/>
      <c r="AD98" s="44" t="n"/>
      <c r="AE98" s="87" t="n"/>
      <c r="AF98" s="44" t="n"/>
      <c r="AG98" s="44" t="n"/>
      <c r="AH98" s="87" t="n"/>
      <c r="AI98" s="44" t="n"/>
      <c r="AJ98" s="45" t="n"/>
      <c r="AK98" s="45" t="n"/>
      <c r="AL98" s="45" t="n"/>
      <c r="AM98" s="44" t="n"/>
      <c r="AN98" s="45" t="n"/>
      <c r="AO98" s="44" t="n"/>
      <c r="AP98" s="44" t="n"/>
      <c r="AQ98" s="44" t="n"/>
      <c r="AR98" s="44" t="n"/>
      <c r="AS98" s="44" t="n"/>
    </row>
    <row r="99">
      <c r="A99" s="44" t="n"/>
      <c r="B99" s="44" t="n"/>
      <c r="C99" s="44" t="n"/>
      <c r="D99" s="44" t="n"/>
      <c r="E99" s="44" t="n"/>
      <c r="F99" s="44" t="n"/>
      <c r="G99" s="45" t="n"/>
      <c r="H99" s="45" t="n"/>
      <c r="I99" s="85" t="n"/>
      <c r="J99" s="44" t="n"/>
      <c r="K99" s="44" t="n"/>
      <c r="L99" s="44" t="n"/>
      <c r="M99" s="45" t="n"/>
      <c r="N99" s="44" t="n"/>
      <c r="O99" s="86" t="n"/>
      <c r="P99" s="44" t="n"/>
      <c r="Q99" s="45" t="n"/>
      <c r="R99" s="85" t="n"/>
      <c r="S99" s="85" t="n"/>
      <c r="T99" s="85" t="n"/>
      <c r="U99" s="85" t="n"/>
      <c r="V99" s="85" t="n"/>
      <c r="W99" s="86" t="n"/>
      <c r="X99" s="44" t="n"/>
      <c r="Y99" s="44" t="n"/>
      <c r="Z99" s="44" t="n"/>
      <c r="AA99" s="85" t="n"/>
      <c r="AB99" s="45" t="n"/>
      <c r="AC99" s="86" t="n"/>
      <c r="AD99" s="44" t="n"/>
      <c r="AE99" s="87" t="n"/>
      <c r="AF99" s="44" t="n"/>
      <c r="AG99" s="44" t="n"/>
      <c r="AH99" s="87" t="n"/>
      <c r="AI99" s="44" t="n"/>
      <c r="AJ99" s="45" t="n"/>
      <c r="AK99" s="45" t="n"/>
      <c r="AL99" s="45" t="n"/>
      <c r="AM99" s="44" t="n"/>
      <c r="AN99" s="45" t="n"/>
      <c r="AO99" s="44" t="n"/>
      <c r="AP99" s="44" t="n"/>
      <c r="AQ99" s="44" t="n"/>
      <c r="AR99" s="44" t="n"/>
      <c r="AS99" s="44" t="n"/>
    </row>
    <row r="100">
      <c r="A100" s="44" t="n"/>
      <c r="B100" s="44" t="n"/>
      <c r="C100" s="44" t="n"/>
      <c r="D100" s="44" t="n"/>
      <c r="E100" s="44" t="n"/>
      <c r="F100" s="44" t="n"/>
      <c r="G100" s="45" t="n"/>
      <c r="H100" s="45" t="n"/>
      <c r="I100" s="85" t="n"/>
      <c r="J100" s="44" t="n"/>
      <c r="K100" s="44" t="n"/>
      <c r="L100" s="44" t="n"/>
      <c r="M100" s="45" t="n"/>
      <c r="N100" s="44" t="n"/>
      <c r="O100" s="86" t="n"/>
      <c r="P100" s="44" t="n"/>
      <c r="Q100" s="45" t="n"/>
      <c r="R100" s="85" t="n"/>
      <c r="S100" s="85" t="n"/>
      <c r="T100" s="85" t="n"/>
      <c r="U100" s="85" t="n"/>
      <c r="V100" s="85" t="n"/>
      <c r="W100" s="86" t="n"/>
      <c r="X100" s="44" t="n"/>
      <c r="Y100" s="44" t="n"/>
      <c r="Z100" s="44" t="n"/>
      <c r="AA100" s="85" t="n"/>
      <c r="AB100" s="45" t="n"/>
      <c r="AC100" s="86" t="n"/>
      <c r="AD100" s="44" t="n"/>
      <c r="AE100" s="87" t="n"/>
      <c r="AF100" s="44" t="n"/>
      <c r="AG100" s="44" t="n"/>
      <c r="AH100" s="87" t="n"/>
      <c r="AI100" s="44" t="n"/>
      <c r="AJ100" s="45" t="n"/>
      <c r="AK100" s="45" t="n"/>
      <c r="AL100" s="45" t="n"/>
      <c r="AM100" s="44" t="n"/>
      <c r="AN100" s="45" t="n"/>
      <c r="AO100" s="44" t="n"/>
      <c r="AP100" s="44" t="n"/>
      <c r="AQ100" s="44" t="n"/>
      <c r="AR100" s="44" t="n"/>
      <c r="AS100" s="44" t="n"/>
    </row>
    <row r="101">
      <c r="A101" s="44" t="n"/>
      <c r="B101" s="44" t="n"/>
      <c r="C101" s="44" t="n"/>
      <c r="D101" s="44" t="n"/>
      <c r="E101" s="44" t="n"/>
      <c r="F101" s="44" t="n"/>
      <c r="G101" s="45" t="n"/>
      <c r="H101" s="45" t="n"/>
      <c r="I101" s="85" t="n"/>
      <c r="J101" s="44" t="n"/>
      <c r="K101" s="44" t="n"/>
      <c r="L101" s="44" t="n"/>
      <c r="M101" s="45" t="n"/>
      <c r="N101" s="44" t="n"/>
      <c r="O101" s="86" t="n"/>
      <c r="P101" s="44" t="n"/>
      <c r="Q101" s="45" t="n"/>
      <c r="R101" s="85" t="n"/>
      <c r="S101" s="85" t="n"/>
      <c r="T101" s="85" t="n"/>
      <c r="U101" s="85" t="n"/>
      <c r="V101" s="85" t="n"/>
      <c r="W101" s="86" t="n"/>
      <c r="X101" s="44" t="n"/>
      <c r="Y101" s="44" t="n"/>
      <c r="Z101" s="44" t="n"/>
      <c r="AA101" s="85" t="n"/>
      <c r="AB101" s="45" t="n"/>
      <c r="AC101" s="86" t="n"/>
      <c r="AD101" s="44" t="n"/>
      <c r="AE101" s="87" t="n"/>
      <c r="AF101" s="44" t="n"/>
      <c r="AG101" s="44" t="n"/>
      <c r="AH101" s="87" t="n"/>
      <c r="AI101" s="44" t="n"/>
      <c r="AJ101" s="45" t="n"/>
      <c r="AK101" s="45" t="n"/>
      <c r="AL101" s="45" t="n"/>
      <c r="AM101" s="44" t="n"/>
      <c r="AN101" s="45" t="n"/>
      <c r="AO101" s="44" t="n"/>
      <c r="AP101" s="44" t="n"/>
      <c r="AQ101" s="44" t="n"/>
      <c r="AR101" s="44" t="n"/>
      <c r="AS101" s="44" t="n"/>
    </row>
    <row r="102">
      <c r="A102" s="44" t="n"/>
      <c r="B102" s="44" t="n"/>
      <c r="C102" s="44" t="n"/>
      <c r="D102" s="44" t="n"/>
      <c r="E102" s="44" t="n"/>
      <c r="F102" s="44" t="n"/>
      <c r="G102" s="45" t="n"/>
      <c r="H102" s="45" t="n"/>
      <c r="I102" s="85" t="n"/>
      <c r="J102" s="44" t="n"/>
      <c r="K102" s="44" t="n"/>
      <c r="L102" s="44" t="n"/>
      <c r="M102" s="45" t="n"/>
      <c r="N102" s="44" t="n"/>
      <c r="O102" s="86" t="n"/>
      <c r="P102" s="44" t="n"/>
      <c r="Q102" s="45" t="n"/>
      <c r="R102" s="85" t="n"/>
      <c r="S102" s="85" t="n"/>
      <c r="T102" s="85" t="n"/>
      <c r="U102" s="85" t="n"/>
      <c r="V102" s="85" t="n"/>
      <c r="W102" s="86" t="n"/>
      <c r="X102" s="44" t="n"/>
      <c r="Y102" s="44" t="n"/>
      <c r="Z102" s="44" t="n"/>
      <c r="AA102" s="85" t="n"/>
      <c r="AB102" s="45" t="n"/>
      <c r="AC102" s="86" t="n"/>
      <c r="AD102" s="44" t="n"/>
      <c r="AE102" s="87" t="n"/>
      <c r="AF102" s="44" t="n"/>
      <c r="AG102" s="44" t="n"/>
      <c r="AH102" s="87" t="n"/>
      <c r="AI102" s="44" t="n"/>
      <c r="AJ102" s="45" t="n"/>
      <c r="AK102" s="45" t="n"/>
      <c r="AL102" s="45" t="n"/>
      <c r="AM102" s="44" t="n"/>
      <c r="AN102" s="45" t="n"/>
      <c r="AO102" s="44" t="n"/>
      <c r="AP102" s="44" t="n"/>
      <c r="AQ102" s="44" t="n"/>
      <c r="AR102" s="44" t="n"/>
      <c r="AS102" s="44" t="n"/>
    </row>
    <row r="103">
      <c r="A103" s="44" t="n"/>
      <c r="B103" s="44" t="n"/>
      <c r="C103" s="44" t="n"/>
      <c r="D103" s="44" t="n"/>
      <c r="E103" s="44" t="n"/>
      <c r="F103" s="44" t="n"/>
      <c r="G103" s="45" t="n"/>
      <c r="H103" s="45" t="n"/>
      <c r="I103" s="85" t="n"/>
      <c r="J103" s="44" t="n"/>
      <c r="K103" s="44" t="n"/>
      <c r="L103" s="44" t="n"/>
      <c r="M103" s="45" t="n"/>
      <c r="N103" s="44" t="n"/>
      <c r="O103" s="86" t="n"/>
      <c r="P103" s="44" t="n"/>
      <c r="Q103" s="45" t="n"/>
      <c r="R103" s="85" t="n"/>
      <c r="S103" s="85" t="n"/>
      <c r="T103" s="85" t="n"/>
      <c r="U103" s="85" t="n"/>
      <c r="V103" s="85" t="n"/>
      <c r="W103" s="86" t="n"/>
      <c r="X103" s="44" t="n"/>
      <c r="Y103" s="44" t="n"/>
      <c r="Z103" s="44" t="n"/>
      <c r="AA103" s="85" t="n"/>
      <c r="AB103" s="45" t="n"/>
      <c r="AC103" s="86" t="n"/>
      <c r="AD103" s="44" t="n"/>
      <c r="AE103" s="87" t="n"/>
      <c r="AF103" s="44" t="n"/>
      <c r="AG103" s="44" t="n"/>
      <c r="AH103" s="87" t="n"/>
      <c r="AI103" s="44" t="n"/>
      <c r="AJ103" s="45" t="n"/>
      <c r="AK103" s="45" t="n"/>
      <c r="AL103" s="45" t="n"/>
      <c r="AM103" s="44" t="n"/>
      <c r="AN103" s="45" t="n"/>
      <c r="AO103" s="44" t="n"/>
      <c r="AP103" s="44" t="n"/>
      <c r="AQ103" s="44" t="n"/>
      <c r="AR103" s="44" t="n"/>
      <c r="AS103" s="44" t="n"/>
    </row>
    <row r="104">
      <c r="A104" s="44" t="n"/>
      <c r="B104" s="44" t="n"/>
      <c r="C104" s="44" t="n"/>
      <c r="D104" s="44" t="n"/>
      <c r="E104" s="44" t="n"/>
      <c r="F104" s="44" t="n"/>
      <c r="G104" s="45" t="n"/>
      <c r="H104" s="45" t="n"/>
      <c r="I104" s="85" t="n"/>
      <c r="J104" s="44" t="n"/>
      <c r="K104" s="44" t="n"/>
      <c r="L104" s="44" t="n"/>
      <c r="M104" s="45" t="n"/>
      <c r="N104" s="44" t="n"/>
      <c r="O104" s="86" t="n"/>
      <c r="P104" s="44" t="n"/>
      <c r="Q104" s="45" t="n"/>
      <c r="R104" s="85" t="n"/>
      <c r="S104" s="85" t="n"/>
      <c r="T104" s="85" t="n"/>
      <c r="U104" s="85" t="n"/>
      <c r="V104" s="85" t="n"/>
      <c r="W104" s="86" t="n"/>
      <c r="X104" s="44" t="n"/>
      <c r="Y104" s="44" t="n"/>
      <c r="Z104" s="44" t="n"/>
      <c r="AA104" s="85" t="n"/>
      <c r="AB104" s="45" t="n"/>
      <c r="AC104" s="86" t="n"/>
      <c r="AD104" s="44" t="n"/>
      <c r="AE104" s="87" t="n"/>
      <c r="AF104" s="44" t="n"/>
      <c r="AG104" s="44" t="n"/>
      <c r="AH104" s="87" t="n"/>
      <c r="AI104" s="44" t="n"/>
      <c r="AJ104" s="45" t="n"/>
      <c r="AK104" s="45" t="n"/>
      <c r="AL104" s="45" t="n"/>
      <c r="AM104" s="44" t="n"/>
      <c r="AN104" s="45" t="n"/>
      <c r="AO104" s="44" t="n"/>
      <c r="AP104" s="44" t="n"/>
      <c r="AQ104" s="44" t="n"/>
      <c r="AR104" s="44" t="n"/>
      <c r="AS104" s="44" t="n"/>
    </row>
    <row r="105">
      <c r="A105" s="44" t="n"/>
      <c r="B105" s="44" t="n"/>
      <c r="C105" s="44" t="n"/>
      <c r="D105" s="44" t="n"/>
      <c r="E105" s="44" t="n"/>
      <c r="F105" s="44" t="n"/>
      <c r="G105" s="45" t="n"/>
      <c r="H105" s="45" t="n"/>
      <c r="I105" s="85" t="n"/>
      <c r="J105" s="44" t="n"/>
      <c r="K105" s="44" t="n"/>
      <c r="L105" s="44" t="n"/>
      <c r="M105" s="45" t="n"/>
      <c r="N105" s="44" t="n"/>
      <c r="O105" s="86" t="n"/>
      <c r="P105" s="44" t="n"/>
      <c r="Q105" s="45" t="n"/>
      <c r="R105" s="85" t="n"/>
      <c r="S105" s="85" t="n"/>
      <c r="T105" s="85" t="n"/>
      <c r="U105" s="85" t="n"/>
      <c r="V105" s="85" t="n"/>
      <c r="W105" s="86" t="n"/>
      <c r="X105" s="44" t="n"/>
      <c r="Y105" s="44" t="n"/>
      <c r="Z105" s="44" t="n"/>
      <c r="AA105" s="85" t="n"/>
      <c r="AB105" s="45" t="n"/>
      <c r="AC105" s="86" t="n"/>
      <c r="AD105" s="44" t="n"/>
      <c r="AE105" s="87" t="n"/>
      <c r="AF105" s="44" t="n"/>
      <c r="AG105" s="44" t="n"/>
      <c r="AH105" s="87" t="n"/>
      <c r="AI105" s="44" t="n"/>
      <c r="AJ105" s="45" t="n"/>
      <c r="AK105" s="45" t="n"/>
      <c r="AL105" s="45" t="n"/>
      <c r="AM105" s="44" t="n"/>
      <c r="AN105" s="45" t="n"/>
      <c r="AO105" s="44" t="n"/>
      <c r="AP105" s="44" t="n"/>
      <c r="AQ105" s="44" t="n"/>
      <c r="AR105" s="44" t="n"/>
      <c r="AS105" s="44" t="n"/>
    </row>
    <row r="106">
      <c r="A106" s="44" t="n"/>
      <c r="B106" s="44" t="n"/>
      <c r="C106" s="44" t="n"/>
      <c r="D106" s="44" t="n"/>
      <c r="E106" s="44" t="n"/>
      <c r="F106" s="44" t="n"/>
      <c r="G106" s="45" t="n"/>
      <c r="H106" s="45" t="n"/>
      <c r="I106" s="85" t="n"/>
      <c r="J106" s="44" t="n"/>
      <c r="K106" s="44" t="n"/>
      <c r="L106" s="44" t="n"/>
      <c r="M106" s="45" t="n"/>
      <c r="N106" s="44" t="n"/>
      <c r="O106" s="86" t="n"/>
      <c r="P106" s="44" t="n"/>
      <c r="Q106" s="45" t="n"/>
      <c r="R106" s="85" t="n"/>
      <c r="S106" s="85" t="n"/>
      <c r="T106" s="85" t="n"/>
      <c r="U106" s="85" t="n"/>
      <c r="V106" s="85" t="n"/>
      <c r="W106" s="86" t="n"/>
      <c r="X106" s="44" t="n"/>
      <c r="Y106" s="44" t="n"/>
      <c r="Z106" s="44" t="n"/>
      <c r="AA106" s="85" t="n"/>
      <c r="AB106" s="45" t="n"/>
      <c r="AC106" s="86" t="n"/>
      <c r="AD106" s="44" t="n"/>
      <c r="AE106" s="87" t="n"/>
      <c r="AF106" s="44" t="n"/>
      <c r="AG106" s="44" t="n"/>
      <c r="AH106" s="87" t="n"/>
      <c r="AI106" s="44" t="n"/>
      <c r="AJ106" s="45" t="n"/>
      <c r="AK106" s="45" t="n"/>
      <c r="AL106" s="45" t="n"/>
      <c r="AM106" s="44" t="n"/>
      <c r="AN106" s="45" t="n"/>
      <c r="AO106" s="44" t="n"/>
      <c r="AP106" s="44" t="n"/>
      <c r="AQ106" s="44" t="n"/>
      <c r="AR106" s="44" t="n"/>
      <c r="AS106" s="44" t="n"/>
    </row>
    <row r="107">
      <c r="A107" s="44" t="n"/>
      <c r="B107" s="44" t="n"/>
      <c r="C107" s="44" t="n"/>
      <c r="D107" s="44" t="n"/>
      <c r="E107" s="44" t="n"/>
      <c r="F107" s="44" t="n"/>
      <c r="G107" s="45" t="n"/>
      <c r="H107" s="45" t="n"/>
      <c r="I107" s="85" t="n"/>
      <c r="J107" s="44" t="n"/>
      <c r="K107" s="44" t="n"/>
      <c r="L107" s="44" t="n"/>
      <c r="M107" s="45" t="n"/>
      <c r="N107" s="44" t="n"/>
      <c r="O107" s="86" t="n"/>
      <c r="P107" s="44" t="n"/>
      <c r="Q107" s="45" t="n"/>
      <c r="R107" s="85" t="n"/>
      <c r="S107" s="85" t="n"/>
      <c r="T107" s="85" t="n"/>
      <c r="U107" s="85" t="n"/>
      <c r="V107" s="85" t="n"/>
      <c r="W107" s="86" t="n"/>
      <c r="X107" s="44" t="n"/>
      <c r="Y107" s="44" t="n"/>
      <c r="Z107" s="44" t="n"/>
      <c r="AA107" s="85" t="n"/>
      <c r="AB107" s="45" t="n"/>
      <c r="AC107" s="86" t="n"/>
      <c r="AD107" s="44" t="n"/>
      <c r="AE107" s="87" t="n"/>
      <c r="AF107" s="44" t="n"/>
      <c r="AG107" s="44" t="n"/>
      <c r="AH107" s="87" t="n"/>
      <c r="AI107" s="44" t="n"/>
      <c r="AJ107" s="45" t="n"/>
      <c r="AK107" s="45" t="n"/>
      <c r="AL107" s="45" t="n"/>
      <c r="AM107" s="44" t="n"/>
      <c r="AN107" s="45" t="n"/>
      <c r="AO107" s="44" t="n"/>
      <c r="AP107" s="44" t="n"/>
      <c r="AQ107" s="44" t="n"/>
      <c r="AR107" s="44" t="n"/>
      <c r="AS107" s="44" t="n"/>
    </row>
    <row r="108">
      <c r="A108" s="44" t="n"/>
      <c r="B108" s="44" t="n"/>
      <c r="C108" s="44" t="n"/>
      <c r="D108" s="44" t="n"/>
      <c r="E108" s="44" t="n"/>
      <c r="F108" s="44" t="n"/>
      <c r="G108" s="45" t="n"/>
      <c r="H108" s="45" t="n"/>
      <c r="I108" s="85" t="n"/>
      <c r="J108" s="44" t="n"/>
      <c r="K108" s="44" t="n"/>
      <c r="L108" s="44" t="n"/>
      <c r="M108" s="45" t="n"/>
      <c r="N108" s="44" t="n"/>
      <c r="O108" s="86" t="n"/>
      <c r="P108" s="44" t="n"/>
      <c r="Q108" s="45" t="n"/>
      <c r="R108" s="85" t="n"/>
      <c r="S108" s="85" t="n"/>
      <c r="T108" s="85" t="n"/>
      <c r="U108" s="85" t="n"/>
      <c r="V108" s="85" t="n"/>
      <c r="W108" s="86" t="n"/>
      <c r="X108" s="44" t="n"/>
      <c r="Y108" s="44" t="n"/>
      <c r="Z108" s="44" t="n"/>
      <c r="AA108" s="85" t="n"/>
      <c r="AB108" s="45" t="n"/>
      <c r="AC108" s="86" t="n"/>
      <c r="AD108" s="44" t="n"/>
      <c r="AE108" s="87" t="n"/>
      <c r="AF108" s="44" t="n"/>
      <c r="AG108" s="44" t="n"/>
      <c r="AH108" s="87" t="n"/>
      <c r="AI108" s="44" t="n"/>
      <c r="AJ108" s="45" t="n"/>
      <c r="AK108" s="45" t="n"/>
      <c r="AL108" s="45" t="n"/>
      <c r="AM108" s="44" t="n"/>
      <c r="AN108" s="45" t="n"/>
      <c r="AO108" s="44" t="n"/>
      <c r="AP108" s="44" t="n"/>
      <c r="AQ108" s="44" t="n"/>
      <c r="AR108" s="44" t="n"/>
      <c r="AS108" s="44" t="n"/>
    </row>
    <row r="109">
      <c r="A109" s="44" t="n"/>
      <c r="B109" s="44" t="n"/>
      <c r="C109" s="44" t="n"/>
      <c r="D109" s="44" t="n"/>
      <c r="E109" s="44" t="n"/>
      <c r="F109" s="44" t="n"/>
      <c r="G109" s="45" t="n"/>
      <c r="H109" s="45" t="n"/>
      <c r="I109" s="85" t="n"/>
      <c r="J109" s="44" t="n"/>
      <c r="K109" s="44" t="n"/>
      <c r="L109" s="44" t="n"/>
      <c r="M109" s="45" t="n"/>
      <c r="N109" s="44" t="n"/>
      <c r="O109" s="86" t="n"/>
      <c r="P109" s="44" t="n"/>
      <c r="Q109" s="45" t="n"/>
      <c r="R109" s="85" t="n"/>
      <c r="S109" s="85" t="n"/>
      <c r="T109" s="85" t="n"/>
      <c r="U109" s="85" t="n"/>
      <c r="V109" s="85" t="n"/>
      <c r="W109" s="86" t="n"/>
      <c r="X109" s="44" t="n"/>
      <c r="Y109" s="44" t="n"/>
      <c r="Z109" s="44" t="n"/>
      <c r="AA109" s="85" t="n"/>
      <c r="AB109" s="45" t="n"/>
      <c r="AC109" s="86" t="n"/>
      <c r="AD109" s="44" t="n"/>
      <c r="AE109" s="87" t="n"/>
      <c r="AF109" s="44" t="n"/>
      <c r="AG109" s="44" t="n"/>
      <c r="AH109" s="87" t="n"/>
      <c r="AI109" s="44" t="n"/>
      <c r="AJ109" s="45" t="n"/>
      <c r="AK109" s="45" t="n"/>
      <c r="AL109" s="45" t="n"/>
      <c r="AM109" s="44" t="n"/>
      <c r="AN109" s="45" t="n"/>
      <c r="AO109" s="44" t="n"/>
      <c r="AP109" s="44" t="n"/>
      <c r="AQ109" s="44" t="n"/>
      <c r="AR109" s="44" t="n"/>
      <c r="AS109" s="44" t="n"/>
    </row>
    <row r="110">
      <c r="A110" s="44" t="n"/>
      <c r="B110" s="44" t="n"/>
      <c r="C110" s="44" t="n"/>
      <c r="D110" s="44" t="n"/>
      <c r="E110" s="44" t="n"/>
      <c r="F110" s="44" t="n"/>
      <c r="G110" s="45" t="n"/>
      <c r="H110" s="45" t="n"/>
      <c r="I110" s="85" t="n"/>
      <c r="J110" s="44" t="n"/>
      <c r="K110" s="44" t="n"/>
      <c r="L110" s="44" t="n"/>
      <c r="M110" s="45" t="n"/>
      <c r="N110" s="44" t="n"/>
      <c r="O110" s="86" t="n"/>
      <c r="P110" s="44" t="n"/>
      <c r="Q110" s="45" t="n"/>
      <c r="R110" s="85" t="n"/>
      <c r="S110" s="85" t="n"/>
      <c r="T110" s="85" t="n"/>
      <c r="U110" s="85" t="n"/>
      <c r="V110" s="85" t="n"/>
      <c r="W110" s="86" t="n"/>
      <c r="X110" s="44" t="n"/>
      <c r="Y110" s="44" t="n"/>
      <c r="Z110" s="44" t="n"/>
      <c r="AA110" s="85" t="n"/>
      <c r="AB110" s="45" t="n"/>
      <c r="AC110" s="86" t="n"/>
      <c r="AD110" s="44" t="n"/>
      <c r="AE110" s="87" t="n"/>
      <c r="AF110" s="44" t="n"/>
      <c r="AG110" s="44" t="n"/>
      <c r="AH110" s="87" t="n"/>
      <c r="AI110" s="44" t="n"/>
      <c r="AJ110" s="45" t="n"/>
      <c r="AK110" s="45" t="n"/>
      <c r="AL110" s="45" t="n"/>
      <c r="AM110" s="44" t="n"/>
      <c r="AN110" s="45" t="n"/>
      <c r="AO110" s="44" t="n"/>
      <c r="AP110" s="44" t="n"/>
      <c r="AQ110" s="44" t="n"/>
      <c r="AR110" s="44" t="n"/>
      <c r="AS110" s="44" t="n"/>
    </row>
    <row r="111">
      <c r="A111" s="44" t="n"/>
      <c r="B111" s="44" t="n"/>
      <c r="C111" s="44" t="n"/>
      <c r="D111" s="44" t="n"/>
      <c r="E111" s="44" t="n"/>
      <c r="F111" s="44" t="n"/>
      <c r="G111" s="45" t="n"/>
      <c r="H111" s="45" t="n"/>
      <c r="I111" s="85" t="n"/>
      <c r="J111" s="44" t="n"/>
      <c r="K111" s="44" t="n"/>
      <c r="L111" s="44" t="n"/>
      <c r="M111" s="45" t="n"/>
      <c r="N111" s="44" t="n"/>
      <c r="O111" s="86" t="n"/>
      <c r="P111" s="44" t="n"/>
      <c r="Q111" s="45" t="n"/>
      <c r="R111" s="85" t="n"/>
      <c r="S111" s="85" t="n"/>
      <c r="T111" s="85" t="n"/>
      <c r="U111" s="85" t="n"/>
      <c r="V111" s="85" t="n"/>
      <c r="W111" s="86" t="n"/>
      <c r="X111" s="44" t="n"/>
      <c r="Y111" s="44" t="n"/>
      <c r="Z111" s="44" t="n"/>
      <c r="AA111" s="85" t="n"/>
      <c r="AB111" s="45" t="n"/>
      <c r="AC111" s="86" t="n"/>
      <c r="AD111" s="44" t="n"/>
      <c r="AE111" s="87" t="n"/>
      <c r="AF111" s="44" t="n"/>
      <c r="AG111" s="44" t="n"/>
      <c r="AH111" s="87" t="n"/>
      <c r="AI111" s="44" t="n"/>
      <c r="AJ111" s="45" t="n"/>
      <c r="AK111" s="45" t="n"/>
      <c r="AL111" s="45" t="n"/>
      <c r="AM111" s="44" t="n"/>
      <c r="AN111" s="45" t="n"/>
      <c r="AO111" s="44" t="n"/>
      <c r="AP111" s="44" t="n"/>
      <c r="AQ111" s="44" t="n"/>
      <c r="AR111" s="44" t="n"/>
      <c r="AS111" s="44" t="n"/>
    </row>
    <row r="112">
      <c r="A112" s="44" t="n"/>
      <c r="B112" s="44" t="n"/>
      <c r="C112" s="44" t="n"/>
      <c r="D112" s="44" t="n"/>
      <c r="E112" s="44" t="n"/>
      <c r="F112" s="44" t="n"/>
      <c r="G112" s="45" t="n"/>
      <c r="H112" s="45" t="n"/>
      <c r="I112" s="85" t="n"/>
      <c r="J112" s="44" t="n"/>
      <c r="K112" s="44" t="n"/>
      <c r="L112" s="44" t="n"/>
      <c r="M112" s="45" t="n"/>
      <c r="N112" s="44" t="n"/>
      <c r="O112" s="86" t="n"/>
      <c r="P112" s="44" t="n"/>
      <c r="Q112" s="45" t="n"/>
      <c r="R112" s="85" t="n"/>
      <c r="S112" s="85" t="n"/>
      <c r="T112" s="85" t="n"/>
      <c r="U112" s="85" t="n"/>
      <c r="V112" s="85" t="n"/>
      <c r="W112" s="86" t="n"/>
      <c r="X112" s="44" t="n"/>
      <c r="Y112" s="44" t="n"/>
      <c r="Z112" s="44" t="n"/>
      <c r="AA112" s="85" t="n"/>
      <c r="AB112" s="45" t="n"/>
      <c r="AC112" s="86" t="n"/>
      <c r="AD112" s="44" t="n"/>
      <c r="AE112" s="87" t="n"/>
      <c r="AF112" s="44" t="n"/>
      <c r="AG112" s="44" t="n"/>
      <c r="AH112" s="87" t="n"/>
      <c r="AI112" s="44" t="n"/>
      <c r="AJ112" s="45" t="n"/>
      <c r="AK112" s="45" t="n"/>
      <c r="AL112" s="45" t="n"/>
      <c r="AM112" s="44" t="n"/>
      <c r="AN112" s="45" t="n"/>
      <c r="AO112" s="44" t="n"/>
      <c r="AP112" s="44" t="n"/>
      <c r="AQ112" s="44" t="n"/>
      <c r="AR112" s="44" t="n"/>
      <c r="AS112" s="44" t="n"/>
    </row>
    <row r="113">
      <c r="A113" s="44" t="n"/>
      <c r="B113" s="44" t="n"/>
      <c r="C113" s="44" t="n"/>
      <c r="D113" s="44" t="n"/>
      <c r="E113" s="44" t="n"/>
      <c r="F113" s="44" t="n"/>
      <c r="G113" s="45" t="n"/>
      <c r="H113" s="45" t="n"/>
      <c r="I113" s="85" t="n"/>
      <c r="J113" s="44" t="n"/>
      <c r="K113" s="44" t="n"/>
      <c r="L113" s="44" t="n"/>
      <c r="M113" s="45" t="n"/>
      <c r="N113" s="44" t="n"/>
      <c r="O113" s="86" t="n"/>
      <c r="P113" s="44" t="n"/>
      <c r="Q113" s="45" t="n"/>
      <c r="R113" s="85" t="n"/>
      <c r="S113" s="85" t="n"/>
      <c r="T113" s="85" t="n"/>
      <c r="U113" s="85" t="n"/>
      <c r="V113" s="85" t="n"/>
      <c r="W113" s="86" t="n"/>
      <c r="X113" s="44" t="n"/>
      <c r="Y113" s="44" t="n"/>
      <c r="Z113" s="44" t="n"/>
      <c r="AA113" s="85" t="n"/>
      <c r="AB113" s="45" t="n"/>
      <c r="AC113" s="86" t="n"/>
      <c r="AD113" s="44" t="n"/>
      <c r="AE113" s="87" t="n"/>
      <c r="AF113" s="44" t="n"/>
      <c r="AG113" s="44" t="n"/>
      <c r="AH113" s="87" t="n"/>
      <c r="AI113" s="44" t="n"/>
      <c r="AJ113" s="45" t="n"/>
      <c r="AK113" s="45" t="n"/>
      <c r="AL113" s="45" t="n"/>
      <c r="AM113" s="44" t="n"/>
      <c r="AN113" s="45" t="n"/>
      <c r="AO113" s="44" t="n"/>
      <c r="AP113" s="44" t="n"/>
      <c r="AQ113" s="44" t="n"/>
      <c r="AR113" s="44" t="n"/>
      <c r="AS113" s="44" t="n"/>
    </row>
    <row r="114">
      <c r="A114" s="44" t="n"/>
      <c r="B114" s="44" t="n"/>
      <c r="C114" s="44" t="n"/>
      <c r="D114" s="44" t="n"/>
      <c r="E114" s="44" t="n"/>
      <c r="F114" s="44" t="n"/>
      <c r="G114" s="45" t="n"/>
      <c r="H114" s="45" t="n"/>
      <c r="I114" s="85" t="n"/>
      <c r="J114" s="44" t="n"/>
      <c r="K114" s="44" t="n"/>
      <c r="L114" s="44" t="n"/>
      <c r="M114" s="45" t="n"/>
      <c r="N114" s="44" t="n"/>
      <c r="O114" s="86" t="n"/>
      <c r="P114" s="44" t="n"/>
      <c r="Q114" s="45" t="n"/>
      <c r="R114" s="85" t="n"/>
      <c r="S114" s="85" t="n"/>
      <c r="T114" s="85" t="n"/>
      <c r="U114" s="85" t="n"/>
      <c r="V114" s="85" t="n"/>
      <c r="W114" s="86" t="n"/>
      <c r="X114" s="44" t="n"/>
      <c r="Y114" s="44" t="n"/>
      <c r="Z114" s="44" t="n"/>
      <c r="AA114" s="85" t="n"/>
      <c r="AB114" s="45" t="n"/>
      <c r="AC114" s="86" t="n"/>
      <c r="AD114" s="44" t="n"/>
      <c r="AE114" s="87" t="n"/>
      <c r="AF114" s="44" t="n"/>
      <c r="AG114" s="44" t="n"/>
      <c r="AH114" s="87" t="n"/>
      <c r="AI114" s="44" t="n"/>
      <c r="AJ114" s="45" t="n"/>
      <c r="AK114" s="45" t="n"/>
      <c r="AL114" s="45" t="n"/>
      <c r="AM114" s="44" t="n"/>
      <c r="AN114" s="45" t="n"/>
      <c r="AO114" s="44" t="n"/>
      <c r="AP114" s="44" t="n"/>
      <c r="AQ114" s="44" t="n"/>
      <c r="AR114" s="44" t="n"/>
      <c r="AS114" s="44" t="n"/>
    </row>
    <row r="115">
      <c r="A115" s="44" t="n"/>
      <c r="B115" s="44" t="n"/>
      <c r="C115" s="44" t="n"/>
      <c r="D115" s="44" t="n"/>
      <c r="E115" s="44" t="n"/>
      <c r="F115" s="44" t="n"/>
      <c r="G115" s="45" t="n"/>
      <c r="H115" s="45" t="n"/>
      <c r="I115" s="85" t="n"/>
      <c r="J115" s="44" t="n"/>
      <c r="K115" s="44" t="n"/>
      <c r="L115" s="44" t="n"/>
      <c r="M115" s="45" t="n"/>
      <c r="N115" s="44" t="n"/>
      <c r="O115" s="86" t="n"/>
      <c r="P115" s="44" t="n"/>
      <c r="Q115" s="45" t="n"/>
      <c r="R115" s="85" t="n"/>
      <c r="S115" s="85" t="n"/>
      <c r="T115" s="85" t="n"/>
      <c r="U115" s="85" t="n"/>
      <c r="V115" s="85" t="n"/>
      <c r="W115" s="86" t="n"/>
      <c r="X115" s="44" t="n"/>
      <c r="Y115" s="44" t="n"/>
      <c r="Z115" s="44" t="n"/>
      <c r="AA115" s="85" t="n"/>
      <c r="AB115" s="45" t="n"/>
      <c r="AC115" s="86" t="n"/>
      <c r="AD115" s="44" t="n"/>
      <c r="AE115" s="87" t="n"/>
      <c r="AF115" s="44" t="n"/>
      <c r="AG115" s="44" t="n"/>
      <c r="AH115" s="87" t="n"/>
      <c r="AI115" s="44" t="n"/>
      <c r="AJ115" s="45" t="n"/>
      <c r="AK115" s="45" t="n"/>
      <c r="AL115" s="45" t="n"/>
      <c r="AM115" s="44" t="n"/>
      <c r="AN115" s="45" t="n"/>
      <c r="AO115" s="44" t="n"/>
      <c r="AP115" s="44" t="n"/>
      <c r="AQ115" s="44" t="n"/>
      <c r="AR115" s="44" t="n"/>
      <c r="AS115" s="44" t="n"/>
    </row>
    <row r="116">
      <c r="A116" s="44" t="n"/>
      <c r="B116" s="44" t="n"/>
      <c r="C116" s="44" t="n"/>
      <c r="D116" s="44" t="n"/>
      <c r="E116" s="44" t="n"/>
      <c r="F116" s="44" t="n"/>
      <c r="G116" s="45" t="n"/>
      <c r="H116" s="45" t="n"/>
      <c r="I116" s="85" t="n"/>
      <c r="J116" s="44" t="n"/>
      <c r="K116" s="44" t="n"/>
      <c r="L116" s="44" t="n"/>
      <c r="M116" s="45" t="n"/>
      <c r="N116" s="44" t="n"/>
      <c r="O116" s="86" t="n"/>
      <c r="P116" s="44" t="n"/>
      <c r="Q116" s="45" t="n"/>
      <c r="R116" s="85" t="n"/>
      <c r="S116" s="85" t="n"/>
      <c r="T116" s="85" t="n"/>
      <c r="U116" s="85" t="n"/>
      <c r="V116" s="85" t="n"/>
      <c r="W116" s="86" t="n"/>
      <c r="X116" s="44" t="n"/>
      <c r="Y116" s="44" t="n"/>
      <c r="Z116" s="44" t="n"/>
      <c r="AA116" s="85" t="n"/>
      <c r="AB116" s="45" t="n"/>
      <c r="AC116" s="86" t="n"/>
      <c r="AD116" s="44" t="n"/>
      <c r="AE116" s="87" t="n"/>
      <c r="AF116" s="44" t="n"/>
      <c r="AG116" s="44" t="n"/>
      <c r="AH116" s="87" t="n"/>
      <c r="AI116" s="44" t="n"/>
      <c r="AJ116" s="45" t="n"/>
      <c r="AK116" s="45" t="n"/>
      <c r="AL116" s="45" t="n"/>
      <c r="AM116" s="44" t="n"/>
      <c r="AN116" s="45" t="n"/>
      <c r="AO116" s="44" t="n"/>
      <c r="AP116" s="44" t="n"/>
      <c r="AQ116" s="44" t="n"/>
      <c r="AR116" s="44" t="n"/>
      <c r="AS116" s="44" t="n"/>
    </row>
    <row r="117">
      <c r="A117" s="44" t="n"/>
      <c r="B117" s="44" t="n"/>
      <c r="C117" s="44" t="n"/>
      <c r="D117" s="44" t="n"/>
      <c r="E117" s="44" t="n"/>
      <c r="F117" s="44" t="n"/>
      <c r="G117" s="45" t="n"/>
      <c r="H117" s="45" t="n"/>
      <c r="I117" s="85" t="n"/>
      <c r="J117" s="44" t="n"/>
      <c r="K117" s="44" t="n"/>
      <c r="L117" s="44" t="n"/>
      <c r="M117" s="45" t="n"/>
      <c r="N117" s="44" t="n"/>
      <c r="O117" s="86" t="n"/>
      <c r="P117" s="44" t="n"/>
      <c r="Q117" s="45" t="n"/>
      <c r="R117" s="85" t="n"/>
      <c r="S117" s="85" t="n"/>
      <c r="T117" s="85" t="n"/>
      <c r="U117" s="85" t="n"/>
      <c r="V117" s="85" t="n"/>
      <c r="W117" s="86" t="n"/>
      <c r="X117" s="44" t="n"/>
      <c r="Y117" s="44" t="n"/>
      <c r="Z117" s="44" t="n"/>
      <c r="AA117" s="85" t="n"/>
      <c r="AB117" s="45" t="n"/>
      <c r="AC117" s="86" t="n"/>
      <c r="AD117" s="44" t="n"/>
      <c r="AE117" s="87" t="n"/>
      <c r="AF117" s="44" t="n"/>
      <c r="AG117" s="44" t="n"/>
      <c r="AH117" s="87" t="n"/>
      <c r="AI117" s="44" t="n"/>
      <c r="AJ117" s="45" t="n"/>
      <c r="AK117" s="45" t="n"/>
      <c r="AL117" s="45" t="n"/>
      <c r="AM117" s="44" t="n"/>
      <c r="AN117" s="45" t="n"/>
      <c r="AO117" s="44" t="n"/>
      <c r="AP117" s="44" t="n"/>
      <c r="AQ117" s="44" t="n"/>
      <c r="AR117" s="44" t="n"/>
      <c r="AS117" s="44" t="n"/>
    </row>
    <row r="118">
      <c r="A118" s="44" t="n"/>
      <c r="B118" s="44" t="n"/>
      <c r="C118" s="44" t="n"/>
      <c r="D118" s="44" t="n"/>
      <c r="E118" s="44" t="n"/>
      <c r="F118" s="44" t="n"/>
      <c r="G118" s="45" t="n"/>
      <c r="H118" s="45" t="n"/>
      <c r="I118" s="85" t="n"/>
      <c r="J118" s="44" t="n"/>
      <c r="K118" s="44" t="n"/>
      <c r="L118" s="44" t="n"/>
      <c r="M118" s="45" t="n"/>
      <c r="N118" s="44" t="n"/>
      <c r="O118" s="86" t="n"/>
      <c r="P118" s="44" t="n"/>
      <c r="Q118" s="45" t="n"/>
      <c r="R118" s="85" t="n"/>
      <c r="S118" s="85" t="n"/>
      <c r="T118" s="85" t="n"/>
      <c r="U118" s="85" t="n"/>
      <c r="V118" s="85" t="n"/>
      <c r="W118" s="86" t="n"/>
      <c r="X118" s="44" t="n"/>
      <c r="Y118" s="44" t="n"/>
      <c r="Z118" s="44" t="n"/>
      <c r="AA118" s="85" t="n"/>
      <c r="AB118" s="45" t="n"/>
      <c r="AC118" s="86" t="n"/>
      <c r="AD118" s="44" t="n"/>
      <c r="AE118" s="87" t="n"/>
      <c r="AF118" s="44" t="n"/>
      <c r="AG118" s="44" t="n"/>
      <c r="AH118" s="87" t="n"/>
      <c r="AI118" s="44" t="n"/>
      <c r="AJ118" s="45" t="n"/>
      <c r="AK118" s="45" t="n"/>
      <c r="AL118" s="45" t="n"/>
      <c r="AM118" s="44" t="n"/>
      <c r="AN118" s="45" t="n"/>
      <c r="AO118" s="44" t="n"/>
      <c r="AP118" s="44" t="n"/>
      <c r="AQ118" s="44" t="n"/>
      <c r="AR118" s="44" t="n"/>
      <c r="AS118" s="44" t="n"/>
    </row>
    <row r="119">
      <c r="A119" s="44" t="n"/>
      <c r="B119" s="44" t="n"/>
      <c r="C119" s="44" t="n"/>
      <c r="D119" s="44" t="n"/>
      <c r="E119" s="44" t="n"/>
      <c r="F119" s="44" t="n"/>
      <c r="G119" s="45" t="n"/>
      <c r="H119" s="45" t="n"/>
      <c r="I119" s="85" t="n"/>
      <c r="J119" s="44" t="n"/>
      <c r="K119" s="44" t="n"/>
      <c r="L119" s="44" t="n"/>
      <c r="M119" s="45" t="n"/>
      <c r="N119" s="44" t="n"/>
      <c r="O119" s="86" t="n"/>
      <c r="P119" s="44" t="n"/>
      <c r="Q119" s="45" t="n"/>
      <c r="R119" s="85" t="n"/>
      <c r="S119" s="85" t="n"/>
      <c r="T119" s="85" t="n"/>
      <c r="U119" s="85" t="n"/>
      <c r="V119" s="85" t="n"/>
      <c r="W119" s="86" t="n"/>
      <c r="X119" s="44" t="n"/>
      <c r="Y119" s="44" t="n"/>
      <c r="Z119" s="44" t="n"/>
      <c r="AA119" s="85" t="n"/>
      <c r="AB119" s="45" t="n"/>
      <c r="AC119" s="86" t="n"/>
      <c r="AD119" s="44" t="n"/>
      <c r="AE119" s="87" t="n"/>
      <c r="AF119" s="44" t="n"/>
      <c r="AG119" s="44" t="n"/>
      <c r="AH119" s="87" t="n"/>
      <c r="AI119" s="44" t="n"/>
      <c r="AJ119" s="45" t="n"/>
      <c r="AK119" s="45" t="n"/>
      <c r="AL119" s="45" t="n"/>
      <c r="AM119" s="44" t="n"/>
      <c r="AN119" s="45" t="n"/>
      <c r="AO119" s="44" t="n"/>
      <c r="AP119" s="44" t="n"/>
      <c r="AQ119" s="44" t="n"/>
      <c r="AR119" s="44" t="n"/>
      <c r="AS119" s="44" t="n"/>
    </row>
    <row r="120">
      <c r="A120" s="44" t="n"/>
      <c r="B120" s="44" t="n"/>
      <c r="C120" s="44" t="n"/>
      <c r="D120" s="44" t="n"/>
      <c r="E120" s="44" t="n"/>
      <c r="F120" s="44" t="n"/>
      <c r="G120" s="45" t="n"/>
      <c r="H120" s="45" t="n"/>
      <c r="I120" s="85" t="n"/>
      <c r="J120" s="44" t="n"/>
      <c r="K120" s="44" t="n"/>
      <c r="L120" s="44" t="n"/>
      <c r="M120" s="45" t="n"/>
      <c r="N120" s="44" t="n"/>
      <c r="O120" s="86" t="n"/>
      <c r="P120" s="44" t="n"/>
      <c r="Q120" s="45" t="n"/>
      <c r="R120" s="85" t="n"/>
      <c r="S120" s="85" t="n"/>
      <c r="T120" s="85" t="n"/>
      <c r="U120" s="85" t="n"/>
      <c r="V120" s="85" t="n"/>
      <c r="W120" s="86" t="n"/>
      <c r="X120" s="44" t="n"/>
      <c r="Y120" s="44" t="n"/>
      <c r="Z120" s="44" t="n"/>
      <c r="AA120" s="85" t="n"/>
      <c r="AB120" s="45" t="n"/>
      <c r="AC120" s="86" t="n"/>
      <c r="AD120" s="44" t="n"/>
      <c r="AE120" s="87" t="n"/>
      <c r="AF120" s="44" t="n"/>
      <c r="AG120" s="44" t="n"/>
      <c r="AH120" s="87" t="n"/>
      <c r="AI120" s="44" t="n"/>
      <c r="AJ120" s="45" t="n"/>
      <c r="AK120" s="45" t="n"/>
      <c r="AL120" s="45" t="n"/>
      <c r="AM120" s="44" t="n"/>
      <c r="AN120" s="45" t="n"/>
      <c r="AO120" s="44" t="n"/>
      <c r="AP120" s="44" t="n"/>
      <c r="AQ120" s="44" t="n"/>
      <c r="AR120" s="44" t="n"/>
      <c r="AS120" s="44" t="n"/>
    </row>
    <row r="121">
      <c r="A121" s="44" t="n"/>
      <c r="B121" s="44" t="n"/>
      <c r="C121" s="44" t="n"/>
      <c r="D121" s="44" t="n"/>
      <c r="E121" s="44" t="n"/>
      <c r="F121" s="44" t="n"/>
      <c r="G121" s="45" t="n"/>
      <c r="H121" s="45" t="n"/>
      <c r="I121" s="85" t="n"/>
      <c r="J121" s="44" t="n"/>
      <c r="K121" s="44" t="n"/>
      <c r="L121" s="44" t="n"/>
      <c r="M121" s="45" t="n"/>
      <c r="N121" s="44" t="n"/>
      <c r="O121" s="86" t="n"/>
      <c r="P121" s="44" t="n"/>
      <c r="Q121" s="45" t="n"/>
      <c r="R121" s="85" t="n"/>
      <c r="S121" s="85" t="n"/>
      <c r="T121" s="85" t="n"/>
      <c r="U121" s="85" t="n"/>
      <c r="V121" s="85" t="n"/>
      <c r="W121" s="86" t="n"/>
      <c r="X121" s="44" t="n"/>
      <c r="Y121" s="44" t="n"/>
      <c r="Z121" s="44" t="n"/>
      <c r="AA121" s="85" t="n"/>
      <c r="AB121" s="45" t="n"/>
      <c r="AC121" s="86" t="n"/>
      <c r="AD121" s="44" t="n"/>
      <c r="AE121" s="87" t="n"/>
      <c r="AF121" s="44" t="n"/>
      <c r="AG121" s="44" t="n"/>
      <c r="AH121" s="87" t="n"/>
      <c r="AI121" s="44" t="n"/>
      <c r="AJ121" s="45" t="n"/>
      <c r="AK121" s="45" t="n"/>
      <c r="AL121" s="45" t="n"/>
      <c r="AM121" s="44" t="n"/>
      <c r="AN121" s="45" t="n"/>
      <c r="AO121" s="44" t="n"/>
      <c r="AP121" s="44" t="n"/>
      <c r="AQ121" s="44" t="n"/>
      <c r="AR121" s="44" t="n"/>
      <c r="AS121" s="44" t="n"/>
    </row>
    <row r="122">
      <c r="A122" s="44" t="n"/>
      <c r="B122" s="44" t="n"/>
      <c r="C122" s="44" t="n"/>
      <c r="D122" s="44" t="n"/>
      <c r="E122" s="44" t="n"/>
      <c r="F122" s="44" t="n"/>
      <c r="G122" s="45" t="n"/>
      <c r="H122" s="45" t="n"/>
      <c r="I122" s="85" t="n"/>
      <c r="J122" s="44" t="n"/>
      <c r="K122" s="44" t="n"/>
      <c r="L122" s="44" t="n"/>
      <c r="M122" s="45" t="n"/>
      <c r="N122" s="44" t="n"/>
      <c r="O122" s="86" t="n"/>
      <c r="P122" s="44" t="n"/>
      <c r="Q122" s="45" t="n"/>
      <c r="R122" s="85" t="n"/>
      <c r="S122" s="85" t="n"/>
      <c r="T122" s="85" t="n"/>
      <c r="U122" s="85" t="n"/>
      <c r="V122" s="85" t="n"/>
      <c r="W122" s="86" t="n"/>
      <c r="X122" s="44" t="n"/>
      <c r="Y122" s="44" t="n"/>
      <c r="Z122" s="44" t="n"/>
      <c r="AA122" s="85" t="n"/>
      <c r="AB122" s="45" t="n"/>
      <c r="AC122" s="86" t="n"/>
      <c r="AD122" s="44" t="n"/>
      <c r="AE122" s="87" t="n"/>
      <c r="AF122" s="44" t="n"/>
      <c r="AG122" s="44" t="n"/>
      <c r="AH122" s="87" t="n"/>
      <c r="AI122" s="44" t="n"/>
      <c r="AJ122" s="45" t="n"/>
      <c r="AK122" s="45" t="n"/>
      <c r="AL122" s="45" t="n"/>
      <c r="AM122" s="44" t="n"/>
      <c r="AN122" s="45" t="n"/>
      <c r="AO122" s="44" t="n"/>
      <c r="AP122" s="44" t="n"/>
      <c r="AQ122" s="44" t="n"/>
      <c r="AR122" s="44" t="n"/>
      <c r="AS122" s="44" t="n"/>
    </row>
    <row r="123">
      <c r="A123" s="44" t="n"/>
      <c r="B123" s="44" t="n"/>
      <c r="C123" s="44" t="n"/>
      <c r="D123" s="44" t="n"/>
      <c r="E123" s="44" t="n"/>
      <c r="F123" s="44" t="n"/>
      <c r="G123" s="45" t="n"/>
      <c r="H123" s="45" t="n"/>
      <c r="I123" s="85" t="n"/>
      <c r="J123" s="44" t="n"/>
      <c r="K123" s="44" t="n"/>
      <c r="L123" s="44" t="n"/>
      <c r="M123" s="45" t="n"/>
      <c r="N123" s="44" t="n"/>
      <c r="O123" s="86" t="n"/>
      <c r="P123" s="44" t="n"/>
      <c r="Q123" s="45" t="n"/>
      <c r="R123" s="85" t="n"/>
      <c r="S123" s="85" t="n"/>
      <c r="T123" s="85" t="n"/>
      <c r="U123" s="85" t="n"/>
      <c r="V123" s="85" t="n"/>
      <c r="W123" s="86" t="n"/>
      <c r="X123" s="44" t="n"/>
      <c r="Y123" s="44" t="n"/>
      <c r="Z123" s="44" t="n"/>
      <c r="AA123" s="85" t="n"/>
      <c r="AB123" s="45" t="n"/>
      <c r="AC123" s="86" t="n"/>
      <c r="AD123" s="44" t="n"/>
      <c r="AE123" s="87" t="n"/>
      <c r="AF123" s="44" t="n"/>
      <c r="AG123" s="44" t="n"/>
      <c r="AH123" s="87" t="n"/>
      <c r="AI123" s="44" t="n"/>
      <c r="AJ123" s="45" t="n"/>
      <c r="AK123" s="45" t="n"/>
      <c r="AL123" s="45" t="n"/>
      <c r="AM123" s="44" t="n"/>
      <c r="AN123" s="45" t="n"/>
      <c r="AO123" s="44" t="n"/>
      <c r="AP123" s="44" t="n"/>
      <c r="AQ123" s="44" t="n"/>
      <c r="AR123" s="44" t="n"/>
      <c r="AS123" s="44" t="n"/>
    </row>
    <row r="124">
      <c r="A124" s="44" t="n"/>
      <c r="B124" s="44" t="n"/>
      <c r="C124" s="44" t="n"/>
      <c r="D124" s="44" t="n"/>
      <c r="E124" s="44" t="n"/>
      <c r="F124" s="44" t="n"/>
      <c r="G124" s="45" t="n"/>
      <c r="H124" s="45" t="n"/>
      <c r="I124" s="85" t="n"/>
      <c r="J124" s="44" t="n"/>
      <c r="K124" s="44" t="n"/>
      <c r="L124" s="44" t="n"/>
      <c r="M124" s="45" t="n"/>
      <c r="N124" s="44" t="n"/>
      <c r="O124" s="86" t="n"/>
      <c r="P124" s="44" t="n"/>
      <c r="Q124" s="45" t="n"/>
      <c r="R124" s="85" t="n"/>
      <c r="S124" s="85" t="n"/>
      <c r="T124" s="85" t="n"/>
      <c r="U124" s="85" t="n"/>
      <c r="V124" s="85" t="n"/>
      <c r="W124" s="86" t="n"/>
      <c r="X124" s="44" t="n"/>
      <c r="Y124" s="44" t="n"/>
      <c r="Z124" s="44" t="n"/>
      <c r="AA124" s="85" t="n"/>
      <c r="AB124" s="45" t="n"/>
      <c r="AC124" s="86" t="n"/>
      <c r="AD124" s="44" t="n"/>
      <c r="AE124" s="87" t="n"/>
      <c r="AF124" s="44" t="n"/>
      <c r="AG124" s="44" t="n"/>
      <c r="AH124" s="87" t="n"/>
      <c r="AI124" s="44" t="n"/>
      <c r="AJ124" s="45" t="n"/>
      <c r="AK124" s="45" t="n"/>
      <c r="AL124" s="45" t="n"/>
      <c r="AM124" s="44" t="n"/>
      <c r="AN124" s="45" t="n"/>
      <c r="AO124" s="44" t="n"/>
      <c r="AP124" s="44" t="n"/>
      <c r="AQ124" s="44" t="n"/>
      <c r="AR124" s="44" t="n"/>
      <c r="AS124" s="44" t="n"/>
    </row>
    <row r="125">
      <c r="A125" s="44" t="n"/>
      <c r="B125" s="44" t="n"/>
      <c r="C125" s="44" t="n"/>
      <c r="D125" s="44" t="n"/>
      <c r="E125" s="44" t="n"/>
      <c r="F125" s="44" t="n"/>
      <c r="G125" s="45" t="n"/>
      <c r="H125" s="45" t="n"/>
      <c r="I125" s="85" t="n"/>
      <c r="J125" s="44" t="n"/>
      <c r="K125" s="44" t="n"/>
      <c r="L125" s="44" t="n"/>
      <c r="M125" s="45" t="n"/>
      <c r="N125" s="44" t="n"/>
      <c r="O125" s="86" t="n"/>
      <c r="P125" s="44" t="n"/>
      <c r="Q125" s="45" t="n"/>
      <c r="R125" s="85" t="n"/>
      <c r="S125" s="85" t="n"/>
      <c r="T125" s="85" t="n"/>
      <c r="U125" s="85" t="n"/>
      <c r="V125" s="85" t="n"/>
      <c r="W125" s="86" t="n"/>
      <c r="X125" s="44" t="n"/>
      <c r="Y125" s="44" t="n"/>
      <c r="Z125" s="44" t="n"/>
      <c r="AA125" s="85" t="n"/>
      <c r="AB125" s="45" t="n"/>
      <c r="AC125" s="86" t="n"/>
      <c r="AD125" s="44" t="n"/>
      <c r="AE125" s="87" t="n"/>
      <c r="AF125" s="44" t="n"/>
      <c r="AG125" s="44" t="n"/>
      <c r="AH125" s="87" t="n"/>
      <c r="AI125" s="44" t="n"/>
      <c r="AJ125" s="45" t="n"/>
      <c r="AK125" s="45" t="n"/>
      <c r="AL125" s="45" t="n"/>
      <c r="AM125" s="44" t="n"/>
      <c r="AN125" s="45" t="n"/>
      <c r="AO125" s="44" t="n"/>
      <c r="AP125" s="44" t="n"/>
      <c r="AQ125" s="44" t="n"/>
      <c r="AR125" s="44" t="n"/>
      <c r="AS125" s="44" t="n"/>
    </row>
    <row r="126">
      <c r="A126" s="44" t="n"/>
      <c r="B126" s="44" t="n"/>
      <c r="C126" s="44" t="n"/>
      <c r="D126" s="44" t="n"/>
      <c r="E126" s="44" t="n"/>
      <c r="F126" s="44" t="n"/>
      <c r="G126" s="45" t="n"/>
      <c r="H126" s="45" t="n"/>
      <c r="I126" s="85" t="n"/>
      <c r="J126" s="44" t="n"/>
      <c r="K126" s="44" t="n"/>
      <c r="L126" s="44" t="n"/>
      <c r="M126" s="45" t="n"/>
      <c r="N126" s="44" t="n"/>
      <c r="O126" s="86" t="n"/>
      <c r="P126" s="44" t="n"/>
      <c r="Q126" s="45" t="n"/>
      <c r="R126" s="85" t="n"/>
      <c r="S126" s="85" t="n"/>
      <c r="T126" s="85" t="n"/>
      <c r="U126" s="85" t="n"/>
      <c r="V126" s="85" t="n"/>
      <c r="W126" s="86" t="n"/>
      <c r="X126" s="44" t="n"/>
      <c r="Y126" s="44" t="n"/>
      <c r="Z126" s="44" t="n"/>
      <c r="AA126" s="85" t="n"/>
      <c r="AB126" s="45" t="n"/>
      <c r="AC126" s="86" t="n"/>
      <c r="AD126" s="44" t="n"/>
      <c r="AE126" s="87" t="n"/>
      <c r="AF126" s="44" t="n"/>
      <c r="AG126" s="44" t="n"/>
      <c r="AH126" s="87" t="n"/>
      <c r="AI126" s="44" t="n"/>
      <c r="AJ126" s="45" t="n"/>
      <c r="AK126" s="45" t="n"/>
      <c r="AL126" s="45" t="n"/>
      <c r="AM126" s="44" t="n"/>
      <c r="AN126" s="45" t="n"/>
      <c r="AO126" s="44" t="n"/>
      <c r="AP126" s="44" t="n"/>
      <c r="AQ126" s="44" t="n"/>
      <c r="AR126" s="44" t="n"/>
      <c r="AS126" s="44" t="n"/>
    </row>
    <row r="127">
      <c r="A127" s="44" t="n"/>
      <c r="B127" s="44" t="n"/>
      <c r="C127" s="44" t="n"/>
      <c r="D127" s="44" t="n"/>
      <c r="E127" s="44" t="n"/>
      <c r="F127" s="44" t="n"/>
      <c r="G127" s="45" t="n"/>
      <c r="H127" s="45" t="n"/>
      <c r="I127" s="85" t="n"/>
      <c r="J127" s="44" t="n"/>
      <c r="K127" s="44" t="n"/>
      <c r="L127" s="44" t="n"/>
      <c r="M127" s="45" t="n"/>
      <c r="N127" s="44" t="n"/>
      <c r="O127" s="86" t="n"/>
      <c r="P127" s="44" t="n"/>
      <c r="Q127" s="45" t="n"/>
      <c r="R127" s="85" t="n"/>
      <c r="S127" s="85" t="n"/>
      <c r="T127" s="85" t="n"/>
      <c r="U127" s="85" t="n"/>
      <c r="V127" s="85" t="n"/>
      <c r="W127" s="86" t="n"/>
      <c r="X127" s="44" t="n"/>
      <c r="Y127" s="44" t="n"/>
      <c r="Z127" s="44" t="n"/>
      <c r="AA127" s="85" t="n"/>
      <c r="AB127" s="45" t="n"/>
      <c r="AC127" s="86" t="n"/>
      <c r="AD127" s="44" t="n"/>
      <c r="AE127" s="87" t="n"/>
      <c r="AF127" s="44" t="n"/>
      <c r="AG127" s="44" t="n"/>
      <c r="AH127" s="87" t="n"/>
      <c r="AI127" s="44" t="n"/>
      <c r="AJ127" s="45" t="n"/>
      <c r="AK127" s="45" t="n"/>
      <c r="AL127" s="45" t="n"/>
      <c r="AM127" s="44" t="n"/>
      <c r="AN127" s="45" t="n"/>
      <c r="AO127" s="44" t="n"/>
      <c r="AP127" s="44" t="n"/>
      <c r="AQ127" s="44" t="n"/>
      <c r="AR127" s="44" t="n"/>
      <c r="AS127" s="44" t="n"/>
    </row>
    <row r="128">
      <c r="A128" s="44" t="n"/>
      <c r="B128" s="44" t="n"/>
      <c r="C128" s="44" t="n"/>
      <c r="D128" s="44" t="n"/>
      <c r="E128" s="44" t="n"/>
      <c r="F128" s="44" t="n"/>
      <c r="G128" s="45" t="n"/>
      <c r="H128" s="45" t="n"/>
      <c r="I128" s="85" t="n"/>
      <c r="J128" s="44" t="n"/>
      <c r="K128" s="44" t="n"/>
      <c r="L128" s="44" t="n"/>
      <c r="M128" s="45" t="n"/>
      <c r="N128" s="44" t="n"/>
      <c r="O128" s="86" t="n"/>
      <c r="P128" s="44" t="n"/>
      <c r="Q128" s="45" t="n"/>
      <c r="R128" s="85" t="n"/>
      <c r="S128" s="85" t="n"/>
      <c r="T128" s="85" t="n"/>
      <c r="U128" s="85" t="n"/>
      <c r="V128" s="85" t="n"/>
      <c r="W128" s="86" t="n"/>
      <c r="X128" s="44" t="n"/>
      <c r="Y128" s="44" t="n"/>
      <c r="Z128" s="44" t="n"/>
      <c r="AA128" s="85" t="n"/>
      <c r="AB128" s="45" t="n"/>
      <c r="AC128" s="86" t="n"/>
      <c r="AD128" s="44" t="n"/>
      <c r="AE128" s="87" t="n"/>
      <c r="AF128" s="44" t="n"/>
      <c r="AG128" s="44" t="n"/>
      <c r="AH128" s="87" t="n"/>
      <c r="AI128" s="44" t="n"/>
      <c r="AJ128" s="45" t="n"/>
      <c r="AK128" s="45" t="n"/>
      <c r="AL128" s="45" t="n"/>
      <c r="AM128" s="44" t="n"/>
      <c r="AN128" s="45" t="n"/>
      <c r="AO128" s="44" t="n"/>
      <c r="AP128" s="44" t="n"/>
      <c r="AQ128" s="44" t="n"/>
      <c r="AR128" s="44" t="n"/>
      <c r="AS128" s="44" t="n"/>
    </row>
    <row r="129">
      <c r="A129" s="44" t="n"/>
      <c r="B129" s="44" t="n"/>
      <c r="C129" s="44" t="n"/>
      <c r="D129" s="44" t="n"/>
      <c r="E129" s="44" t="n"/>
      <c r="F129" s="44" t="n"/>
      <c r="G129" s="45" t="n"/>
      <c r="H129" s="45" t="n"/>
      <c r="I129" s="85" t="n"/>
      <c r="J129" s="44" t="n"/>
      <c r="K129" s="44" t="n"/>
      <c r="L129" s="44" t="n"/>
      <c r="M129" s="45" t="n"/>
      <c r="N129" s="44" t="n"/>
      <c r="O129" s="86" t="n"/>
      <c r="P129" s="44" t="n"/>
      <c r="Q129" s="45" t="n"/>
      <c r="R129" s="85" t="n"/>
      <c r="S129" s="85" t="n"/>
      <c r="T129" s="85" t="n"/>
      <c r="U129" s="85" t="n"/>
      <c r="V129" s="85" t="n"/>
      <c r="W129" s="86" t="n"/>
      <c r="X129" s="44" t="n"/>
      <c r="Y129" s="44" t="n"/>
      <c r="Z129" s="44" t="n"/>
      <c r="AA129" s="85" t="n"/>
      <c r="AB129" s="45" t="n"/>
      <c r="AC129" s="86" t="n"/>
      <c r="AD129" s="44" t="n"/>
      <c r="AE129" s="87" t="n"/>
      <c r="AF129" s="44" t="n"/>
      <c r="AG129" s="44" t="n"/>
      <c r="AH129" s="87" t="n"/>
      <c r="AI129" s="44" t="n"/>
      <c r="AJ129" s="45" t="n"/>
      <c r="AK129" s="45" t="n"/>
      <c r="AL129" s="45" t="n"/>
      <c r="AM129" s="44" t="n"/>
      <c r="AN129" s="45" t="n"/>
      <c r="AO129" s="44" t="n"/>
      <c r="AP129" s="44" t="n"/>
      <c r="AQ129" s="44" t="n"/>
      <c r="AR129" s="44" t="n"/>
      <c r="AS129" s="44" t="n"/>
    </row>
    <row r="130">
      <c r="A130" s="44" t="n"/>
      <c r="B130" s="44" t="n"/>
      <c r="C130" s="44" t="n"/>
      <c r="D130" s="44" t="n"/>
      <c r="E130" s="44" t="n"/>
      <c r="F130" s="44" t="n"/>
      <c r="G130" s="45" t="n"/>
      <c r="H130" s="45" t="n"/>
      <c r="I130" s="85" t="n"/>
      <c r="J130" s="44" t="n"/>
      <c r="K130" s="44" t="n"/>
      <c r="L130" s="44" t="n"/>
      <c r="M130" s="45" t="n"/>
      <c r="N130" s="44" t="n"/>
      <c r="O130" s="86" t="n"/>
      <c r="P130" s="44" t="n"/>
      <c r="Q130" s="45" t="n"/>
      <c r="R130" s="85" t="n"/>
      <c r="S130" s="85" t="n"/>
      <c r="T130" s="85" t="n"/>
      <c r="U130" s="85" t="n"/>
      <c r="V130" s="85" t="n"/>
      <c r="W130" s="86" t="n"/>
      <c r="X130" s="44" t="n"/>
      <c r="Y130" s="44" t="n"/>
      <c r="Z130" s="44" t="n"/>
      <c r="AA130" s="85" t="n"/>
      <c r="AB130" s="45" t="n"/>
      <c r="AC130" s="86" t="n"/>
      <c r="AD130" s="44" t="n"/>
      <c r="AE130" s="87" t="n"/>
      <c r="AF130" s="44" t="n"/>
      <c r="AG130" s="44" t="n"/>
      <c r="AH130" s="87" t="n"/>
      <c r="AI130" s="44" t="n"/>
      <c r="AJ130" s="45" t="n"/>
      <c r="AK130" s="45" t="n"/>
      <c r="AL130" s="45" t="n"/>
      <c r="AM130" s="44" t="n"/>
      <c r="AN130" s="45" t="n"/>
      <c r="AO130" s="44" t="n"/>
      <c r="AP130" s="44" t="n"/>
      <c r="AQ130" s="44" t="n"/>
      <c r="AR130" s="44" t="n"/>
      <c r="AS130" s="44" t="n"/>
    </row>
    <row r="131">
      <c r="A131" s="44" t="n"/>
      <c r="B131" s="44" t="n"/>
      <c r="C131" s="44" t="n"/>
      <c r="D131" s="44" t="n"/>
      <c r="E131" s="44" t="n"/>
      <c r="F131" s="44" t="n"/>
      <c r="G131" s="45" t="n"/>
      <c r="H131" s="45" t="n"/>
      <c r="I131" s="85" t="n"/>
      <c r="J131" s="44" t="n"/>
      <c r="K131" s="44" t="n"/>
      <c r="L131" s="44" t="n"/>
      <c r="M131" s="45" t="n"/>
      <c r="N131" s="44" t="n"/>
      <c r="O131" s="86" t="n"/>
      <c r="P131" s="44" t="n"/>
      <c r="Q131" s="45" t="n"/>
      <c r="R131" s="85" t="n"/>
      <c r="S131" s="85" t="n"/>
      <c r="T131" s="85" t="n"/>
      <c r="U131" s="85" t="n"/>
      <c r="V131" s="85" t="n"/>
      <c r="W131" s="86" t="n"/>
      <c r="X131" s="44" t="n"/>
      <c r="Y131" s="44" t="n"/>
      <c r="Z131" s="44" t="n"/>
      <c r="AA131" s="85" t="n"/>
      <c r="AB131" s="45" t="n"/>
      <c r="AC131" s="86" t="n"/>
      <c r="AD131" s="44" t="n"/>
      <c r="AE131" s="87" t="n"/>
      <c r="AF131" s="44" t="n"/>
      <c r="AG131" s="44" t="n"/>
      <c r="AH131" s="87" t="n"/>
      <c r="AI131" s="44" t="n"/>
      <c r="AJ131" s="45" t="n"/>
      <c r="AK131" s="45" t="n"/>
      <c r="AL131" s="45" t="n"/>
      <c r="AM131" s="44" t="n"/>
      <c r="AN131" s="45" t="n"/>
      <c r="AO131" s="44" t="n"/>
      <c r="AP131" s="44" t="n"/>
      <c r="AQ131" s="44" t="n"/>
      <c r="AR131" s="44" t="n"/>
      <c r="AS131" s="44" t="n"/>
    </row>
    <row r="132">
      <c r="A132" s="44" t="n"/>
      <c r="B132" s="44" t="n"/>
      <c r="C132" s="44" t="n"/>
      <c r="D132" s="44" t="n"/>
      <c r="E132" s="44" t="n"/>
      <c r="F132" s="44" t="n"/>
      <c r="G132" s="45" t="n"/>
      <c r="H132" s="45" t="n"/>
      <c r="I132" s="85" t="n"/>
      <c r="J132" s="44" t="n"/>
      <c r="K132" s="44" t="n"/>
      <c r="L132" s="44" t="n"/>
      <c r="M132" s="45" t="n"/>
      <c r="N132" s="44" t="n"/>
      <c r="O132" s="86" t="n"/>
      <c r="P132" s="44" t="n"/>
      <c r="Q132" s="45" t="n"/>
      <c r="R132" s="85" t="n"/>
      <c r="S132" s="85" t="n"/>
      <c r="T132" s="85" t="n"/>
      <c r="U132" s="85" t="n"/>
      <c r="V132" s="85" t="n"/>
      <c r="W132" s="86" t="n"/>
      <c r="X132" s="44" t="n"/>
      <c r="Y132" s="44" t="n"/>
      <c r="Z132" s="44" t="n"/>
      <c r="AA132" s="85" t="n"/>
      <c r="AB132" s="45" t="n"/>
      <c r="AC132" s="86" t="n"/>
      <c r="AD132" s="44" t="n"/>
      <c r="AE132" s="87" t="n"/>
      <c r="AF132" s="44" t="n"/>
      <c r="AG132" s="44" t="n"/>
      <c r="AH132" s="87" t="n"/>
      <c r="AI132" s="44" t="n"/>
      <c r="AJ132" s="45" t="n"/>
      <c r="AK132" s="45" t="n"/>
      <c r="AL132" s="45" t="n"/>
      <c r="AM132" s="44" t="n"/>
      <c r="AN132" s="45" t="n"/>
      <c r="AO132" s="44" t="n"/>
      <c r="AP132" s="44" t="n"/>
      <c r="AQ132" s="44" t="n"/>
      <c r="AR132" s="44" t="n"/>
      <c r="AS132" s="44" t="n"/>
    </row>
    <row r="133">
      <c r="A133" s="44" t="n"/>
      <c r="B133" s="44" t="n"/>
      <c r="C133" s="44" t="n"/>
      <c r="D133" s="44" t="n"/>
      <c r="E133" s="44" t="n"/>
      <c r="F133" s="44" t="n"/>
      <c r="G133" s="45" t="n"/>
      <c r="H133" s="45" t="n"/>
      <c r="I133" s="85" t="n"/>
      <c r="J133" s="44" t="n"/>
      <c r="K133" s="44" t="n"/>
      <c r="L133" s="44" t="n"/>
      <c r="M133" s="45" t="n"/>
      <c r="N133" s="44" t="n"/>
      <c r="O133" s="86" t="n"/>
      <c r="P133" s="44" t="n"/>
      <c r="Q133" s="45" t="n"/>
      <c r="R133" s="85" t="n"/>
      <c r="S133" s="85" t="n"/>
      <c r="T133" s="85" t="n"/>
      <c r="U133" s="85" t="n"/>
      <c r="V133" s="85" t="n"/>
      <c r="W133" s="86" t="n"/>
      <c r="X133" s="44" t="n"/>
      <c r="Y133" s="44" t="n"/>
      <c r="Z133" s="44" t="n"/>
      <c r="AA133" s="85" t="n"/>
      <c r="AB133" s="45" t="n"/>
      <c r="AC133" s="86" t="n"/>
      <c r="AD133" s="44" t="n"/>
      <c r="AE133" s="87" t="n"/>
      <c r="AF133" s="44" t="n"/>
      <c r="AG133" s="44" t="n"/>
      <c r="AH133" s="87" t="n"/>
      <c r="AI133" s="44" t="n"/>
      <c r="AJ133" s="45" t="n"/>
      <c r="AK133" s="45" t="n"/>
      <c r="AL133" s="45" t="n"/>
      <c r="AM133" s="44" t="n"/>
      <c r="AN133" s="45" t="n"/>
      <c r="AO133" s="44" t="n"/>
      <c r="AP133" s="44" t="n"/>
      <c r="AQ133" s="44" t="n"/>
      <c r="AR133" s="44" t="n"/>
      <c r="AS133" s="44" t="n"/>
    </row>
    <row r="134">
      <c r="A134" s="44" t="n"/>
      <c r="B134" s="44" t="n"/>
      <c r="C134" s="44" t="n"/>
      <c r="D134" s="44" t="n"/>
      <c r="E134" s="44" t="n"/>
      <c r="F134" s="44" t="n"/>
      <c r="G134" s="45" t="n"/>
      <c r="H134" s="45" t="n"/>
      <c r="I134" s="85" t="n"/>
      <c r="J134" s="44" t="n"/>
      <c r="K134" s="44" t="n"/>
      <c r="L134" s="44" t="n"/>
      <c r="M134" s="45" t="n"/>
      <c r="N134" s="44" t="n"/>
      <c r="O134" s="86" t="n"/>
      <c r="P134" s="44" t="n"/>
      <c r="Q134" s="45" t="n"/>
      <c r="R134" s="85" t="n"/>
      <c r="S134" s="85" t="n"/>
      <c r="T134" s="85" t="n"/>
      <c r="U134" s="85" t="n"/>
      <c r="V134" s="85" t="n"/>
      <c r="W134" s="86" t="n"/>
      <c r="X134" s="44" t="n"/>
      <c r="Y134" s="44" t="n"/>
      <c r="Z134" s="44" t="n"/>
      <c r="AA134" s="85" t="n"/>
      <c r="AB134" s="45" t="n"/>
      <c r="AC134" s="86" t="n"/>
      <c r="AD134" s="44" t="n"/>
      <c r="AE134" s="87" t="n"/>
      <c r="AF134" s="44" t="n"/>
      <c r="AG134" s="44" t="n"/>
      <c r="AH134" s="87" t="n"/>
      <c r="AI134" s="44" t="n"/>
      <c r="AJ134" s="45" t="n"/>
      <c r="AK134" s="45" t="n"/>
      <c r="AL134" s="45" t="n"/>
      <c r="AM134" s="44" t="n"/>
      <c r="AN134" s="45" t="n"/>
      <c r="AO134" s="44" t="n"/>
      <c r="AP134" s="44" t="n"/>
      <c r="AQ134" s="44" t="n"/>
      <c r="AR134" s="44" t="n"/>
      <c r="AS134" s="44" t="n"/>
    </row>
    <row r="135">
      <c r="A135" s="44" t="n"/>
      <c r="B135" s="44" t="n"/>
      <c r="C135" s="44" t="n"/>
      <c r="D135" s="44" t="n"/>
      <c r="E135" s="44" t="n"/>
      <c r="F135" s="44" t="n"/>
      <c r="G135" s="45" t="n"/>
      <c r="H135" s="45" t="n"/>
      <c r="I135" s="85" t="n"/>
      <c r="J135" s="44" t="n"/>
      <c r="K135" s="44" t="n"/>
      <c r="L135" s="44" t="n"/>
      <c r="M135" s="45" t="n"/>
      <c r="N135" s="44" t="n"/>
      <c r="O135" s="86" t="n"/>
      <c r="P135" s="44" t="n"/>
      <c r="Q135" s="45" t="n"/>
      <c r="R135" s="85" t="n"/>
      <c r="S135" s="85" t="n"/>
      <c r="T135" s="85" t="n"/>
      <c r="U135" s="85" t="n"/>
      <c r="V135" s="85" t="n"/>
      <c r="W135" s="86" t="n"/>
      <c r="X135" s="44" t="n"/>
      <c r="Y135" s="44" t="n"/>
      <c r="Z135" s="44" t="n"/>
      <c r="AA135" s="85" t="n"/>
      <c r="AB135" s="45" t="n"/>
      <c r="AC135" s="86" t="n"/>
      <c r="AD135" s="44" t="n"/>
      <c r="AE135" s="87" t="n"/>
      <c r="AF135" s="44" t="n"/>
      <c r="AG135" s="44" t="n"/>
      <c r="AH135" s="87" t="n"/>
      <c r="AI135" s="44" t="n"/>
      <c r="AJ135" s="45" t="n"/>
      <c r="AK135" s="45" t="n"/>
      <c r="AL135" s="45" t="n"/>
      <c r="AM135" s="44" t="n"/>
      <c r="AN135" s="45" t="n"/>
      <c r="AO135" s="44" t="n"/>
      <c r="AP135" s="44" t="n"/>
      <c r="AQ135" s="44" t="n"/>
      <c r="AR135" s="44" t="n"/>
      <c r="AS135" s="44" t="n"/>
    </row>
    <row r="136">
      <c r="A136" s="44" t="n"/>
      <c r="B136" s="44" t="n"/>
      <c r="C136" s="44" t="n"/>
      <c r="D136" s="44" t="n"/>
      <c r="E136" s="44" t="n"/>
      <c r="F136" s="44" t="n"/>
      <c r="G136" s="45" t="n"/>
      <c r="H136" s="45" t="n"/>
      <c r="I136" s="85" t="n"/>
      <c r="J136" s="44" t="n"/>
      <c r="K136" s="44" t="n"/>
      <c r="L136" s="44" t="n"/>
      <c r="M136" s="45" t="n"/>
      <c r="N136" s="44" t="n"/>
      <c r="O136" s="86" t="n"/>
      <c r="P136" s="44" t="n"/>
      <c r="Q136" s="45" t="n"/>
      <c r="R136" s="85" t="n"/>
      <c r="S136" s="85" t="n"/>
      <c r="T136" s="85" t="n"/>
      <c r="U136" s="85" t="n"/>
      <c r="V136" s="85" t="n"/>
      <c r="W136" s="86" t="n"/>
      <c r="X136" s="44" t="n"/>
      <c r="Y136" s="44" t="n"/>
      <c r="Z136" s="44" t="n"/>
      <c r="AA136" s="85" t="n"/>
      <c r="AB136" s="45" t="n"/>
      <c r="AC136" s="86" t="n"/>
      <c r="AD136" s="44" t="n"/>
      <c r="AE136" s="87" t="n"/>
      <c r="AF136" s="44" t="n"/>
      <c r="AG136" s="44" t="n"/>
      <c r="AH136" s="87" t="n"/>
      <c r="AI136" s="44" t="n"/>
      <c r="AJ136" s="45" t="n"/>
      <c r="AK136" s="45" t="n"/>
      <c r="AL136" s="45" t="n"/>
      <c r="AM136" s="44" t="n"/>
      <c r="AN136" s="45" t="n"/>
      <c r="AO136" s="44" t="n"/>
      <c r="AP136" s="44" t="n"/>
      <c r="AQ136" s="44" t="n"/>
      <c r="AR136" s="44" t="n"/>
      <c r="AS136" s="44" t="n"/>
    </row>
    <row r="137">
      <c r="A137" s="44" t="n"/>
      <c r="B137" s="44" t="n"/>
      <c r="C137" s="44" t="n"/>
      <c r="D137" s="44" t="n"/>
      <c r="E137" s="44" t="n"/>
      <c r="F137" s="44" t="n"/>
      <c r="G137" s="45" t="n"/>
      <c r="H137" s="45" t="n"/>
      <c r="I137" s="85" t="n"/>
      <c r="J137" s="44" t="n"/>
      <c r="K137" s="44" t="n"/>
      <c r="L137" s="44" t="n"/>
      <c r="M137" s="45" t="n"/>
      <c r="N137" s="44" t="n"/>
      <c r="O137" s="86" t="n"/>
      <c r="P137" s="44" t="n"/>
      <c r="Q137" s="45" t="n"/>
      <c r="R137" s="85" t="n"/>
      <c r="S137" s="85" t="n"/>
      <c r="T137" s="85" t="n"/>
      <c r="U137" s="85" t="n"/>
      <c r="V137" s="85" t="n"/>
      <c r="W137" s="86" t="n"/>
      <c r="X137" s="44" t="n"/>
      <c r="Y137" s="44" t="n"/>
      <c r="Z137" s="44" t="n"/>
      <c r="AA137" s="85" t="n"/>
      <c r="AB137" s="45" t="n"/>
      <c r="AC137" s="86" t="n"/>
      <c r="AD137" s="44" t="n"/>
      <c r="AE137" s="87" t="n"/>
      <c r="AF137" s="44" t="n"/>
      <c r="AG137" s="44" t="n"/>
      <c r="AH137" s="87" t="n"/>
      <c r="AI137" s="44" t="n"/>
      <c r="AJ137" s="45" t="n"/>
      <c r="AK137" s="45" t="n"/>
      <c r="AL137" s="45" t="n"/>
      <c r="AM137" s="44" t="n"/>
      <c r="AN137" s="45" t="n"/>
      <c r="AO137" s="44" t="n"/>
      <c r="AP137" s="44" t="n"/>
      <c r="AQ137" s="44" t="n"/>
      <c r="AR137" s="44" t="n"/>
      <c r="AS137" s="44" t="n"/>
    </row>
    <row r="138">
      <c r="A138" s="44" t="n"/>
      <c r="B138" s="44" t="n"/>
      <c r="C138" s="44" t="n"/>
      <c r="D138" s="44" t="n"/>
      <c r="E138" s="44" t="n"/>
      <c r="F138" s="44" t="n"/>
      <c r="G138" s="45" t="n"/>
      <c r="H138" s="45" t="n"/>
      <c r="I138" s="85" t="n"/>
      <c r="J138" s="44" t="n"/>
      <c r="K138" s="44" t="n"/>
      <c r="L138" s="44" t="n"/>
      <c r="M138" s="45" t="n"/>
      <c r="N138" s="44" t="n"/>
      <c r="O138" s="86" t="n"/>
      <c r="P138" s="44" t="n"/>
      <c r="Q138" s="45" t="n"/>
      <c r="R138" s="85" t="n"/>
      <c r="S138" s="85" t="n"/>
      <c r="T138" s="85" t="n"/>
      <c r="U138" s="85" t="n"/>
      <c r="V138" s="85" t="n"/>
      <c r="W138" s="86" t="n"/>
      <c r="X138" s="44" t="n"/>
      <c r="Y138" s="44" t="n"/>
      <c r="Z138" s="44" t="n"/>
      <c r="AA138" s="85" t="n"/>
      <c r="AB138" s="45" t="n"/>
      <c r="AC138" s="86" t="n"/>
      <c r="AD138" s="44" t="n"/>
      <c r="AE138" s="87" t="n"/>
      <c r="AF138" s="44" t="n"/>
      <c r="AG138" s="44" t="n"/>
      <c r="AH138" s="87" t="n"/>
      <c r="AI138" s="44" t="n"/>
      <c r="AJ138" s="45" t="n"/>
      <c r="AK138" s="45" t="n"/>
      <c r="AL138" s="45" t="n"/>
      <c r="AM138" s="44" t="n"/>
      <c r="AN138" s="45" t="n"/>
      <c r="AO138" s="44" t="n"/>
      <c r="AP138" s="44" t="n"/>
      <c r="AQ138" s="44" t="n"/>
      <c r="AR138" s="44" t="n"/>
      <c r="AS138" s="44" t="n"/>
    </row>
    <row r="139">
      <c r="A139" s="44" t="n"/>
      <c r="B139" s="44" t="n"/>
      <c r="C139" s="44" t="n"/>
      <c r="D139" s="44" t="n"/>
      <c r="E139" s="44" t="n"/>
      <c r="F139" s="44" t="n"/>
      <c r="G139" s="45" t="n"/>
      <c r="H139" s="45" t="n"/>
      <c r="I139" s="85" t="n"/>
      <c r="J139" s="44" t="n"/>
      <c r="K139" s="44" t="n"/>
      <c r="L139" s="44" t="n"/>
      <c r="M139" s="45" t="n"/>
      <c r="N139" s="44" t="n"/>
      <c r="O139" s="86" t="n"/>
      <c r="P139" s="44" t="n"/>
      <c r="Q139" s="45" t="n"/>
      <c r="R139" s="85" t="n"/>
      <c r="S139" s="85" t="n"/>
      <c r="T139" s="85" t="n"/>
      <c r="U139" s="85" t="n"/>
      <c r="V139" s="85" t="n"/>
      <c r="W139" s="86" t="n"/>
      <c r="X139" s="44" t="n"/>
      <c r="Y139" s="44" t="n"/>
      <c r="Z139" s="44" t="n"/>
      <c r="AA139" s="85" t="n"/>
      <c r="AB139" s="45" t="n"/>
      <c r="AC139" s="86" t="n"/>
      <c r="AD139" s="44" t="n"/>
      <c r="AE139" s="87" t="n"/>
      <c r="AF139" s="44" t="n"/>
      <c r="AG139" s="44" t="n"/>
      <c r="AH139" s="87" t="n"/>
      <c r="AI139" s="44" t="n"/>
      <c r="AJ139" s="45" t="n"/>
      <c r="AK139" s="45" t="n"/>
      <c r="AL139" s="45" t="n"/>
      <c r="AM139" s="44" t="n"/>
      <c r="AN139" s="45" t="n"/>
      <c r="AO139" s="44" t="n"/>
      <c r="AP139" s="44" t="n"/>
      <c r="AQ139" s="44" t="n"/>
      <c r="AR139" s="44" t="n"/>
      <c r="AS139" s="44" t="n"/>
    </row>
    <row r="140">
      <c r="A140" s="44" t="n"/>
      <c r="B140" s="44" t="n"/>
      <c r="C140" s="44" t="n"/>
      <c r="D140" s="44" t="n"/>
      <c r="E140" s="44" t="n"/>
      <c r="F140" s="44" t="n"/>
      <c r="G140" s="45" t="n"/>
      <c r="H140" s="45" t="n"/>
      <c r="I140" s="85" t="n"/>
      <c r="J140" s="44" t="n"/>
      <c r="K140" s="44" t="n"/>
      <c r="L140" s="44" t="n"/>
      <c r="M140" s="45" t="n"/>
      <c r="N140" s="44" t="n"/>
      <c r="O140" s="86" t="n"/>
      <c r="P140" s="44" t="n"/>
      <c r="Q140" s="45" t="n"/>
      <c r="R140" s="85" t="n"/>
      <c r="S140" s="85" t="n"/>
      <c r="T140" s="85" t="n"/>
      <c r="U140" s="85" t="n"/>
      <c r="V140" s="85" t="n"/>
      <c r="W140" s="86" t="n"/>
      <c r="X140" s="44" t="n"/>
      <c r="Y140" s="44" t="n"/>
      <c r="Z140" s="44" t="n"/>
      <c r="AA140" s="85" t="n"/>
      <c r="AB140" s="45" t="n"/>
      <c r="AC140" s="86" t="n"/>
      <c r="AD140" s="44" t="n"/>
      <c r="AE140" s="87" t="n"/>
      <c r="AF140" s="44" t="n"/>
      <c r="AG140" s="44" t="n"/>
      <c r="AH140" s="87" t="n"/>
      <c r="AI140" s="44" t="n"/>
      <c r="AJ140" s="45" t="n"/>
      <c r="AK140" s="45" t="n"/>
      <c r="AL140" s="45" t="n"/>
      <c r="AM140" s="44" t="n"/>
      <c r="AN140" s="45" t="n"/>
      <c r="AO140" s="44" t="n"/>
      <c r="AP140" s="44" t="n"/>
      <c r="AQ140" s="44" t="n"/>
      <c r="AR140" s="44" t="n"/>
      <c r="AS140" s="44" t="n"/>
    </row>
    <row r="141">
      <c r="A141" s="44" t="n"/>
      <c r="B141" s="44" t="n"/>
      <c r="C141" s="44" t="n"/>
      <c r="D141" s="44" t="n"/>
      <c r="E141" s="44" t="n"/>
      <c r="F141" s="44" t="n"/>
      <c r="G141" s="45" t="n"/>
      <c r="H141" s="45" t="n"/>
      <c r="I141" s="85" t="n"/>
      <c r="J141" s="44" t="n"/>
      <c r="K141" s="44" t="n"/>
      <c r="L141" s="44" t="n"/>
      <c r="M141" s="45" t="n"/>
      <c r="N141" s="44" t="n"/>
      <c r="O141" s="86" t="n"/>
      <c r="P141" s="44" t="n"/>
      <c r="Q141" s="45" t="n"/>
      <c r="R141" s="85" t="n"/>
      <c r="S141" s="85" t="n"/>
      <c r="T141" s="85" t="n"/>
      <c r="U141" s="85" t="n"/>
      <c r="V141" s="85" t="n"/>
      <c r="W141" s="86" t="n"/>
      <c r="X141" s="44" t="n"/>
      <c r="Y141" s="44" t="n"/>
      <c r="Z141" s="44" t="n"/>
      <c r="AA141" s="85" t="n"/>
      <c r="AB141" s="45" t="n"/>
      <c r="AC141" s="86" t="n"/>
      <c r="AD141" s="44" t="n"/>
      <c r="AE141" s="87" t="n"/>
      <c r="AF141" s="44" t="n"/>
      <c r="AG141" s="44" t="n"/>
      <c r="AH141" s="87" t="n"/>
      <c r="AI141" s="44" t="n"/>
      <c r="AJ141" s="45" t="n"/>
      <c r="AK141" s="45" t="n"/>
      <c r="AL141" s="45" t="n"/>
      <c r="AM141" s="44" t="n"/>
      <c r="AN141" s="45" t="n"/>
      <c r="AO141" s="44" t="n"/>
      <c r="AP141" s="44" t="n"/>
      <c r="AQ141" s="44" t="n"/>
      <c r="AR141" s="44" t="n"/>
      <c r="AS141" s="44" t="n"/>
    </row>
    <row r="142">
      <c r="A142" s="44" t="n"/>
      <c r="B142" s="44" t="n"/>
      <c r="C142" s="44" t="n"/>
      <c r="D142" s="44" t="n"/>
      <c r="E142" s="44" t="n"/>
      <c r="F142" s="44" t="n"/>
      <c r="G142" s="45" t="n"/>
      <c r="H142" s="45" t="n"/>
      <c r="I142" s="85" t="n"/>
      <c r="J142" s="44" t="n"/>
      <c r="K142" s="44" t="n"/>
      <c r="L142" s="44" t="n"/>
      <c r="M142" s="45" t="n"/>
      <c r="N142" s="44" t="n"/>
      <c r="O142" s="86" t="n"/>
      <c r="P142" s="44" t="n"/>
      <c r="Q142" s="45" t="n"/>
      <c r="R142" s="85" t="n"/>
      <c r="S142" s="85" t="n"/>
      <c r="T142" s="85" t="n"/>
      <c r="U142" s="85" t="n"/>
      <c r="V142" s="85" t="n"/>
      <c r="W142" s="86" t="n"/>
      <c r="X142" s="44" t="n"/>
      <c r="Y142" s="44" t="n"/>
      <c r="Z142" s="44" t="n"/>
      <c r="AA142" s="85" t="n"/>
      <c r="AB142" s="45" t="n"/>
      <c r="AC142" s="86" t="n"/>
      <c r="AD142" s="44" t="n"/>
      <c r="AE142" s="87" t="n"/>
      <c r="AF142" s="44" t="n"/>
      <c r="AG142" s="44" t="n"/>
      <c r="AH142" s="87" t="n"/>
      <c r="AI142" s="44" t="n"/>
      <c r="AJ142" s="45" t="n"/>
      <c r="AK142" s="45" t="n"/>
      <c r="AL142" s="45" t="n"/>
      <c r="AM142" s="44" t="n"/>
      <c r="AN142" s="45" t="n"/>
      <c r="AO142" s="44" t="n"/>
      <c r="AP142" s="44" t="n"/>
      <c r="AQ142" s="44" t="n"/>
      <c r="AR142" s="44" t="n"/>
      <c r="AS142" s="44" t="n"/>
    </row>
    <row r="143">
      <c r="A143" s="44" t="n"/>
      <c r="B143" s="44" t="n"/>
      <c r="C143" s="44" t="n"/>
      <c r="D143" s="44" t="n"/>
      <c r="E143" s="44" t="n"/>
      <c r="F143" s="44" t="n"/>
      <c r="G143" s="45" t="n"/>
      <c r="H143" s="45" t="n"/>
      <c r="I143" s="85" t="n"/>
      <c r="J143" s="44" t="n"/>
      <c r="K143" s="44" t="n"/>
      <c r="L143" s="44" t="n"/>
      <c r="M143" s="45" t="n"/>
      <c r="N143" s="44" t="n"/>
      <c r="O143" s="86" t="n"/>
      <c r="P143" s="44" t="n"/>
      <c r="Q143" s="45" t="n"/>
      <c r="R143" s="85" t="n"/>
      <c r="S143" s="85" t="n"/>
      <c r="T143" s="85" t="n"/>
      <c r="U143" s="85" t="n"/>
      <c r="V143" s="85" t="n"/>
      <c r="W143" s="86" t="n"/>
      <c r="X143" s="44" t="n"/>
      <c r="Y143" s="44" t="n"/>
      <c r="Z143" s="44" t="n"/>
      <c r="AA143" s="85" t="n"/>
      <c r="AB143" s="45" t="n"/>
      <c r="AC143" s="86" t="n"/>
      <c r="AD143" s="44" t="n"/>
      <c r="AE143" s="87" t="n"/>
      <c r="AF143" s="44" t="n"/>
      <c r="AG143" s="44" t="n"/>
      <c r="AH143" s="87" t="n"/>
      <c r="AI143" s="44" t="n"/>
      <c r="AJ143" s="45" t="n"/>
      <c r="AK143" s="45" t="n"/>
      <c r="AL143" s="45" t="n"/>
      <c r="AM143" s="44" t="n"/>
      <c r="AN143" s="45" t="n"/>
      <c r="AO143" s="44" t="n"/>
      <c r="AP143" s="44" t="n"/>
      <c r="AQ143" s="44" t="n"/>
      <c r="AR143" s="44" t="n"/>
      <c r="AS143" s="44" t="n"/>
    </row>
    <row r="144">
      <c r="A144" s="44" t="n"/>
      <c r="B144" s="44" t="n"/>
      <c r="C144" s="44" t="n"/>
      <c r="D144" s="44" t="n"/>
      <c r="E144" s="44" t="n"/>
      <c r="F144" s="44" t="n"/>
      <c r="G144" s="45" t="n"/>
      <c r="H144" s="45" t="n"/>
      <c r="I144" s="85" t="n"/>
      <c r="J144" s="44" t="n"/>
      <c r="K144" s="44" t="n"/>
      <c r="L144" s="44" t="n"/>
      <c r="M144" s="45" t="n"/>
      <c r="N144" s="44" t="n"/>
      <c r="O144" s="86" t="n"/>
      <c r="P144" s="44" t="n"/>
      <c r="Q144" s="45" t="n"/>
      <c r="R144" s="85" t="n"/>
      <c r="S144" s="85" t="n"/>
      <c r="T144" s="85" t="n"/>
      <c r="U144" s="85" t="n"/>
      <c r="V144" s="85" t="n"/>
      <c r="W144" s="86" t="n"/>
      <c r="X144" s="44" t="n"/>
      <c r="Y144" s="44" t="n"/>
      <c r="Z144" s="44" t="n"/>
      <c r="AA144" s="85" t="n"/>
      <c r="AB144" s="45" t="n"/>
      <c r="AC144" s="86" t="n"/>
      <c r="AD144" s="44" t="n"/>
      <c r="AE144" s="87" t="n"/>
      <c r="AF144" s="44" t="n"/>
      <c r="AG144" s="44" t="n"/>
      <c r="AH144" s="87" t="n"/>
      <c r="AI144" s="44" t="n"/>
      <c r="AJ144" s="45" t="n"/>
      <c r="AK144" s="45" t="n"/>
      <c r="AL144" s="45" t="n"/>
      <c r="AM144" s="44" t="n"/>
      <c r="AN144" s="45" t="n"/>
      <c r="AO144" s="44" t="n"/>
      <c r="AP144" s="44" t="n"/>
      <c r="AQ144" s="44" t="n"/>
      <c r="AR144" s="44" t="n"/>
      <c r="AS144" s="44" t="n"/>
    </row>
    <row r="145">
      <c r="A145" s="44" t="n"/>
      <c r="B145" s="44" t="n"/>
      <c r="C145" s="44" t="n"/>
      <c r="D145" s="44" t="n"/>
      <c r="E145" s="44" t="n"/>
      <c r="F145" s="44" t="n"/>
      <c r="G145" s="45" t="n"/>
      <c r="H145" s="45" t="n"/>
      <c r="I145" s="85" t="n"/>
      <c r="J145" s="44" t="n"/>
      <c r="K145" s="44" t="n"/>
      <c r="L145" s="44" t="n"/>
      <c r="M145" s="45" t="n"/>
      <c r="N145" s="44" t="n"/>
      <c r="O145" s="86" t="n"/>
      <c r="P145" s="44" t="n"/>
      <c r="Q145" s="45" t="n"/>
      <c r="R145" s="85" t="n"/>
      <c r="S145" s="85" t="n"/>
      <c r="T145" s="85" t="n"/>
      <c r="U145" s="85" t="n"/>
      <c r="V145" s="85" t="n"/>
      <c r="W145" s="86" t="n"/>
      <c r="X145" s="44" t="n"/>
      <c r="Y145" s="44" t="n"/>
      <c r="Z145" s="44" t="n"/>
      <c r="AA145" s="85" t="n"/>
      <c r="AB145" s="45" t="n"/>
      <c r="AC145" s="86" t="n"/>
      <c r="AD145" s="44" t="n"/>
      <c r="AE145" s="87" t="n"/>
      <c r="AF145" s="44" t="n"/>
      <c r="AG145" s="44" t="n"/>
      <c r="AH145" s="87" t="n"/>
      <c r="AI145" s="44" t="n"/>
      <c r="AJ145" s="45" t="n"/>
      <c r="AK145" s="45" t="n"/>
      <c r="AL145" s="45" t="n"/>
      <c r="AM145" s="44" t="n"/>
      <c r="AN145" s="45" t="n"/>
      <c r="AO145" s="44" t="n"/>
      <c r="AP145" s="44" t="n"/>
      <c r="AQ145" s="44" t="n"/>
      <c r="AR145" s="44" t="n"/>
      <c r="AS145" s="44" t="n"/>
    </row>
    <row r="146">
      <c r="A146" s="44" t="n"/>
      <c r="B146" s="44" t="n"/>
      <c r="C146" s="44" t="n"/>
      <c r="D146" s="44" t="n"/>
      <c r="E146" s="44" t="n"/>
      <c r="F146" s="44" t="n"/>
      <c r="G146" s="45" t="n"/>
      <c r="H146" s="45" t="n"/>
      <c r="I146" s="85" t="n"/>
      <c r="J146" s="44" t="n"/>
      <c r="K146" s="44" t="n"/>
      <c r="L146" s="44" t="n"/>
      <c r="M146" s="45" t="n"/>
      <c r="N146" s="44" t="n"/>
      <c r="O146" s="86" t="n"/>
      <c r="P146" s="44" t="n"/>
      <c r="Q146" s="45" t="n"/>
      <c r="R146" s="85" t="n"/>
      <c r="S146" s="85" t="n"/>
      <c r="T146" s="85" t="n"/>
      <c r="U146" s="85" t="n"/>
      <c r="V146" s="85" t="n"/>
      <c r="W146" s="86" t="n"/>
      <c r="X146" s="44" t="n"/>
      <c r="Y146" s="44" t="n"/>
      <c r="Z146" s="44" t="n"/>
      <c r="AA146" s="85" t="n"/>
      <c r="AB146" s="45" t="n"/>
      <c r="AC146" s="86" t="n"/>
      <c r="AD146" s="44" t="n"/>
      <c r="AE146" s="87" t="n"/>
      <c r="AF146" s="44" t="n"/>
      <c r="AG146" s="44" t="n"/>
      <c r="AH146" s="87" t="n"/>
      <c r="AI146" s="44" t="n"/>
      <c r="AJ146" s="45" t="n"/>
      <c r="AK146" s="45" t="n"/>
      <c r="AL146" s="45" t="n"/>
      <c r="AM146" s="44" t="n"/>
      <c r="AN146" s="45" t="n"/>
      <c r="AO146" s="44" t="n"/>
      <c r="AP146" s="44" t="n"/>
      <c r="AQ146" s="44" t="n"/>
      <c r="AR146" s="44" t="n"/>
      <c r="AS146" s="44" t="n"/>
    </row>
    <row r="147">
      <c r="A147" s="44" t="n"/>
      <c r="B147" s="44" t="n"/>
      <c r="C147" s="44" t="n"/>
      <c r="D147" s="44" t="n"/>
      <c r="E147" s="44" t="n"/>
      <c r="F147" s="44" t="n"/>
      <c r="G147" s="45" t="n"/>
      <c r="H147" s="45" t="n"/>
      <c r="I147" s="85" t="n"/>
      <c r="J147" s="44" t="n"/>
      <c r="K147" s="44" t="n"/>
      <c r="L147" s="44" t="n"/>
      <c r="M147" s="45" t="n"/>
      <c r="N147" s="44" t="n"/>
      <c r="O147" s="86" t="n"/>
      <c r="P147" s="44" t="n"/>
      <c r="Q147" s="45" t="n"/>
      <c r="R147" s="85" t="n"/>
      <c r="S147" s="85" t="n"/>
      <c r="T147" s="85" t="n"/>
      <c r="U147" s="85" t="n"/>
      <c r="V147" s="85" t="n"/>
      <c r="W147" s="86" t="n"/>
      <c r="X147" s="44" t="n"/>
      <c r="Y147" s="44" t="n"/>
      <c r="Z147" s="44" t="n"/>
      <c r="AA147" s="85" t="n"/>
      <c r="AB147" s="45" t="n"/>
      <c r="AC147" s="86" t="n"/>
      <c r="AD147" s="44" t="n"/>
      <c r="AE147" s="87" t="n"/>
      <c r="AF147" s="44" t="n"/>
      <c r="AG147" s="44" t="n"/>
      <c r="AH147" s="87" t="n"/>
      <c r="AI147" s="44" t="n"/>
      <c r="AJ147" s="45" t="n"/>
      <c r="AK147" s="45" t="n"/>
      <c r="AL147" s="45" t="n"/>
      <c r="AM147" s="44" t="n"/>
      <c r="AN147" s="45" t="n"/>
      <c r="AO147" s="44" t="n"/>
      <c r="AP147" s="44" t="n"/>
      <c r="AQ147" s="44" t="n"/>
      <c r="AR147" s="44" t="n"/>
      <c r="AS147" s="44" t="n"/>
    </row>
    <row r="148">
      <c r="A148" s="44" t="n"/>
      <c r="B148" s="44" t="n"/>
      <c r="C148" s="44" t="n"/>
      <c r="D148" s="44" t="n"/>
      <c r="E148" s="44" t="n"/>
      <c r="F148" s="44" t="n"/>
      <c r="G148" s="45" t="n"/>
      <c r="H148" s="45" t="n"/>
      <c r="I148" s="85" t="n"/>
      <c r="J148" s="44" t="n"/>
      <c r="K148" s="44" t="n"/>
      <c r="L148" s="44" t="n"/>
      <c r="M148" s="45" t="n"/>
      <c r="N148" s="44" t="n"/>
      <c r="O148" s="86" t="n"/>
      <c r="P148" s="44" t="n"/>
      <c r="Q148" s="45" t="n"/>
      <c r="R148" s="85" t="n"/>
      <c r="S148" s="85" t="n"/>
      <c r="T148" s="85" t="n"/>
      <c r="U148" s="85" t="n"/>
      <c r="V148" s="85" t="n"/>
      <c r="W148" s="86" t="n"/>
      <c r="X148" s="44" t="n"/>
      <c r="Y148" s="44" t="n"/>
      <c r="Z148" s="44" t="n"/>
      <c r="AA148" s="85" t="n"/>
      <c r="AB148" s="45" t="n"/>
      <c r="AC148" s="86" t="n"/>
      <c r="AD148" s="44" t="n"/>
      <c r="AE148" s="87" t="n"/>
      <c r="AF148" s="44" t="n"/>
      <c r="AG148" s="44" t="n"/>
      <c r="AH148" s="87" t="n"/>
      <c r="AI148" s="44" t="n"/>
      <c r="AJ148" s="45" t="n"/>
      <c r="AK148" s="45" t="n"/>
      <c r="AL148" s="45" t="n"/>
      <c r="AM148" s="44" t="n"/>
      <c r="AN148" s="45" t="n"/>
      <c r="AO148" s="44" t="n"/>
      <c r="AP148" s="44" t="n"/>
      <c r="AQ148" s="44" t="n"/>
      <c r="AR148" s="44" t="n"/>
      <c r="AS148" s="44" t="n"/>
    </row>
    <row r="149">
      <c r="A149" s="44" t="n"/>
      <c r="B149" s="44" t="n"/>
      <c r="C149" s="44" t="n"/>
      <c r="D149" s="44" t="n"/>
      <c r="E149" s="44" t="n"/>
      <c r="F149" s="44" t="n"/>
      <c r="G149" s="45" t="n"/>
      <c r="H149" s="45" t="n"/>
      <c r="I149" s="85" t="n"/>
      <c r="J149" s="44" t="n"/>
      <c r="K149" s="44" t="n"/>
      <c r="L149" s="44" t="n"/>
      <c r="M149" s="45" t="n"/>
      <c r="N149" s="44" t="n"/>
      <c r="O149" s="86" t="n"/>
      <c r="P149" s="44" t="n"/>
      <c r="Q149" s="45" t="n"/>
      <c r="R149" s="85" t="n"/>
      <c r="S149" s="85" t="n"/>
      <c r="T149" s="85" t="n"/>
      <c r="U149" s="85" t="n"/>
      <c r="V149" s="85" t="n"/>
      <c r="W149" s="86" t="n"/>
      <c r="X149" s="44" t="n"/>
      <c r="Y149" s="44" t="n"/>
      <c r="Z149" s="44" t="n"/>
      <c r="AA149" s="85" t="n"/>
      <c r="AB149" s="45" t="n"/>
      <c r="AC149" s="86" t="n"/>
      <c r="AD149" s="44" t="n"/>
      <c r="AE149" s="87" t="n"/>
      <c r="AF149" s="44" t="n"/>
      <c r="AG149" s="44" t="n"/>
      <c r="AH149" s="87" t="n"/>
      <c r="AI149" s="44" t="n"/>
      <c r="AJ149" s="45" t="n"/>
      <c r="AK149" s="45" t="n"/>
      <c r="AL149" s="45" t="n"/>
      <c r="AM149" s="44" t="n"/>
      <c r="AN149" s="45" t="n"/>
      <c r="AO149" s="44" t="n"/>
      <c r="AP149" s="44" t="n"/>
      <c r="AQ149" s="44" t="n"/>
      <c r="AR149" s="44" t="n"/>
      <c r="AS149" s="44" t="n"/>
    </row>
    <row r="150">
      <c r="A150" s="44" t="n"/>
      <c r="B150" s="44" t="n"/>
      <c r="C150" s="44" t="n"/>
      <c r="D150" s="44" t="n"/>
      <c r="E150" s="44" t="n"/>
      <c r="F150" s="44" t="n"/>
      <c r="G150" s="45" t="n"/>
      <c r="H150" s="45" t="n"/>
      <c r="I150" s="85" t="n"/>
      <c r="J150" s="44" t="n"/>
      <c r="K150" s="44" t="n"/>
      <c r="L150" s="44" t="n"/>
      <c r="M150" s="45" t="n"/>
      <c r="N150" s="44" t="n"/>
      <c r="O150" s="86" t="n"/>
      <c r="P150" s="44" t="n"/>
      <c r="Q150" s="45" t="n"/>
      <c r="R150" s="85" t="n"/>
      <c r="S150" s="85" t="n"/>
      <c r="T150" s="85" t="n"/>
      <c r="U150" s="85" t="n"/>
      <c r="V150" s="85" t="n"/>
      <c r="W150" s="86" t="n"/>
      <c r="X150" s="44" t="n"/>
      <c r="Y150" s="44" t="n"/>
      <c r="Z150" s="44" t="n"/>
      <c r="AA150" s="85" t="n"/>
      <c r="AB150" s="45" t="n"/>
      <c r="AC150" s="86" t="n"/>
      <c r="AD150" s="44" t="n"/>
      <c r="AE150" s="87" t="n"/>
      <c r="AF150" s="44" t="n"/>
      <c r="AG150" s="44" t="n"/>
      <c r="AH150" s="87" t="n"/>
      <c r="AI150" s="44" t="n"/>
      <c r="AJ150" s="45" t="n"/>
      <c r="AK150" s="45" t="n"/>
      <c r="AL150" s="45" t="n"/>
      <c r="AM150" s="44" t="n"/>
      <c r="AN150" s="45" t="n"/>
      <c r="AO150" s="44" t="n"/>
      <c r="AP150" s="44" t="n"/>
      <c r="AQ150" s="44" t="n"/>
      <c r="AR150" s="44" t="n"/>
      <c r="AS150" s="44" t="n"/>
    </row>
    <row r="151">
      <c r="A151" s="44" t="n"/>
      <c r="B151" s="44" t="n"/>
      <c r="C151" s="44" t="n"/>
      <c r="D151" s="44" t="n"/>
      <c r="E151" s="44" t="n"/>
      <c r="F151" s="44" t="n"/>
      <c r="G151" s="45" t="n"/>
      <c r="H151" s="45" t="n"/>
      <c r="I151" s="85" t="n"/>
      <c r="J151" s="44" t="n"/>
      <c r="K151" s="44" t="n"/>
      <c r="L151" s="44" t="n"/>
      <c r="M151" s="45" t="n"/>
      <c r="N151" s="44" t="n"/>
      <c r="O151" s="86" t="n"/>
      <c r="P151" s="44" t="n"/>
      <c r="Q151" s="45" t="n"/>
      <c r="R151" s="85" t="n"/>
      <c r="S151" s="85" t="n"/>
      <c r="T151" s="85" t="n"/>
      <c r="U151" s="85" t="n"/>
      <c r="V151" s="85" t="n"/>
      <c r="W151" s="86" t="n"/>
      <c r="X151" s="44" t="n"/>
      <c r="Y151" s="44" t="n"/>
      <c r="Z151" s="44" t="n"/>
      <c r="AA151" s="85" t="n"/>
      <c r="AB151" s="45" t="n"/>
      <c r="AC151" s="86" t="n"/>
      <c r="AD151" s="44" t="n"/>
      <c r="AE151" s="87" t="n"/>
      <c r="AF151" s="44" t="n"/>
      <c r="AG151" s="44" t="n"/>
      <c r="AH151" s="87" t="n"/>
      <c r="AI151" s="44" t="n"/>
      <c r="AJ151" s="45" t="n"/>
      <c r="AK151" s="45" t="n"/>
      <c r="AL151" s="45" t="n"/>
      <c r="AM151" s="44" t="n"/>
      <c r="AN151" s="45" t="n"/>
      <c r="AO151" s="44" t="n"/>
      <c r="AP151" s="44" t="n"/>
      <c r="AQ151" s="44" t="n"/>
      <c r="AR151" s="44" t="n"/>
      <c r="AS151" s="44" t="n"/>
    </row>
    <row r="152">
      <c r="A152" s="44" t="n"/>
      <c r="B152" s="44" t="n"/>
      <c r="C152" s="44" t="n"/>
      <c r="D152" s="44" t="n"/>
      <c r="E152" s="44" t="n"/>
      <c r="F152" s="44" t="n"/>
      <c r="G152" s="45" t="n"/>
      <c r="H152" s="45" t="n"/>
      <c r="I152" s="85" t="n"/>
      <c r="J152" s="44" t="n"/>
      <c r="K152" s="44" t="n"/>
      <c r="L152" s="44" t="n"/>
      <c r="M152" s="45" t="n"/>
      <c r="N152" s="44" t="n"/>
      <c r="O152" s="86" t="n"/>
      <c r="P152" s="44" t="n"/>
      <c r="Q152" s="45" t="n"/>
      <c r="R152" s="85" t="n"/>
      <c r="S152" s="85" t="n"/>
      <c r="T152" s="85" t="n"/>
      <c r="U152" s="85" t="n"/>
      <c r="V152" s="85" t="n"/>
      <c r="W152" s="86" t="n"/>
      <c r="X152" s="44" t="n"/>
      <c r="Y152" s="44" t="n"/>
      <c r="Z152" s="44" t="n"/>
      <c r="AA152" s="85" t="n"/>
      <c r="AB152" s="45" t="n"/>
      <c r="AC152" s="86" t="n"/>
      <c r="AD152" s="44" t="n"/>
      <c r="AE152" s="87" t="n"/>
      <c r="AF152" s="44" t="n"/>
      <c r="AG152" s="44" t="n"/>
      <c r="AH152" s="87" t="n"/>
      <c r="AI152" s="44" t="n"/>
      <c r="AJ152" s="45" t="n"/>
      <c r="AK152" s="45" t="n"/>
      <c r="AL152" s="45" t="n"/>
      <c r="AM152" s="44" t="n"/>
      <c r="AN152" s="45" t="n"/>
      <c r="AO152" s="44" t="n"/>
      <c r="AP152" s="44" t="n"/>
      <c r="AQ152" s="44" t="n"/>
      <c r="AR152" s="44" t="n"/>
      <c r="AS152" s="44" t="n"/>
    </row>
    <row r="153">
      <c r="A153" s="44" t="n"/>
      <c r="B153" s="44" t="n"/>
      <c r="C153" s="44" t="n"/>
      <c r="D153" s="44" t="n"/>
      <c r="E153" s="44" t="n"/>
      <c r="F153" s="44" t="n"/>
      <c r="G153" s="45" t="n"/>
      <c r="H153" s="45" t="n"/>
      <c r="I153" s="85" t="n"/>
      <c r="J153" s="44" t="n"/>
      <c r="K153" s="44" t="n"/>
      <c r="L153" s="44" t="n"/>
      <c r="M153" s="45" t="n"/>
      <c r="N153" s="44" t="n"/>
      <c r="O153" s="86" t="n"/>
      <c r="P153" s="44" t="n"/>
      <c r="Q153" s="45" t="n"/>
      <c r="R153" s="85" t="n"/>
      <c r="S153" s="85" t="n"/>
      <c r="T153" s="85" t="n"/>
      <c r="U153" s="85" t="n"/>
      <c r="V153" s="85" t="n"/>
      <c r="W153" s="86" t="n"/>
      <c r="X153" s="44" t="n"/>
      <c r="Y153" s="44" t="n"/>
      <c r="Z153" s="44" t="n"/>
      <c r="AA153" s="85" t="n"/>
      <c r="AB153" s="45" t="n"/>
      <c r="AC153" s="86" t="n"/>
      <c r="AD153" s="44" t="n"/>
      <c r="AE153" s="87" t="n"/>
      <c r="AF153" s="44" t="n"/>
      <c r="AG153" s="44" t="n"/>
      <c r="AH153" s="87" t="n"/>
      <c r="AI153" s="44" t="n"/>
      <c r="AJ153" s="45" t="n"/>
      <c r="AK153" s="45" t="n"/>
      <c r="AL153" s="45" t="n"/>
      <c r="AM153" s="44" t="n"/>
      <c r="AN153" s="45" t="n"/>
      <c r="AO153" s="44" t="n"/>
      <c r="AP153" s="44" t="n"/>
      <c r="AQ153" s="44" t="n"/>
      <c r="AR153" s="44" t="n"/>
      <c r="AS153" s="44" t="n"/>
    </row>
    <row r="154">
      <c r="A154" s="44" t="n"/>
      <c r="B154" s="44" t="n"/>
      <c r="C154" s="44" t="n"/>
      <c r="D154" s="44" t="n"/>
      <c r="E154" s="44" t="n"/>
      <c r="F154" s="44" t="n"/>
      <c r="G154" s="45" t="n"/>
      <c r="H154" s="45" t="n"/>
      <c r="I154" s="85" t="n"/>
      <c r="J154" s="44" t="n"/>
      <c r="K154" s="44" t="n"/>
      <c r="L154" s="44" t="n"/>
      <c r="M154" s="45" t="n"/>
      <c r="N154" s="44" t="n"/>
      <c r="O154" s="86" t="n"/>
      <c r="P154" s="44" t="n"/>
      <c r="Q154" s="45" t="n"/>
      <c r="R154" s="85" t="n"/>
      <c r="S154" s="85" t="n"/>
      <c r="T154" s="85" t="n"/>
      <c r="U154" s="85" t="n"/>
      <c r="V154" s="85" t="n"/>
      <c r="W154" s="86" t="n"/>
      <c r="X154" s="44" t="n"/>
      <c r="Y154" s="44" t="n"/>
      <c r="Z154" s="44" t="n"/>
      <c r="AA154" s="85" t="n"/>
      <c r="AB154" s="45" t="n"/>
      <c r="AC154" s="86" t="n"/>
      <c r="AD154" s="44" t="n"/>
      <c r="AE154" s="87" t="n"/>
      <c r="AF154" s="44" t="n"/>
      <c r="AG154" s="44" t="n"/>
      <c r="AH154" s="87" t="n"/>
      <c r="AI154" s="44" t="n"/>
      <c r="AJ154" s="45" t="n"/>
      <c r="AK154" s="45" t="n"/>
      <c r="AL154" s="45" t="n"/>
      <c r="AM154" s="44" t="n"/>
      <c r="AN154" s="45" t="n"/>
      <c r="AO154" s="44" t="n"/>
      <c r="AP154" s="44" t="n"/>
      <c r="AQ154" s="44" t="n"/>
      <c r="AR154" s="44" t="n"/>
      <c r="AS154" s="44" t="n"/>
    </row>
    <row r="155">
      <c r="A155" s="44" t="n"/>
      <c r="B155" s="44" t="n"/>
      <c r="C155" s="44" t="n"/>
      <c r="D155" s="44" t="n"/>
      <c r="E155" s="44" t="n"/>
      <c r="F155" s="44" t="n"/>
      <c r="G155" s="45" t="n"/>
      <c r="H155" s="45" t="n"/>
      <c r="I155" s="85" t="n"/>
      <c r="J155" s="44" t="n"/>
      <c r="K155" s="44" t="n"/>
      <c r="L155" s="44" t="n"/>
      <c r="M155" s="45" t="n"/>
      <c r="N155" s="44" t="n"/>
      <c r="O155" s="86" t="n"/>
      <c r="P155" s="44" t="n"/>
      <c r="Q155" s="45" t="n"/>
      <c r="R155" s="85" t="n"/>
      <c r="S155" s="85" t="n"/>
      <c r="T155" s="85" t="n"/>
      <c r="U155" s="85" t="n"/>
      <c r="V155" s="85" t="n"/>
      <c r="W155" s="86" t="n"/>
      <c r="X155" s="44" t="n"/>
      <c r="Y155" s="44" t="n"/>
      <c r="Z155" s="44" t="n"/>
      <c r="AA155" s="85" t="n"/>
      <c r="AB155" s="45" t="n"/>
      <c r="AC155" s="86" t="n"/>
      <c r="AD155" s="44" t="n"/>
      <c r="AE155" s="87" t="n"/>
      <c r="AF155" s="44" t="n"/>
      <c r="AG155" s="44" t="n"/>
      <c r="AH155" s="87" t="n"/>
      <c r="AI155" s="44" t="n"/>
      <c r="AJ155" s="45" t="n"/>
      <c r="AK155" s="45" t="n"/>
      <c r="AL155" s="45" t="n"/>
      <c r="AM155" s="44" t="n"/>
      <c r="AN155" s="45" t="n"/>
      <c r="AO155" s="44" t="n"/>
      <c r="AP155" s="44" t="n"/>
      <c r="AQ155" s="44" t="n"/>
      <c r="AR155" s="44" t="n"/>
      <c r="AS155" s="44" t="n"/>
    </row>
    <row r="156">
      <c r="A156" s="44" t="n"/>
      <c r="B156" s="44" t="n"/>
      <c r="C156" s="44" t="n"/>
      <c r="D156" s="44" t="n"/>
      <c r="E156" s="44" t="n"/>
      <c r="F156" s="44" t="n"/>
      <c r="G156" s="45" t="n"/>
      <c r="H156" s="45" t="n"/>
      <c r="I156" s="85" t="n"/>
      <c r="J156" s="44" t="n"/>
      <c r="K156" s="44" t="n"/>
      <c r="L156" s="44" t="n"/>
      <c r="M156" s="45" t="n"/>
      <c r="N156" s="44" t="n"/>
      <c r="O156" s="86" t="n"/>
      <c r="P156" s="44" t="n"/>
      <c r="Q156" s="45" t="n"/>
      <c r="R156" s="85" t="n"/>
      <c r="S156" s="85" t="n"/>
      <c r="T156" s="85" t="n"/>
      <c r="U156" s="85" t="n"/>
      <c r="V156" s="85" t="n"/>
      <c r="W156" s="86" t="n"/>
      <c r="X156" s="44" t="n"/>
      <c r="Y156" s="44" t="n"/>
      <c r="Z156" s="44" t="n"/>
      <c r="AA156" s="85" t="n"/>
      <c r="AB156" s="45" t="n"/>
      <c r="AC156" s="86" t="n"/>
      <c r="AD156" s="44" t="n"/>
      <c r="AE156" s="87" t="n"/>
      <c r="AF156" s="44" t="n"/>
      <c r="AG156" s="44" t="n"/>
      <c r="AH156" s="87" t="n"/>
      <c r="AI156" s="44" t="n"/>
      <c r="AJ156" s="45" t="n"/>
      <c r="AK156" s="45" t="n"/>
      <c r="AL156" s="45" t="n"/>
      <c r="AM156" s="44" t="n"/>
      <c r="AN156" s="45" t="n"/>
      <c r="AO156" s="44" t="n"/>
      <c r="AP156" s="44" t="n"/>
      <c r="AQ156" s="44" t="n"/>
      <c r="AR156" s="44" t="n"/>
      <c r="AS156" s="44" t="n"/>
    </row>
    <row r="157">
      <c r="A157" s="44" t="n"/>
      <c r="B157" s="44" t="n"/>
      <c r="C157" s="44" t="n"/>
      <c r="D157" s="44" t="n"/>
      <c r="E157" s="44" t="n"/>
      <c r="F157" s="44" t="n"/>
      <c r="G157" s="45" t="n"/>
      <c r="H157" s="45" t="n"/>
      <c r="I157" s="85" t="n"/>
      <c r="J157" s="44" t="n"/>
      <c r="K157" s="44" t="n"/>
      <c r="L157" s="44" t="n"/>
      <c r="M157" s="45" t="n"/>
      <c r="N157" s="44" t="n"/>
      <c r="O157" s="86" t="n"/>
      <c r="P157" s="44" t="n"/>
      <c r="Q157" s="45" t="n"/>
      <c r="R157" s="85" t="n"/>
      <c r="S157" s="85" t="n"/>
      <c r="T157" s="85" t="n"/>
      <c r="U157" s="85" t="n"/>
      <c r="V157" s="85" t="n"/>
      <c r="W157" s="86" t="n"/>
      <c r="X157" s="44" t="n"/>
      <c r="Y157" s="44" t="n"/>
      <c r="Z157" s="44" t="n"/>
      <c r="AA157" s="85" t="n"/>
      <c r="AB157" s="45" t="n"/>
      <c r="AC157" s="86" t="n"/>
      <c r="AD157" s="44" t="n"/>
      <c r="AE157" s="87" t="n"/>
      <c r="AF157" s="44" t="n"/>
      <c r="AG157" s="44" t="n"/>
      <c r="AH157" s="87" t="n"/>
      <c r="AI157" s="44" t="n"/>
      <c r="AJ157" s="45" t="n"/>
      <c r="AK157" s="45" t="n"/>
      <c r="AL157" s="45" t="n"/>
      <c r="AM157" s="44" t="n"/>
      <c r="AN157" s="45" t="n"/>
      <c r="AO157" s="44" t="n"/>
      <c r="AP157" s="44" t="n"/>
      <c r="AQ157" s="44" t="n"/>
      <c r="AR157" s="44" t="n"/>
      <c r="AS157" s="44" t="n"/>
    </row>
    <row r="158">
      <c r="A158" s="44" t="n"/>
      <c r="B158" s="44" t="n"/>
      <c r="C158" s="44" t="n"/>
      <c r="D158" s="44" t="n"/>
      <c r="E158" s="44" t="n"/>
      <c r="F158" s="44" t="n"/>
      <c r="G158" s="45" t="n"/>
      <c r="H158" s="45" t="n"/>
      <c r="I158" s="85" t="n"/>
      <c r="J158" s="44" t="n"/>
      <c r="K158" s="44" t="n"/>
      <c r="L158" s="44" t="n"/>
      <c r="M158" s="45" t="n"/>
      <c r="N158" s="44" t="n"/>
      <c r="O158" s="86" t="n"/>
      <c r="P158" s="44" t="n"/>
      <c r="Q158" s="45" t="n"/>
      <c r="R158" s="85" t="n"/>
      <c r="S158" s="85" t="n"/>
      <c r="T158" s="85" t="n"/>
      <c r="U158" s="85" t="n"/>
      <c r="V158" s="85" t="n"/>
      <c r="W158" s="86" t="n"/>
      <c r="X158" s="44" t="n"/>
      <c r="Y158" s="44" t="n"/>
      <c r="Z158" s="44" t="n"/>
      <c r="AA158" s="85" t="n"/>
      <c r="AB158" s="45" t="n"/>
      <c r="AC158" s="86" t="n"/>
      <c r="AD158" s="44" t="n"/>
      <c r="AE158" s="87" t="n"/>
      <c r="AF158" s="44" t="n"/>
      <c r="AG158" s="44" t="n"/>
      <c r="AH158" s="87" t="n"/>
      <c r="AI158" s="44" t="n"/>
      <c r="AJ158" s="45" t="n"/>
      <c r="AK158" s="45" t="n"/>
      <c r="AL158" s="45" t="n"/>
      <c r="AM158" s="44" t="n"/>
      <c r="AN158" s="45" t="n"/>
      <c r="AO158" s="44" t="n"/>
      <c r="AP158" s="44" t="n"/>
      <c r="AQ158" s="44" t="n"/>
      <c r="AR158" s="44" t="n"/>
      <c r="AS158" s="44" t="n"/>
    </row>
    <row r="159">
      <c r="A159" s="44" t="n"/>
      <c r="B159" s="44" t="n"/>
      <c r="C159" s="44" t="n"/>
      <c r="D159" s="44" t="n"/>
      <c r="E159" s="44" t="n"/>
      <c r="F159" s="44" t="n"/>
      <c r="G159" s="45" t="n"/>
      <c r="H159" s="45" t="n"/>
      <c r="I159" s="85" t="n"/>
      <c r="J159" s="44" t="n"/>
      <c r="K159" s="44" t="n"/>
      <c r="L159" s="44" t="n"/>
      <c r="M159" s="45" t="n"/>
      <c r="N159" s="44" t="n"/>
      <c r="O159" s="86" t="n"/>
      <c r="P159" s="44" t="n"/>
      <c r="Q159" s="45" t="n"/>
      <c r="R159" s="85" t="n"/>
      <c r="S159" s="85" t="n"/>
      <c r="T159" s="85" t="n"/>
      <c r="U159" s="85" t="n"/>
      <c r="V159" s="85" t="n"/>
      <c r="W159" s="86" t="n"/>
      <c r="X159" s="44" t="n"/>
      <c r="Y159" s="44" t="n"/>
      <c r="Z159" s="44" t="n"/>
      <c r="AA159" s="85" t="n"/>
      <c r="AB159" s="45" t="n"/>
      <c r="AC159" s="86" t="n"/>
      <c r="AD159" s="44" t="n"/>
      <c r="AE159" s="87" t="n"/>
      <c r="AF159" s="44" t="n"/>
      <c r="AG159" s="44" t="n"/>
      <c r="AH159" s="87" t="n"/>
      <c r="AI159" s="44" t="n"/>
      <c r="AJ159" s="45" t="n"/>
      <c r="AK159" s="45" t="n"/>
      <c r="AL159" s="45" t="n"/>
      <c r="AM159" s="44" t="n"/>
      <c r="AN159" s="45" t="n"/>
      <c r="AO159" s="44" t="n"/>
      <c r="AP159" s="44" t="n"/>
      <c r="AQ159" s="44" t="n"/>
      <c r="AR159" s="44" t="n"/>
      <c r="AS159" s="44" t="n"/>
    </row>
    <row r="160">
      <c r="A160" s="44" t="n"/>
      <c r="B160" s="44" t="n"/>
      <c r="C160" s="44" t="n"/>
      <c r="D160" s="44" t="n"/>
      <c r="E160" s="44" t="n"/>
      <c r="F160" s="44" t="n"/>
      <c r="G160" s="45" t="n"/>
      <c r="H160" s="45" t="n"/>
      <c r="I160" s="85" t="n"/>
      <c r="J160" s="44" t="n"/>
      <c r="K160" s="44" t="n"/>
      <c r="L160" s="44" t="n"/>
      <c r="M160" s="45" t="n"/>
      <c r="N160" s="44" t="n"/>
      <c r="O160" s="86" t="n"/>
      <c r="P160" s="44" t="n"/>
      <c r="Q160" s="45" t="n"/>
      <c r="R160" s="85" t="n"/>
      <c r="S160" s="85" t="n"/>
      <c r="T160" s="85" t="n"/>
      <c r="U160" s="85" t="n"/>
      <c r="V160" s="85" t="n"/>
      <c r="W160" s="86" t="n"/>
      <c r="X160" s="44" t="n"/>
      <c r="Y160" s="44" t="n"/>
      <c r="Z160" s="44" t="n"/>
      <c r="AA160" s="85" t="n"/>
      <c r="AB160" s="45" t="n"/>
      <c r="AC160" s="86" t="n"/>
      <c r="AD160" s="44" t="n"/>
      <c r="AE160" s="87" t="n"/>
      <c r="AF160" s="44" t="n"/>
      <c r="AG160" s="44" t="n"/>
      <c r="AH160" s="87" t="n"/>
      <c r="AI160" s="44" t="n"/>
      <c r="AJ160" s="45" t="n"/>
      <c r="AK160" s="45" t="n"/>
      <c r="AL160" s="45" t="n"/>
      <c r="AM160" s="44" t="n"/>
      <c r="AN160" s="45" t="n"/>
      <c r="AO160" s="44" t="n"/>
      <c r="AP160" s="44" t="n"/>
      <c r="AQ160" s="44" t="n"/>
      <c r="AR160" s="44" t="n"/>
      <c r="AS160" s="44" t="n"/>
    </row>
    <row r="161">
      <c r="A161" s="44" t="n"/>
      <c r="B161" s="44" t="n"/>
      <c r="C161" s="44" t="n"/>
      <c r="D161" s="44" t="n"/>
      <c r="E161" s="44" t="n"/>
      <c r="F161" s="44" t="n"/>
      <c r="G161" s="45" t="n"/>
      <c r="H161" s="45" t="n"/>
      <c r="I161" s="85" t="n"/>
      <c r="J161" s="44" t="n"/>
      <c r="K161" s="44" t="n"/>
      <c r="L161" s="44" t="n"/>
      <c r="M161" s="45" t="n"/>
      <c r="N161" s="44" t="n"/>
      <c r="O161" s="86" t="n"/>
      <c r="P161" s="44" t="n"/>
      <c r="Q161" s="45" t="n"/>
      <c r="R161" s="85" t="n"/>
      <c r="S161" s="85" t="n"/>
      <c r="T161" s="85" t="n"/>
      <c r="U161" s="85" t="n"/>
      <c r="V161" s="85" t="n"/>
      <c r="W161" s="86" t="n"/>
      <c r="X161" s="44" t="n"/>
      <c r="Y161" s="44" t="n"/>
      <c r="Z161" s="44" t="n"/>
      <c r="AA161" s="85" t="n"/>
      <c r="AB161" s="45" t="n"/>
      <c r="AC161" s="86" t="n"/>
      <c r="AD161" s="44" t="n"/>
      <c r="AE161" s="87" t="n"/>
      <c r="AF161" s="44" t="n"/>
      <c r="AG161" s="44" t="n"/>
      <c r="AH161" s="87" t="n"/>
      <c r="AI161" s="44" t="n"/>
      <c r="AJ161" s="45" t="n"/>
      <c r="AK161" s="45" t="n"/>
      <c r="AL161" s="45" t="n"/>
      <c r="AM161" s="44" t="n"/>
      <c r="AN161" s="45" t="n"/>
      <c r="AO161" s="44" t="n"/>
      <c r="AP161" s="44" t="n"/>
      <c r="AQ161" s="44" t="n"/>
      <c r="AR161" s="44" t="n"/>
      <c r="AS161" s="44" t="n"/>
    </row>
    <row r="162">
      <c r="A162" s="44" t="n"/>
      <c r="B162" s="44" t="n"/>
      <c r="C162" s="44" t="n"/>
      <c r="D162" s="44" t="n"/>
      <c r="E162" s="44" t="n"/>
      <c r="F162" s="44" t="n"/>
      <c r="G162" s="45" t="n"/>
      <c r="H162" s="45" t="n"/>
      <c r="I162" s="85" t="n"/>
      <c r="J162" s="44" t="n"/>
      <c r="K162" s="44" t="n"/>
      <c r="L162" s="44" t="n"/>
      <c r="M162" s="45" t="n"/>
      <c r="N162" s="44" t="n"/>
      <c r="O162" s="86" t="n"/>
      <c r="P162" s="44" t="n"/>
      <c r="Q162" s="45" t="n"/>
      <c r="R162" s="85" t="n"/>
      <c r="S162" s="85" t="n"/>
      <c r="T162" s="85" t="n"/>
      <c r="U162" s="85" t="n"/>
      <c r="V162" s="85" t="n"/>
      <c r="W162" s="86" t="n"/>
      <c r="X162" s="44" t="n"/>
      <c r="Y162" s="44" t="n"/>
      <c r="Z162" s="44" t="n"/>
      <c r="AA162" s="85" t="n"/>
      <c r="AB162" s="45" t="n"/>
      <c r="AC162" s="86" t="n"/>
      <c r="AD162" s="44" t="n"/>
      <c r="AE162" s="87" t="n"/>
      <c r="AF162" s="44" t="n"/>
      <c r="AG162" s="44" t="n"/>
      <c r="AH162" s="87" t="n"/>
      <c r="AI162" s="44" t="n"/>
      <c r="AJ162" s="45" t="n"/>
      <c r="AK162" s="45" t="n"/>
      <c r="AL162" s="45" t="n"/>
      <c r="AM162" s="44" t="n"/>
      <c r="AN162" s="45" t="n"/>
      <c r="AO162" s="44" t="n"/>
      <c r="AP162" s="44" t="n"/>
      <c r="AQ162" s="44" t="n"/>
      <c r="AR162" s="44" t="n"/>
      <c r="AS162" s="44" t="n"/>
    </row>
    <row r="163">
      <c r="A163" s="44" t="n"/>
      <c r="B163" s="44" t="n"/>
      <c r="C163" s="44" t="n"/>
      <c r="D163" s="44" t="n"/>
      <c r="E163" s="44" t="n"/>
      <c r="F163" s="44" t="n"/>
      <c r="G163" s="45" t="n"/>
      <c r="H163" s="45" t="n"/>
      <c r="I163" s="85" t="n"/>
      <c r="J163" s="44" t="n"/>
      <c r="K163" s="44" t="n"/>
      <c r="L163" s="44" t="n"/>
      <c r="M163" s="45" t="n"/>
      <c r="N163" s="44" t="n"/>
      <c r="O163" s="86" t="n"/>
      <c r="P163" s="44" t="n"/>
      <c r="Q163" s="45" t="n"/>
      <c r="R163" s="85" t="n"/>
      <c r="S163" s="85" t="n"/>
      <c r="T163" s="85" t="n"/>
      <c r="U163" s="85" t="n"/>
      <c r="V163" s="85" t="n"/>
      <c r="W163" s="86" t="n"/>
      <c r="X163" s="44" t="n"/>
      <c r="Y163" s="44" t="n"/>
      <c r="Z163" s="44" t="n"/>
      <c r="AA163" s="85" t="n"/>
      <c r="AB163" s="45" t="n"/>
      <c r="AC163" s="86" t="n"/>
      <c r="AD163" s="44" t="n"/>
      <c r="AE163" s="87" t="n"/>
      <c r="AF163" s="44" t="n"/>
      <c r="AG163" s="44" t="n"/>
      <c r="AH163" s="87" t="n"/>
      <c r="AI163" s="44" t="n"/>
      <c r="AJ163" s="45" t="n"/>
      <c r="AK163" s="45" t="n"/>
      <c r="AL163" s="45" t="n"/>
      <c r="AM163" s="44" t="n"/>
      <c r="AN163" s="45" t="n"/>
      <c r="AO163" s="44" t="n"/>
      <c r="AP163" s="44" t="n"/>
      <c r="AQ163" s="44" t="n"/>
      <c r="AR163" s="44" t="n"/>
      <c r="AS163" s="44" t="n"/>
    </row>
    <row r="164">
      <c r="A164" s="44" t="n"/>
      <c r="B164" s="44" t="n"/>
      <c r="C164" s="44" t="n"/>
      <c r="D164" s="44" t="n"/>
      <c r="E164" s="44" t="n"/>
      <c r="F164" s="44" t="n"/>
      <c r="G164" s="45" t="n"/>
      <c r="H164" s="45" t="n"/>
      <c r="I164" s="85" t="n"/>
      <c r="J164" s="44" t="n"/>
      <c r="K164" s="44" t="n"/>
      <c r="L164" s="44" t="n"/>
      <c r="M164" s="45" t="n"/>
      <c r="N164" s="44" t="n"/>
      <c r="O164" s="86" t="n"/>
      <c r="P164" s="44" t="n"/>
      <c r="Q164" s="45" t="n"/>
      <c r="R164" s="85" t="n"/>
      <c r="S164" s="85" t="n"/>
      <c r="T164" s="85" t="n"/>
      <c r="U164" s="85" t="n"/>
      <c r="V164" s="85" t="n"/>
      <c r="W164" s="86" t="n"/>
      <c r="X164" s="44" t="n"/>
      <c r="Y164" s="44" t="n"/>
      <c r="Z164" s="44" t="n"/>
      <c r="AA164" s="85" t="n"/>
      <c r="AB164" s="45" t="n"/>
      <c r="AC164" s="86" t="n"/>
      <c r="AD164" s="44" t="n"/>
      <c r="AE164" s="87" t="n"/>
      <c r="AF164" s="44" t="n"/>
      <c r="AG164" s="44" t="n"/>
      <c r="AH164" s="87" t="n"/>
      <c r="AI164" s="44" t="n"/>
      <c r="AJ164" s="45" t="n"/>
      <c r="AK164" s="45" t="n"/>
      <c r="AL164" s="45" t="n"/>
      <c r="AM164" s="44" t="n"/>
      <c r="AN164" s="45" t="n"/>
      <c r="AO164" s="44" t="n"/>
      <c r="AP164" s="44" t="n"/>
      <c r="AQ164" s="44" t="n"/>
      <c r="AR164" s="44" t="n"/>
      <c r="AS164" s="44" t="n"/>
    </row>
    <row r="165">
      <c r="A165" s="44" t="n"/>
      <c r="B165" s="44" t="n"/>
      <c r="C165" s="44" t="n"/>
      <c r="D165" s="44" t="n"/>
      <c r="E165" s="44" t="n"/>
      <c r="F165" s="44" t="n"/>
      <c r="G165" s="45" t="n"/>
      <c r="H165" s="45" t="n"/>
      <c r="I165" s="85" t="n"/>
      <c r="J165" s="44" t="n"/>
      <c r="K165" s="44" t="n"/>
      <c r="L165" s="44" t="n"/>
      <c r="M165" s="45" t="n"/>
      <c r="N165" s="44" t="n"/>
      <c r="O165" s="86" t="n"/>
      <c r="P165" s="44" t="n"/>
      <c r="Q165" s="45" t="n"/>
      <c r="R165" s="85" t="n"/>
      <c r="S165" s="85" t="n"/>
      <c r="T165" s="85" t="n"/>
      <c r="U165" s="85" t="n"/>
      <c r="V165" s="85" t="n"/>
      <c r="W165" s="86" t="n"/>
      <c r="X165" s="44" t="n"/>
      <c r="Y165" s="44" t="n"/>
      <c r="Z165" s="44" t="n"/>
      <c r="AA165" s="85" t="n"/>
      <c r="AB165" s="45" t="n"/>
      <c r="AC165" s="86" t="n"/>
      <c r="AD165" s="44" t="n"/>
      <c r="AE165" s="87" t="n"/>
      <c r="AF165" s="44" t="n"/>
      <c r="AG165" s="44" t="n"/>
      <c r="AH165" s="87" t="n"/>
      <c r="AI165" s="44" t="n"/>
      <c r="AJ165" s="45" t="n"/>
      <c r="AK165" s="45" t="n"/>
      <c r="AL165" s="45" t="n"/>
      <c r="AM165" s="44" t="n"/>
      <c r="AN165" s="45" t="n"/>
      <c r="AO165" s="44" t="n"/>
      <c r="AP165" s="44" t="n"/>
      <c r="AQ165" s="44" t="n"/>
      <c r="AR165" s="44" t="n"/>
      <c r="AS165" s="44" t="n"/>
    </row>
    <row r="166">
      <c r="A166" s="44" t="n"/>
      <c r="B166" s="44" t="n"/>
      <c r="C166" s="44" t="n"/>
      <c r="D166" s="44" t="n"/>
      <c r="E166" s="44" t="n"/>
      <c r="F166" s="44" t="n"/>
      <c r="G166" s="45" t="n"/>
      <c r="H166" s="45" t="n"/>
      <c r="I166" s="85" t="n"/>
      <c r="J166" s="44" t="n"/>
      <c r="K166" s="44" t="n"/>
      <c r="L166" s="44" t="n"/>
      <c r="M166" s="45" t="n"/>
      <c r="N166" s="44" t="n"/>
      <c r="O166" s="86" t="n"/>
      <c r="P166" s="44" t="n"/>
      <c r="Q166" s="45" t="n"/>
      <c r="R166" s="85" t="n"/>
      <c r="S166" s="85" t="n"/>
      <c r="T166" s="85" t="n"/>
      <c r="U166" s="85" t="n"/>
      <c r="V166" s="85" t="n"/>
      <c r="W166" s="86" t="n"/>
      <c r="X166" s="44" t="n"/>
      <c r="Y166" s="44" t="n"/>
      <c r="Z166" s="44" t="n"/>
      <c r="AA166" s="85" t="n"/>
      <c r="AB166" s="45" t="n"/>
      <c r="AC166" s="86" t="n"/>
      <c r="AD166" s="44" t="n"/>
      <c r="AE166" s="87" t="n"/>
      <c r="AF166" s="44" t="n"/>
      <c r="AG166" s="44" t="n"/>
      <c r="AH166" s="87" t="n"/>
      <c r="AI166" s="44" t="n"/>
      <c r="AJ166" s="45" t="n"/>
      <c r="AK166" s="45" t="n"/>
      <c r="AL166" s="45" t="n"/>
      <c r="AM166" s="44" t="n"/>
      <c r="AN166" s="45" t="n"/>
      <c r="AO166" s="44" t="n"/>
      <c r="AP166" s="44" t="n"/>
      <c r="AQ166" s="44" t="n"/>
      <c r="AR166" s="44" t="n"/>
      <c r="AS166" s="44" t="n"/>
    </row>
    <row r="167">
      <c r="A167" s="44" t="n"/>
      <c r="B167" s="44" t="n"/>
      <c r="C167" s="44" t="n"/>
      <c r="D167" s="44" t="n"/>
      <c r="E167" s="44" t="n"/>
      <c r="F167" s="44" t="n"/>
      <c r="G167" s="45" t="n"/>
      <c r="H167" s="45" t="n"/>
      <c r="I167" s="85" t="n"/>
      <c r="J167" s="44" t="n"/>
      <c r="K167" s="44" t="n"/>
      <c r="L167" s="44" t="n"/>
      <c r="M167" s="45" t="n"/>
      <c r="N167" s="44" t="n"/>
      <c r="O167" s="86" t="n"/>
      <c r="P167" s="44" t="n"/>
      <c r="Q167" s="45" t="n"/>
      <c r="R167" s="85" t="n"/>
      <c r="S167" s="85" t="n"/>
      <c r="T167" s="85" t="n"/>
      <c r="U167" s="85" t="n"/>
      <c r="V167" s="85" t="n"/>
      <c r="W167" s="86" t="n"/>
      <c r="X167" s="44" t="n"/>
      <c r="Y167" s="44" t="n"/>
      <c r="Z167" s="44" t="n"/>
      <c r="AA167" s="85" t="n"/>
      <c r="AB167" s="45" t="n"/>
      <c r="AC167" s="86" t="n"/>
      <c r="AD167" s="44" t="n"/>
      <c r="AE167" s="87" t="n"/>
      <c r="AF167" s="44" t="n"/>
      <c r="AG167" s="44" t="n"/>
      <c r="AH167" s="87" t="n"/>
      <c r="AI167" s="44" t="n"/>
      <c r="AJ167" s="45" t="n"/>
      <c r="AK167" s="45" t="n"/>
      <c r="AL167" s="45" t="n"/>
      <c r="AM167" s="44" t="n"/>
      <c r="AN167" s="45" t="n"/>
      <c r="AO167" s="44" t="n"/>
      <c r="AP167" s="44" t="n"/>
      <c r="AQ167" s="44" t="n"/>
      <c r="AR167" s="44" t="n"/>
      <c r="AS167" s="44" t="n"/>
    </row>
    <row r="168">
      <c r="A168" s="44" t="n"/>
      <c r="B168" s="44" t="n"/>
      <c r="C168" s="44" t="n"/>
      <c r="D168" s="44" t="n"/>
      <c r="E168" s="44" t="n"/>
      <c r="F168" s="44" t="n"/>
      <c r="G168" s="45" t="n"/>
      <c r="H168" s="45" t="n"/>
      <c r="I168" s="85" t="n"/>
      <c r="J168" s="44" t="n"/>
      <c r="K168" s="44" t="n"/>
      <c r="L168" s="44" t="n"/>
      <c r="M168" s="45" t="n"/>
      <c r="N168" s="44" t="n"/>
      <c r="O168" s="86" t="n"/>
      <c r="P168" s="44" t="n"/>
      <c r="Q168" s="45" t="n"/>
      <c r="R168" s="85" t="n"/>
      <c r="S168" s="85" t="n"/>
      <c r="T168" s="85" t="n"/>
      <c r="U168" s="85" t="n"/>
      <c r="V168" s="85" t="n"/>
      <c r="W168" s="86" t="n"/>
      <c r="X168" s="44" t="n"/>
      <c r="Y168" s="44" t="n"/>
      <c r="Z168" s="44" t="n"/>
      <c r="AA168" s="85" t="n"/>
      <c r="AB168" s="45" t="n"/>
      <c r="AC168" s="86" t="n"/>
      <c r="AD168" s="44" t="n"/>
      <c r="AE168" s="87" t="n"/>
      <c r="AF168" s="44" t="n"/>
      <c r="AG168" s="44" t="n"/>
      <c r="AH168" s="87" t="n"/>
      <c r="AI168" s="44" t="n"/>
      <c r="AJ168" s="45" t="n"/>
      <c r="AK168" s="45" t="n"/>
      <c r="AL168" s="45" t="n"/>
      <c r="AM168" s="44" t="n"/>
      <c r="AN168" s="45" t="n"/>
      <c r="AO168" s="44" t="n"/>
      <c r="AP168" s="44" t="n"/>
      <c r="AQ168" s="44" t="n"/>
      <c r="AR168" s="44" t="n"/>
      <c r="AS168" s="44" t="n"/>
    </row>
    <row r="169">
      <c r="A169" s="44" t="n"/>
      <c r="B169" s="44" t="n"/>
      <c r="C169" s="44" t="n"/>
      <c r="D169" s="44" t="n"/>
      <c r="E169" s="44" t="n"/>
      <c r="F169" s="44" t="n"/>
      <c r="G169" s="45" t="n"/>
      <c r="H169" s="45" t="n"/>
      <c r="I169" s="85" t="n"/>
      <c r="J169" s="44" t="n"/>
      <c r="K169" s="44" t="n"/>
      <c r="L169" s="44" t="n"/>
      <c r="M169" s="45" t="n"/>
      <c r="N169" s="44" t="n"/>
      <c r="O169" s="86" t="n"/>
      <c r="P169" s="44" t="n"/>
      <c r="Q169" s="45" t="n"/>
      <c r="R169" s="85" t="n"/>
      <c r="S169" s="85" t="n"/>
      <c r="T169" s="85" t="n"/>
      <c r="U169" s="85" t="n"/>
      <c r="V169" s="85" t="n"/>
      <c r="W169" s="86" t="n"/>
      <c r="X169" s="44" t="n"/>
      <c r="Y169" s="44" t="n"/>
      <c r="Z169" s="44" t="n"/>
      <c r="AA169" s="85" t="n"/>
      <c r="AB169" s="45" t="n"/>
      <c r="AC169" s="86" t="n"/>
      <c r="AD169" s="44" t="n"/>
      <c r="AE169" s="87" t="n"/>
      <c r="AF169" s="44" t="n"/>
      <c r="AG169" s="44" t="n"/>
      <c r="AH169" s="87" t="n"/>
      <c r="AI169" s="44" t="n"/>
      <c r="AJ169" s="45" t="n"/>
      <c r="AK169" s="45" t="n"/>
      <c r="AL169" s="45" t="n"/>
      <c r="AM169" s="44" t="n"/>
      <c r="AN169" s="45" t="n"/>
      <c r="AO169" s="44" t="n"/>
      <c r="AP169" s="44" t="n"/>
      <c r="AQ169" s="44" t="n"/>
      <c r="AR169" s="44" t="n"/>
      <c r="AS169" s="44" t="n"/>
    </row>
    <row r="170">
      <c r="A170" s="44" t="n"/>
      <c r="B170" s="44" t="n"/>
      <c r="C170" s="44" t="n"/>
      <c r="D170" s="44" t="n"/>
      <c r="E170" s="44" t="n"/>
      <c r="F170" s="44" t="n"/>
      <c r="G170" s="45" t="n"/>
      <c r="H170" s="45" t="n"/>
      <c r="I170" s="85" t="n"/>
      <c r="J170" s="44" t="n"/>
      <c r="K170" s="44" t="n"/>
      <c r="L170" s="44" t="n"/>
      <c r="M170" s="45" t="n"/>
      <c r="N170" s="44" t="n"/>
      <c r="O170" s="86" t="n"/>
      <c r="P170" s="44" t="n"/>
      <c r="Q170" s="45" t="n"/>
      <c r="R170" s="85" t="n"/>
      <c r="S170" s="85" t="n"/>
      <c r="T170" s="85" t="n"/>
      <c r="U170" s="85" t="n"/>
      <c r="V170" s="85" t="n"/>
      <c r="W170" s="86" t="n"/>
      <c r="X170" s="44" t="n"/>
      <c r="Y170" s="44" t="n"/>
      <c r="Z170" s="44" t="n"/>
      <c r="AA170" s="85" t="n"/>
      <c r="AB170" s="45" t="n"/>
      <c r="AC170" s="86" t="n"/>
      <c r="AD170" s="44" t="n"/>
      <c r="AE170" s="87" t="n"/>
      <c r="AF170" s="44" t="n"/>
      <c r="AG170" s="44" t="n"/>
      <c r="AH170" s="87" t="n"/>
      <c r="AI170" s="44" t="n"/>
      <c r="AJ170" s="45" t="n"/>
      <c r="AK170" s="45" t="n"/>
      <c r="AL170" s="45" t="n"/>
      <c r="AM170" s="44" t="n"/>
      <c r="AN170" s="45" t="n"/>
      <c r="AO170" s="44" t="n"/>
      <c r="AP170" s="44" t="n"/>
      <c r="AQ170" s="44" t="n"/>
      <c r="AR170" s="44" t="n"/>
      <c r="AS170" s="44" t="n"/>
    </row>
    <row r="171">
      <c r="A171" s="44" t="n"/>
      <c r="B171" s="44" t="n"/>
      <c r="C171" s="44" t="n"/>
      <c r="D171" s="44" t="n"/>
      <c r="E171" s="44" t="n"/>
      <c r="F171" s="44" t="n"/>
      <c r="G171" s="45" t="n"/>
      <c r="H171" s="45" t="n"/>
      <c r="I171" s="85" t="n"/>
      <c r="J171" s="44" t="n"/>
      <c r="K171" s="44" t="n"/>
      <c r="L171" s="44" t="n"/>
      <c r="M171" s="45" t="n"/>
      <c r="N171" s="44" t="n"/>
      <c r="O171" s="86" t="n"/>
      <c r="P171" s="44" t="n"/>
      <c r="Q171" s="45" t="n"/>
      <c r="R171" s="85" t="n"/>
      <c r="S171" s="85" t="n"/>
      <c r="T171" s="85" t="n"/>
      <c r="U171" s="85" t="n"/>
      <c r="V171" s="85" t="n"/>
      <c r="W171" s="86" t="n"/>
      <c r="X171" s="44" t="n"/>
      <c r="Y171" s="44" t="n"/>
      <c r="Z171" s="44" t="n"/>
      <c r="AA171" s="85" t="n"/>
      <c r="AB171" s="45" t="n"/>
      <c r="AC171" s="86" t="n"/>
      <c r="AD171" s="44" t="n"/>
      <c r="AE171" s="87" t="n"/>
      <c r="AF171" s="44" t="n"/>
      <c r="AG171" s="44" t="n"/>
      <c r="AH171" s="87" t="n"/>
      <c r="AI171" s="44" t="n"/>
      <c r="AJ171" s="45" t="n"/>
      <c r="AK171" s="45" t="n"/>
      <c r="AL171" s="45" t="n"/>
      <c r="AM171" s="44" t="n"/>
      <c r="AN171" s="45" t="n"/>
      <c r="AO171" s="44" t="n"/>
      <c r="AP171" s="44" t="n"/>
      <c r="AQ171" s="44" t="n"/>
      <c r="AR171" s="44" t="n"/>
      <c r="AS171" s="44" t="n"/>
    </row>
    <row r="172">
      <c r="A172" s="44" t="n"/>
      <c r="B172" s="44" t="n"/>
      <c r="C172" s="44" t="n"/>
      <c r="D172" s="44" t="n"/>
      <c r="E172" s="44" t="n"/>
      <c r="F172" s="44" t="n"/>
      <c r="G172" s="45" t="n"/>
      <c r="H172" s="45" t="n"/>
      <c r="I172" s="85" t="n"/>
      <c r="J172" s="44" t="n"/>
      <c r="K172" s="44" t="n"/>
      <c r="L172" s="44" t="n"/>
      <c r="M172" s="45" t="n"/>
      <c r="N172" s="44" t="n"/>
      <c r="O172" s="86" t="n"/>
      <c r="P172" s="44" t="n"/>
      <c r="Q172" s="45" t="n"/>
      <c r="R172" s="85" t="n"/>
      <c r="S172" s="85" t="n"/>
      <c r="T172" s="85" t="n"/>
      <c r="U172" s="85" t="n"/>
      <c r="V172" s="85" t="n"/>
      <c r="W172" s="86" t="n"/>
      <c r="X172" s="44" t="n"/>
      <c r="Y172" s="44" t="n"/>
      <c r="Z172" s="44" t="n"/>
      <c r="AA172" s="85" t="n"/>
      <c r="AB172" s="45" t="n"/>
      <c r="AC172" s="86" t="n"/>
      <c r="AD172" s="44" t="n"/>
      <c r="AE172" s="87" t="n"/>
      <c r="AF172" s="44" t="n"/>
      <c r="AG172" s="44" t="n"/>
      <c r="AH172" s="87" t="n"/>
      <c r="AI172" s="44" t="n"/>
      <c r="AJ172" s="45" t="n"/>
      <c r="AK172" s="45" t="n"/>
      <c r="AL172" s="45" t="n"/>
      <c r="AM172" s="44" t="n"/>
      <c r="AN172" s="45" t="n"/>
      <c r="AO172" s="44" t="n"/>
      <c r="AP172" s="44" t="n"/>
      <c r="AQ172" s="44" t="n"/>
      <c r="AR172" s="44" t="n"/>
      <c r="AS172" s="44" t="n"/>
    </row>
    <row r="173">
      <c r="A173" s="44" t="n"/>
      <c r="B173" s="44" t="n"/>
      <c r="C173" s="44" t="n"/>
      <c r="D173" s="44" t="n"/>
      <c r="E173" s="44" t="n"/>
      <c r="F173" s="44" t="n"/>
      <c r="G173" s="45" t="n"/>
      <c r="H173" s="45" t="n"/>
      <c r="I173" s="85" t="n"/>
      <c r="J173" s="44" t="n"/>
      <c r="K173" s="44" t="n"/>
      <c r="L173" s="44" t="n"/>
      <c r="M173" s="45" t="n"/>
      <c r="N173" s="44" t="n"/>
      <c r="O173" s="86" t="n"/>
      <c r="P173" s="44" t="n"/>
      <c r="Q173" s="45" t="n"/>
      <c r="R173" s="85" t="n"/>
      <c r="S173" s="85" t="n"/>
      <c r="T173" s="85" t="n"/>
      <c r="U173" s="85" t="n"/>
      <c r="V173" s="85" t="n"/>
      <c r="W173" s="86" t="n"/>
      <c r="X173" s="44" t="n"/>
      <c r="Y173" s="44" t="n"/>
      <c r="Z173" s="44" t="n"/>
      <c r="AA173" s="85" t="n"/>
      <c r="AB173" s="45" t="n"/>
      <c r="AC173" s="86" t="n"/>
      <c r="AD173" s="44" t="n"/>
      <c r="AE173" s="87" t="n"/>
      <c r="AF173" s="44" t="n"/>
      <c r="AG173" s="44" t="n"/>
      <c r="AH173" s="87" t="n"/>
      <c r="AI173" s="44" t="n"/>
      <c r="AJ173" s="45" t="n"/>
      <c r="AK173" s="45" t="n"/>
      <c r="AL173" s="45" t="n"/>
      <c r="AM173" s="44" t="n"/>
      <c r="AN173" s="45" t="n"/>
      <c r="AO173" s="44" t="n"/>
      <c r="AP173" s="44" t="n"/>
      <c r="AQ173" s="44" t="n"/>
      <c r="AR173" s="44" t="n"/>
      <c r="AS173" s="44" t="n"/>
    </row>
    <row r="174">
      <c r="A174" s="44" t="n"/>
      <c r="B174" s="44" t="n"/>
      <c r="C174" s="44" t="n"/>
      <c r="D174" s="44" t="n"/>
      <c r="E174" s="44" t="n"/>
      <c r="F174" s="44" t="n"/>
      <c r="G174" s="45" t="n"/>
      <c r="H174" s="45" t="n"/>
      <c r="I174" s="85" t="n"/>
      <c r="J174" s="44" t="n"/>
      <c r="K174" s="44" t="n"/>
      <c r="L174" s="44" t="n"/>
      <c r="M174" s="45" t="n"/>
      <c r="N174" s="44" t="n"/>
      <c r="O174" s="86" t="n"/>
      <c r="P174" s="44" t="n"/>
      <c r="Q174" s="45" t="n"/>
      <c r="R174" s="85" t="n"/>
      <c r="S174" s="85" t="n"/>
      <c r="T174" s="85" t="n"/>
      <c r="U174" s="85" t="n"/>
      <c r="V174" s="85" t="n"/>
      <c r="W174" s="86" t="n"/>
      <c r="X174" s="44" t="n"/>
      <c r="Y174" s="44" t="n"/>
      <c r="Z174" s="44" t="n"/>
      <c r="AA174" s="85" t="n"/>
      <c r="AB174" s="45" t="n"/>
      <c r="AC174" s="86" t="n"/>
      <c r="AD174" s="44" t="n"/>
      <c r="AE174" s="87" t="n"/>
      <c r="AF174" s="44" t="n"/>
      <c r="AG174" s="44" t="n"/>
      <c r="AH174" s="87" t="n"/>
      <c r="AI174" s="44" t="n"/>
      <c r="AJ174" s="45" t="n"/>
      <c r="AK174" s="45" t="n"/>
      <c r="AL174" s="45" t="n"/>
      <c r="AM174" s="44" t="n"/>
      <c r="AN174" s="45" t="n"/>
      <c r="AO174" s="44" t="n"/>
      <c r="AP174" s="44" t="n"/>
      <c r="AQ174" s="44" t="n"/>
      <c r="AR174" s="44" t="n"/>
      <c r="AS174" s="44" t="n"/>
    </row>
    <row r="175">
      <c r="A175" s="44" t="n"/>
      <c r="B175" s="44" t="n"/>
      <c r="C175" s="44" t="n"/>
      <c r="D175" s="44" t="n"/>
      <c r="E175" s="44" t="n"/>
      <c r="F175" s="44" t="n"/>
      <c r="G175" s="45" t="n"/>
      <c r="H175" s="45" t="n"/>
      <c r="I175" s="85" t="n"/>
      <c r="J175" s="44" t="n"/>
      <c r="K175" s="44" t="n"/>
      <c r="L175" s="44" t="n"/>
      <c r="M175" s="45" t="n"/>
      <c r="N175" s="44" t="n"/>
      <c r="O175" s="86" t="n"/>
      <c r="P175" s="44" t="n"/>
      <c r="Q175" s="45" t="n"/>
      <c r="R175" s="85" t="n"/>
      <c r="S175" s="85" t="n"/>
      <c r="T175" s="85" t="n"/>
      <c r="U175" s="85" t="n"/>
      <c r="V175" s="85" t="n"/>
      <c r="W175" s="86" t="n"/>
      <c r="X175" s="44" t="n"/>
      <c r="Y175" s="44" t="n"/>
      <c r="Z175" s="44" t="n"/>
      <c r="AA175" s="85" t="n"/>
      <c r="AB175" s="45" t="n"/>
      <c r="AC175" s="86" t="n"/>
      <c r="AD175" s="44" t="n"/>
      <c r="AE175" s="87" t="n"/>
      <c r="AF175" s="44" t="n"/>
      <c r="AG175" s="44" t="n"/>
      <c r="AH175" s="87" t="n"/>
      <c r="AI175" s="44" t="n"/>
      <c r="AJ175" s="45" t="n"/>
      <c r="AK175" s="45" t="n"/>
      <c r="AL175" s="45" t="n"/>
      <c r="AM175" s="44" t="n"/>
      <c r="AN175" s="45" t="n"/>
      <c r="AO175" s="44" t="n"/>
      <c r="AP175" s="44" t="n"/>
      <c r="AQ175" s="44" t="n"/>
      <c r="AR175" s="44" t="n"/>
      <c r="AS175" s="44" t="n"/>
    </row>
    <row r="176">
      <c r="A176" s="44" t="n"/>
      <c r="B176" s="44" t="n"/>
      <c r="C176" s="44" t="n"/>
      <c r="D176" s="44" t="n"/>
      <c r="E176" s="44" t="n"/>
      <c r="F176" s="44" t="n"/>
      <c r="G176" s="45" t="n"/>
      <c r="H176" s="45" t="n"/>
      <c r="I176" s="85" t="n"/>
      <c r="J176" s="44" t="n"/>
      <c r="K176" s="44" t="n"/>
      <c r="L176" s="44" t="n"/>
      <c r="M176" s="45" t="n"/>
      <c r="N176" s="44" t="n"/>
      <c r="O176" s="86" t="n"/>
      <c r="P176" s="44" t="n"/>
      <c r="Q176" s="45" t="n"/>
      <c r="R176" s="85" t="n"/>
      <c r="S176" s="85" t="n"/>
      <c r="T176" s="85" t="n"/>
      <c r="U176" s="85" t="n"/>
      <c r="V176" s="85" t="n"/>
      <c r="W176" s="86" t="n"/>
      <c r="X176" s="44" t="n"/>
      <c r="Y176" s="44" t="n"/>
      <c r="Z176" s="44" t="n"/>
      <c r="AA176" s="85" t="n"/>
      <c r="AB176" s="45" t="n"/>
      <c r="AC176" s="86" t="n"/>
      <c r="AD176" s="44" t="n"/>
      <c r="AE176" s="87" t="n"/>
      <c r="AF176" s="44" t="n"/>
      <c r="AG176" s="44" t="n"/>
      <c r="AH176" s="87" t="n"/>
      <c r="AI176" s="44" t="n"/>
      <c r="AJ176" s="45" t="n"/>
      <c r="AK176" s="45" t="n"/>
      <c r="AL176" s="45" t="n"/>
      <c r="AM176" s="44" t="n"/>
      <c r="AN176" s="45" t="n"/>
      <c r="AO176" s="44" t="n"/>
      <c r="AP176" s="44" t="n"/>
      <c r="AQ176" s="44" t="n"/>
      <c r="AR176" s="44" t="n"/>
      <c r="AS176" s="44" t="n"/>
    </row>
    <row r="177">
      <c r="A177" s="44" t="n"/>
      <c r="B177" s="44" t="n"/>
      <c r="C177" s="44" t="n"/>
      <c r="D177" s="44" t="n"/>
      <c r="E177" s="44" t="n"/>
      <c r="F177" s="44" t="n"/>
      <c r="G177" s="45" t="n"/>
      <c r="H177" s="45" t="n"/>
      <c r="I177" s="85" t="n"/>
      <c r="J177" s="44" t="n"/>
      <c r="K177" s="44" t="n"/>
      <c r="L177" s="44" t="n"/>
      <c r="M177" s="45" t="n"/>
      <c r="N177" s="44" t="n"/>
      <c r="O177" s="86" t="n"/>
      <c r="P177" s="44" t="n"/>
      <c r="Q177" s="45" t="n"/>
      <c r="R177" s="85" t="n"/>
      <c r="S177" s="85" t="n"/>
      <c r="T177" s="85" t="n"/>
      <c r="U177" s="85" t="n"/>
      <c r="V177" s="85" t="n"/>
      <c r="W177" s="86" t="n"/>
      <c r="X177" s="44" t="n"/>
      <c r="Y177" s="44" t="n"/>
      <c r="Z177" s="44" t="n"/>
      <c r="AA177" s="85" t="n"/>
      <c r="AB177" s="45" t="n"/>
      <c r="AC177" s="86" t="n"/>
      <c r="AD177" s="44" t="n"/>
      <c r="AE177" s="87" t="n"/>
      <c r="AF177" s="44" t="n"/>
      <c r="AG177" s="44" t="n"/>
      <c r="AH177" s="87" t="n"/>
      <c r="AI177" s="44" t="n"/>
      <c r="AJ177" s="45" t="n"/>
      <c r="AK177" s="45" t="n"/>
      <c r="AL177" s="45" t="n"/>
      <c r="AM177" s="44" t="n"/>
      <c r="AN177" s="45" t="n"/>
      <c r="AO177" s="44" t="n"/>
      <c r="AP177" s="44" t="n"/>
      <c r="AQ177" s="44" t="n"/>
      <c r="AR177" s="44" t="n"/>
      <c r="AS177" s="44" t="n"/>
    </row>
    <row r="178">
      <c r="A178" s="44" t="n"/>
      <c r="B178" s="44" t="n"/>
      <c r="C178" s="44" t="n"/>
      <c r="D178" s="44" t="n"/>
      <c r="E178" s="44" t="n"/>
      <c r="F178" s="44" t="n"/>
      <c r="G178" s="45" t="n"/>
      <c r="H178" s="45" t="n"/>
      <c r="I178" s="85" t="n"/>
      <c r="J178" s="44" t="n"/>
      <c r="K178" s="44" t="n"/>
      <c r="L178" s="44" t="n"/>
      <c r="M178" s="45" t="n"/>
      <c r="N178" s="44" t="n"/>
      <c r="O178" s="86" t="n"/>
      <c r="P178" s="44" t="n"/>
      <c r="Q178" s="45" t="n"/>
      <c r="R178" s="85" t="n"/>
      <c r="S178" s="85" t="n"/>
      <c r="T178" s="85" t="n"/>
      <c r="U178" s="85" t="n"/>
      <c r="V178" s="85" t="n"/>
      <c r="W178" s="86" t="n"/>
      <c r="X178" s="44" t="n"/>
      <c r="Y178" s="44" t="n"/>
      <c r="Z178" s="44" t="n"/>
      <c r="AA178" s="85" t="n"/>
      <c r="AB178" s="45" t="n"/>
      <c r="AC178" s="86" t="n"/>
      <c r="AD178" s="44" t="n"/>
      <c r="AE178" s="87" t="n"/>
      <c r="AF178" s="44" t="n"/>
      <c r="AG178" s="44" t="n"/>
      <c r="AH178" s="87" t="n"/>
      <c r="AI178" s="44" t="n"/>
      <c r="AJ178" s="45" t="n"/>
      <c r="AK178" s="45" t="n"/>
      <c r="AL178" s="45" t="n"/>
      <c r="AM178" s="44" t="n"/>
      <c r="AN178" s="45" t="n"/>
      <c r="AO178" s="44" t="n"/>
      <c r="AP178" s="44" t="n"/>
      <c r="AQ178" s="44" t="n"/>
      <c r="AR178" s="44" t="n"/>
      <c r="AS178" s="44" t="n"/>
    </row>
    <row r="179">
      <c r="A179" s="44" t="n"/>
      <c r="B179" s="44" t="n"/>
      <c r="C179" s="44" t="n"/>
      <c r="D179" s="44" t="n"/>
      <c r="E179" s="44" t="n"/>
      <c r="F179" s="44" t="n"/>
      <c r="G179" s="45" t="n"/>
      <c r="H179" s="45" t="n"/>
      <c r="I179" s="85" t="n"/>
      <c r="J179" s="44" t="n"/>
      <c r="K179" s="44" t="n"/>
      <c r="L179" s="44" t="n"/>
      <c r="M179" s="45" t="n"/>
      <c r="N179" s="44" t="n"/>
      <c r="O179" s="86" t="n"/>
      <c r="P179" s="44" t="n"/>
      <c r="Q179" s="45" t="n"/>
      <c r="R179" s="85" t="n"/>
      <c r="S179" s="85" t="n"/>
      <c r="T179" s="85" t="n"/>
      <c r="U179" s="85" t="n"/>
      <c r="V179" s="85" t="n"/>
      <c r="W179" s="86" t="n"/>
      <c r="X179" s="44" t="n"/>
      <c r="Y179" s="44" t="n"/>
      <c r="Z179" s="44" t="n"/>
      <c r="AA179" s="85" t="n"/>
      <c r="AB179" s="45" t="n"/>
      <c r="AC179" s="86" t="n"/>
      <c r="AD179" s="44" t="n"/>
      <c r="AE179" s="87" t="n"/>
      <c r="AF179" s="44" t="n"/>
      <c r="AG179" s="44" t="n"/>
      <c r="AH179" s="87" t="n"/>
      <c r="AI179" s="44" t="n"/>
      <c r="AJ179" s="45" t="n"/>
      <c r="AK179" s="45" t="n"/>
      <c r="AL179" s="45" t="n"/>
      <c r="AM179" s="44" t="n"/>
      <c r="AN179" s="45" t="n"/>
      <c r="AO179" s="44" t="n"/>
      <c r="AP179" s="44" t="n"/>
      <c r="AQ179" s="44" t="n"/>
      <c r="AR179" s="44" t="n"/>
      <c r="AS179" s="44" t="n"/>
    </row>
    <row r="180">
      <c r="A180" s="44" t="n"/>
      <c r="B180" s="44" t="n"/>
      <c r="C180" s="44" t="n"/>
      <c r="D180" s="44" t="n"/>
      <c r="E180" s="44" t="n"/>
      <c r="F180" s="44" t="n"/>
      <c r="G180" s="45" t="n"/>
      <c r="H180" s="45" t="n"/>
      <c r="I180" s="85" t="n"/>
      <c r="J180" s="44" t="n"/>
      <c r="K180" s="44" t="n"/>
      <c r="L180" s="44" t="n"/>
      <c r="M180" s="45" t="n"/>
      <c r="N180" s="44" t="n"/>
      <c r="O180" s="86" t="n"/>
      <c r="P180" s="44" t="n"/>
      <c r="Q180" s="45" t="n"/>
      <c r="R180" s="85" t="n"/>
      <c r="S180" s="85" t="n"/>
      <c r="T180" s="85" t="n"/>
      <c r="U180" s="85" t="n"/>
      <c r="V180" s="85" t="n"/>
      <c r="W180" s="86" t="n"/>
      <c r="X180" s="44" t="n"/>
      <c r="Y180" s="44" t="n"/>
      <c r="Z180" s="44" t="n"/>
      <c r="AA180" s="85" t="n"/>
      <c r="AB180" s="45" t="n"/>
      <c r="AC180" s="86" t="n"/>
      <c r="AD180" s="44" t="n"/>
      <c r="AE180" s="87" t="n"/>
      <c r="AF180" s="44" t="n"/>
      <c r="AG180" s="44" t="n"/>
      <c r="AH180" s="87" t="n"/>
      <c r="AI180" s="44" t="n"/>
      <c r="AJ180" s="45" t="n"/>
      <c r="AK180" s="45" t="n"/>
      <c r="AL180" s="45" t="n"/>
      <c r="AM180" s="44" t="n"/>
      <c r="AN180" s="45" t="n"/>
      <c r="AO180" s="44" t="n"/>
      <c r="AP180" s="44" t="n"/>
      <c r="AQ180" s="44" t="n"/>
      <c r="AR180" s="44" t="n"/>
      <c r="AS180" s="44" t="n"/>
    </row>
    <row r="181">
      <c r="A181" s="44" t="n"/>
      <c r="B181" s="44" t="n"/>
      <c r="C181" s="44" t="n"/>
      <c r="D181" s="44" t="n"/>
      <c r="E181" s="44" t="n"/>
      <c r="F181" s="44" t="n"/>
      <c r="G181" s="45" t="n"/>
      <c r="H181" s="45" t="n"/>
      <c r="I181" s="85" t="n"/>
      <c r="J181" s="44" t="n"/>
      <c r="K181" s="44" t="n"/>
      <c r="L181" s="44" t="n"/>
      <c r="M181" s="45" t="n"/>
      <c r="N181" s="44" t="n"/>
      <c r="O181" s="86" t="n"/>
      <c r="P181" s="44" t="n"/>
      <c r="Q181" s="45" t="n"/>
      <c r="R181" s="85" t="n"/>
      <c r="S181" s="85" t="n"/>
      <c r="T181" s="85" t="n"/>
      <c r="U181" s="85" t="n"/>
      <c r="V181" s="85" t="n"/>
      <c r="W181" s="86" t="n"/>
      <c r="X181" s="44" t="n"/>
      <c r="Y181" s="44" t="n"/>
      <c r="Z181" s="44" t="n"/>
      <c r="AA181" s="85" t="n"/>
      <c r="AB181" s="45" t="n"/>
      <c r="AC181" s="86" t="n"/>
      <c r="AD181" s="44" t="n"/>
      <c r="AE181" s="87" t="n"/>
      <c r="AF181" s="44" t="n"/>
      <c r="AG181" s="44" t="n"/>
      <c r="AH181" s="87" t="n"/>
      <c r="AI181" s="44" t="n"/>
      <c r="AJ181" s="45" t="n"/>
      <c r="AK181" s="45" t="n"/>
      <c r="AL181" s="45" t="n"/>
      <c r="AM181" s="44" t="n"/>
      <c r="AN181" s="45" t="n"/>
      <c r="AO181" s="44" t="n"/>
      <c r="AP181" s="44" t="n"/>
      <c r="AQ181" s="44" t="n"/>
      <c r="AR181" s="44" t="n"/>
      <c r="AS181" s="44" t="n"/>
    </row>
    <row r="182">
      <c r="A182" s="44" t="n"/>
      <c r="B182" s="44" t="n"/>
      <c r="C182" s="44" t="n"/>
      <c r="D182" s="44" t="n"/>
      <c r="E182" s="44" t="n"/>
      <c r="F182" s="44" t="n"/>
      <c r="G182" s="45" t="n"/>
      <c r="H182" s="45" t="n"/>
      <c r="I182" s="85" t="n"/>
      <c r="J182" s="44" t="n"/>
      <c r="K182" s="44" t="n"/>
      <c r="L182" s="44" t="n"/>
      <c r="M182" s="45" t="n"/>
      <c r="N182" s="44" t="n"/>
      <c r="O182" s="86" t="n"/>
      <c r="P182" s="44" t="n"/>
      <c r="Q182" s="45" t="n"/>
      <c r="R182" s="85" t="n"/>
      <c r="S182" s="85" t="n"/>
      <c r="T182" s="85" t="n"/>
      <c r="U182" s="85" t="n"/>
      <c r="V182" s="85" t="n"/>
      <c r="W182" s="86" t="n"/>
      <c r="X182" s="44" t="n"/>
      <c r="Y182" s="44" t="n"/>
      <c r="Z182" s="44" t="n"/>
      <c r="AA182" s="85" t="n"/>
      <c r="AB182" s="45" t="n"/>
      <c r="AC182" s="86" t="n"/>
      <c r="AD182" s="44" t="n"/>
      <c r="AE182" s="87" t="n"/>
      <c r="AF182" s="44" t="n"/>
      <c r="AG182" s="44" t="n"/>
      <c r="AH182" s="87" t="n"/>
      <c r="AI182" s="44" t="n"/>
      <c r="AJ182" s="45" t="n"/>
      <c r="AK182" s="45" t="n"/>
      <c r="AL182" s="45" t="n"/>
      <c r="AM182" s="44" t="n"/>
      <c r="AN182" s="45" t="n"/>
      <c r="AO182" s="44" t="n"/>
      <c r="AP182" s="44" t="n"/>
      <c r="AQ182" s="44" t="n"/>
      <c r="AR182" s="44" t="n"/>
      <c r="AS182" s="44" t="n"/>
    </row>
    <row r="183">
      <c r="A183" s="44" t="n"/>
      <c r="B183" s="44" t="n"/>
      <c r="C183" s="44" t="n"/>
      <c r="D183" s="44" t="n"/>
      <c r="E183" s="44" t="n"/>
      <c r="F183" s="44" t="n"/>
      <c r="G183" s="45" t="n"/>
      <c r="H183" s="45" t="n"/>
      <c r="I183" s="85" t="n"/>
      <c r="J183" s="44" t="n"/>
      <c r="K183" s="44" t="n"/>
      <c r="L183" s="44" t="n"/>
      <c r="M183" s="45" t="n"/>
      <c r="N183" s="44" t="n"/>
      <c r="O183" s="86" t="n"/>
      <c r="P183" s="44" t="n"/>
      <c r="Q183" s="45" t="n"/>
      <c r="R183" s="85" t="n"/>
      <c r="S183" s="85" t="n"/>
      <c r="T183" s="85" t="n"/>
      <c r="U183" s="85" t="n"/>
      <c r="V183" s="85" t="n"/>
      <c r="W183" s="86" t="n"/>
      <c r="X183" s="44" t="n"/>
      <c r="Y183" s="44" t="n"/>
      <c r="Z183" s="44" t="n"/>
      <c r="AA183" s="85" t="n"/>
      <c r="AB183" s="45" t="n"/>
      <c r="AC183" s="86" t="n"/>
      <c r="AD183" s="44" t="n"/>
      <c r="AE183" s="87" t="n"/>
      <c r="AF183" s="44" t="n"/>
      <c r="AG183" s="44" t="n"/>
      <c r="AH183" s="87" t="n"/>
      <c r="AI183" s="44" t="n"/>
      <c r="AJ183" s="45" t="n"/>
      <c r="AK183" s="45" t="n"/>
      <c r="AL183" s="45" t="n"/>
      <c r="AM183" s="44" t="n"/>
      <c r="AN183" s="45" t="n"/>
      <c r="AO183" s="44" t="n"/>
      <c r="AP183" s="44" t="n"/>
      <c r="AQ183" s="44" t="n"/>
      <c r="AR183" s="44" t="n"/>
      <c r="AS183" s="44" t="n"/>
    </row>
    <row r="184">
      <c r="A184" s="44" t="n"/>
      <c r="B184" s="44" t="n"/>
      <c r="C184" s="44" t="n"/>
      <c r="D184" s="44" t="n"/>
      <c r="E184" s="44" t="n"/>
      <c r="F184" s="44" t="n"/>
      <c r="G184" s="45" t="n"/>
      <c r="H184" s="45" t="n"/>
      <c r="I184" s="85" t="n"/>
      <c r="J184" s="44" t="n"/>
      <c r="K184" s="44" t="n"/>
      <c r="L184" s="44" t="n"/>
      <c r="M184" s="45" t="n"/>
      <c r="N184" s="44" t="n"/>
      <c r="O184" s="86" t="n"/>
      <c r="P184" s="44" t="n"/>
      <c r="Q184" s="45" t="n"/>
      <c r="R184" s="85" t="n"/>
      <c r="S184" s="85" t="n"/>
      <c r="T184" s="85" t="n"/>
      <c r="U184" s="85" t="n"/>
      <c r="V184" s="85" t="n"/>
      <c r="W184" s="86" t="n"/>
      <c r="X184" s="44" t="n"/>
      <c r="Y184" s="44" t="n"/>
      <c r="Z184" s="44" t="n"/>
      <c r="AA184" s="85" t="n"/>
      <c r="AB184" s="45" t="n"/>
      <c r="AC184" s="86" t="n"/>
      <c r="AD184" s="44" t="n"/>
      <c r="AE184" s="87" t="n"/>
      <c r="AF184" s="44" t="n"/>
      <c r="AG184" s="44" t="n"/>
      <c r="AH184" s="87" t="n"/>
      <c r="AI184" s="44" t="n"/>
      <c r="AJ184" s="45" t="n"/>
      <c r="AK184" s="45" t="n"/>
      <c r="AL184" s="45" t="n"/>
      <c r="AM184" s="44" t="n"/>
      <c r="AN184" s="45" t="n"/>
      <c r="AO184" s="44" t="n"/>
      <c r="AP184" s="44" t="n"/>
      <c r="AQ184" s="44" t="n"/>
      <c r="AR184" s="44" t="n"/>
      <c r="AS184" s="44" t="n"/>
    </row>
    <row r="185">
      <c r="A185" s="44" t="n"/>
      <c r="B185" s="44" t="n"/>
      <c r="C185" s="44" t="n"/>
      <c r="D185" s="44" t="n"/>
      <c r="E185" s="44" t="n"/>
      <c r="F185" s="44" t="n"/>
      <c r="G185" s="45" t="n"/>
      <c r="H185" s="45" t="n"/>
      <c r="I185" s="85" t="n"/>
      <c r="J185" s="44" t="n"/>
      <c r="K185" s="44" t="n"/>
      <c r="L185" s="44" t="n"/>
      <c r="M185" s="45" t="n"/>
      <c r="N185" s="44" t="n"/>
      <c r="O185" s="86" t="n"/>
      <c r="P185" s="44" t="n"/>
      <c r="Q185" s="45" t="n"/>
      <c r="R185" s="85" t="n"/>
      <c r="S185" s="85" t="n"/>
      <c r="T185" s="85" t="n"/>
      <c r="U185" s="85" t="n"/>
      <c r="V185" s="85" t="n"/>
      <c r="W185" s="86" t="n"/>
      <c r="X185" s="44" t="n"/>
      <c r="Y185" s="44" t="n"/>
      <c r="Z185" s="44" t="n"/>
      <c r="AA185" s="85" t="n"/>
      <c r="AB185" s="45" t="n"/>
      <c r="AC185" s="86" t="n"/>
      <c r="AD185" s="44" t="n"/>
      <c r="AE185" s="87" t="n"/>
      <c r="AF185" s="44" t="n"/>
      <c r="AG185" s="44" t="n"/>
      <c r="AH185" s="87" t="n"/>
      <c r="AI185" s="44" t="n"/>
      <c r="AJ185" s="45" t="n"/>
      <c r="AK185" s="45" t="n"/>
      <c r="AL185" s="45" t="n"/>
      <c r="AM185" s="44" t="n"/>
      <c r="AN185" s="45" t="n"/>
      <c r="AO185" s="44" t="n"/>
      <c r="AP185" s="44" t="n"/>
      <c r="AQ185" s="44" t="n"/>
      <c r="AR185" s="44" t="n"/>
      <c r="AS185" s="44" t="n"/>
    </row>
    <row r="186">
      <c r="A186" s="44" t="n"/>
      <c r="B186" s="44" t="n"/>
      <c r="C186" s="44" t="n"/>
      <c r="D186" s="44" t="n"/>
      <c r="E186" s="44" t="n"/>
      <c r="F186" s="44" t="n"/>
      <c r="G186" s="45" t="n"/>
      <c r="H186" s="45" t="n"/>
      <c r="I186" s="85" t="n"/>
      <c r="J186" s="44" t="n"/>
      <c r="K186" s="44" t="n"/>
      <c r="L186" s="44" t="n"/>
      <c r="M186" s="45" t="n"/>
      <c r="N186" s="44" t="n"/>
      <c r="O186" s="86" t="n"/>
      <c r="P186" s="44" t="n"/>
      <c r="Q186" s="45" t="n"/>
      <c r="R186" s="85" t="n"/>
      <c r="S186" s="85" t="n"/>
      <c r="T186" s="85" t="n"/>
      <c r="U186" s="85" t="n"/>
      <c r="V186" s="85" t="n"/>
      <c r="W186" s="86" t="n"/>
      <c r="X186" s="44" t="n"/>
      <c r="Y186" s="44" t="n"/>
      <c r="Z186" s="44" t="n"/>
      <c r="AA186" s="85" t="n"/>
      <c r="AB186" s="45" t="n"/>
      <c r="AC186" s="86" t="n"/>
      <c r="AD186" s="44" t="n"/>
      <c r="AE186" s="87" t="n"/>
      <c r="AF186" s="44" t="n"/>
      <c r="AG186" s="44" t="n"/>
      <c r="AH186" s="87" t="n"/>
      <c r="AI186" s="44" t="n"/>
      <c r="AJ186" s="45" t="n"/>
      <c r="AK186" s="45" t="n"/>
      <c r="AL186" s="45" t="n"/>
      <c r="AM186" s="44" t="n"/>
      <c r="AN186" s="45" t="n"/>
      <c r="AO186" s="44" t="n"/>
      <c r="AP186" s="44" t="n"/>
      <c r="AQ186" s="44" t="n"/>
      <c r="AR186" s="44" t="n"/>
      <c r="AS186" s="44" t="n"/>
    </row>
    <row r="187">
      <c r="A187" s="44" t="n"/>
      <c r="B187" s="44" t="n"/>
      <c r="C187" s="44" t="n"/>
      <c r="D187" s="44" t="n"/>
      <c r="E187" s="44" t="n"/>
      <c r="F187" s="44" t="n"/>
      <c r="G187" s="45" t="n"/>
      <c r="H187" s="45" t="n"/>
      <c r="I187" s="85" t="n"/>
      <c r="J187" s="44" t="n"/>
      <c r="K187" s="44" t="n"/>
      <c r="L187" s="44" t="n"/>
      <c r="M187" s="45" t="n"/>
      <c r="N187" s="44" t="n"/>
      <c r="O187" s="86" t="n"/>
      <c r="P187" s="44" t="n"/>
      <c r="Q187" s="45" t="n"/>
      <c r="R187" s="85" t="n"/>
      <c r="S187" s="85" t="n"/>
      <c r="T187" s="85" t="n"/>
      <c r="U187" s="85" t="n"/>
      <c r="V187" s="85" t="n"/>
      <c r="W187" s="86" t="n"/>
      <c r="X187" s="44" t="n"/>
      <c r="Y187" s="44" t="n"/>
      <c r="Z187" s="44" t="n"/>
      <c r="AA187" s="85" t="n"/>
      <c r="AB187" s="45" t="n"/>
      <c r="AC187" s="86" t="n"/>
      <c r="AD187" s="44" t="n"/>
      <c r="AE187" s="87" t="n"/>
      <c r="AF187" s="44" t="n"/>
      <c r="AG187" s="44" t="n"/>
      <c r="AH187" s="87" t="n"/>
      <c r="AI187" s="44" t="n"/>
      <c r="AJ187" s="45" t="n"/>
      <c r="AK187" s="45" t="n"/>
      <c r="AL187" s="45" t="n"/>
      <c r="AM187" s="44" t="n"/>
      <c r="AN187" s="45" t="n"/>
      <c r="AO187" s="44" t="n"/>
      <c r="AP187" s="44" t="n"/>
      <c r="AQ187" s="44" t="n"/>
      <c r="AR187" s="44" t="n"/>
      <c r="AS187" s="44" t="n"/>
    </row>
    <row r="188">
      <c r="A188" s="44" t="n"/>
      <c r="B188" s="44" t="n"/>
      <c r="C188" s="44" t="n"/>
      <c r="D188" s="44" t="n"/>
      <c r="E188" s="44" t="n"/>
      <c r="F188" s="44" t="n"/>
      <c r="G188" s="45" t="n"/>
      <c r="H188" s="45" t="n"/>
      <c r="I188" s="85" t="n"/>
      <c r="J188" s="44" t="n"/>
      <c r="K188" s="44" t="n"/>
      <c r="L188" s="44" t="n"/>
      <c r="M188" s="45" t="n"/>
      <c r="N188" s="44" t="n"/>
      <c r="O188" s="86" t="n"/>
      <c r="P188" s="44" t="n"/>
      <c r="Q188" s="45" t="n"/>
      <c r="R188" s="85" t="n"/>
      <c r="S188" s="85" t="n"/>
      <c r="T188" s="85" t="n"/>
      <c r="U188" s="85" t="n"/>
      <c r="V188" s="85" t="n"/>
      <c r="W188" s="86" t="n"/>
      <c r="X188" s="44" t="n"/>
      <c r="Y188" s="44" t="n"/>
      <c r="Z188" s="44" t="n"/>
      <c r="AA188" s="85" t="n"/>
      <c r="AB188" s="45" t="n"/>
      <c r="AC188" s="86" t="n"/>
      <c r="AD188" s="44" t="n"/>
      <c r="AE188" s="87" t="n"/>
      <c r="AF188" s="44" t="n"/>
      <c r="AG188" s="44" t="n"/>
      <c r="AH188" s="87" t="n"/>
      <c r="AI188" s="44" t="n"/>
      <c r="AJ188" s="45" t="n"/>
      <c r="AK188" s="45" t="n"/>
      <c r="AL188" s="45" t="n"/>
      <c r="AM188" s="44" t="n"/>
      <c r="AN188" s="45" t="n"/>
      <c r="AO188" s="44" t="n"/>
      <c r="AP188" s="44" t="n"/>
      <c r="AQ188" s="44" t="n"/>
      <c r="AR188" s="44" t="n"/>
      <c r="AS188" s="44" t="n"/>
    </row>
    <row r="189">
      <c r="A189" s="44" t="n"/>
      <c r="B189" s="44" t="n"/>
      <c r="C189" s="44" t="n"/>
      <c r="D189" s="44" t="n"/>
      <c r="E189" s="44" t="n"/>
      <c r="F189" s="44" t="n"/>
      <c r="G189" s="45" t="n"/>
      <c r="H189" s="45" t="n"/>
      <c r="I189" s="85" t="n"/>
      <c r="J189" s="44" t="n"/>
      <c r="K189" s="44" t="n"/>
      <c r="L189" s="44" t="n"/>
      <c r="M189" s="45" t="n"/>
      <c r="N189" s="44" t="n"/>
      <c r="O189" s="86" t="n"/>
      <c r="P189" s="44" t="n"/>
      <c r="Q189" s="45" t="n"/>
      <c r="R189" s="85" t="n"/>
      <c r="S189" s="85" t="n"/>
      <c r="T189" s="85" t="n"/>
      <c r="U189" s="85" t="n"/>
      <c r="V189" s="85" t="n"/>
      <c r="W189" s="86" t="n"/>
      <c r="X189" s="44" t="n"/>
      <c r="Y189" s="44" t="n"/>
      <c r="Z189" s="44" t="n"/>
      <c r="AA189" s="85" t="n"/>
      <c r="AB189" s="45" t="n"/>
      <c r="AC189" s="86" t="n"/>
      <c r="AD189" s="44" t="n"/>
      <c r="AE189" s="87" t="n"/>
      <c r="AF189" s="44" t="n"/>
      <c r="AG189" s="44" t="n"/>
      <c r="AH189" s="87" t="n"/>
      <c r="AI189" s="44" t="n"/>
      <c r="AJ189" s="45" t="n"/>
      <c r="AK189" s="45" t="n"/>
      <c r="AL189" s="45" t="n"/>
      <c r="AM189" s="44" t="n"/>
      <c r="AN189" s="45" t="n"/>
      <c r="AO189" s="44" t="n"/>
      <c r="AP189" s="44" t="n"/>
      <c r="AQ189" s="44" t="n"/>
      <c r="AR189" s="44" t="n"/>
      <c r="AS189" s="44" t="n"/>
    </row>
    <row r="190">
      <c r="A190" s="44" t="n"/>
      <c r="B190" s="44" t="n"/>
      <c r="C190" s="44" t="n"/>
      <c r="D190" s="44" t="n"/>
      <c r="E190" s="44" t="n"/>
      <c r="F190" s="44" t="n"/>
      <c r="G190" s="45" t="n"/>
      <c r="H190" s="45" t="n"/>
      <c r="I190" s="85" t="n"/>
      <c r="J190" s="44" t="n"/>
      <c r="K190" s="44" t="n"/>
      <c r="L190" s="44" t="n"/>
      <c r="M190" s="45" t="n"/>
      <c r="N190" s="44" t="n"/>
      <c r="O190" s="86" t="n"/>
      <c r="P190" s="44" t="n"/>
      <c r="Q190" s="45" t="n"/>
      <c r="R190" s="85" t="n"/>
      <c r="S190" s="85" t="n"/>
      <c r="T190" s="85" t="n"/>
      <c r="U190" s="85" t="n"/>
      <c r="V190" s="85" t="n"/>
      <c r="W190" s="86" t="n"/>
      <c r="X190" s="44" t="n"/>
      <c r="Y190" s="44" t="n"/>
      <c r="Z190" s="44" t="n"/>
      <c r="AA190" s="85" t="n"/>
      <c r="AB190" s="45" t="n"/>
      <c r="AC190" s="86" t="n"/>
      <c r="AD190" s="44" t="n"/>
      <c r="AE190" s="87" t="n"/>
      <c r="AF190" s="44" t="n"/>
      <c r="AG190" s="44" t="n"/>
      <c r="AH190" s="87" t="n"/>
      <c r="AI190" s="44" t="n"/>
      <c r="AJ190" s="45" t="n"/>
      <c r="AK190" s="45" t="n"/>
      <c r="AL190" s="45" t="n"/>
      <c r="AM190" s="44" t="n"/>
      <c r="AN190" s="45" t="n"/>
      <c r="AO190" s="44" t="n"/>
      <c r="AP190" s="44" t="n"/>
      <c r="AQ190" s="44" t="n"/>
      <c r="AR190" s="44" t="n"/>
      <c r="AS190" s="44" t="n"/>
    </row>
    <row r="191">
      <c r="A191" s="44" t="n"/>
      <c r="B191" s="44" t="n"/>
      <c r="C191" s="44" t="n"/>
      <c r="D191" s="44" t="n"/>
      <c r="E191" s="44" t="n"/>
      <c r="F191" s="44" t="n"/>
      <c r="G191" s="45" t="n"/>
      <c r="H191" s="45" t="n"/>
      <c r="I191" s="85" t="n"/>
      <c r="J191" s="44" t="n"/>
      <c r="K191" s="44" t="n"/>
      <c r="L191" s="44" t="n"/>
      <c r="M191" s="45" t="n"/>
      <c r="N191" s="44" t="n"/>
      <c r="O191" s="86" t="n"/>
      <c r="P191" s="44" t="n"/>
      <c r="Q191" s="45" t="n"/>
      <c r="R191" s="85" t="n"/>
      <c r="S191" s="85" t="n"/>
      <c r="T191" s="85" t="n"/>
      <c r="U191" s="85" t="n"/>
      <c r="V191" s="85" t="n"/>
      <c r="W191" s="86" t="n"/>
      <c r="X191" s="44" t="n"/>
      <c r="Y191" s="44" t="n"/>
      <c r="Z191" s="44" t="n"/>
      <c r="AA191" s="85" t="n"/>
      <c r="AB191" s="45" t="n"/>
      <c r="AC191" s="86" t="n"/>
      <c r="AD191" s="44" t="n"/>
      <c r="AE191" s="87" t="n"/>
      <c r="AF191" s="44" t="n"/>
      <c r="AG191" s="44" t="n"/>
      <c r="AH191" s="87" t="n"/>
      <c r="AI191" s="44" t="n"/>
      <c r="AJ191" s="45" t="n"/>
      <c r="AK191" s="45" t="n"/>
      <c r="AL191" s="45" t="n"/>
      <c r="AM191" s="44" t="n"/>
      <c r="AN191" s="45" t="n"/>
      <c r="AO191" s="44" t="n"/>
      <c r="AP191" s="44" t="n"/>
      <c r="AQ191" s="44" t="n"/>
      <c r="AR191" s="44" t="n"/>
      <c r="AS191" s="44" t="n"/>
    </row>
    <row r="192">
      <c r="A192" s="44" t="n"/>
      <c r="B192" s="44" t="n"/>
      <c r="C192" s="44" t="n"/>
      <c r="D192" s="44" t="n"/>
      <c r="E192" s="44" t="n"/>
      <c r="F192" s="44" t="n"/>
      <c r="G192" s="45" t="n"/>
      <c r="H192" s="45" t="n"/>
      <c r="I192" s="85" t="n"/>
      <c r="J192" s="44" t="n"/>
      <c r="K192" s="44" t="n"/>
      <c r="L192" s="44" t="n"/>
      <c r="M192" s="45" t="n"/>
      <c r="N192" s="44" t="n"/>
      <c r="O192" s="86" t="n"/>
      <c r="P192" s="44" t="n"/>
      <c r="Q192" s="45" t="n"/>
      <c r="R192" s="85" t="n"/>
      <c r="S192" s="85" t="n"/>
      <c r="T192" s="85" t="n"/>
      <c r="U192" s="85" t="n"/>
      <c r="V192" s="85" t="n"/>
      <c r="W192" s="86" t="n"/>
      <c r="X192" s="44" t="n"/>
      <c r="Y192" s="44" t="n"/>
      <c r="Z192" s="44" t="n"/>
      <c r="AA192" s="85" t="n"/>
      <c r="AB192" s="45" t="n"/>
      <c r="AC192" s="86" t="n"/>
      <c r="AD192" s="44" t="n"/>
      <c r="AE192" s="87" t="n"/>
      <c r="AF192" s="44" t="n"/>
      <c r="AG192" s="44" t="n"/>
      <c r="AH192" s="87" t="n"/>
      <c r="AI192" s="44" t="n"/>
      <c r="AJ192" s="45" t="n"/>
      <c r="AK192" s="45" t="n"/>
      <c r="AL192" s="45" t="n"/>
      <c r="AM192" s="44" t="n"/>
      <c r="AN192" s="45" t="n"/>
      <c r="AO192" s="44" t="n"/>
      <c r="AP192" s="44" t="n"/>
      <c r="AQ192" s="44" t="n"/>
      <c r="AR192" s="44" t="n"/>
      <c r="AS192" s="44" t="n"/>
    </row>
    <row r="193">
      <c r="A193" s="44" t="n"/>
      <c r="B193" s="44" t="n"/>
      <c r="C193" s="44" t="n"/>
      <c r="D193" s="44" t="n"/>
      <c r="E193" s="44" t="n"/>
      <c r="F193" s="44" t="n"/>
      <c r="G193" s="45" t="n"/>
      <c r="H193" s="45" t="n"/>
      <c r="I193" s="85" t="n"/>
      <c r="J193" s="44" t="n"/>
      <c r="K193" s="44" t="n"/>
      <c r="L193" s="44" t="n"/>
      <c r="M193" s="45" t="n"/>
      <c r="N193" s="44" t="n"/>
      <c r="O193" s="86" t="n"/>
      <c r="P193" s="44" t="n"/>
      <c r="Q193" s="45" t="n"/>
      <c r="R193" s="85" t="n"/>
      <c r="S193" s="85" t="n"/>
      <c r="T193" s="85" t="n"/>
      <c r="U193" s="85" t="n"/>
      <c r="V193" s="85" t="n"/>
      <c r="W193" s="86" t="n"/>
      <c r="X193" s="44" t="n"/>
      <c r="Y193" s="44" t="n"/>
      <c r="Z193" s="44" t="n"/>
      <c r="AA193" s="85" t="n"/>
      <c r="AB193" s="45" t="n"/>
      <c r="AC193" s="86" t="n"/>
      <c r="AD193" s="44" t="n"/>
      <c r="AE193" s="87" t="n"/>
      <c r="AF193" s="44" t="n"/>
      <c r="AG193" s="44" t="n"/>
      <c r="AH193" s="87" t="n"/>
      <c r="AI193" s="44" t="n"/>
      <c r="AJ193" s="45" t="n"/>
      <c r="AK193" s="45" t="n"/>
      <c r="AL193" s="45" t="n"/>
      <c r="AM193" s="44" t="n"/>
      <c r="AN193" s="45" t="n"/>
      <c r="AO193" s="44" t="n"/>
      <c r="AP193" s="44" t="n"/>
      <c r="AQ193" s="44" t="n"/>
      <c r="AR193" s="44" t="n"/>
      <c r="AS193" s="44" t="n"/>
    </row>
    <row r="194">
      <c r="A194" s="44" t="n"/>
      <c r="B194" s="44" t="n"/>
      <c r="C194" s="44" t="n"/>
      <c r="D194" s="44" t="n"/>
      <c r="E194" s="44" t="n"/>
      <c r="F194" s="44" t="n"/>
      <c r="G194" s="45" t="n"/>
      <c r="H194" s="45" t="n"/>
      <c r="I194" s="85" t="n"/>
      <c r="J194" s="44" t="n"/>
      <c r="K194" s="44" t="n"/>
      <c r="L194" s="44" t="n"/>
      <c r="M194" s="45" t="n"/>
      <c r="N194" s="44" t="n"/>
      <c r="O194" s="86" t="n"/>
      <c r="P194" s="44" t="n"/>
      <c r="Q194" s="45" t="n"/>
      <c r="R194" s="85" t="n"/>
      <c r="S194" s="85" t="n"/>
      <c r="T194" s="85" t="n"/>
      <c r="U194" s="85" t="n"/>
      <c r="V194" s="85" t="n"/>
      <c r="W194" s="86" t="n"/>
      <c r="X194" s="44" t="n"/>
      <c r="Y194" s="44" t="n"/>
      <c r="Z194" s="44" t="n"/>
      <c r="AA194" s="85" t="n"/>
      <c r="AB194" s="45" t="n"/>
      <c r="AC194" s="86" t="n"/>
      <c r="AD194" s="44" t="n"/>
      <c r="AE194" s="87" t="n"/>
      <c r="AF194" s="44" t="n"/>
      <c r="AG194" s="44" t="n"/>
      <c r="AH194" s="87" t="n"/>
      <c r="AI194" s="44" t="n"/>
      <c r="AJ194" s="45" t="n"/>
      <c r="AK194" s="45" t="n"/>
      <c r="AL194" s="45" t="n"/>
      <c r="AM194" s="44" t="n"/>
      <c r="AN194" s="45" t="n"/>
      <c r="AO194" s="44" t="n"/>
      <c r="AP194" s="44" t="n"/>
      <c r="AQ194" s="44" t="n"/>
      <c r="AR194" s="44" t="n"/>
      <c r="AS194" s="44" t="n"/>
    </row>
    <row r="195">
      <c r="A195" s="44" t="n"/>
      <c r="B195" s="44" t="n"/>
      <c r="C195" s="44" t="n"/>
      <c r="D195" s="44" t="n"/>
      <c r="E195" s="44" t="n"/>
      <c r="F195" s="44" t="n"/>
      <c r="G195" s="45" t="n"/>
      <c r="H195" s="45" t="n"/>
      <c r="I195" s="85" t="n"/>
      <c r="J195" s="44" t="n"/>
      <c r="K195" s="44" t="n"/>
      <c r="L195" s="44" t="n"/>
      <c r="M195" s="45" t="n"/>
      <c r="N195" s="44" t="n"/>
      <c r="O195" s="86" t="n"/>
      <c r="P195" s="44" t="n"/>
      <c r="Q195" s="45" t="n"/>
      <c r="R195" s="85" t="n"/>
      <c r="S195" s="85" t="n"/>
      <c r="T195" s="85" t="n"/>
      <c r="U195" s="85" t="n"/>
      <c r="V195" s="85" t="n"/>
      <c r="W195" s="86" t="n"/>
      <c r="X195" s="44" t="n"/>
      <c r="Y195" s="44" t="n"/>
      <c r="Z195" s="44" t="n"/>
      <c r="AA195" s="85" t="n"/>
      <c r="AB195" s="45" t="n"/>
      <c r="AC195" s="86" t="n"/>
      <c r="AD195" s="44" t="n"/>
      <c r="AE195" s="87" t="n"/>
      <c r="AF195" s="44" t="n"/>
      <c r="AG195" s="44" t="n"/>
      <c r="AH195" s="87" t="n"/>
      <c r="AI195" s="44" t="n"/>
      <c r="AJ195" s="45" t="n"/>
      <c r="AK195" s="45" t="n"/>
      <c r="AL195" s="45" t="n"/>
      <c r="AM195" s="44" t="n"/>
      <c r="AN195" s="45" t="n"/>
      <c r="AO195" s="44" t="n"/>
      <c r="AP195" s="44" t="n"/>
      <c r="AQ195" s="44" t="n"/>
      <c r="AR195" s="44" t="n"/>
      <c r="AS195" s="44" t="n"/>
    </row>
    <row r="196">
      <c r="A196" s="44" t="n"/>
      <c r="B196" s="44" t="n"/>
      <c r="C196" s="44" t="n"/>
      <c r="D196" s="44" t="n"/>
      <c r="E196" s="44" t="n"/>
      <c r="F196" s="44" t="n"/>
      <c r="G196" s="45" t="n"/>
      <c r="H196" s="45" t="n"/>
      <c r="I196" s="85" t="n"/>
      <c r="J196" s="44" t="n"/>
      <c r="K196" s="44" t="n"/>
      <c r="L196" s="44" t="n"/>
      <c r="M196" s="45" t="n"/>
      <c r="N196" s="44" t="n"/>
      <c r="O196" s="86" t="n"/>
      <c r="P196" s="44" t="n"/>
      <c r="Q196" s="45" t="n"/>
      <c r="R196" s="85" t="n"/>
      <c r="S196" s="85" t="n"/>
      <c r="T196" s="85" t="n"/>
      <c r="U196" s="85" t="n"/>
      <c r="V196" s="85" t="n"/>
      <c r="W196" s="86" t="n"/>
      <c r="X196" s="44" t="n"/>
      <c r="Y196" s="44" t="n"/>
      <c r="Z196" s="44" t="n"/>
      <c r="AA196" s="85" t="n"/>
      <c r="AB196" s="45" t="n"/>
      <c r="AC196" s="86" t="n"/>
      <c r="AD196" s="44" t="n"/>
      <c r="AE196" s="87" t="n"/>
      <c r="AF196" s="44" t="n"/>
      <c r="AG196" s="44" t="n"/>
      <c r="AH196" s="87" t="n"/>
      <c r="AI196" s="44" t="n"/>
      <c r="AJ196" s="45" t="n"/>
      <c r="AK196" s="45" t="n"/>
      <c r="AL196" s="45" t="n"/>
      <c r="AM196" s="44" t="n"/>
      <c r="AN196" s="45" t="n"/>
      <c r="AO196" s="44" t="n"/>
      <c r="AP196" s="44" t="n"/>
      <c r="AQ196" s="44" t="n"/>
      <c r="AR196" s="44" t="n"/>
      <c r="AS196" s="44" t="n"/>
    </row>
    <row r="197">
      <c r="A197" s="44" t="n"/>
      <c r="B197" s="44" t="n"/>
      <c r="C197" s="44" t="n"/>
      <c r="D197" s="44" t="n"/>
      <c r="E197" s="44" t="n"/>
      <c r="F197" s="44" t="n"/>
      <c r="G197" s="45" t="n"/>
      <c r="H197" s="45" t="n"/>
      <c r="I197" s="85" t="n"/>
      <c r="J197" s="44" t="n"/>
      <c r="K197" s="44" t="n"/>
      <c r="L197" s="44" t="n"/>
      <c r="M197" s="45" t="n"/>
      <c r="N197" s="44" t="n"/>
      <c r="O197" s="86" t="n"/>
      <c r="P197" s="44" t="n"/>
      <c r="Q197" s="45" t="n"/>
      <c r="R197" s="85" t="n"/>
      <c r="S197" s="85" t="n"/>
      <c r="T197" s="85" t="n"/>
      <c r="U197" s="85" t="n"/>
      <c r="V197" s="85" t="n"/>
      <c r="W197" s="86" t="n"/>
      <c r="X197" s="44" t="n"/>
      <c r="Y197" s="44" t="n"/>
      <c r="Z197" s="44" t="n"/>
      <c r="AA197" s="85" t="n"/>
      <c r="AB197" s="45" t="n"/>
      <c r="AC197" s="86" t="n"/>
      <c r="AD197" s="44" t="n"/>
      <c r="AE197" s="87" t="n"/>
      <c r="AF197" s="44" t="n"/>
      <c r="AG197" s="44" t="n"/>
      <c r="AH197" s="87" t="n"/>
      <c r="AI197" s="44" t="n"/>
      <c r="AJ197" s="45" t="n"/>
      <c r="AK197" s="45" t="n"/>
      <c r="AL197" s="45" t="n"/>
      <c r="AM197" s="44" t="n"/>
      <c r="AN197" s="45" t="n"/>
      <c r="AO197" s="44" t="n"/>
      <c r="AP197" s="44" t="n"/>
      <c r="AQ197" s="44" t="n"/>
      <c r="AR197" s="44" t="n"/>
      <c r="AS197" s="44" t="n"/>
    </row>
    <row r="198">
      <c r="A198" s="44" t="n"/>
      <c r="B198" s="44" t="n"/>
      <c r="C198" s="44" t="n"/>
      <c r="D198" s="44" t="n"/>
      <c r="E198" s="44" t="n"/>
      <c r="F198" s="44" t="n"/>
      <c r="G198" s="45" t="n"/>
      <c r="H198" s="45" t="n"/>
      <c r="I198" s="85" t="n"/>
      <c r="J198" s="44" t="n"/>
      <c r="K198" s="44" t="n"/>
      <c r="L198" s="44" t="n"/>
      <c r="M198" s="45" t="n"/>
      <c r="N198" s="44" t="n"/>
      <c r="O198" s="86" t="n"/>
      <c r="P198" s="44" t="n"/>
      <c r="Q198" s="45" t="n"/>
      <c r="R198" s="85" t="n"/>
      <c r="S198" s="85" t="n"/>
      <c r="T198" s="85" t="n"/>
      <c r="U198" s="85" t="n"/>
      <c r="V198" s="85" t="n"/>
      <c r="W198" s="86" t="n"/>
      <c r="X198" s="44" t="n"/>
      <c r="Y198" s="44" t="n"/>
      <c r="Z198" s="44" t="n"/>
      <c r="AA198" s="85" t="n"/>
      <c r="AB198" s="45" t="n"/>
      <c r="AC198" s="86" t="n"/>
      <c r="AD198" s="44" t="n"/>
      <c r="AE198" s="87" t="n"/>
      <c r="AF198" s="44" t="n"/>
      <c r="AG198" s="44" t="n"/>
      <c r="AH198" s="87" t="n"/>
      <c r="AI198" s="44" t="n"/>
      <c r="AJ198" s="45" t="n"/>
      <c r="AK198" s="45" t="n"/>
      <c r="AL198" s="45" t="n"/>
      <c r="AM198" s="44" t="n"/>
      <c r="AN198" s="45" t="n"/>
      <c r="AO198" s="44" t="n"/>
      <c r="AP198" s="44" t="n"/>
      <c r="AQ198" s="44" t="n"/>
      <c r="AR198" s="44" t="n"/>
      <c r="AS198" s="44" t="n"/>
    </row>
    <row r="199">
      <c r="A199" s="44" t="n"/>
      <c r="B199" s="44" t="n"/>
      <c r="C199" s="44" t="n"/>
      <c r="D199" s="44" t="n"/>
      <c r="E199" s="44" t="n"/>
      <c r="F199" s="44" t="n"/>
      <c r="G199" s="45" t="n"/>
      <c r="H199" s="45" t="n"/>
      <c r="I199" s="85" t="n"/>
      <c r="J199" s="44" t="n"/>
      <c r="K199" s="44" t="n"/>
      <c r="L199" s="44" t="n"/>
      <c r="M199" s="45" t="n"/>
      <c r="N199" s="44" t="n"/>
      <c r="O199" s="86" t="n"/>
      <c r="P199" s="44" t="n"/>
      <c r="Q199" s="45" t="n"/>
      <c r="R199" s="85" t="n"/>
      <c r="S199" s="85" t="n"/>
      <c r="T199" s="85" t="n"/>
      <c r="U199" s="85" t="n"/>
      <c r="V199" s="85" t="n"/>
      <c r="W199" s="86" t="n"/>
      <c r="X199" s="44" t="n"/>
      <c r="Y199" s="44" t="n"/>
      <c r="Z199" s="44" t="n"/>
      <c r="AA199" s="85" t="n"/>
      <c r="AB199" s="45" t="n"/>
      <c r="AC199" s="86" t="n"/>
      <c r="AD199" s="44" t="n"/>
      <c r="AE199" s="87" t="n"/>
      <c r="AF199" s="44" t="n"/>
      <c r="AG199" s="44" t="n"/>
      <c r="AH199" s="87" t="n"/>
      <c r="AI199" s="44" t="n"/>
      <c r="AJ199" s="45" t="n"/>
      <c r="AK199" s="45" t="n"/>
      <c r="AL199" s="45" t="n"/>
      <c r="AM199" s="44" t="n"/>
      <c r="AN199" s="45" t="n"/>
      <c r="AO199" s="44" t="n"/>
      <c r="AP199" s="44" t="n"/>
      <c r="AQ199" s="44" t="n"/>
      <c r="AR199" s="44" t="n"/>
      <c r="AS199" s="44" t="n"/>
    </row>
    <row r="200">
      <c r="A200" s="44" t="n"/>
      <c r="B200" s="44" t="n"/>
      <c r="C200" s="44" t="n"/>
      <c r="D200" s="44" t="n"/>
      <c r="E200" s="44" t="n"/>
      <c r="F200" s="44" t="n"/>
      <c r="G200" s="45" t="n"/>
      <c r="H200" s="45" t="n"/>
      <c r="I200" s="85" t="n"/>
      <c r="J200" s="44" t="n"/>
      <c r="K200" s="44" t="n"/>
      <c r="L200" s="44" t="n"/>
      <c r="M200" s="45" t="n"/>
      <c r="N200" s="44" t="n"/>
      <c r="O200" s="86" t="n"/>
      <c r="P200" s="44" t="n"/>
      <c r="Q200" s="45" t="n"/>
      <c r="R200" s="85" t="n"/>
      <c r="S200" s="85" t="n"/>
      <c r="T200" s="85" t="n"/>
      <c r="U200" s="85" t="n"/>
      <c r="V200" s="85" t="n"/>
      <c r="W200" s="86" t="n"/>
      <c r="X200" s="44" t="n"/>
      <c r="Y200" s="44" t="n"/>
      <c r="Z200" s="44" t="n"/>
      <c r="AA200" s="85" t="n"/>
      <c r="AB200" s="45" t="n"/>
      <c r="AC200" s="86" t="n"/>
      <c r="AD200" s="44" t="n"/>
      <c r="AE200" s="87" t="n"/>
      <c r="AF200" s="44" t="n"/>
      <c r="AG200" s="44" t="n"/>
      <c r="AH200" s="87" t="n"/>
      <c r="AI200" s="44" t="n"/>
      <c r="AJ200" s="45" t="n"/>
      <c r="AK200" s="45" t="n"/>
      <c r="AL200" s="45" t="n"/>
      <c r="AM200" s="44" t="n"/>
      <c r="AN200" s="45" t="n"/>
      <c r="AO200" s="44" t="n"/>
      <c r="AP200" s="44" t="n"/>
      <c r="AQ200" s="44" t="n"/>
      <c r="AR200" s="44" t="n"/>
      <c r="AS200" s="44" t="n"/>
    </row>
    <row r="201">
      <c r="A201" s="44" t="n"/>
      <c r="B201" s="44" t="n"/>
      <c r="C201" s="44" t="n"/>
      <c r="D201" s="44" t="n"/>
      <c r="E201" s="44" t="n"/>
      <c r="F201" s="44" t="n"/>
      <c r="G201" s="45" t="n"/>
      <c r="H201" s="45" t="n"/>
      <c r="I201" s="85" t="n"/>
      <c r="J201" s="44" t="n"/>
      <c r="K201" s="44" t="n"/>
      <c r="L201" s="44" t="n"/>
      <c r="M201" s="45" t="n"/>
      <c r="N201" s="44" t="n"/>
      <c r="O201" s="86" t="n"/>
      <c r="P201" s="44" t="n"/>
      <c r="Q201" s="45" t="n"/>
      <c r="R201" s="85" t="n"/>
      <c r="S201" s="85" t="n"/>
      <c r="T201" s="85" t="n"/>
      <c r="U201" s="85" t="n"/>
      <c r="V201" s="85" t="n"/>
      <c r="W201" s="86" t="n"/>
      <c r="X201" s="44" t="n"/>
      <c r="Y201" s="44" t="n"/>
      <c r="Z201" s="44" t="n"/>
      <c r="AA201" s="85" t="n"/>
      <c r="AB201" s="45" t="n"/>
      <c r="AC201" s="86" t="n"/>
      <c r="AD201" s="44" t="n"/>
      <c r="AE201" s="87" t="n"/>
      <c r="AF201" s="44" t="n"/>
      <c r="AG201" s="44" t="n"/>
      <c r="AH201" s="87" t="n"/>
      <c r="AI201" s="44" t="n"/>
      <c r="AJ201" s="45" t="n"/>
      <c r="AK201" s="45" t="n"/>
      <c r="AL201" s="45" t="n"/>
      <c r="AM201" s="44" t="n"/>
      <c r="AN201" s="45" t="n"/>
      <c r="AO201" s="44" t="n"/>
      <c r="AP201" s="44" t="n"/>
      <c r="AQ201" s="44" t="n"/>
      <c r="AR201" s="44" t="n"/>
      <c r="AS201" s="44" t="n"/>
    </row>
    <row r="202">
      <c r="A202" s="44" t="n"/>
      <c r="B202" s="44" t="n"/>
      <c r="C202" s="44" t="n"/>
      <c r="D202" s="44" t="n"/>
      <c r="E202" s="44" t="n"/>
      <c r="F202" s="44" t="n"/>
      <c r="G202" s="45" t="n"/>
      <c r="H202" s="45" t="n"/>
      <c r="I202" s="85" t="n"/>
      <c r="J202" s="44" t="n"/>
      <c r="K202" s="44" t="n"/>
      <c r="L202" s="44" t="n"/>
      <c r="M202" s="45" t="n"/>
      <c r="N202" s="44" t="n"/>
      <c r="O202" s="86" t="n"/>
      <c r="P202" s="44" t="n"/>
      <c r="Q202" s="45" t="n"/>
      <c r="R202" s="85" t="n"/>
      <c r="S202" s="85" t="n"/>
      <c r="T202" s="85" t="n"/>
      <c r="U202" s="85" t="n"/>
      <c r="V202" s="85" t="n"/>
      <c r="W202" s="86" t="n"/>
      <c r="X202" s="44" t="n"/>
      <c r="Y202" s="44" t="n"/>
      <c r="Z202" s="44" t="n"/>
      <c r="AA202" s="85" t="n"/>
      <c r="AB202" s="45" t="n"/>
      <c r="AC202" s="86" t="n"/>
      <c r="AD202" s="44" t="n"/>
      <c r="AE202" s="87" t="n"/>
      <c r="AF202" s="44" t="n"/>
      <c r="AG202" s="44" t="n"/>
      <c r="AH202" s="87" t="n"/>
      <c r="AI202" s="44" t="n"/>
      <c r="AJ202" s="45" t="n"/>
      <c r="AK202" s="45" t="n"/>
      <c r="AL202" s="45" t="n"/>
      <c r="AM202" s="44" t="n"/>
      <c r="AN202" s="45" t="n"/>
      <c r="AO202" s="44" t="n"/>
      <c r="AP202" s="44" t="n"/>
      <c r="AQ202" s="44" t="n"/>
      <c r="AR202" s="44" t="n"/>
      <c r="AS202" s="44" t="n"/>
    </row>
    <row r="203">
      <c r="A203" s="44" t="n"/>
      <c r="B203" s="44" t="n"/>
      <c r="C203" s="44" t="n"/>
      <c r="D203" s="44" t="n"/>
      <c r="E203" s="44" t="n"/>
      <c r="F203" s="44" t="n"/>
      <c r="G203" s="45" t="n"/>
      <c r="H203" s="45" t="n"/>
      <c r="I203" s="85" t="n"/>
      <c r="J203" s="44" t="n"/>
      <c r="K203" s="44" t="n"/>
      <c r="L203" s="44" t="n"/>
      <c r="M203" s="45" t="n"/>
      <c r="N203" s="44" t="n"/>
      <c r="O203" s="86" t="n"/>
      <c r="P203" s="44" t="n"/>
      <c r="Q203" s="45" t="n"/>
      <c r="R203" s="85" t="n"/>
      <c r="S203" s="85" t="n"/>
      <c r="T203" s="85" t="n"/>
      <c r="U203" s="85" t="n"/>
      <c r="V203" s="85" t="n"/>
      <c r="W203" s="86" t="n"/>
      <c r="X203" s="44" t="n"/>
      <c r="Y203" s="44" t="n"/>
      <c r="Z203" s="44" t="n"/>
      <c r="AA203" s="85" t="n"/>
      <c r="AB203" s="45" t="n"/>
      <c r="AC203" s="86" t="n"/>
      <c r="AD203" s="44" t="n"/>
      <c r="AE203" s="87" t="n"/>
      <c r="AF203" s="44" t="n"/>
      <c r="AG203" s="44" t="n"/>
      <c r="AH203" s="87" t="n"/>
      <c r="AI203" s="44" t="n"/>
      <c r="AJ203" s="45" t="n"/>
      <c r="AK203" s="45" t="n"/>
      <c r="AL203" s="45" t="n"/>
      <c r="AM203" s="44" t="n"/>
      <c r="AN203" s="45" t="n"/>
      <c r="AO203" s="44" t="n"/>
      <c r="AP203" s="44" t="n"/>
      <c r="AQ203" s="44" t="n"/>
      <c r="AR203" s="44" t="n"/>
      <c r="AS203" s="44" t="n"/>
    </row>
    <row r="204">
      <c r="A204" s="44" t="n"/>
      <c r="B204" s="44" t="n"/>
      <c r="C204" s="44" t="n"/>
      <c r="D204" s="44" t="n"/>
      <c r="E204" s="44" t="n"/>
      <c r="F204" s="44" t="n"/>
      <c r="G204" s="45" t="n"/>
      <c r="H204" s="45" t="n"/>
      <c r="I204" s="85" t="n"/>
      <c r="J204" s="44" t="n"/>
      <c r="K204" s="44" t="n"/>
      <c r="L204" s="44" t="n"/>
      <c r="M204" s="45" t="n"/>
      <c r="N204" s="44" t="n"/>
      <c r="O204" s="86" t="n"/>
      <c r="P204" s="44" t="n"/>
      <c r="Q204" s="45" t="n"/>
      <c r="R204" s="85" t="n"/>
      <c r="S204" s="85" t="n"/>
      <c r="T204" s="85" t="n"/>
      <c r="U204" s="85" t="n"/>
      <c r="V204" s="85" t="n"/>
      <c r="W204" s="86" t="n"/>
      <c r="X204" s="44" t="n"/>
      <c r="Y204" s="44" t="n"/>
      <c r="Z204" s="44" t="n"/>
      <c r="AA204" s="85" t="n"/>
      <c r="AB204" s="45" t="n"/>
      <c r="AC204" s="86" t="n"/>
      <c r="AD204" s="44" t="n"/>
      <c r="AE204" s="87" t="n"/>
      <c r="AF204" s="44" t="n"/>
      <c r="AG204" s="44" t="n"/>
      <c r="AH204" s="87" t="n"/>
      <c r="AI204" s="44" t="n"/>
      <c r="AJ204" s="45" t="n"/>
      <c r="AK204" s="45" t="n"/>
      <c r="AL204" s="45" t="n"/>
      <c r="AM204" s="44" t="n"/>
      <c r="AN204" s="45" t="n"/>
      <c r="AO204" s="44" t="n"/>
      <c r="AP204" s="44" t="n"/>
      <c r="AQ204" s="44" t="n"/>
      <c r="AR204" s="44" t="n"/>
      <c r="AS204" s="44" t="n"/>
    </row>
    <row r="205">
      <c r="A205" s="44" t="n"/>
      <c r="B205" s="44" t="n"/>
      <c r="C205" s="44" t="n"/>
      <c r="D205" s="44" t="n"/>
      <c r="E205" s="44" t="n"/>
      <c r="F205" s="44" t="n"/>
      <c r="G205" s="45" t="n"/>
      <c r="H205" s="45" t="n"/>
      <c r="I205" s="85" t="n"/>
      <c r="J205" s="44" t="n"/>
      <c r="K205" s="44" t="n"/>
      <c r="L205" s="44" t="n"/>
      <c r="M205" s="45" t="n"/>
      <c r="N205" s="44" t="n"/>
      <c r="O205" s="86" t="n"/>
      <c r="P205" s="44" t="n"/>
      <c r="Q205" s="45" t="n"/>
      <c r="R205" s="85" t="n"/>
      <c r="S205" s="85" t="n"/>
      <c r="T205" s="85" t="n"/>
      <c r="U205" s="85" t="n"/>
      <c r="V205" s="85" t="n"/>
      <c r="W205" s="86" t="n"/>
      <c r="X205" s="44" t="n"/>
      <c r="Y205" s="44" t="n"/>
      <c r="Z205" s="44" t="n"/>
      <c r="AA205" s="85" t="n"/>
      <c r="AB205" s="45" t="n"/>
      <c r="AC205" s="86" t="n"/>
      <c r="AD205" s="44" t="n"/>
      <c r="AE205" s="87" t="n"/>
      <c r="AF205" s="44" t="n"/>
      <c r="AG205" s="44" t="n"/>
      <c r="AH205" s="87" t="n"/>
      <c r="AI205" s="44" t="n"/>
      <c r="AJ205" s="45" t="n"/>
      <c r="AK205" s="45" t="n"/>
      <c r="AL205" s="45" t="n"/>
      <c r="AM205" s="44" t="n"/>
      <c r="AN205" s="45" t="n"/>
      <c r="AO205" s="44" t="n"/>
      <c r="AP205" s="44" t="n"/>
      <c r="AQ205" s="44" t="n"/>
      <c r="AR205" s="44" t="n"/>
      <c r="AS205" s="44" t="n"/>
    </row>
    <row r="206">
      <c r="A206" s="44" t="n"/>
      <c r="B206" s="44" t="n"/>
      <c r="C206" s="44" t="n"/>
      <c r="D206" s="44" t="n"/>
      <c r="E206" s="44" t="n"/>
      <c r="F206" s="44" t="n"/>
      <c r="G206" s="45" t="n"/>
      <c r="H206" s="45" t="n"/>
      <c r="I206" s="85" t="n"/>
      <c r="J206" s="44" t="n"/>
      <c r="K206" s="44" t="n"/>
      <c r="L206" s="44" t="n"/>
      <c r="M206" s="45" t="n"/>
      <c r="N206" s="44" t="n"/>
      <c r="O206" s="86" t="n"/>
      <c r="P206" s="44" t="n"/>
      <c r="Q206" s="45" t="n"/>
      <c r="R206" s="85" t="n"/>
      <c r="S206" s="85" t="n"/>
      <c r="T206" s="85" t="n"/>
      <c r="U206" s="85" t="n"/>
      <c r="V206" s="85" t="n"/>
      <c r="W206" s="86" t="n"/>
      <c r="X206" s="44" t="n"/>
      <c r="Y206" s="44" t="n"/>
      <c r="Z206" s="44" t="n"/>
      <c r="AA206" s="85" t="n"/>
      <c r="AB206" s="45" t="n"/>
      <c r="AC206" s="86" t="n"/>
      <c r="AD206" s="44" t="n"/>
      <c r="AE206" s="87" t="n"/>
      <c r="AF206" s="44" t="n"/>
      <c r="AG206" s="44" t="n"/>
      <c r="AH206" s="87" t="n"/>
      <c r="AI206" s="44" t="n"/>
      <c r="AJ206" s="45" t="n"/>
      <c r="AK206" s="45" t="n"/>
      <c r="AL206" s="45" t="n"/>
      <c r="AM206" s="44" t="n"/>
      <c r="AN206" s="45" t="n"/>
      <c r="AO206" s="44" t="n"/>
      <c r="AP206" s="44" t="n"/>
      <c r="AQ206" s="44" t="n"/>
      <c r="AR206" s="44" t="n"/>
      <c r="AS206" s="44" t="n"/>
    </row>
    <row r="207">
      <c r="A207" s="44" t="n"/>
      <c r="B207" s="44" t="n"/>
      <c r="C207" s="44" t="n"/>
      <c r="D207" s="44" t="n"/>
      <c r="E207" s="44" t="n"/>
      <c r="F207" s="44" t="n"/>
      <c r="G207" s="45" t="n"/>
      <c r="H207" s="45" t="n"/>
      <c r="I207" s="85" t="n"/>
      <c r="J207" s="44" t="n"/>
      <c r="K207" s="44" t="n"/>
      <c r="L207" s="44" t="n"/>
      <c r="M207" s="45" t="n"/>
      <c r="N207" s="44" t="n"/>
      <c r="O207" s="86" t="n"/>
      <c r="P207" s="44" t="n"/>
      <c r="Q207" s="45" t="n"/>
      <c r="R207" s="85" t="n"/>
      <c r="S207" s="85" t="n"/>
      <c r="T207" s="85" t="n"/>
      <c r="U207" s="85" t="n"/>
      <c r="V207" s="85" t="n"/>
      <c r="W207" s="86" t="n"/>
      <c r="X207" s="44" t="n"/>
      <c r="Y207" s="44" t="n"/>
      <c r="Z207" s="44" t="n"/>
      <c r="AA207" s="85" t="n"/>
      <c r="AB207" s="45" t="n"/>
      <c r="AC207" s="86" t="n"/>
      <c r="AD207" s="44" t="n"/>
      <c r="AE207" s="87" t="n"/>
      <c r="AF207" s="44" t="n"/>
      <c r="AG207" s="44" t="n"/>
      <c r="AH207" s="87" t="n"/>
      <c r="AI207" s="44" t="n"/>
      <c r="AJ207" s="45" t="n"/>
      <c r="AK207" s="45" t="n"/>
      <c r="AL207" s="45" t="n"/>
      <c r="AM207" s="44" t="n"/>
      <c r="AN207" s="45" t="n"/>
      <c r="AO207" s="44" t="n"/>
      <c r="AP207" s="44" t="n"/>
      <c r="AQ207" s="44" t="n"/>
      <c r="AR207" s="44" t="n"/>
      <c r="AS207" s="44" t="n"/>
    </row>
    <row r="208">
      <c r="A208" s="44" t="n"/>
      <c r="B208" s="44" t="n"/>
      <c r="C208" s="44" t="n"/>
      <c r="D208" s="44" t="n"/>
      <c r="E208" s="44" t="n"/>
      <c r="F208" s="44" t="n"/>
      <c r="G208" s="45" t="n"/>
      <c r="H208" s="45" t="n"/>
      <c r="I208" s="85" t="n"/>
      <c r="J208" s="44" t="n"/>
      <c r="K208" s="44" t="n"/>
      <c r="L208" s="44" t="n"/>
      <c r="M208" s="45" t="n"/>
      <c r="N208" s="44" t="n"/>
      <c r="O208" s="86" t="n"/>
      <c r="P208" s="44" t="n"/>
      <c r="Q208" s="45" t="n"/>
      <c r="R208" s="85" t="n"/>
      <c r="S208" s="85" t="n"/>
      <c r="T208" s="85" t="n"/>
      <c r="U208" s="85" t="n"/>
      <c r="V208" s="85" t="n"/>
      <c r="W208" s="86" t="n"/>
      <c r="X208" s="44" t="n"/>
      <c r="Y208" s="44" t="n"/>
      <c r="Z208" s="44" t="n"/>
      <c r="AA208" s="85" t="n"/>
      <c r="AB208" s="45" t="n"/>
      <c r="AC208" s="86" t="n"/>
      <c r="AD208" s="44" t="n"/>
      <c r="AE208" s="87" t="n"/>
      <c r="AF208" s="44" t="n"/>
      <c r="AG208" s="44" t="n"/>
      <c r="AH208" s="87" t="n"/>
      <c r="AI208" s="44" t="n"/>
      <c r="AJ208" s="45" t="n"/>
      <c r="AK208" s="45" t="n"/>
      <c r="AL208" s="45" t="n"/>
      <c r="AM208" s="44" t="n"/>
      <c r="AN208" s="45" t="n"/>
      <c r="AO208" s="44" t="n"/>
      <c r="AP208" s="44" t="n"/>
      <c r="AQ208" s="44" t="n"/>
      <c r="AR208" s="44" t="n"/>
      <c r="AS208" s="44" t="n"/>
    </row>
    <row r="209">
      <c r="A209" s="44" t="n"/>
      <c r="B209" s="44" t="n"/>
      <c r="C209" s="44" t="n"/>
      <c r="D209" s="44" t="n"/>
      <c r="E209" s="44" t="n"/>
      <c r="F209" s="44" t="n"/>
      <c r="G209" s="45" t="n"/>
      <c r="H209" s="45" t="n"/>
      <c r="I209" s="85" t="n"/>
      <c r="J209" s="44" t="n"/>
      <c r="K209" s="44" t="n"/>
      <c r="L209" s="44" t="n"/>
      <c r="M209" s="45" t="n"/>
      <c r="N209" s="44" t="n"/>
      <c r="O209" s="86" t="n"/>
      <c r="P209" s="44" t="n"/>
      <c r="Q209" s="45" t="n"/>
      <c r="R209" s="85" t="n"/>
      <c r="S209" s="85" t="n"/>
      <c r="T209" s="85" t="n"/>
      <c r="U209" s="85" t="n"/>
      <c r="V209" s="85" t="n"/>
      <c r="W209" s="86" t="n"/>
      <c r="X209" s="44" t="n"/>
      <c r="Y209" s="44" t="n"/>
      <c r="Z209" s="44" t="n"/>
      <c r="AA209" s="85" t="n"/>
      <c r="AB209" s="45" t="n"/>
      <c r="AC209" s="86" t="n"/>
      <c r="AD209" s="44" t="n"/>
      <c r="AE209" s="87" t="n"/>
      <c r="AF209" s="44" t="n"/>
      <c r="AG209" s="44" t="n"/>
      <c r="AH209" s="87" t="n"/>
      <c r="AI209" s="44" t="n"/>
      <c r="AJ209" s="45" t="n"/>
      <c r="AK209" s="45" t="n"/>
      <c r="AL209" s="45" t="n"/>
      <c r="AM209" s="44" t="n"/>
      <c r="AN209" s="45" t="n"/>
      <c r="AO209" s="44" t="n"/>
      <c r="AP209" s="44" t="n"/>
      <c r="AQ209" s="44" t="n"/>
      <c r="AR209" s="44" t="n"/>
      <c r="AS209" s="44" t="n"/>
    </row>
    <row r="210">
      <c r="A210" s="44" t="n"/>
      <c r="B210" s="44" t="n"/>
      <c r="C210" s="44" t="n"/>
      <c r="D210" s="44" t="n"/>
      <c r="E210" s="44" t="n"/>
      <c r="F210" s="44" t="n"/>
      <c r="G210" s="45" t="n"/>
      <c r="H210" s="45" t="n"/>
      <c r="I210" s="85" t="n"/>
      <c r="J210" s="44" t="n"/>
      <c r="K210" s="44" t="n"/>
      <c r="L210" s="44" t="n"/>
      <c r="M210" s="45" t="n"/>
      <c r="N210" s="44" t="n"/>
      <c r="O210" s="86" t="n"/>
      <c r="P210" s="44" t="n"/>
      <c r="Q210" s="45" t="n"/>
      <c r="R210" s="85" t="n"/>
      <c r="S210" s="85" t="n"/>
      <c r="T210" s="85" t="n"/>
      <c r="U210" s="85" t="n"/>
      <c r="V210" s="85" t="n"/>
      <c r="W210" s="86" t="n"/>
      <c r="X210" s="44" t="n"/>
      <c r="Y210" s="44" t="n"/>
      <c r="Z210" s="44" t="n"/>
      <c r="AA210" s="85" t="n"/>
      <c r="AB210" s="45" t="n"/>
      <c r="AC210" s="86" t="n"/>
      <c r="AD210" s="44" t="n"/>
      <c r="AE210" s="87" t="n"/>
      <c r="AF210" s="44" t="n"/>
      <c r="AG210" s="44" t="n"/>
      <c r="AH210" s="87" t="n"/>
      <c r="AI210" s="44" t="n"/>
      <c r="AJ210" s="45" t="n"/>
      <c r="AK210" s="45" t="n"/>
      <c r="AL210" s="45" t="n"/>
      <c r="AM210" s="44" t="n"/>
      <c r="AN210" s="45" t="n"/>
      <c r="AO210" s="44" t="n"/>
      <c r="AP210" s="44" t="n"/>
      <c r="AQ210" s="44" t="n"/>
      <c r="AR210" s="44" t="n"/>
      <c r="AS210" s="44" t="n"/>
    </row>
    <row r="211">
      <c r="A211" s="44" t="n"/>
      <c r="B211" s="44" t="n"/>
      <c r="C211" s="44" t="n"/>
      <c r="D211" s="44" t="n"/>
      <c r="E211" s="44" t="n"/>
      <c r="F211" s="44" t="n"/>
      <c r="G211" s="45" t="n"/>
      <c r="H211" s="45" t="n"/>
      <c r="I211" s="85" t="n"/>
      <c r="J211" s="44" t="n"/>
      <c r="K211" s="44" t="n"/>
      <c r="L211" s="44" t="n"/>
      <c r="M211" s="45" t="n"/>
      <c r="N211" s="44" t="n"/>
      <c r="O211" s="86" t="n"/>
      <c r="P211" s="44" t="n"/>
      <c r="Q211" s="45" t="n"/>
      <c r="R211" s="85" t="n"/>
      <c r="S211" s="85" t="n"/>
      <c r="T211" s="85" t="n"/>
      <c r="U211" s="85" t="n"/>
      <c r="V211" s="85" t="n"/>
      <c r="W211" s="86" t="n"/>
      <c r="X211" s="44" t="n"/>
      <c r="Y211" s="44" t="n"/>
      <c r="Z211" s="44" t="n"/>
      <c r="AA211" s="85" t="n"/>
      <c r="AB211" s="45" t="n"/>
      <c r="AC211" s="86" t="n"/>
      <c r="AD211" s="44" t="n"/>
      <c r="AE211" s="87" t="n"/>
      <c r="AF211" s="44" t="n"/>
      <c r="AG211" s="44" t="n"/>
      <c r="AH211" s="87" t="n"/>
      <c r="AI211" s="44" t="n"/>
      <c r="AJ211" s="45" t="n"/>
      <c r="AK211" s="45" t="n"/>
      <c r="AL211" s="45" t="n"/>
      <c r="AM211" s="44" t="n"/>
      <c r="AN211" s="45" t="n"/>
      <c r="AO211" s="44" t="n"/>
      <c r="AP211" s="44" t="n"/>
      <c r="AQ211" s="44" t="n"/>
      <c r="AR211" s="44" t="n"/>
      <c r="AS211" s="44" t="n"/>
    </row>
    <row r="212">
      <c r="A212" s="44" t="n"/>
      <c r="B212" s="44" t="n"/>
      <c r="C212" s="44" t="n"/>
      <c r="D212" s="44" t="n"/>
      <c r="E212" s="44" t="n"/>
      <c r="F212" s="44" t="n"/>
      <c r="G212" s="45" t="n"/>
      <c r="H212" s="45" t="n"/>
      <c r="I212" s="85" t="n"/>
      <c r="J212" s="44" t="n"/>
      <c r="K212" s="44" t="n"/>
      <c r="L212" s="44" t="n"/>
      <c r="M212" s="45" t="n"/>
      <c r="N212" s="44" t="n"/>
      <c r="O212" s="86" t="n"/>
      <c r="P212" s="44" t="n"/>
      <c r="Q212" s="45" t="n"/>
      <c r="R212" s="85" t="n"/>
      <c r="S212" s="85" t="n"/>
      <c r="T212" s="85" t="n"/>
      <c r="U212" s="85" t="n"/>
      <c r="V212" s="85" t="n"/>
      <c r="W212" s="86" t="n"/>
      <c r="X212" s="44" t="n"/>
      <c r="Y212" s="44" t="n"/>
      <c r="Z212" s="44" t="n"/>
      <c r="AA212" s="85" t="n"/>
      <c r="AB212" s="45" t="n"/>
      <c r="AC212" s="86" t="n"/>
      <c r="AD212" s="44" t="n"/>
      <c r="AE212" s="87" t="n"/>
      <c r="AF212" s="44" t="n"/>
      <c r="AG212" s="44" t="n"/>
      <c r="AH212" s="87" t="n"/>
      <c r="AI212" s="44" t="n"/>
      <c r="AJ212" s="45" t="n"/>
      <c r="AK212" s="45" t="n"/>
      <c r="AL212" s="45" t="n"/>
      <c r="AM212" s="44" t="n"/>
      <c r="AN212" s="45" t="n"/>
      <c r="AO212" s="44" t="n"/>
      <c r="AP212" s="44" t="n"/>
      <c r="AQ212" s="44" t="n"/>
      <c r="AR212" s="44" t="n"/>
      <c r="AS212" s="44" t="n"/>
    </row>
    <row r="213">
      <c r="A213" s="44" t="n"/>
      <c r="B213" s="44" t="n"/>
      <c r="C213" s="44" t="n"/>
      <c r="D213" s="44" t="n"/>
      <c r="E213" s="44" t="n"/>
      <c r="F213" s="44" t="n"/>
      <c r="G213" s="45" t="n"/>
      <c r="H213" s="45" t="n"/>
      <c r="I213" s="85" t="n"/>
      <c r="J213" s="44" t="n"/>
      <c r="K213" s="44" t="n"/>
      <c r="L213" s="44" t="n"/>
      <c r="M213" s="45" t="n"/>
      <c r="N213" s="44" t="n"/>
      <c r="O213" s="86" t="n"/>
      <c r="P213" s="44" t="n"/>
      <c r="Q213" s="45" t="n"/>
      <c r="R213" s="85" t="n"/>
      <c r="S213" s="85" t="n"/>
      <c r="T213" s="85" t="n"/>
      <c r="U213" s="85" t="n"/>
      <c r="V213" s="85" t="n"/>
      <c r="W213" s="86" t="n"/>
      <c r="X213" s="44" t="n"/>
      <c r="Y213" s="44" t="n"/>
      <c r="Z213" s="44" t="n"/>
      <c r="AA213" s="85" t="n"/>
      <c r="AB213" s="45" t="n"/>
      <c r="AC213" s="86" t="n"/>
      <c r="AD213" s="44" t="n"/>
      <c r="AE213" s="87" t="n"/>
      <c r="AF213" s="44" t="n"/>
      <c r="AG213" s="44" t="n"/>
      <c r="AH213" s="87" t="n"/>
      <c r="AI213" s="44" t="n"/>
      <c r="AJ213" s="45" t="n"/>
      <c r="AK213" s="45" t="n"/>
      <c r="AL213" s="45" t="n"/>
      <c r="AM213" s="44" t="n"/>
      <c r="AN213" s="45" t="n"/>
      <c r="AO213" s="44" t="n"/>
      <c r="AP213" s="44" t="n"/>
      <c r="AQ213" s="44" t="n"/>
      <c r="AR213" s="44" t="n"/>
      <c r="AS213" s="44" t="n"/>
    </row>
    <row r="214">
      <c r="A214" s="44" t="n"/>
      <c r="B214" s="44" t="n"/>
      <c r="C214" s="44" t="n"/>
      <c r="D214" s="44" t="n"/>
      <c r="E214" s="44" t="n"/>
      <c r="F214" s="44" t="n"/>
      <c r="G214" s="45" t="n"/>
      <c r="H214" s="45" t="n"/>
      <c r="I214" s="85" t="n"/>
      <c r="J214" s="44" t="n"/>
      <c r="K214" s="44" t="n"/>
      <c r="L214" s="44" t="n"/>
      <c r="M214" s="45" t="n"/>
      <c r="N214" s="44" t="n"/>
      <c r="O214" s="86" t="n"/>
      <c r="P214" s="44" t="n"/>
      <c r="Q214" s="45" t="n"/>
      <c r="R214" s="85" t="n"/>
      <c r="S214" s="85" t="n"/>
      <c r="T214" s="85" t="n"/>
      <c r="U214" s="85" t="n"/>
      <c r="V214" s="85" t="n"/>
      <c r="W214" s="86" t="n"/>
      <c r="X214" s="44" t="n"/>
      <c r="Y214" s="44" t="n"/>
      <c r="Z214" s="44" t="n"/>
      <c r="AA214" s="85" t="n"/>
      <c r="AB214" s="45" t="n"/>
      <c r="AC214" s="86" t="n"/>
      <c r="AD214" s="44" t="n"/>
      <c r="AE214" s="87" t="n"/>
      <c r="AF214" s="44" t="n"/>
      <c r="AG214" s="44" t="n"/>
      <c r="AH214" s="87" t="n"/>
      <c r="AI214" s="44" t="n"/>
      <c r="AJ214" s="45" t="n"/>
      <c r="AK214" s="45" t="n"/>
      <c r="AL214" s="45" t="n"/>
      <c r="AM214" s="44" t="n"/>
      <c r="AN214" s="45" t="n"/>
      <c r="AO214" s="44" t="n"/>
      <c r="AP214" s="44" t="n"/>
      <c r="AQ214" s="44" t="n"/>
      <c r="AR214" s="44" t="n"/>
      <c r="AS214" s="44" t="n"/>
    </row>
    <row r="215">
      <c r="A215" s="44" t="n"/>
      <c r="B215" s="44" t="n"/>
      <c r="C215" s="44" t="n"/>
      <c r="D215" s="44" t="n"/>
      <c r="E215" s="44" t="n"/>
      <c r="F215" s="44" t="n"/>
      <c r="G215" s="45" t="n"/>
      <c r="H215" s="45" t="n"/>
      <c r="I215" s="85" t="n"/>
      <c r="J215" s="44" t="n"/>
      <c r="K215" s="44" t="n"/>
      <c r="L215" s="44" t="n"/>
      <c r="M215" s="45" t="n"/>
      <c r="N215" s="44" t="n"/>
      <c r="O215" s="86" t="n"/>
      <c r="P215" s="44" t="n"/>
      <c r="Q215" s="45" t="n"/>
      <c r="R215" s="85" t="n"/>
      <c r="S215" s="85" t="n"/>
      <c r="T215" s="85" t="n"/>
      <c r="U215" s="85" t="n"/>
      <c r="V215" s="85" t="n"/>
      <c r="W215" s="86" t="n"/>
      <c r="X215" s="44" t="n"/>
      <c r="Y215" s="44" t="n"/>
      <c r="Z215" s="44" t="n"/>
      <c r="AA215" s="85" t="n"/>
      <c r="AB215" s="45" t="n"/>
      <c r="AC215" s="86" t="n"/>
      <c r="AD215" s="44" t="n"/>
      <c r="AE215" s="87" t="n"/>
      <c r="AF215" s="44" t="n"/>
      <c r="AG215" s="44" t="n"/>
      <c r="AH215" s="87" t="n"/>
      <c r="AI215" s="44" t="n"/>
      <c r="AJ215" s="45" t="n"/>
      <c r="AK215" s="45" t="n"/>
      <c r="AL215" s="45" t="n"/>
      <c r="AM215" s="44" t="n"/>
      <c r="AN215" s="45" t="n"/>
      <c r="AO215" s="44" t="n"/>
      <c r="AP215" s="44" t="n"/>
      <c r="AQ215" s="44" t="n"/>
      <c r="AR215" s="44" t="n"/>
      <c r="AS215" s="44" t="n"/>
    </row>
    <row r="216">
      <c r="A216" s="44" t="n"/>
      <c r="B216" s="44" t="n"/>
      <c r="C216" s="44" t="n"/>
      <c r="D216" s="44" t="n"/>
      <c r="E216" s="44" t="n"/>
      <c r="F216" s="44" t="n"/>
      <c r="G216" s="45" t="n"/>
      <c r="H216" s="45" t="n"/>
      <c r="I216" s="85" t="n"/>
      <c r="J216" s="44" t="n"/>
      <c r="K216" s="44" t="n"/>
      <c r="L216" s="44" t="n"/>
      <c r="M216" s="45" t="n"/>
      <c r="N216" s="44" t="n"/>
      <c r="O216" s="86" t="n"/>
      <c r="P216" s="44" t="n"/>
      <c r="Q216" s="45" t="n"/>
      <c r="R216" s="85" t="n"/>
      <c r="S216" s="85" t="n"/>
      <c r="T216" s="85" t="n"/>
      <c r="U216" s="85" t="n"/>
      <c r="V216" s="85" t="n"/>
      <c r="W216" s="86" t="n"/>
      <c r="X216" s="44" t="n"/>
      <c r="Y216" s="44" t="n"/>
      <c r="Z216" s="44" t="n"/>
      <c r="AA216" s="85" t="n"/>
      <c r="AB216" s="45" t="n"/>
      <c r="AC216" s="86" t="n"/>
      <c r="AD216" s="44" t="n"/>
      <c r="AE216" s="87" t="n"/>
      <c r="AF216" s="44" t="n"/>
      <c r="AG216" s="44" t="n"/>
      <c r="AH216" s="87" t="n"/>
      <c r="AI216" s="44" t="n"/>
      <c r="AJ216" s="45" t="n"/>
      <c r="AK216" s="45" t="n"/>
      <c r="AL216" s="45" t="n"/>
      <c r="AM216" s="44" t="n"/>
      <c r="AN216" s="45" t="n"/>
      <c r="AO216" s="44" t="n"/>
      <c r="AP216" s="44" t="n"/>
      <c r="AQ216" s="44" t="n"/>
      <c r="AR216" s="44" t="n"/>
      <c r="AS216" s="44" t="n"/>
    </row>
    <row r="217">
      <c r="A217" s="44" t="n"/>
      <c r="B217" s="44" t="n"/>
      <c r="C217" s="44" t="n"/>
      <c r="D217" s="44" t="n"/>
      <c r="E217" s="44" t="n"/>
      <c r="F217" s="44" t="n"/>
      <c r="G217" s="45" t="n"/>
      <c r="H217" s="45" t="n"/>
      <c r="I217" s="85" t="n"/>
      <c r="J217" s="44" t="n"/>
      <c r="K217" s="44" t="n"/>
      <c r="L217" s="44" t="n"/>
      <c r="M217" s="45" t="n"/>
      <c r="N217" s="44" t="n"/>
      <c r="O217" s="86" t="n"/>
      <c r="P217" s="44" t="n"/>
      <c r="Q217" s="45" t="n"/>
      <c r="R217" s="85" t="n"/>
      <c r="S217" s="85" t="n"/>
      <c r="T217" s="85" t="n"/>
      <c r="U217" s="85" t="n"/>
      <c r="V217" s="85" t="n"/>
      <c r="W217" s="86" t="n"/>
      <c r="X217" s="44" t="n"/>
      <c r="Y217" s="44" t="n"/>
      <c r="Z217" s="44" t="n"/>
      <c r="AA217" s="85" t="n"/>
      <c r="AB217" s="45" t="n"/>
      <c r="AC217" s="86" t="n"/>
      <c r="AD217" s="44" t="n"/>
      <c r="AE217" s="87" t="n"/>
      <c r="AF217" s="44" t="n"/>
      <c r="AG217" s="44" t="n"/>
      <c r="AH217" s="87" t="n"/>
      <c r="AI217" s="44" t="n"/>
      <c r="AJ217" s="45" t="n"/>
      <c r="AK217" s="45" t="n"/>
      <c r="AL217" s="45" t="n"/>
      <c r="AM217" s="44" t="n"/>
      <c r="AN217" s="45" t="n"/>
      <c r="AO217" s="44" t="n"/>
      <c r="AP217" s="44" t="n"/>
      <c r="AQ217" s="44" t="n"/>
      <c r="AR217" s="44" t="n"/>
      <c r="AS217" s="44" t="n"/>
    </row>
    <row r="218">
      <c r="A218" s="44" t="n"/>
      <c r="B218" s="44" t="n"/>
      <c r="C218" s="44" t="n"/>
      <c r="D218" s="44" t="n"/>
      <c r="E218" s="44" t="n"/>
      <c r="F218" s="44" t="n"/>
      <c r="G218" s="45" t="n"/>
      <c r="H218" s="45" t="n"/>
      <c r="I218" s="85" t="n"/>
      <c r="J218" s="44" t="n"/>
      <c r="K218" s="44" t="n"/>
      <c r="L218" s="44" t="n"/>
      <c r="M218" s="45" t="n"/>
      <c r="N218" s="44" t="n"/>
      <c r="O218" s="86" t="n"/>
      <c r="P218" s="44" t="n"/>
      <c r="Q218" s="45" t="n"/>
      <c r="R218" s="85" t="n"/>
      <c r="S218" s="85" t="n"/>
      <c r="T218" s="85" t="n"/>
      <c r="U218" s="85" t="n"/>
      <c r="V218" s="85" t="n"/>
      <c r="W218" s="86" t="n"/>
      <c r="X218" s="44" t="n"/>
      <c r="Y218" s="44" t="n"/>
      <c r="Z218" s="44" t="n"/>
      <c r="AA218" s="85" t="n"/>
      <c r="AB218" s="45" t="n"/>
      <c r="AC218" s="86" t="n"/>
      <c r="AD218" s="44" t="n"/>
      <c r="AE218" s="87" t="n"/>
      <c r="AF218" s="44" t="n"/>
      <c r="AG218" s="44" t="n"/>
      <c r="AH218" s="87" t="n"/>
      <c r="AI218" s="44" t="n"/>
      <c r="AJ218" s="45" t="n"/>
      <c r="AK218" s="45" t="n"/>
      <c r="AL218" s="45" t="n"/>
      <c r="AM218" s="44" t="n"/>
      <c r="AN218" s="45" t="n"/>
      <c r="AO218" s="44" t="n"/>
      <c r="AP218" s="44" t="n"/>
      <c r="AQ218" s="44" t="n"/>
      <c r="AR218" s="44" t="n"/>
      <c r="AS218" s="44" t="n"/>
    </row>
    <row r="219">
      <c r="A219" s="44" t="n"/>
      <c r="B219" s="44" t="n"/>
      <c r="C219" s="44" t="n"/>
      <c r="D219" s="44" t="n"/>
      <c r="E219" s="44" t="n"/>
      <c r="F219" s="44" t="n"/>
      <c r="G219" s="45" t="n"/>
      <c r="H219" s="45" t="n"/>
      <c r="I219" s="85" t="n"/>
      <c r="J219" s="44" t="n"/>
      <c r="K219" s="44" t="n"/>
      <c r="L219" s="44" t="n"/>
      <c r="M219" s="45" t="n"/>
      <c r="N219" s="44" t="n"/>
      <c r="O219" s="86" t="n"/>
      <c r="P219" s="44" t="n"/>
      <c r="Q219" s="45" t="n"/>
      <c r="R219" s="85" t="n"/>
      <c r="S219" s="85" t="n"/>
      <c r="T219" s="85" t="n"/>
      <c r="U219" s="85" t="n"/>
      <c r="V219" s="85" t="n"/>
      <c r="W219" s="86" t="n"/>
      <c r="X219" s="44" t="n"/>
      <c r="Y219" s="44" t="n"/>
      <c r="Z219" s="44" t="n"/>
      <c r="AA219" s="85" t="n"/>
      <c r="AB219" s="45" t="n"/>
      <c r="AC219" s="86" t="n"/>
      <c r="AD219" s="44" t="n"/>
      <c r="AE219" s="87" t="n"/>
      <c r="AF219" s="44" t="n"/>
      <c r="AG219" s="44" t="n"/>
      <c r="AH219" s="87" t="n"/>
      <c r="AI219" s="44" t="n"/>
      <c r="AJ219" s="45" t="n"/>
      <c r="AK219" s="45" t="n"/>
      <c r="AL219" s="45" t="n"/>
      <c r="AM219" s="44" t="n"/>
      <c r="AN219" s="45" t="n"/>
      <c r="AO219" s="44" t="n"/>
      <c r="AP219" s="44" t="n"/>
      <c r="AQ219" s="44" t="n"/>
      <c r="AR219" s="44" t="n"/>
      <c r="AS219" s="44" t="n"/>
    </row>
    <row r="220">
      <c r="A220" s="44" t="n"/>
      <c r="B220" s="44" t="n"/>
      <c r="C220" s="44" t="n"/>
      <c r="D220" s="44" t="n"/>
      <c r="E220" s="44" t="n"/>
      <c r="F220" s="44" t="n"/>
      <c r="G220" s="45" t="n"/>
      <c r="H220" s="45" t="n"/>
      <c r="I220" s="85" t="n"/>
      <c r="J220" s="44" t="n"/>
      <c r="K220" s="44" t="n"/>
      <c r="L220" s="44" t="n"/>
      <c r="M220" s="45" t="n"/>
      <c r="N220" s="44" t="n"/>
      <c r="O220" s="86" t="n"/>
      <c r="P220" s="44" t="n"/>
      <c r="Q220" s="45" t="n"/>
      <c r="R220" s="85" t="n"/>
      <c r="S220" s="85" t="n"/>
      <c r="T220" s="85" t="n"/>
      <c r="U220" s="85" t="n"/>
      <c r="V220" s="85" t="n"/>
      <c r="W220" s="86" t="n"/>
      <c r="X220" s="44" t="n"/>
      <c r="Y220" s="44" t="n"/>
      <c r="Z220" s="44" t="n"/>
      <c r="AA220" s="85" t="n"/>
      <c r="AB220" s="45" t="n"/>
      <c r="AC220" s="86" t="n"/>
      <c r="AD220" s="44" t="n"/>
      <c r="AE220" s="87" t="n"/>
      <c r="AF220" s="44" t="n"/>
      <c r="AG220" s="44" t="n"/>
      <c r="AH220" s="87" t="n"/>
      <c r="AI220" s="44" t="n"/>
      <c r="AJ220" s="45" t="n"/>
      <c r="AK220" s="45" t="n"/>
      <c r="AL220" s="45" t="n"/>
      <c r="AM220" s="44" t="n"/>
      <c r="AN220" s="45" t="n"/>
      <c r="AO220" s="44" t="n"/>
      <c r="AP220" s="44" t="n"/>
      <c r="AQ220" s="44" t="n"/>
      <c r="AR220" s="44" t="n"/>
      <c r="AS220" s="44" t="n"/>
    </row>
    <row r="221">
      <c r="A221" s="44" t="n"/>
      <c r="B221" s="44" t="n"/>
      <c r="C221" s="44" t="n"/>
      <c r="D221" s="44" t="n"/>
      <c r="E221" s="44" t="n"/>
      <c r="F221" s="44" t="n"/>
      <c r="G221" s="45" t="n"/>
      <c r="H221" s="45" t="n"/>
      <c r="I221" s="85" t="n"/>
      <c r="J221" s="44" t="n"/>
      <c r="K221" s="44" t="n"/>
      <c r="L221" s="44" t="n"/>
      <c r="M221" s="45" t="n"/>
      <c r="N221" s="44" t="n"/>
      <c r="O221" s="86" t="n"/>
      <c r="P221" s="44" t="n"/>
      <c r="Q221" s="45" t="n"/>
      <c r="R221" s="85" t="n"/>
      <c r="S221" s="85" t="n"/>
      <c r="T221" s="85" t="n"/>
      <c r="U221" s="85" t="n"/>
      <c r="V221" s="85" t="n"/>
      <c r="W221" s="86" t="n"/>
      <c r="X221" s="44" t="n"/>
      <c r="Y221" s="44" t="n"/>
      <c r="Z221" s="44" t="n"/>
      <c r="AA221" s="85" t="n"/>
      <c r="AB221" s="45" t="n"/>
      <c r="AC221" s="86" t="n"/>
      <c r="AD221" s="44" t="n"/>
      <c r="AE221" s="87" t="n"/>
      <c r="AF221" s="44" t="n"/>
      <c r="AG221" s="44" t="n"/>
      <c r="AH221" s="87" t="n"/>
      <c r="AI221" s="44" t="n"/>
      <c r="AJ221" s="45" t="n"/>
      <c r="AK221" s="45" t="n"/>
      <c r="AL221" s="45" t="n"/>
      <c r="AM221" s="44" t="n"/>
      <c r="AN221" s="45" t="n"/>
      <c r="AO221" s="44" t="n"/>
      <c r="AP221" s="44" t="n"/>
      <c r="AQ221" s="44" t="n"/>
      <c r="AR221" s="44" t="n"/>
      <c r="AS221" s="44" t="n"/>
    </row>
    <row r="222">
      <c r="A222" s="44" t="n"/>
      <c r="B222" s="44" t="n"/>
      <c r="C222" s="44" t="n"/>
      <c r="D222" s="44" t="n"/>
      <c r="E222" s="44" t="n"/>
      <c r="F222" s="44" t="n"/>
      <c r="G222" s="45" t="n"/>
      <c r="H222" s="45" t="n"/>
      <c r="I222" s="85" t="n"/>
      <c r="J222" s="44" t="n"/>
      <c r="K222" s="44" t="n"/>
      <c r="L222" s="44" t="n"/>
      <c r="M222" s="45" t="n"/>
      <c r="N222" s="44" t="n"/>
      <c r="O222" s="86" t="n"/>
      <c r="P222" s="44" t="n"/>
      <c r="Q222" s="45" t="n"/>
      <c r="R222" s="85" t="n"/>
      <c r="S222" s="85" t="n"/>
      <c r="T222" s="85" t="n"/>
      <c r="U222" s="85" t="n"/>
      <c r="V222" s="85" t="n"/>
      <c r="W222" s="86" t="n"/>
      <c r="X222" s="44" t="n"/>
      <c r="Y222" s="44" t="n"/>
      <c r="Z222" s="44" t="n"/>
      <c r="AA222" s="85" t="n"/>
      <c r="AB222" s="45" t="n"/>
      <c r="AC222" s="86" t="n"/>
      <c r="AD222" s="44" t="n"/>
      <c r="AE222" s="87" t="n"/>
      <c r="AF222" s="44" t="n"/>
      <c r="AG222" s="44" t="n"/>
      <c r="AH222" s="87" t="n"/>
      <c r="AI222" s="44" t="n"/>
      <c r="AJ222" s="45" t="n"/>
      <c r="AK222" s="45" t="n"/>
      <c r="AL222" s="45" t="n"/>
      <c r="AM222" s="44" t="n"/>
      <c r="AN222" s="45" t="n"/>
      <c r="AO222" s="44" t="n"/>
      <c r="AP222" s="44" t="n"/>
      <c r="AQ222" s="44" t="n"/>
      <c r="AR222" s="44" t="n"/>
      <c r="AS222" s="44" t="n"/>
    </row>
    <row r="223">
      <c r="A223" s="44" t="n"/>
      <c r="B223" s="44" t="n"/>
      <c r="C223" s="44" t="n"/>
      <c r="D223" s="44" t="n"/>
      <c r="E223" s="44" t="n"/>
      <c r="F223" s="44" t="n"/>
      <c r="G223" s="45" t="n"/>
      <c r="H223" s="45" t="n"/>
      <c r="I223" s="85" t="n"/>
      <c r="J223" s="44" t="n"/>
      <c r="K223" s="44" t="n"/>
      <c r="L223" s="44" t="n"/>
      <c r="M223" s="45" t="n"/>
      <c r="N223" s="44" t="n"/>
      <c r="O223" s="86" t="n"/>
      <c r="P223" s="44" t="n"/>
      <c r="Q223" s="45" t="n"/>
      <c r="R223" s="85" t="n"/>
      <c r="S223" s="85" t="n"/>
      <c r="T223" s="85" t="n"/>
      <c r="U223" s="85" t="n"/>
      <c r="V223" s="85" t="n"/>
      <c r="W223" s="86" t="n"/>
      <c r="X223" s="44" t="n"/>
      <c r="Y223" s="44" t="n"/>
      <c r="Z223" s="44" t="n"/>
      <c r="AA223" s="85" t="n"/>
      <c r="AB223" s="45" t="n"/>
      <c r="AC223" s="86" t="n"/>
      <c r="AD223" s="44" t="n"/>
      <c r="AE223" s="87" t="n"/>
      <c r="AF223" s="44" t="n"/>
      <c r="AG223" s="44" t="n"/>
      <c r="AH223" s="87" t="n"/>
      <c r="AI223" s="44" t="n"/>
      <c r="AJ223" s="45" t="n"/>
      <c r="AK223" s="45" t="n"/>
      <c r="AL223" s="45" t="n"/>
      <c r="AM223" s="44" t="n"/>
      <c r="AN223" s="45" t="n"/>
      <c r="AO223" s="44" t="n"/>
      <c r="AP223" s="44" t="n"/>
      <c r="AQ223" s="44" t="n"/>
      <c r="AR223" s="44" t="n"/>
      <c r="AS223" s="44" t="n"/>
    </row>
    <row r="224">
      <c r="A224" s="44" t="n"/>
      <c r="B224" s="44" t="n"/>
      <c r="C224" s="44" t="n"/>
      <c r="D224" s="44" t="n"/>
      <c r="E224" s="44" t="n"/>
      <c r="F224" s="44" t="n"/>
      <c r="G224" s="45" t="n"/>
      <c r="H224" s="45" t="n"/>
      <c r="I224" s="85" t="n"/>
      <c r="J224" s="44" t="n"/>
      <c r="K224" s="44" t="n"/>
      <c r="L224" s="44" t="n"/>
      <c r="M224" s="45" t="n"/>
      <c r="N224" s="44" t="n"/>
      <c r="O224" s="86" t="n"/>
      <c r="P224" s="44" t="n"/>
      <c r="Q224" s="45" t="n"/>
      <c r="R224" s="85" t="n"/>
      <c r="S224" s="85" t="n"/>
      <c r="T224" s="85" t="n"/>
      <c r="U224" s="85" t="n"/>
      <c r="V224" s="85" t="n"/>
      <c r="W224" s="86" t="n"/>
      <c r="X224" s="44" t="n"/>
      <c r="Y224" s="44" t="n"/>
      <c r="Z224" s="44" t="n"/>
      <c r="AA224" s="85" t="n"/>
      <c r="AB224" s="45" t="n"/>
      <c r="AC224" s="86" t="n"/>
      <c r="AD224" s="44" t="n"/>
      <c r="AE224" s="87" t="n"/>
      <c r="AF224" s="44" t="n"/>
      <c r="AG224" s="44" t="n"/>
      <c r="AH224" s="87" t="n"/>
      <c r="AI224" s="44" t="n"/>
      <c r="AJ224" s="45" t="n"/>
      <c r="AK224" s="45" t="n"/>
      <c r="AL224" s="45" t="n"/>
      <c r="AM224" s="44" t="n"/>
      <c r="AN224" s="45" t="n"/>
      <c r="AO224" s="44" t="n"/>
      <c r="AP224" s="44" t="n"/>
      <c r="AQ224" s="44" t="n"/>
      <c r="AR224" s="44" t="n"/>
      <c r="AS224" s="44" t="n"/>
    </row>
    <row r="225">
      <c r="A225" s="44" t="n"/>
      <c r="B225" s="44" t="n"/>
      <c r="C225" s="44" t="n"/>
      <c r="D225" s="44" t="n"/>
      <c r="E225" s="44" t="n"/>
      <c r="F225" s="44" t="n"/>
      <c r="G225" s="45" t="n"/>
      <c r="H225" s="45" t="n"/>
      <c r="I225" s="85" t="n"/>
      <c r="J225" s="44" t="n"/>
      <c r="K225" s="44" t="n"/>
      <c r="L225" s="44" t="n"/>
      <c r="M225" s="45" t="n"/>
      <c r="N225" s="44" t="n"/>
      <c r="O225" s="86" t="n"/>
      <c r="P225" s="44" t="n"/>
      <c r="Q225" s="45" t="n"/>
      <c r="R225" s="85" t="n"/>
      <c r="S225" s="85" t="n"/>
      <c r="T225" s="85" t="n"/>
      <c r="U225" s="85" t="n"/>
      <c r="V225" s="85" t="n"/>
      <c r="W225" s="86" t="n"/>
      <c r="X225" s="44" t="n"/>
      <c r="Y225" s="44" t="n"/>
      <c r="Z225" s="44" t="n"/>
      <c r="AA225" s="85" t="n"/>
      <c r="AB225" s="45" t="n"/>
      <c r="AC225" s="86" t="n"/>
      <c r="AD225" s="44" t="n"/>
      <c r="AE225" s="87" t="n"/>
      <c r="AF225" s="44" t="n"/>
      <c r="AG225" s="44" t="n"/>
      <c r="AH225" s="87" t="n"/>
      <c r="AI225" s="44" t="n"/>
      <c r="AJ225" s="45" t="n"/>
      <c r="AK225" s="45" t="n"/>
      <c r="AL225" s="45" t="n"/>
      <c r="AM225" s="44" t="n"/>
      <c r="AN225" s="45" t="n"/>
      <c r="AO225" s="44" t="n"/>
      <c r="AP225" s="44" t="n"/>
      <c r="AQ225" s="44" t="n"/>
      <c r="AR225" s="44" t="n"/>
      <c r="AS225" s="44" t="n"/>
    </row>
    <row r="226">
      <c r="A226" s="44" t="n"/>
      <c r="B226" s="44" t="n"/>
      <c r="C226" s="44" t="n"/>
      <c r="D226" s="44" t="n"/>
      <c r="E226" s="44" t="n"/>
      <c r="F226" s="44" t="n"/>
      <c r="G226" s="45" t="n"/>
      <c r="H226" s="45" t="n"/>
      <c r="I226" s="85" t="n"/>
      <c r="J226" s="44" t="n"/>
      <c r="K226" s="44" t="n"/>
      <c r="L226" s="44" t="n"/>
      <c r="M226" s="45" t="n"/>
      <c r="N226" s="44" t="n"/>
      <c r="O226" s="86" t="n"/>
      <c r="P226" s="44" t="n"/>
      <c r="Q226" s="45" t="n"/>
      <c r="R226" s="85" t="n"/>
      <c r="S226" s="85" t="n"/>
      <c r="T226" s="85" t="n"/>
      <c r="U226" s="85" t="n"/>
      <c r="V226" s="85" t="n"/>
      <c r="W226" s="86" t="n"/>
      <c r="X226" s="44" t="n"/>
      <c r="Y226" s="44" t="n"/>
      <c r="Z226" s="44" t="n"/>
      <c r="AA226" s="85" t="n"/>
      <c r="AB226" s="45" t="n"/>
      <c r="AC226" s="86" t="n"/>
      <c r="AD226" s="44" t="n"/>
      <c r="AE226" s="87" t="n"/>
      <c r="AF226" s="44" t="n"/>
      <c r="AG226" s="44" t="n"/>
      <c r="AH226" s="87" t="n"/>
      <c r="AI226" s="44" t="n"/>
      <c r="AJ226" s="45" t="n"/>
      <c r="AK226" s="45" t="n"/>
      <c r="AL226" s="45" t="n"/>
      <c r="AM226" s="44" t="n"/>
      <c r="AN226" s="45" t="n"/>
      <c r="AO226" s="44" t="n"/>
      <c r="AP226" s="44" t="n"/>
      <c r="AQ226" s="44" t="n"/>
      <c r="AR226" s="44" t="n"/>
      <c r="AS226" s="44" t="n"/>
    </row>
    <row r="227">
      <c r="A227" s="44" t="n"/>
      <c r="B227" s="44" t="n"/>
      <c r="C227" s="44" t="n"/>
      <c r="D227" s="44" t="n"/>
      <c r="E227" s="44" t="n"/>
      <c r="F227" s="44" t="n"/>
      <c r="G227" s="45" t="n"/>
      <c r="H227" s="45" t="n"/>
      <c r="I227" s="85" t="n"/>
      <c r="J227" s="44" t="n"/>
      <c r="K227" s="44" t="n"/>
      <c r="L227" s="44" t="n"/>
      <c r="M227" s="45" t="n"/>
      <c r="N227" s="44" t="n"/>
      <c r="O227" s="86" t="n"/>
      <c r="P227" s="44" t="n"/>
      <c r="Q227" s="45" t="n"/>
      <c r="R227" s="85" t="n"/>
      <c r="S227" s="85" t="n"/>
      <c r="T227" s="85" t="n"/>
      <c r="U227" s="85" t="n"/>
      <c r="V227" s="85" t="n"/>
      <c r="W227" s="86" t="n"/>
      <c r="X227" s="44" t="n"/>
      <c r="Y227" s="44" t="n"/>
      <c r="Z227" s="44" t="n"/>
      <c r="AA227" s="85" t="n"/>
      <c r="AB227" s="45" t="n"/>
      <c r="AC227" s="86" t="n"/>
      <c r="AD227" s="44" t="n"/>
      <c r="AE227" s="87" t="n"/>
      <c r="AF227" s="44" t="n"/>
      <c r="AG227" s="44" t="n"/>
      <c r="AH227" s="87" t="n"/>
      <c r="AI227" s="44" t="n"/>
      <c r="AJ227" s="45" t="n"/>
      <c r="AK227" s="45" t="n"/>
      <c r="AL227" s="45" t="n"/>
      <c r="AM227" s="44" t="n"/>
      <c r="AN227" s="45" t="n"/>
      <c r="AO227" s="44" t="n"/>
      <c r="AP227" s="44" t="n"/>
      <c r="AQ227" s="44" t="n"/>
      <c r="AR227" s="44" t="n"/>
      <c r="AS227" s="44" t="n"/>
    </row>
    <row r="228">
      <c r="A228" s="44" t="n"/>
      <c r="B228" s="44" t="n"/>
      <c r="C228" s="44" t="n"/>
      <c r="D228" s="44" t="n"/>
      <c r="E228" s="44" t="n"/>
      <c r="F228" s="44" t="n"/>
      <c r="G228" s="45" t="n"/>
      <c r="H228" s="45" t="n"/>
      <c r="I228" s="85" t="n"/>
      <c r="J228" s="44" t="n"/>
      <c r="K228" s="44" t="n"/>
      <c r="L228" s="44" t="n"/>
      <c r="M228" s="45" t="n"/>
      <c r="N228" s="44" t="n"/>
      <c r="O228" s="86" t="n"/>
      <c r="P228" s="44" t="n"/>
      <c r="Q228" s="45" t="n"/>
      <c r="R228" s="85" t="n"/>
      <c r="S228" s="85" t="n"/>
      <c r="T228" s="85" t="n"/>
      <c r="U228" s="85" t="n"/>
      <c r="V228" s="85" t="n"/>
      <c r="W228" s="86" t="n"/>
      <c r="X228" s="44" t="n"/>
      <c r="Y228" s="44" t="n"/>
      <c r="Z228" s="44" t="n"/>
      <c r="AA228" s="85" t="n"/>
      <c r="AB228" s="45" t="n"/>
      <c r="AC228" s="86" t="n"/>
      <c r="AD228" s="44" t="n"/>
      <c r="AE228" s="87" t="n"/>
      <c r="AF228" s="44" t="n"/>
      <c r="AG228" s="44" t="n"/>
      <c r="AH228" s="87" t="n"/>
      <c r="AI228" s="44" t="n"/>
      <c r="AJ228" s="45" t="n"/>
      <c r="AK228" s="45" t="n"/>
      <c r="AL228" s="45" t="n"/>
      <c r="AM228" s="44" t="n"/>
      <c r="AN228" s="45" t="n"/>
      <c r="AO228" s="44" t="n"/>
      <c r="AP228" s="44" t="n"/>
      <c r="AQ228" s="44" t="n"/>
      <c r="AR228" s="44" t="n"/>
      <c r="AS228" s="44" t="n"/>
    </row>
    <row r="229">
      <c r="A229" s="44" t="n"/>
      <c r="B229" s="44" t="n"/>
      <c r="C229" s="44" t="n"/>
      <c r="D229" s="44" t="n"/>
      <c r="E229" s="44" t="n"/>
      <c r="F229" s="44" t="n"/>
      <c r="G229" s="45" t="n"/>
      <c r="H229" s="45" t="n"/>
      <c r="I229" s="85" t="n"/>
      <c r="J229" s="44" t="n"/>
      <c r="K229" s="44" t="n"/>
      <c r="L229" s="44" t="n"/>
      <c r="M229" s="45" t="n"/>
      <c r="N229" s="44" t="n"/>
      <c r="O229" s="86" t="n"/>
      <c r="P229" s="44" t="n"/>
      <c r="Q229" s="45" t="n"/>
      <c r="R229" s="85" t="n"/>
      <c r="S229" s="85" t="n"/>
      <c r="T229" s="85" t="n"/>
      <c r="U229" s="85" t="n"/>
      <c r="V229" s="85" t="n"/>
      <c r="W229" s="86" t="n"/>
      <c r="X229" s="44" t="n"/>
      <c r="Y229" s="44" t="n"/>
      <c r="Z229" s="44" t="n"/>
      <c r="AA229" s="85" t="n"/>
      <c r="AB229" s="45" t="n"/>
      <c r="AC229" s="86" t="n"/>
      <c r="AD229" s="44" t="n"/>
      <c r="AE229" s="87" t="n"/>
      <c r="AF229" s="44" t="n"/>
      <c r="AG229" s="44" t="n"/>
      <c r="AH229" s="87" t="n"/>
      <c r="AI229" s="44" t="n"/>
      <c r="AJ229" s="45" t="n"/>
      <c r="AK229" s="45" t="n"/>
      <c r="AL229" s="45" t="n"/>
      <c r="AM229" s="44" t="n"/>
      <c r="AN229" s="45" t="n"/>
      <c r="AO229" s="44" t="n"/>
      <c r="AP229" s="44" t="n"/>
      <c r="AQ229" s="44" t="n"/>
      <c r="AR229" s="44" t="n"/>
      <c r="AS229" s="44" t="n"/>
    </row>
    <row r="230">
      <c r="A230" s="44" t="n"/>
      <c r="B230" s="44" t="n"/>
      <c r="C230" s="44" t="n"/>
      <c r="D230" s="44" t="n"/>
      <c r="E230" s="44" t="n"/>
      <c r="F230" s="44" t="n"/>
      <c r="G230" s="45" t="n"/>
      <c r="H230" s="45" t="n"/>
      <c r="I230" s="85" t="n"/>
      <c r="J230" s="44" t="n"/>
      <c r="K230" s="44" t="n"/>
      <c r="L230" s="44" t="n"/>
      <c r="M230" s="45" t="n"/>
      <c r="N230" s="44" t="n"/>
      <c r="O230" s="86" t="n"/>
      <c r="P230" s="44" t="n"/>
      <c r="Q230" s="45" t="n"/>
      <c r="R230" s="85" t="n"/>
      <c r="S230" s="85" t="n"/>
      <c r="T230" s="85" t="n"/>
      <c r="U230" s="85" t="n"/>
      <c r="V230" s="85" t="n"/>
      <c r="W230" s="86" t="n"/>
      <c r="X230" s="44" t="n"/>
      <c r="Y230" s="44" t="n"/>
      <c r="Z230" s="44" t="n"/>
      <c r="AA230" s="85" t="n"/>
      <c r="AB230" s="45" t="n"/>
      <c r="AC230" s="86" t="n"/>
      <c r="AD230" s="44" t="n"/>
      <c r="AE230" s="87" t="n"/>
      <c r="AF230" s="44" t="n"/>
      <c r="AG230" s="44" t="n"/>
      <c r="AH230" s="87" t="n"/>
      <c r="AI230" s="44" t="n"/>
      <c r="AJ230" s="45" t="n"/>
      <c r="AK230" s="45" t="n"/>
      <c r="AL230" s="45" t="n"/>
      <c r="AM230" s="44" t="n"/>
      <c r="AN230" s="45" t="n"/>
      <c r="AO230" s="44" t="n"/>
      <c r="AP230" s="44" t="n"/>
      <c r="AQ230" s="44" t="n"/>
      <c r="AR230" s="44" t="n"/>
      <c r="AS230" s="44" t="n"/>
    </row>
    <row r="231">
      <c r="A231" s="44" t="n"/>
      <c r="B231" s="44" t="n"/>
      <c r="C231" s="44" t="n"/>
      <c r="D231" s="44" t="n"/>
      <c r="E231" s="44" t="n"/>
      <c r="F231" s="44" t="n"/>
      <c r="G231" s="45" t="n"/>
      <c r="H231" s="45" t="n"/>
      <c r="I231" s="85" t="n"/>
      <c r="J231" s="44" t="n"/>
      <c r="K231" s="44" t="n"/>
      <c r="L231" s="44" t="n"/>
      <c r="M231" s="45" t="n"/>
      <c r="N231" s="44" t="n"/>
      <c r="O231" s="86" t="n"/>
      <c r="P231" s="44" t="n"/>
      <c r="Q231" s="45" t="n"/>
      <c r="R231" s="85" t="n"/>
      <c r="S231" s="85" t="n"/>
      <c r="T231" s="85" t="n"/>
      <c r="U231" s="85" t="n"/>
      <c r="V231" s="85" t="n"/>
      <c r="W231" s="86" t="n"/>
      <c r="X231" s="44" t="n"/>
      <c r="Y231" s="44" t="n"/>
      <c r="Z231" s="44" t="n"/>
      <c r="AA231" s="85" t="n"/>
      <c r="AB231" s="45" t="n"/>
      <c r="AC231" s="86" t="n"/>
      <c r="AD231" s="44" t="n"/>
      <c r="AE231" s="87" t="n"/>
      <c r="AF231" s="44" t="n"/>
      <c r="AG231" s="44" t="n"/>
      <c r="AH231" s="87" t="n"/>
      <c r="AI231" s="44" t="n"/>
      <c r="AJ231" s="45" t="n"/>
      <c r="AK231" s="45" t="n"/>
      <c r="AL231" s="45" t="n"/>
      <c r="AM231" s="44" t="n"/>
      <c r="AN231" s="45" t="n"/>
      <c r="AO231" s="44" t="n"/>
      <c r="AP231" s="44" t="n"/>
      <c r="AQ231" s="44" t="n"/>
      <c r="AR231" s="44" t="n"/>
      <c r="AS231" s="44" t="n"/>
    </row>
    <row r="232">
      <c r="A232" s="44" t="n"/>
      <c r="B232" s="44" t="n"/>
      <c r="C232" s="44" t="n"/>
      <c r="D232" s="44" t="n"/>
      <c r="E232" s="44" t="n"/>
      <c r="F232" s="44" t="n"/>
      <c r="G232" s="45" t="n"/>
      <c r="H232" s="45" t="n"/>
      <c r="I232" s="85" t="n"/>
      <c r="J232" s="44" t="n"/>
      <c r="K232" s="44" t="n"/>
      <c r="L232" s="44" t="n"/>
      <c r="M232" s="45" t="n"/>
      <c r="N232" s="44" t="n"/>
      <c r="O232" s="86" t="n"/>
      <c r="P232" s="44" t="n"/>
      <c r="Q232" s="45" t="n"/>
      <c r="R232" s="85" t="n"/>
      <c r="S232" s="85" t="n"/>
      <c r="T232" s="85" t="n"/>
      <c r="U232" s="85" t="n"/>
      <c r="V232" s="85" t="n"/>
      <c r="W232" s="86" t="n"/>
      <c r="X232" s="44" t="n"/>
      <c r="Y232" s="44" t="n"/>
      <c r="Z232" s="44" t="n"/>
      <c r="AA232" s="85" t="n"/>
      <c r="AB232" s="45" t="n"/>
      <c r="AC232" s="86" t="n"/>
      <c r="AD232" s="44" t="n"/>
      <c r="AE232" s="87" t="n"/>
      <c r="AF232" s="44" t="n"/>
      <c r="AG232" s="44" t="n"/>
      <c r="AH232" s="87" t="n"/>
      <c r="AI232" s="44" t="n"/>
      <c r="AJ232" s="45" t="n"/>
      <c r="AK232" s="45" t="n"/>
      <c r="AL232" s="45" t="n"/>
      <c r="AM232" s="44" t="n"/>
      <c r="AN232" s="45" t="n"/>
      <c r="AO232" s="44" t="n"/>
      <c r="AP232" s="44" t="n"/>
      <c r="AQ232" s="44" t="n"/>
      <c r="AR232" s="44" t="n"/>
      <c r="AS232" s="44" t="n"/>
    </row>
    <row r="233">
      <c r="A233" s="44" t="n"/>
      <c r="B233" s="44" t="n"/>
      <c r="C233" s="44" t="n"/>
      <c r="D233" s="44" t="n"/>
      <c r="E233" s="44" t="n"/>
      <c r="F233" s="44" t="n"/>
      <c r="G233" s="45" t="n"/>
      <c r="H233" s="45" t="n"/>
      <c r="I233" s="85" t="n"/>
      <c r="J233" s="44" t="n"/>
      <c r="K233" s="44" t="n"/>
      <c r="L233" s="44" t="n"/>
      <c r="M233" s="45" t="n"/>
      <c r="N233" s="44" t="n"/>
      <c r="O233" s="86" t="n"/>
      <c r="P233" s="44" t="n"/>
      <c r="Q233" s="45" t="n"/>
      <c r="R233" s="85" t="n"/>
      <c r="S233" s="85" t="n"/>
      <c r="T233" s="85" t="n"/>
      <c r="U233" s="85" t="n"/>
      <c r="V233" s="85" t="n"/>
      <c r="W233" s="86" t="n"/>
      <c r="X233" s="44" t="n"/>
      <c r="Y233" s="44" t="n"/>
      <c r="Z233" s="44" t="n"/>
      <c r="AA233" s="85" t="n"/>
      <c r="AB233" s="45" t="n"/>
      <c r="AC233" s="86" t="n"/>
      <c r="AD233" s="44" t="n"/>
      <c r="AE233" s="87" t="n"/>
      <c r="AF233" s="44" t="n"/>
      <c r="AG233" s="44" t="n"/>
      <c r="AH233" s="87" t="n"/>
      <c r="AI233" s="44" t="n"/>
      <c r="AJ233" s="45" t="n"/>
      <c r="AK233" s="45" t="n"/>
      <c r="AL233" s="45" t="n"/>
      <c r="AM233" s="44" t="n"/>
      <c r="AN233" s="45" t="n"/>
      <c r="AO233" s="44" t="n"/>
      <c r="AP233" s="44" t="n"/>
      <c r="AQ233" s="44" t="n"/>
      <c r="AR233" s="44" t="n"/>
      <c r="AS233" s="44" t="n"/>
    </row>
    <row r="234">
      <c r="A234" s="44" t="n"/>
      <c r="B234" s="44" t="n"/>
      <c r="C234" s="44" t="n"/>
      <c r="D234" s="44" t="n"/>
      <c r="E234" s="44" t="n"/>
      <c r="F234" s="44" t="n"/>
      <c r="G234" s="45" t="n"/>
      <c r="H234" s="45" t="n"/>
      <c r="I234" s="85" t="n"/>
      <c r="J234" s="44" t="n"/>
      <c r="K234" s="44" t="n"/>
      <c r="L234" s="44" t="n"/>
      <c r="M234" s="45" t="n"/>
      <c r="N234" s="44" t="n"/>
      <c r="O234" s="86" t="n"/>
      <c r="P234" s="44" t="n"/>
      <c r="Q234" s="45" t="n"/>
      <c r="R234" s="85" t="n"/>
      <c r="S234" s="85" t="n"/>
      <c r="T234" s="85" t="n"/>
      <c r="U234" s="85" t="n"/>
      <c r="V234" s="85" t="n"/>
      <c r="W234" s="86" t="n"/>
      <c r="X234" s="44" t="n"/>
      <c r="Y234" s="44" t="n"/>
      <c r="Z234" s="44" t="n"/>
      <c r="AA234" s="85" t="n"/>
      <c r="AB234" s="45" t="n"/>
      <c r="AC234" s="86" t="n"/>
      <c r="AD234" s="44" t="n"/>
      <c r="AE234" s="87" t="n"/>
      <c r="AF234" s="44" t="n"/>
      <c r="AG234" s="44" t="n"/>
      <c r="AH234" s="87" t="n"/>
      <c r="AI234" s="44" t="n"/>
      <c r="AJ234" s="45" t="n"/>
      <c r="AK234" s="45" t="n"/>
      <c r="AL234" s="45" t="n"/>
      <c r="AM234" s="44" t="n"/>
      <c r="AN234" s="45" t="n"/>
      <c r="AO234" s="44" t="n"/>
      <c r="AP234" s="44" t="n"/>
      <c r="AQ234" s="44" t="n"/>
      <c r="AR234" s="44" t="n"/>
      <c r="AS234" s="44" t="n"/>
    </row>
    <row r="235">
      <c r="A235" s="44" t="n"/>
      <c r="B235" s="44" t="n"/>
      <c r="C235" s="44" t="n"/>
      <c r="D235" s="44" t="n"/>
      <c r="E235" s="44" t="n"/>
      <c r="F235" s="44" t="n"/>
      <c r="G235" s="45" t="n"/>
      <c r="H235" s="45" t="n"/>
      <c r="I235" s="85" t="n"/>
      <c r="J235" s="44" t="n"/>
      <c r="K235" s="44" t="n"/>
      <c r="L235" s="44" t="n"/>
      <c r="M235" s="45" t="n"/>
      <c r="N235" s="44" t="n"/>
      <c r="O235" s="86" t="n"/>
      <c r="P235" s="44" t="n"/>
      <c r="Q235" s="45" t="n"/>
      <c r="R235" s="85" t="n"/>
      <c r="S235" s="85" t="n"/>
      <c r="T235" s="85" t="n"/>
      <c r="U235" s="85" t="n"/>
      <c r="V235" s="85" t="n"/>
      <c r="W235" s="86" t="n"/>
      <c r="X235" s="44" t="n"/>
      <c r="Y235" s="44" t="n"/>
      <c r="Z235" s="44" t="n"/>
      <c r="AA235" s="85" t="n"/>
      <c r="AB235" s="45" t="n"/>
      <c r="AC235" s="86" t="n"/>
      <c r="AD235" s="44" t="n"/>
      <c r="AE235" s="87" t="n"/>
      <c r="AF235" s="44" t="n"/>
      <c r="AG235" s="44" t="n"/>
      <c r="AH235" s="87" t="n"/>
      <c r="AI235" s="44" t="n"/>
      <c r="AJ235" s="45" t="n"/>
      <c r="AK235" s="45" t="n"/>
      <c r="AL235" s="45" t="n"/>
      <c r="AM235" s="44" t="n"/>
      <c r="AN235" s="45" t="n"/>
      <c r="AO235" s="44" t="n"/>
      <c r="AP235" s="44" t="n"/>
      <c r="AQ235" s="44" t="n"/>
      <c r="AR235" s="44" t="n"/>
      <c r="AS235" s="44" t="n"/>
    </row>
    <row r="236">
      <c r="A236" s="44" t="n"/>
      <c r="B236" s="44" t="n"/>
      <c r="C236" s="44" t="n"/>
      <c r="D236" s="44" t="n"/>
      <c r="E236" s="44" t="n"/>
      <c r="F236" s="44" t="n"/>
      <c r="G236" s="45" t="n"/>
      <c r="H236" s="45" t="n"/>
      <c r="I236" s="85" t="n"/>
      <c r="J236" s="44" t="n"/>
      <c r="K236" s="44" t="n"/>
      <c r="L236" s="44" t="n"/>
      <c r="M236" s="45" t="n"/>
      <c r="N236" s="44" t="n"/>
      <c r="O236" s="86" t="n"/>
      <c r="P236" s="44" t="n"/>
      <c r="Q236" s="45" t="n"/>
      <c r="R236" s="85" t="n"/>
      <c r="S236" s="85" t="n"/>
      <c r="T236" s="85" t="n"/>
      <c r="U236" s="85" t="n"/>
      <c r="V236" s="85" t="n"/>
      <c r="W236" s="86" t="n"/>
      <c r="X236" s="44" t="n"/>
      <c r="Y236" s="44" t="n"/>
      <c r="Z236" s="44" t="n"/>
      <c r="AA236" s="85" t="n"/>
      <c r="AB236" s="45" t="n"/>
      <c r="AC236" s="86" t="n"/>
      <c r="AD236" s="44" t="n"/>
      <c r="AE236" s="87" t="n"/>
      <c r="AF236" s="44" t="n"/>
      <c r="AG236" s="44" t="n"/>
      <c r="AH236" s="87" t="n"/>
      <c r="AI236" s="44" t="n"/>
      <c r="AJ236" s="45" t="n"/>
      <c r="AK236" s="45" t="n"/>
      <c r="AL236" s="45" t="n"/>
      <c r="AM236" s="44" t="n"/>
      <c r="AN236" s="45" t="n"/>
      <c r="AO236" s="44" t="n"/>
      <c r="AP236" s="44" t="n"/>
      <c r="AQ236" s="44" t="n"/>
      <c r="AR236" s="44" t="n"/>
      <c r="AS236" s="44" t="n"/>
    </row>
    <row r="237">
      <c r="A237" s="44" t="n"/>
      <c r="B237" s="44" t="n"/>
      <c r="C237" s="44" t="n"/>
      <c r="D237" s="44" t="n"/>
      <c r="E237" s="44" t="n"/>
      <c r="F237" s="44" t="n"/>
      <c r="G237" s="45" t="n"/>
      <c r="H237" s="45" t="n"/>
      <c r="I237" s="85" t="n"/>
      <c r="J237" s="44" t="n"/>
      <c r="K237" s="44" t="n"/>
      <c r="L237" s="44" t="n"/>
      <c r="M237" s="45" t="n"/>
      <c r="N237" s="44" t="n"/>
      <c r="O237" s="86" t="n"/>
      <c r="P237" s="44" t="n"/>
      <c r="Q237" s="45" t="n"/>
      <c r="R237" s="85" t="n"/>
      <c r="S237" s="85" t="n"/>
      <c r="T237" s="85" t="n"/>
      <c r="U237" s="85" t="n"/>
      <c r="V237" s="85" t="n"/>
      <c r="W237" s="86" t="n"/>
      <c r="X237" s="44" t="n"/>
      <c r="Y237" s="44" t="n"/>
      <c r="Z237" s="44" t="n"/>
      <c r="AA237" s="85" t="n"/>
      <c r="AB237" s="45" t="n"/>
      <c r="AC237" s="86" t="n"/>
      <c r="AD237" s="44" t="n"/>
      <c r="AE237" s="87" t="n"/>
      <c r="AF237" s="44" t="n"/>
      <c r="AG237" s="44" t="n"/>
      <c r="AH237" s="87" t="n"/>
      <c r="AI237" s="44" t="n"/>
      <c r="AJ237" s="45" t="n"/>
      <c r="AK237" s="45" t="n"/>
      <c r="AL237" s="45" t="n"/>
      <c r="AM237" s="44" t="n"/>
      <c r="AN237" s="45" t="n"/>
      <c r="AO237" s="44" t="n"/>
      <c r="AP237" s="44" t="n"/>
      <c r="AQ237" s="44" t="n"/>
      <c r="AR237" s="44" t="n"/>
      <c r="AS237" s="44" t="n"/>
    </row>
    <row r="238">
      <c r="A238" s="44" t="n"/>
      <c r="B238" s="44" t="n"/>
      <c r="C238" s="44" t="n"/>
      <c r="D238" s="44" t="n"/>
      <c r="E238" s="44" t="n"/>
      <c r="F238" s="44" t="n"/>
      <c r="G238" s="45" t="n"/>
      <c r="H238" s="45" t="n"/>
      <c r="I238" s="85" t="n"/>
      <c r="J238" s="44" t="n"/>
      <c r="K238" s="44" t="n"/>
      <c r="L238" s="44" t="n"/>
      <c r="M238" s="45" t="n"/>
      <c r="N238" s="44" t="n"/>
      <c r="O238" s="86" t="n"/>
      <c r="P238" s="44" t="n"/>
      <c r="Q238" s="45" t="n"/>
      <c r="R238" s="85" t="n"/>
      <c r="S238" s="85" t="n"/>
      <c r="T238" s="85" t="n"/>
      <c r="U238" s="85" t="n"/>
      <c r="V238" s="85" t="n"/>
      <c r="W238" s="86" t="n"/>
      <c r="X238" s="44" t="n"/>
      <c r="Y238" s="44" t="n"/>
      <c r="Z238" s="44" t="n"/>
      <c r="AA238" s="85" t="n"/>
      <c r="AB238" s="45" t="n"/>
      <c r="AC238" s="86" t="n"/>
      <c r="AD238" s="44" t="n"/>
      <c r="AE238" s="87" t="n"/>
      <c r="AF238" s="44" t="n"/>
      <c r="AG238" s="44" t="n"/>
      <c r="AH238" s="87" t="n"/>
      <c r="AI238" s="44" t="n"/>
      <c r="AJ238" s="45" t="n"/>
      <c r="AK238" s="45" t="n"/>
      <c r="AL238" s="45" t="n"/>
      <c r="AM238" s="44" t="n"/>
      <c r="AN238" s="45" t="n"/>
      <c r="AO238" s="44" t="n"/>
      <c r="AP238" s="44" t="n"/>
      <c r="AQ238" s="44" t="n"/>
      <c r="AR238" s="44" t="n"/>
      <c r="AS238" s="44" t="n"/>
    </row>
    <row r="239">
      <c r="A239" s="44" t="n"/>
      <c r="B239" s="44" t="n"/>
      <c r="C239" s="44" t="n"/>
      <c r="D239" s="44" t="n"/>
      <c r="E239" s="44" t="n"/>
      <c r="F239" s="44" t="n"/>
      <c r="G239" s="45" t="n"/>
      <c r="H239" s="45" t="n"/>
      <c r="I239" s="85" t="n"/>
      <c r="J239" s="44" t="n"/>
      <c r="K239" s="44" t="n"/>
      <c r="L239" s="44" t="n"/>
      <c r="M239" s="45" t="n"/>
      <c r="N239" s="44" t="n"/>
      <c r="O239" s="86" t="n"/>
      <c r="P239" s="44" t="n"/>
      <c r="Q239" s="45" t="n"/>
      <c r="R239" s="85" t="n"/>
      <c r="S239" s="85" t="n"/>
      <c r="T239" s="85" t="n"/>
      <c r="U239" s="85" t="n"/>
      <c r="V239" s="85" t="n"/>
      <c r="W239" s="86" t="n"/>
      <c r="X239" s="44" t="n"/>
      <c r="Y239" s="44" t="n"/>
      <c r="Z239" s="44" t="n"/>
      <c r="AA239" s="85" t="n"/>
      <c r="AB239" s="45" t="n"/>
      <c r="AC239" s="86" t="n"/>
      <c r="AD239" s="44" t="n"/>
      <c r="AE239" s="87" t="n"/>
      <c r="AF239" s="44" t="n"/>
      <c r="AG239" s="44" t="n"/>
      <c r="AH239" s="87" t="n"/>
      <c r="AI239" s="44" t="n"/>
      <c r="AJ239" s="45" t="n"/>
      <c r="AK239" s="45" t="n"/>
      <c r="AL239" s="45" t="n"/>
      <c r="AM239" s="44" t="n"/>
      <c r="AN239" s="45" t="n"/>
      <c r="AO239" s="44" t="n"/>
      <c r="AP239" s="44" t="n"/>
      <c r="AQ239" s="44" t="n"/>
      <c r="AR239" s="44" t="n"/>
      <c r="AS239" s="44" t="n"/>
    </row>
    <row r="240">
      <c r="A240" s="44" t="n"/>
      <c r="B240" s="44" t="n"/>
      <c r="C240" s="44" t="n"/>
      <c r="D240" s="44" t="n"/>
      <c r="E240" s="44" t="n"/>
      <c r="F240" s="44" t="n"/>
      <c r="G240" s="45" t="n"/>
      <c r="H240" s="45" t="n"/>
      <c r="I240" s="85" t="n"/>
      <c r="J240" s="44" t="n"/>
      <c r="K240" s="44" t="n"/>
      <c r="L240" s="44" t="n"/>
      <c r="M240" s="45" t="n"/>
      <c r="N240" s="44" t="n"/>
      <c r="O240" s="86" t="n"/>
      <c r="P240" s="44" t="n"/>
      <c r="Q240" s="45" t="n"/>
      <c r="R240" s="85" t="n"/>
      <c r="S240" s="85" t="n"/>
      <c r="T240" s="85" t="n"/>
      <c r="U240" s="85" t="n"/>
      <c r="V240" s="85" t="n"/>
      <c r="W240" s="86" t="n"/>
      <c r="X240" s="44" t="n"/>
      <c r="Y240" s="44" t="n"/>
      <c r="Z240" s="44" t="n"/>
      <c r="AA240" s="85" t="n"/>
      <c r="AB240" s="45" t="n"/>
      <c r="AC240" s="86" t="n"/>
      <c r="AD240" s="44" t="n"/>
      <c r="AE240" s="87" t="n"/>
      <c r="AF240" s="44" t="n"/>
      <c r="AG240" s="44" t="n"/>
      <c r="AH240" s="87" t="n"/>
      <c r="AI240" s="44" t="n"/>
      <c r="AJ240" s="45" t="n"/>
      <c r="AK240" s="45" t="n"/>
      <c r="AL240" s="45" t="n"/>
      <c r="AM240" s="44" t="n"/>
      <c r="AN240" s="45" t="n"/>
      <c r="AO240" s="44" t="n"/>
      <c r="AP240" s="44" t="n"/>
      <c r="AQ240" s="44" t="n"/>
      <c r="AR240" s="44" t="n"/>
      <c r="AS240" s="44" t="n"/>
    </row>
    <row r="241">
      <c r="A241" s="44" t="n"/>
      <c r="B241" s="44" t="n"/>
      <c r="C241" s="44" t="n"/>
      <c r="D241" s="44" t="n"/>
      <c r="E241" s="44" t="n"/>
      <c r="F241" s="44" t="n"/>
      <c r="G241" s="45" t="n"/>
      <c r="H241" s="45" t="n"/>
      <c r="I241" s="85" t="n"/>
      <c r="J241" s="44" t="n"/>
      <c r="K241" s="44" t="n"/>
      <c r="L241" s="44" t="n"/>
      <c r="M241" s="45" t="n"/>
      <c r="N241" s="44" t="n"/>
      <c r="O241" s="86" t="n"/>
      <c r="P241" s="44" t="n"/>
      <c r="Q241" s="45" t="n"/>
      <c r="R241" s="85" t="n"/>
      <c r="S241" s="85" t="n"/>
      <c r="T241" s="85" t="n"/>
      <c r="U241" s="85" t="n"/>
      <c r="V241" s="85" t="n"/>
      <c r="W241" s="86" t="n"/>
      <c r="X241" s="44" t="n"/>
      <c r="Y241" s="44" t="n"/>
      <c r="Z241" s="44" t="n"/>
      <c r="AA241" s="85" t="n"/>
      <c r="AB241" s="45" t="n"/>
      <c r="AC241" s="86" t="n"/>
      <c r="AD241" s="44" t="n"/>
      <c r="AE241" s="87" t="n"/>
      <c r="AF241" s="44" t="n"/>
      <c r="AG241" s="44" t="n"/>
      <c r="AH241" s="87" t="n"/>
      <c r="AI241" s="44" t="n"/>
      <c r="AJ241" s="45" t="n"/>
      <c r="AK241" s="45" t="n"/>
      <c r="AL241" s="45" t="n"/>
      <c r="AM241" s="44" t="n"/>
      <c r="AN241" s="45" t="n"/>
      <c r="AO241" s="44" t="n"/>
      <c r="AP241" s="44" t="n"/>
      <c r="AQ241" s="44" t="n"/>
      <c r="AR241" s="44" t="n"/>
      <c r="AS241" s="44" t="n"/>
    </row>
    <row r="242">
      <c r="A242" s="44" t="n"/>
      <c r="B242" s="44" t="n"/>
      <c r="C242" s="44" t="n"/>
      <c r="D242" s="44" t="n"/>
      <c r="E242" s="44" t="n"/>
      <c r="F242" s="44" t="n"/>
      <c r="G242" s="45" t="n"/>
      <c r="H242" s="45" t="n"/>
      <c r="I242" s="85" t="n"/>
      <c r="J242" s="44" t="n"/>
      <c r="K242" s="44" t="n"/>
      <c r="L242" s="44" t="n"/>
      <c r="M242" s="45" t="n"/>
      <c r="N242" s="44" t="n"/>
      <c r="O242" s="86" t="n"/>
      <c r="P242" s="44" t="n"/>
      <c r="Q242" s="45" t="n"/>
      <c r="R242" s="85" t="n"/>
      <c r="S242" s="85" t="n"/>
      <c r="T242" s="85" t="n"/>
      <c r="U242" s="85" t="n"/>
      <c r="V242" s="85" t="n"/>
      <c r="W242" s="86" t="n"/>
      <c r="X242" s="44" t="n"/>
      <c r="Y242" s="44" t="n"/>
      <c r="Z242" s="44" t="n"/>
      <c r="AA242" s="85" t="n"/>
      <c r="AB242" s="45" t="n"/>
      <c r="AC242" s="86" t="n"/>
      <c r="AD242" s="44" t="n"/>
      <c r="AE242" s="87" t="n"/>
      <c r="AF242" s="44" t="n"/>
      <c r="AG242" s="44" t="n"/>
      <c r="AH242" s="87" t="n"/>
      <c r="AI242" s="44" t="n"/>
      <c r="AJ242" s="45" t="n"/>
      <c r="AK242" s="45" t="n"/>
      <c r="AL242" s="45" t="n"/>
      <c r="AM242" s="44" t="n"/>
      <c r="AN242" s="45" t="n"/>
      <c r="AO242" s="44" t="n"/>
      <c r="AP242" s="44" t="n"/>
      <c r="AQ242" s="44" t="n"/>
      <c r="AR242" s="44" t="n"/>
      <c r="AS242" s="44" t="n"/>
    </row>
    <row r="243">
      <c r="A243" s="44" t="n"/>
      <c r="B243" s="44" t="n"/>
      <c r="C243" s="44" t="n"/>
      <c r="D243" s="44" t="n"/>
      <c r="E243" s="44" t="n"/>
      <c r="F243" s="44" t="n"/>
      <c r="G243" s="45" t="n"/>
      <c r="H243" s="45" t="n"/>
      <c r="I243" s="85" t="n"/>
      <c r="J243" s="44" t="n"/>
      <c r="K243" s="44" t="n"/>
      <c r="L243" s="44" t="n"/>
      <c r="M243" s="45" t="n"/>
      <c r="N243" s="44" t="n"/>
      <c r="O243" s="86" t="n"/>
      <c r="P243" s="44" t="n"/>
      <c r="Q243" s="45" t="n"/>
      <c r="R243" s="85" t="n"/>
      <c r="S243" s="85" t="n"/>
      <c r="T243" s="85" t="n"/>
      <c r="U243" s="85" t="n"/>
      <c r="V243" s="85" t="n"/>
      <c r="W243" s="86" t="n"/>
      <c r="X243" s="44" t="n"/>
      <c r="Y243" s="44" t="n"/>
      <c r="Z243" s="44" t="n"/>
      <c r="AA243" s="85" t="n"/>
      <c r="AB243" s="45" t="n"/>
      <c r="AC243" s="86" t="n"/>
      <c r="AD243" s="44" t="n"/>
      <c r="AE243" s="87" t="n"/>
      <c r="AF243" s="44" t="n"/>
      <c r="AG243" s="44" t="n"/>
      <c r="AH243" s="87" t="n"/>
      <c r="AI243" s="44" t="n"/>
      <c r="AJ243" s="45" t="n"/>
      <c r="AK243" s="45" t="n"/>
      <c r="AL243" s="45" t="n"/>
      <c r="AM243" s="44" t="n"/>
      <c r="AN243" s="45" t="n"/>
      <c r="AO243" s="44" t="n"/>
      <c r="AP243" s="44" t="n"/>
      <c r="AQ243" s="44" t="n"/>
      <c r="AR243" s="44" t="n"/>
      <c r="AS243" s="44" t="n"/>
    </row>
    <row r="244">
      <c r="A244" s="44" t="n"/>
      <c r="B244" s="44" t="n"/>
      <c r="C244" s="44" t="n"/>
      <c r="D244" s="44" t="n"/>
      <c r="E244" s="44" t="n"/>
      <c r="F244" s="44" t="n"/>
      <c r="G244" s="45" t="n"/>
      <c r="H244" s="45" t="n"/>
      <c r="I244" s="85" t="n"/>
      <c r="J244" s="44" t="n"/>
      <c r="K244" s="44" t="n"/>
      <c r="L244" s="44" t="n"/>
      <c r="M244" s="45" t="n"/>
      <c r="N244" s="44" t="n"/>
      <c r="O244" s="86" t="n"/>
      <c r="P244" s="44" t="n"/>
      <c r="Q244" s="45" t="n"/>
      <c r="R244" s="85" t="n"/>
      <c r="S244" s="85" t="n"/>
      <c r="T244" s="85" t="n"/>
      <c r="U244" s="85" t="n"/>
      <c r="V244" s="85" t="n"/>
      <c r="W244" s="86" t="n"/>
      <c r="X244" s="44" t="n"/>
      <c r="Y244" s="44" t="n"/>
      <c r="Z244" s="44" t="n"/>
      <c r="AA244" s="85" t="n"/>
      <c r="AB244" s="45" t="n"/>
      <c r="AC244" s="86" t="n"/>
      <c r="AD244" s="44" t="n"/>
      <c r="AE244" s="87" t="n"/>
      <c r="AF244" s="44" t="n"/>
      <c r="AG244" s="44" t="n"/>
      <c r="AH244" s="87" t="n"/>
      <c r="AI244" s="44" t="n"/>
      <c r="AJ244" s="45" t="n"/>
      <c r="AK244" s="45" t="n"/>
      <c r="AL244" s="45" t="n"/>
      <c r="AM244" s="44" t="n"/>
      <c r="AN244" s="45" t="n"/>
      <c r="AO244" s="44" t="n"/>
      <c r="AP244" s="44" t="n"/>
      <c r="AQ244" s="44" t="n"/>
      <c r="AR244" s="44" t="n"/>
      <c r="AS244" s="44" t="n"/>
    </row>
    <row r="245">
      <c r="A245" s="44" t="n"/>
      <c r="B245" s="44" t="n"/>
      <c r="C245" s="44" t="n"/>
      <c r="D245" s="44" t="n"/>
      <c r="E245" s="44" t="n"/>
      <c r="F245" s="44" t="n"/>
      <c r="G245" s="45" t="n"/>
      <c r="H245" s="45" t="n"/>
      <c r="I245" s="85" t="n"/>
      <c r="J245" s="44" t="n"/>
      <c r="K245" s="44" t="n"/>
      <c r="L245" s="44" t="n"/>
      <c r="M245" s="45" t="n"/>
      <c r="N245" s="44" t="n"/>
      <c r="O245" s="86" t="n"/>
      <c r="P245" s="44" t="n"/>
      <c r="Q245" s="45" t="n"/>
      <c r="R245" s="85" t="n"/>
      <c r="S245" s="85" t="n"/>
      <c r="T245" s="85" t="n"/>
      <c r="U245" s="85" t="n"/>
      <c r="V245" s="85" t="n"/>
      <c r="W245" s="86" t="n"/>
      <c r="X245" s="44" t="n"/>
      <c r="Y245" s="44" t="n"/>
      <c r="Z245" s="44" t="n"/>
      <c r="AA245" s="85" t="n"/>
      <c r="AB245" s="45" t="n"/>
      <c r="AC245" s="86" t="n"/>
      <c r="AD245" s="44" t="n"/>
      <c r="AE245" s="87" t="n"/>
      <c r="AF245" s="44" t="n"/>
      <c r="AG245" s="44" t="n"/>
      <c r="AH245" s="87" t="n"/>
      <c r="AI245" s="44" t="n"/>
      <c r="AJ245" s="45" t="n"/>
      <c r="AK245" s="45" t="n"/>
      <c r="AL245" s="45" t="n"/>
      <c r="AM245" s="44" t="n"/>
      <c r="AN245" s="45" t="n"/>
      <c r="AO245" s="44" t="n"/>
      <c r="AP245" s="44" t="n"/>
      <c r="AQ245" s="44" t="n"/>
      <c r="AR245" s="44" t="n"/>
      <c r="AS245" s="44" t="n"/>
    </row>
    <row r="246">
      <c r="A246" s="44" t="n"/>
      <c r="B246" s="44" t="n"/>
      <c r="C246" s="44" t="n"/>
      <c r="D246" s="44" t="n"/>
      <c r="E246" s="44" t="n"/>
      <c r="F246" s="44" t="n"/>
      <c r="G246" s="45" t="n"/>
      <c r="H246" s="45" t="n"/>
      <c r="I246" s="85" t="n"/>
      <c r="J246" s="44" t="n"/>
      <c r="K246" s="44" t="n"/>
      <c r="L246" s="44" t="n"/>
      <c r="M246" s="45" t="n"/>
      <c r="N246" s="44" t="n"/>
      <c r="O246" s="86" t="n"/>
      <c r="P246" s="44" t="n"/>
      <c r="Q246" s="45" t="n"/>
      <c r="R246" s="85" t="n"/>
      <c r="S246" s="85" t="n"/>
      <c r="T246" s="85" t="n"/>
      <c r="U246" s="85" t="n"/>
      <c r="V246" s="85" t="n"/>
      <c r="W246" s="86" t="n"/>
      <c r="X246" s="44" t="n"/>
      <c r="Y246" s="44" t="n"/>
      <c r="Z246" s="44" t="n"/>
      <c r="AA246" s="85" t="n"/>
      <c r="AB246" s="45" t="n"/>
      <c r="AC246" s="86" t="n"/>
      <c r="AD246" s="44" t="n"/>
      <c r="AE246" s="87" t="n"/>
      <c r="AF246" s="44" t="n"/>
      <c r="AG246" s="44" t="n"/>
      <c r="AH246" s="87" t="n"/>
      <c r="AI246" s="44" t="n"/>
      <c r="AJ246" s="45" t="n"/>
      <c r="AK246" s="45" t="n"/>
      <c r="AL246" s="45" t="n"/>
      <c r="AM246" s="44" t="n"/>
      <c r="AN246" s="45" t="n"/>
      <c r="AO246" s="44" t="n"/>
      <c r="AP246" s="44" t="n"/>
      <c r="AQ246" s="44" t="n"/>
      <c r="AR246" s="44" t="n"/>
      <c r="AS246" s="44" t="n"/>
    </row>
    <row r="247">
      <c r="A247" s="44" t="n"/>
      <c r="B247" s="44" t="n"/>
      <c r="C247" s="44" t="n"/>
      <c r="D247" s="44" t="n"/>
      <c r="E247" s="44" t="n"/>
      <c r="F247" s="44" t="n"/>
      <c r="G247" s="45" t="n"/>
      <c r="H247" s="45" t="n"/>
      <c r="I247" s="85" t="n"/>
      <c r="J247" s="44" t="n"/>
      <c r="K247" s="44" t="n"/>
      <c r="L247" s="44" t="n"/>
      <c r="M247" s="45" t="n"/>
      <c r="N247" s="44" t="n"/>
      <c r="O247" s="86" t="n"/>
      <c r="P247" s="44" t="n"/>
      <c r="Q247" s="45" t="n"/>
      <c r="R247" s="85" t="n"/>
      <c r="S247" s="85" t="n"/>
      <c r="T247" s="85" t="n"/>
      <c r="U247" s="85" t="n"/>
      <c r="V247" s="85" t="n"/>
      <c r="W247" s="86" t="n"/>
      <c r="X247" s="44" t="n"/>
      <c r="Y247" s="44" t="n"/>
      <c r="Z247" s="44" t="n"/>
      <c r="AA247" s="85" t="n"/>
      <c r="AB247" s="45" t="n"/>
      <c r="AC247" s="86" t="n"/>
      <c r="AD247" s="44" t="n"/>
      <c r="AE247" s="87" t="n"/>
      <c r="AF247" s="44" t="n"/>
      <c r="AG247" s="44" t="n"/>
      <c r="AH247" s="87" t="n"/>
      <c r="AI247" s="44" t="n"/>
      <c r="AJ247" s="45" t="n"/>
      <c r="AK247" s="45" t="n"/>
      <c r="AL247" s="45" t="n"/>
      <c r="AM247" s="44" t="n"/>
      <c r="AN247" s="45" t="n"/>
      <c r="AO247" s="44" t="n"/>
      <c r="AP247" s="44" t="n"/>
      <c r="AQ247" s="44" t="n"/>
      <c r="AR247" s="44" t="n"/>
      <c r="AS247" s="44" t="n"/>
    </row>
    <row r="248">
      <c r="A248" s="44" t="n"/>
      <c r="B248" s="44" t="n"/>
      <c r="C248" s="44" t="n"/>
      <c r="D248" s="44" t="n"/>
      <c r="E248" s="44" t="n"/>
      <c r="F248" s="44" t="n"/>
      <c r="G248" s="45" t="n"/>
      <c r="H248" s="45" t="n"/>
      <c r="I248" s="85" t="n"/>
      <c r="J248" s="44" t="n"/>
      <c r="K248" s="44" t="n"/>
      <c r="L248" s="44" t="n"/>
      <c r="M248" s="45" t="n"/>
      <c r="N248" s="44" t="n"/>
      <c r="O248" s="86" t="n"/>
      <c r="P248" s="44" t="n"/>
      <c r="Q248" s="45" t="n"/>
      <c r="R248" s="85" t="n"/>
      <c r="S248" s="85" t="n"/>
      <c r="T248" s="85" t="n"/>
      <c r="U248" s="85" t="n"/>
      <c r="V248" s="85" t="n"/>
      <c r="W248" s="86" t="n"/>
      <c r="X248" s="44" t="n"/>
      <c r="Y248" s="44" t="n"/>
      <c r="Z248" s="44" t="n"/>
      <c r="AA248" s="85" t="n"/>
      <c r="AB248" s="45" t="n"/>
      <c r="AC248" s="86" t="n"/>
      <c r="AD248" s="44" t="n"/>
      <c r="AE248" s="87" t="n"/>
      <c r="AF248" s="44" t="n"/>
      <c r="AG248" s="44" t="n"/>
      <c r="AH248" s="87" t="n"/>
      <c r="AI248" s="44" t="n"/>
      <c r="AJ248" s="45" t="n"/>
      <c r="AK248" s="45" t="n"/>
      <c r="AL248" s="45" t="n"/>
      <c r="AM248" s="44" t="n"/>
      <c r="AN248" s="45" t="n"/>
      <c r="AO248" s="44" t="n"/>
      <c r="AP248" s="44" t="n"/>
      <c r="AQ248" s="44" t="n"/>
      <c r="AR248" s="44" t="n"/>
      <c r="AS248" s="44" t="n"/>
    </row>
    <row r="249">
      <c r="A249" s="44" t="n"/>
      <c r="B249" s="44" t="n"/>
      <c r="C249" s="44" t="n"/>
      <c r="D249" s="44" t="n"/>
      <c r="E249" s="44" t="n"/>
      <c r="F249" s="44" t="n"/>
      <c r="G249" s="45" t="n"/>
      <c r="H249" s="45" t="n"/>
      <c r="I249" s="85" t="n"/>
      <c r="J249" s="44" t="n"/>
      <c r="K249" s="44" t="n"/>
      <c r="L249" s="44" t="n"/>
      <c r="M249" s="45" t="n"/>
      <c r="N249" s="44" t="n"/>
      <c r="O249" s="86" t="n"/>
      <c r="P249" s="44" t="n"/>
      <c r="Q249" s="45" t="n"/>
      <c r="R249" s="85" t="n"/>
      <c r="S249" s="85" t="n"/>
      <c r="T249" s="85" t="n"/>
      <c r="U249" s="85" t="n"/>
      <c r="V249" s="85" t="n"/>
      <c r="W249" s="86" t="n"/>
      <c r="X249" s="44" t="n"/>
      <c r="Y249" s="44" t="n"/>
      <c r="Z249" s="44" t="n"/>
      <c r="AA249" s="85" t="n"/>
      <c r="AB249" s="45" t="n"/>
      <c r="AC249" s="86" t="n"/>
      <c r="AD249" s="44" t="n"/>
      <c r="AE249" s="87" t="n"/>
      <c r="AF249" s="44" t="n"/>
      <c r="AG249" s="44" t="n"/>
      <c r="AH249" s="87" t="n"/>
      <c r="AI249" s="44" t="n"/>
      <c r="AJ249" s="45" t="n"/>
      <c r="AK249" s="45" t="n"/>
      <c r="AL249" s="45" t="n"/>
      <c r="AM249" s="44" t="n"/>
      <c r="AN249" s="45" t="n"/>
      <c r="AO249" s="44" t="n"/>
      <c r="AP249" s="44" t="n"/>
      <c r="AQ249" s="44" t="n"/>
      <c r="AR249" s="44" t="n"/>
      <c r="AS249" s="44" t="n"/>
    </row>
    <row r="250">
      <c r="A250" s="44" t="n"/>
      <c r="B250" s="44" t="n"/>
      <c r="C250" s="44" t="n"/>
      <c r="D250" s="44" t="n"/>
      <c r="E250" s="44" t="n"/>
      <c r="F250" s="44" t="n"/>
      <c r="G250" s="45" t="n"/>
      <c r="H250" s="45" t="n"/>
      <c r="I250" s="85" t="n"/>
      <c r="J250" s="44" t="n"/>
      <c r="K250" s="44" t="n"/>
      <c r="L250" s="44" t="n"/>
      <c r="M250" s="45" t="n"/>
      <c r="N250" s="44" t="n"/>
      <c r="O250" s="86" t="n"/>
      <c r="P250" s="44" t="n"/>
      <c r="Q250" s="45" t="n"/>
      <c r="R250" s="85" t="n"/>
      <c r="S250" s="85" t="n"/>
      <c r="T250" s="85" t="n"/>
      <c r="U250" s="85" t="n"/>
      <c r="V250" s="85" t="n"/>
      <c r="W250" s="86" t="n"/>
      <c r="X250" s="44" t="n"/>
      <c r="Y250" s="44" t="n"/>
      <c r="Z250" s="44" t="n"/>
      <c r="AA250" s="85" t="n"/>
      <c r="AB250" s="45" t="n"/>
      <c r="AC250" s="86" t="n"/>
      <c r="AD250" s="44" t="n"/>
      <c r="AE250" s="87" t="n"/>
      <c r="AF250" s="44" t="n"/>
      <c r="AG250" s="44" t="n"/>
      <c r="AH250" s="87" t="n"/>
      <c r="AI250" s="44" t="n"/>
      <c r="AJ250" s="45" t="n"/>
      <c r="AK250" s="45" t="n"/>
      <c r="AL250" s="45" t="n"/>
      <c r="AM250" s="44" t="n"/>
      <c r="AN250" s="45" t="n"/>
      <c r="AO250" s="44" t="n"/>
      <c r="AP250" s="44" t="n"/>
      <c r="AQ250" s="44" t="n"/>
      <c r="AR250" s="44" t="n"/>
      <c r="AS250" s="44" t="n"/>
    </row>
    <row r="251">
      <c r="A251" s="44" t="n"/>
      <c r="B251" s="44" t="n"/>
      <c r="C251" s="44" t="n"/>
      <c r="D251" s="44" t="n"/>
      <c r="E251" s="44" t="n"/>
      <c r="F251" s="44" t="n"/>
      <c r="G251" s="45" t="n"/>
      <c r="H251" s="45" t="n"/>
      <c r="I251" s="85" t="n"/>
      <c r="J251" s="44" t="n"/>
      <c r="K251" s="44" t="n"/>
      <c r="L251" s="44" t="n"/>
      <c r="M251" s="45" t="n"/>
      <c r="N251" s="44" t="n"/>
      <c r="O251" s="86" t="n"/>
      <c r="P251" s="44" t="n"/>
      <c r="Q251" s="45" t="n"/>
      <c r="R251" s="85" t="n"/>
      <c r="S251" s="85" t="n"/>
      <c r="T251" s="85" t="n"/>
      <c r="U251" s="85" t="n"/>
      <c r="V251" s="85" t="n"/>
      <c r="W251" s="86" t="n"/>
      <c r="X251" s="44" t="n"/>
      <c r="Y251" s="44" t="n"/>
      <c r="Z251" s="44" t="n"/>
      <c r="AA251" s="85" t="n"/>
      <c r="AB251" s="45" t="n"/>
      <c r="AC251" s="86" t="n"/>
      <c r="AD251" s="44" t="n"/>
      <c r="AE251" s="87" t="n"/>
      <c r="AF251" s="44" t="n"/>
      <c r="AG251" s="44" t="n"/>
      <c r="AH251" s="87" t="n"/>
      <c r="AI251" s="44" t="n"/>
      <c r="AJ251" s="45" t="n"/>
      <c r="AK251" s="45" t="n"/>
      <c r="AL251" s="45" t="n"/>
      <c r="AM251" s="44" t="n"/>
      <c r="AN251" s="45" t="n"/>
      <c r="AO251" s="44" t="n"/>
      <c r="AP251" s="44" t="n"/>
      <c r="AQ251" s="44" t="n"/>
      <c r="AR251" s="44" t="n"/>
      <c r="AS251" s="44" t="n"/>
    </row>
    <row r="252">
      <c r="A252" s="44" t="n"/>
      <c r="B252" s="44" t="n"/>
      <c r="C252" s="44" t="n"/>
      <c r="D252" s="44" t="n"/>
      <c r="E252" s="44" t="n"/>
      <c r="F252" s="44" t="n"/>
      <c r="G252" s="45" t="n"/>
      <c r="H252" s="45" t="n"/>
      <c r="I252" s="85" t="n"/>
      <c r="J252" s="44" t="n"/>
      <c r="K252" s="44" t="n"/>
      <c r="L252" s="44" t="n"/>
      <c r="M252" s="45" t="n"/>
      <c r="N252" s="44" t="n"/>
      <c r="O252" s="86" t="n"/>
      <c r="P252" s="44" t="n"/>
      <c r="Q252" s="45" t="n"/>
      <c r="R252" s="85" t="n"/>
      <c r="S252" s="85" t="n"/>
      <c r="T252" s="85" t="n"/>
      <c r="U252" s="85" t="n"/>
      <c r="V252" s="85" t="n"/>
      <c r="W252" s="86" t="n"/>
      <c r="X252" s="44" t="n"/>
      <c r="Y252" s="44" t="n"/>
      <c r="Z252" s="44" t="n"/>
      <c r="AA252" s="85" t="n"/>
      <c r="AB252" s="45" t="n"/>
      <c r="AC252" s="86" t="n"/>
      <c r="AD252" s="44" t="n"/>
      <c r="AE252" s="87" t="n"/>
      <c r="AF252" s="44" t="n"/>
      <c r="AG252" s="44" t="n"/>
      <c r="AH252" s="87" t="n"/>
      <c r="AI252" s="44" t="n"/>
      <c r="AJ252" s="45" t="n"/>
      <c r="AK252" s="45" t="n"/>
      <c r="AL252" s="45" t="n"/>
      <c r="AM252" s="44" t="n"/>
      <c r="AN252" s="45" t="n"/>
      <c r="AO252" s="44" t="n"/>
      <c r="AP252" s="44" t="n"/>
      <c r="AQ252" s="44" t="n"/>
      <c r="AR252" s="44" t="n"/>
      <c r="AS252" s="44" t="n"/>
    </row>
    <row r="253">
      <c r="A253" s="44" t="n"/>
      <c r="B253" s="44" t="n"/>
      <c r="C253" s="44" t="n"/>
      <c r="D253" s="44" t="n"/>
      <c r="E253" s="44" t="n"/>
      <c r="F253" s="44" t="n"/>
      <c r="G253" s="45" t="n"/>
      <c r="H253" s="45" t="n"/>
      <c r="I253" s="85" t="n"/>
      <c r="J253" s="44" t="n"/>
      <c r="K253" s="44" t="n"/>
      <c r="L253" s="44" t="n"/>
      <c r="M253" s="45" t="n"/>
      <c r="N253" s="44" t="n"/>
      <c r="O253" s="86" t="n"/>
      <c r="P253" s="44" t="n"/>
      <c r="Q253" s="45" t="n"/>
      <c r="R253" s="85" t="n"/>
      <c r="S253" s="85" t="n"/>
      <c r="T253" s="85" t="n"/>
      <c r="U253" s="85" t="n"/>
      <c r="V253" s="85" t="n"/>
      <c r="W253" s="86" t="n"/>
      <c r="X253" s="44" t="n"/>
      <c r="Y253" s="44" t="n"/>
      <c r="Z253" s="44" t="n"/>
      <c r="AA253" s="85" t="n"/>
      <c r="AB253" s="45" t="n"/>
      <c r="AC253" s="86" t="n"/>
      <c r="AD253" s="44" t="n"/>
      <c r="AE253" s="87" t="n"/>
      <c r="AF253" s="44" t="n"/>
      <c r="AG253" s="44" t="n"/>
      <c r="AH253" s="87" t="n"/>
      <c r="AI253" s="44" t="n"/>
      <c r="AJ253" s="45" t="n"/>
      <c r="AK253" s="45" t="n"/>
      <c r="AL253" s="45" t="n"/>
      <c r="AM253" s="44" t="n"/>
      <c r="AN253" s="45" t="n"/>
      <c r="AO253" s="44" t="n"/>
      <c r="AP253" s="44" t="n"/>
      <c r="AQ253" s="44" t="n"/>
      <c r="AR253" s="44" t="n"/>
      <c r="AS253" s="44" t="n"/>
    </row>
    <row r="254">
      <c r="A254" s="44" t="n"/>
      <c r="B254" s="44" t="n"/>
      <c r="C254" s="44" t="n"/>
      <c r="D254" s="44" t="n"/>
      <c r="E254" s="44" t="n"/>
      <c r="F254" s="44" t="n"/>
      <c r="G254" s="45" t="n"/>
      <c r="H254" s="45" t="n"/>
      <c r="I254" s="85" t="n"/>
      <c r="J254" s="44" t="n"/>
      <c r="K254" s="44" t="n"/>
      <c r="L254" s="44" t="n"/>
      <c r="M254" s="45" t="n"/>
      <c r="N254" s="44" t="n"/>
      <c r="O254" s="86" t="n"/>
      <c r="P254" s="44" t="n"/>
      <c r="Q254" s="45" t="n"/>
      <c r="R254" s="85" t="n"/>
      <c r="S254" s="85" t="n"/>
      <c r="T254" s="85" t="n"/>
      <c r="U254" s="85" t="n"/>
      <c r="V254" s="85" t="n"/>
      <c r="W254" s="86" t="n"/>
      <c r="X254" s="44" t="n"/>
      <c r="Y254" s="44" t="n"/>
      <c r="Z254" s="44" t="n"/>
      <c r="AA254" s="85" t="n"/>
      <c r="AB254" s="45" t="n"/>
      <c r="AC254" s="86" t="n"/>
      <c r="AD254" s="44" t="n"/>
      <c r="AE254" s="87" t="n"/>
      <c r="AF254" s="44" t="n"/>
      <c r="AG254" s="44" t="n"/>
      <c r="AH254" s="87" t="n"/>
      <c r="AI254" s="44" t="n"/>
      <c r="AJ254" s="45" t="n"/>
      <c r="AK254" s="45" t="n"/>
      <c r="AL254" s="45" t="n"/>
      <c r="AM254" s="44" t="n"/>
      <c r="AN254" s="45" t="n"/>
      <c r="AO254" s="44" t="n"/>
      <c r="AP254" s="44" t="n"/>
      <c r="AQ254" s="44" t="n"/>
      <c r="AR254" s="44" t="n"/>
      <c r="AS254" s="44" t="n"/>
    </row>
    <row r="255">
      <c r="A255" s="44" t="n"/>
      <c r="B255" s="44" t="n"/>
      <c r="C255" s="44" t="n"/>
      <c r="D255" s="44" t="n"/>
      <c r="E255" s="44" t="n"/>
      <c r="F255" s="44" t="n"/>
      <c r="G255" s="45" t="n"/>
      <c r="H255" s="45" t="n"/>
      <c r="I255" s="85" t="n"/>
      <c r="J255" s="44" t="n"/>
      <c r="K255" s="44" t="n"/>
      <c r="L255" s="44" t="n"/>
      <c r="M255" s="45" t="n"/>
      <c r="N255" s="44" t="n"/>
      <c r="O255" s="86" t="n"/>
      <c r="P255" s="44" t="n"/>
      <c r="Q255" s="45" t="n"/>
      <c r="R255" s="85" t="n"/>
      <c r="S255" s="85" t="n"/>
      <c r="T255" s="85" t="n"/>
      <c r="U255" s="85" t="n"/>
      <c r="V255" s="85" t="n"/>
      <c r="W255" s="86" t="n"/>
      <c r="X255" s="44" t="n"/>
      <c r="Y255" s="44" t="n"/>
      <c r="Z255" s="44" t="n"/>
      <c r="AA255" s="85" t="n"/>
      <c r="AB255" s="45" t="n"/>
      <c r="AC255" s="86" t="n"/>
      <c r="AD255" s="44" t="n"/>
      <c r="AE255" s="87" t="n"/>
      <c r="AF255" s="44" t="n"/>
      <c r="AG255" s="44" t="n"/>
      <c r="AH255" s="87" t="n"/>
      <c r="AI255" s="44" t="n"/>
      <c r="AJ255" s="45" t="n"/>
      <c r="AK255" s="45" t="n"/>
      <c r="AL255" s="45" t="n"/>
      <c r="AM255" s="44" t="n"/>
      <c r="AN255" s="45" t="n"/>
      <c r="AO255" s="44" t="n"/>
      <c r="AP255" s="44" t="n"/>
      <c r="AQ255" s="44" t="n"/>
      <c r="AR255" s="44" t="n"/>
      <c r="AS255" s="44" t="n"/>
    </row>
    <row r="256">
      <c r="A256" s="44" t="n"/>
      <c r="B256" s="44" t="n"/>
      <c r="C256" s="44" t="n"/>
      <c r="D256" s="44" t="n"/>
      <c r="E256" s="44" t="n"/>
      <c r="F256" s="44" t="n"/>
      <c r="G256" s="45" t="n"/>
      <c r="H256" s="45" t="n"/>
      <c r="I256" s="85" t="n"/>
      <c r="J256" s="44" t="n"/>
      <c r="K256" s="44" t="n"/>
      <c r="L256" s="44" t="n"/>
      <c r="M256" s="45" t="n"/>
      <c r="N256" s="44" t="n"/>
      <c r="O256" s="86" t="n"/>
      <c r="P256" s="44" t="n"/>
      <c r="Q256" s="45" t="n"/>
      <c r="R256" s="85" t="n"/>
      <c r="S256" s="85" t="n"/>
      <c r="T256" s="85" t="n"/>
      <c r="U256" s="85" t="n"/>
      <c r="V256" s="85" t="n"/>
      <c r="W256" s="86" t="n"/>
      <c r="X256" s="44" t="n"/>
      <c r="Y256" s="44" t="n"/>
      <c r="Z256" s="44" t="n"/>
      <c r="AA256" s="85" t="n"/>
      <c r="AB256" s="45" t="n"/>
      <c r="AC256" s="86" t="n"/>
      <c r="AD256" s="44" t="n"/>
      <c r="AE256" s="87" t="n"/>
      <c r="AF256" s="44" t="n"/>
      <c r="AG256" s="44" t="n"/>
      <c r="AH256" s="87" t="n"/>
      <c r="AI256" s="44" t="n"/>
      <c r="AJ256" s="45" t="n"/>
      <c r="AK256" s="45" t="n"/>
      <c r="AL256" s="45" t="n"/>
      <c r="AM256" s="44" t="n"/>
      <c r="AN256" s="45" t="n"/>
      <c r="AO256" s="44" t="n"/>
      <c r="AP256" s="44" t="n"/>
      <c r="AQ256" s="44" t="n"/>
      <c r="AR256" s="44" t="n"/>
      <c r="AS256" s="44" t="n"/>
    </row>
    <row r="257">
      <c r="A257" s="44" t="n"/>
      <c r="B257" s="44" t="n"/>
      <c r="C257" s="44" t="n"/>
      <c r="D257" s="44" t="n"/>
      <c r="E257" s="44" t="n"/>
      <c r="F257" s="44" t="n"/>
      <c r="G257" s="45" t="n"/>
      <c r="H257" s="45" t="n"/>
      <c r="I257" s="85" t="n"/>
      <c r="J257" s="44" t="n"/>
      <c r="K257" s="44" t="n"/>
      <c r="L257" s="44" t="n"/>
      <c r="M257" s="45" t="n"/>
      <c r="N257" s="44" t="n"/>
      <c r="O257" s="86" t="n"/>
      <c r="P257" s="44" t="n"/>
      <c r="Q257" s="45" t="n"/>
      <c r="R257" s="85" t="n"/>
      <c r="S257" s="85" t="n"/>
      <c r="T257" s="85" t="n"/>
      <c r="U257" s="85" t="n"/>
      <c r="V257" s="85" t="n"/>
      <c r="W257" s="86" t="n"/>
      <c r="X257" s="44" t="n"/>
      <c r="Y257" s="44" t="n"/>
      <c r="Z257" s="44" t="n"/>
      <c r="AA257" s="85" t="n"/>
      <c r="AB257" s="45" t="n"/>
      <c r="AC257" s="86" t="n"/>
      <c r="AD257" s="44" t="n"/>
      <c r="AE257" s="87" t="n"/>
      <c r="AF257" s="44" t="n"/>
      <c r="AG257" s="44" t="n"/>
      <c r="AH257" s="87" t="n"/>
      <c r="AI257" s="44" t="n"/>
      <c r="AJ257" s="45" t="n"/>
      <c r="AK257" s="45" t="n"/>
      <c r="AL257" s="45" t="n"/>
      <c r="AM257" s="44" t="n"/>
      <c r="AN257" s="45" t="n"/>
      <c r="AO257" s="44" t="n"/>
      <c r="AP257" s="44" t="n"/>
      <c r="AQ257" s="44" t="n"/>
      <c r="AR257" s="44" t="n"/>
      <c r="AS257" s="44" t="n"/>
    </row>
    <row r="258">
      <c r="A258" s="44" t="n"/>
      <c r="B258" s="44" t="n"/>
      <c r="C258" s="44" t="n"/>
      <c r="D258" s="44" t="n"/>
      <c r="E258" s="44" t="n"/>
      <c r="F258" s="44" t="n"/>
      <c r="G258" s="45" t="n"/>
      <c r="H258" s="45" t="n"/>
      <c r="I258" s="85" t="n"/>
      <c r="J258" s="44" t="n"/>
      <c r="K258" s="44" t="n"/>
      <c r="L258" s="44" t="n"/>
      <c r="M258" s="45" t="n"/>
      <c r="N258" s="44" t="n"/>
      <c r="O258" s="86" t="n"/>
      <c r="P258" s="44" t="n"/>
      <c r="Q258" s="45" t="n"/>
      <c r="R258" s="85" t="n"/>
      <c r="S258" s="85" t="n"/>
      <c r="T258" s="85" t="n"/>
      <c r="U258" s="85" t="n"/>
      <c r="V258" s="85" t="n"/>
      <c r="W258" s="86" t="n"/>
      <c r="X258" s="44" t="n"/>
      <c r="Y258" s="44" t="n"/>
      <c r="Z258" s="44" t="n"/>
      <c r="AA258" s="85" t="n"/>
      <c r="AB258" s="45" t="n"/>
      <c r="AC258" s="86" t="n"/>
      <c r="AD258" s="44" t="n"/>
      <c r="AE258" s="87" t="n"/>
      <c r="AF258" s="44" t="n"/>
      <c r="AG258" s="44" t="n"/>
      <c r="AH258" s="87" t="n"/>
      <c r="AI258" s="44" t="n"/>
      <c r="AJ258" s="45" t="n"/>
      <c r="AK258" s="45" t="n"/>
      <c r="AL258" s="45" t="n"/>
      <c r="AM258" s="44" t="n"/>
      <c r="AN258" s="45" t="n"/>
      <c r="AO258" s="44" t="n"/>
      <c r="AP258" s="44" t="n"/>
      <c r="AQ258" s="44" t="n"/>
      <c r="AR258" s="44" t="n"/>
      <c r="AS258" s="44" t="n"/>
    </row>
    <row r="259">
      <c r="A259" s="44" t="n"/>
      <c r="B259" s="44" t="n"/>
      <c r="C259" s="44" t="n"/>
      <c r="D259" s="44" t="n"/>
      <c r="E259" s="44" t="n"/>
      <c r="F259" s="44" t="n"/>
      <c r="G259" s="45" t="n"/>
      <c r="H259" s="45" t="n"/>
      <c r="I259" s="85" t="n"/>
      <c r="J259" s="44" t="n"/>
      <c r="K259" s="44" t="n"/>
      <c r="L259" s="44" t="n"/>
      <c r="M259" s="45" t="n"/>
      <c r="N259" s="44" t="n"/>
      <c r="O259" s="86" t="n"/>
      <c r="P259" s="44" t="n"/>
      <c r="Q259" s="45" t="n"/>
      <c r="R259" s="85" t="n"/>
      <c r="S259" s="85" t="n"/>
      <c r="T259" s="85" t="n"/>
      <c r="U259" s="85" t="n"/>
      <c r="V259" s="85" t="n"/>
      <c r="W259" s="86" t="n"/>
      <c r="X259" s="44" t="n"/>
      <c r="Y259" s="44" t="n"/>
      <c r="Z259" s="44" t="n"/>
      <c r="AA259" s="85" t="n"/>
      <c r="AB259" s="45" t="n"/>
      <c r="AC259" s="86" t="n"/>
      <c r="AD259" s="44" t="n"/>
      <c r="AE259" s="87" t="n"/>
      <c r="AF259" s="44" t="n"/>
      <c r="AG259" s="44" t="n"/>
      <c r="AH259" s="87" t="n"/>
      <c r="AI259" s="44" t="n"/>
      <c r="AJ259" s="45" t="n"/>
      <c r="AK259" s="45" t="n"/>
      <c r="AL259" s="45" t="n"/>
      <c r="AM259" s="44" t="n"/>
      <c r="AN259" s="45" t="n"/>
      <c r="AO259" s="44" t="n"/>
      <c r="AP259" s="44" t="n"/>
      <c r="AQ259" s="44" t="n"/>
      <c r="AR259" s="44" t="n"/>
      <c r="AS259" s="44" t="n"/>
    </row>
    <row r="260">
      <c r="A260" s="44" t="n"/>
      <c r="B260" s="44" t="n"/>
      <c r="C260" s="44" t="n"/>
      <c r="D260" s="44" t="n"/>
      <c r="E260" s="44" t="n"/>
      <c r="F260" s="44" t="n"/>
      <c r="G260" s="45" t="n"/>
      <c r="H260" s="45" t="n"/>
      <c r="I260" s="85" t="n"/>
      <c r="J260" s="44" t="n"/>
      <c r="K260" s="44" t="n"/>
      <c r="L260" s="44" t="n"/>
      <c r="M260" s="45" t="n"/>
      <c r="N260" s="44" t="n"/>
      <c r="O260" s="86" t="n"/>
      <c r="P260" s="44" t="n"/>
      <c r="Q260" s="45" t="n"/>
      <c r="R260" s="85" t="n"/>
      <c r="S260" s="85" t="n"/>
      <c r="T260" s="85" t="n"/>
      <c r="U260" s="85" t="n"/>
      <c r="V260" s="85" t="n"/>
      <c r="W260" s="86" t="n"/>
      <c r="X260" s="44" t="n"/>
      <c r="Y260" s="44" t="n"/>
      <c r="Z260" s="44" t="n"/>
      <c r="AA260" s="85" t="n"/>
      <c r="AB260" s="45" t="n"/>
      <c r="AC260" s="86" t="n"/>
      <c r="AD260" s="44" t="n"/>
      <c r="AE260" s="87" t="n"/>
      <c r="AF260" s="44" t="n"/>
      <c r="AG260" s="44" t="n"/>
      <c r="AH260" s="87" t="n"/>
      <c r="AI260" s="44" t="n"/>
      <c r="AJ260" s="45" t="n"/>
      <c r="AK260" s="45" t="n"/>
      <c r="AL260" s="45" t="n"/>
      <c r="AM260" s="44" t="n"/>
      <c r="AN260" s="45" t="n"/>
      <c r="AO260" s="44" t="n"/>
      <c r="AP260" s="44" t="n"/>
      <c r="AQ260" s="44" t="n"/>
      <c r="AR260" s="44" t="n"/>
      <c r="AS260" s="44" t="n"/>
    </row>
    <row r="261">
      <c r="A261" s="44" t="n"/>
      <c r="B261" s="44" t="n"/>
      <c r="C261" s="44" t="n"/>
      <c r="D261" s="44" t="n"/>
      <c r="E261" s="44" t="n"/>
      <c r="F261" s="44" t="n"/>
      <c r="G261" s="45" t="n"/>
      <c r="H261" s="45" t="n"/>
      <c r="I261" s="85" t="n"/>
      <c r="J261" s="44" t="n"/>
      <c r="K261" s="44" t="n"/>
      <c r="L261" s="44" t="n"/>
      <c r="M261" s="45" t="n"/>
      <c r="N261" s="44" t="n"/>
      <c r="O261" s="86" t="n"/>
      <c r="P261" s="44" t="n"/>
      <c r="Q261" s="45" t="n"/>
      <c r="R261" s="85" t="n"/>
      <c r="S261" s="85" t="n"/>
      <c r="T261" s="85" t="n"/>
      <c r="U261" s="85" t="n"/>
      <c r="V261" s="85" t="n"/>
      <c r="W261" s="86" t="n"/>
      <c r="X261" s="44" t="n"/>
      <c r="Y261" s="44" t="n"/>
      <c r="Z261" s="44" t="n"/>
      <c r="AA261" s="85" t="n"/>
      <c r="AB261" s="45" t="n"/>
      <c r="AC261" s="86" t="n"/>
      <c r="AD261" s="44" t="n"/>
      <c r="AE261" s="87" t="n"/>
      <c r="AF261" s="44" t="n"/>
      <c r="AG261" s="44" t="n"/>
      <c r="AH261" s="87" t="n"/>
      <c r="AI261" s="44" t="n"/>
      <c r="AJ261" s="45" t="n"/>
      <c r="AK261" s="45" t="n"/>
      <c r="AL261" s="45" t="n"/>
      <c r="AM261" s="44" t="n"/>
      <c r="AN261" s="45" t="n"/>
      <c r="AO261" s="44" t="n"/>
      <c r="AP261" s="44" t="n"/>
      <c r="AQ261" s="44" t="n"/>
      <c r="AR261" s="44" t="n"/>
      <c r="AS261" s="44" t="n"/>
    </row>
    <row r="262">
      <c r="A262" s="44" t="n"/>
      <c r="B262" s="44" t="n"/>
      <c r="C262" s="44" t="n"/>
      <c r="D262" s="44" t="n"/>
      <c r="E262" s="44" t="n"/>
      <c r="F262" s="44" t="n"/>
      <c r="G262" s="45" t="n"/>
      <c r="H262" s="45" t="n"/>
      <c r="I262" s="85" t="n"/>
      <c r="J262" s="44" t="n"/>
      <c r="K262" s="44" t="n"/>
      <c r="L262" s="44" t="n"/>
      <c r="M262" s="45" t="n"/>
      <c r="N262" s="44" t="n"/>
      <c r="O262" s="86" t="n"/>
      <c r="P262" s="44" t="n"/>
      <c r="Q262" s="45" t="n"/>
      <c r="R262" s="85" t="n"/>
      <c r="S262" s="85" t="n"/>
      <c r="T262" s="85" t="n"/>
      <c r="U262" s="85" t="n"/>
      <c r="V262" s="85" t="n"/>
      <c r="W262" s="86" t="n"/>
      <c r="X262" s="44" t="n"/>
      <c r="Y262" s="44" t="n"/>
      <c r="Z262" s="44" t="n"/>
      <c r="AA262" s="85" t="n"/>
      <c r="AB262" s="45" t="n"/>
      <c r="AC262" s="86" t="n"/>
      <c r="AD262" s="44" t="n"/>
      <c r="AE262" s="87" t="n"/>
      <c r="AF262" s="44" t="n"/>
      <c r="AG262" s="44" t="n"/>
      <c r="AH262" s="87" t="n"/>
      <c r="AI262" s="44" t="n"/>
      <c r="AJ262" s="45" t="n"/>
      <c r="AK262" s="45" t="n"/>
      <c r="AL262" s="45" t="n"/>
      <c r="AM262" s="44" t="n"/>
      <c r="AN262" s="45" t="n"/>
      <c r="AO262" s="44" t="n"/>
      <c r="AP262" s="44" t="n"/>
      <c r="AQ262" s="44" t="n"/>
      <c r="AR262" s="44" t="n"/>
      <c r="AS262" s="44" t="n"/>
    </row>
    <row r="263">
      <c r="A263" s="44" t="n"/>
      <c r="B263" s="44" t="n"/>
      <c r="C263" s="44" t="n"/>
      <c r="D263" s="44" t="n"/>
      <c r="E263" s="44" t="n"/>
      <c r="F263" s="44" t="n"/>
      <c r="G263" s="45" t="n"/>
      <c r="H263" s="45" t="n"/>
      <c r="I263" s="85" t="n"/>
      <c r="J263" s="44" t="n"/>
      <c r="K263" s="44" t="n"/>
      <c r="L263" s="44" t="n"/>
      <c r="M263" s="45" t="n"/>
      <c r="N263" s="44" t="n"/>
      <c r="O263" s="86" t="n"/>
      <c r="P263" s="44" t="n"/>
      <c r="Q263" s="45" t="n"/>
      <c r="R263" s="85" t="n"/>
      <c r="S263" s="85" t="n"/>
      <c r="T263" s="85" t="n"/>
      <c r="U263" s="85" t="n"/>
      <c r="V263" s="85" t="n"/>
      <c r="W263" s="86" t="n"/>
      <c r="X263" s="44" t="n"/>
      <c r="Y263" s="44" t="n"/>
      <c r="Z263" s="44" t="n"/>
      <c r="AA263" s="85" t="n"/>
      <c r="AB263" s="45" t="n"/>
      <c r="AC263" s="86" t="n"/>
      <c r="AD263" s="44" t="n"/>
      <c r="AE263" s="87" t="n"/>
      <c r="AF263" s="44" t="n"/>
      <c r="AG263" s="44" t="n"/>
      <c r="AH263" s="87" t="n"/>
      <c r="AI263" s="44" t="n"/>
      <c r="AJ263" s="45" t="n"/>
      <c r="AK263" s="45" t="n"/>
      <c r="AL263" s="45" t="n"/>
      <c r="AM263" s="44" t="n"/>
      <c r="AN263" s="45" t="n"/>
      <c r="AO263" s="44" t="n"/>
      <c r="AP263" s="44" t="n"/>
      <c r="AQ263" s="44" t="n"/>
      <c r="AR263" s="44" t="n"/>
      <c r="AS263" s="44" t="n"/>
    </row>
    <row r="264">
      <c r="A264" s="44" t="n"/>
      <c r="B264" s="44" t="n"/>
      <c r="C264" s="44" t="n"/>
      <c r="D264" s="44" t="n"/>
      <c r="E264" s="44" t="n"/>
      <c r="F264" s="44" t="n"/>
      <c r="G264" s="45" t="n"/>
      <c r="H264" s="45" t="n"/>
      <c r="I264" s="85" t="n"/>
      <c r="J264" s="44" t="n"/>
      <c r="K264" s="44" t="n"/>
      <c r="L264" s="44" t="n"/>
      <c r="M264" s="45" t="n"/>
      <c r="N264" s="44" t="n"/>
      <c r="O264" s="86" t="n"/>
      <c r="P264" s="44" t="n"/>
      <c r="Q264" s="45" t="n"/>
      <c r="R264" s="85" t="n"/>
      <c r="S264" s="85" t="n"/>
      <c r="T264" s="85" t="n"/>
      <c r="U264" s="85" t="n"/>
      <c r="V264" s="85" t="n"/>
      <c r="W264" s="86" t="n"/>
      <c r="X264" s="44" t="n"/>
      <c r="Y264" s="44" t="n"/>
      <c r="Z264" s="44" t="n"/>
      <c r="AA264" s="85" t="n"/>
      <c r="AB264" s="45" t="n"/>
      <c r="AC264" s="86" t="n"/>
      <c r="AD264" s="44" t="n"/>
      <c r="AE264" s="87" t="n"/>
      <c r="AF264" s="44" t="n"/>
      <c r="AG264" s="44" t="n"/>
      <c r="AH264" s="87" t="n"/>
      <c r="AI264" s="44" t="n"/>
      <c r="AJ264" s="45" t="n"/>
      <c r="AK264" s="45" t="n"/>
      <c r="AL264" s="45" t="n"/>
      <c r="AM264" s="44" t="n"/>
      <c r="AN264" s="45" t="n"/>
      <c r="AO264" s="44" t="n"/>
      <c r="AP264" s="44" t="n"/>
      <c r="AQ264" s="44" t="n"/>
      <c r="AR264" s="44" t="n"/>
      <c r="AS264" s="44" t="n"/>
    </row>
    <row r="265">
      <c r="A265" s="44" t="n"/>
      <c r="B265" s="44" t="n"/>
      <c r="C265" s="44" t="n"/>
      <c r="D265" s="44" t="n"/>
      <c r="E265" s="44" t="n"/>
      <c r="F265" s="44" t="n"/>
      <c r="G265" s="45" t="n"/>
      <c r="H265" s="45" t="n"/>
      <c r="I265" s="85" t="n"/>
      <c r="J265" s="44" t="n"/>
      <c r="K265" s="44" t="n"/>
      <c r="L265" s="44" t="n"/>
      <c r="M265" s="45" t="n"/>
      <c r="N265" s="44" t="n"/>
      <c r="O265" s="86" t="n"/>
      <c r="P265" s="44" t="n"/>
      <c r="Q265" s="45" t="n"/>
      <c r="R265" s="85" t="n"/>
      <c r="S265" s="85" t="n"/>
      <c r="T265" s="85" t="n"/>
      <c r="U265" s="85" t="n"/>
      <c r="V265" s="85" t="n"/>
      <c r="W265" s="86" t="n"/>
      <c r="X265" s="44" t="n"/>
      <c r="Y265" s="44" t="n"/>
      <c r="Z265" s="44" t="n"/>
      <c r="AA265" s="85" t="n"/>
      <c r="AB265" s="45" t="n"/>
      <c r="AC265" s="86" t="n"/>
      <c r="AD265" s="44" t="n"/>
      <c r="AE265" s="87" t="n"/>
      <c r="AF265" s="44" t="n"/>
      <c r="AG265" s="44" t="n"/>
      <c r="AH265" s="87" t="n"/>
      <c r="AI265" s="44" t="n"/>
      <c r="AJ265" s="45" t="n"/>
      <c r="AK265" s="45" t="n"/>
      <c r="AL265" s="45" t="n"/>
      <c r="AM265" s="44" t="n"/>
      <c r="AN265" s="45" t="n"/>
      <c r="AO265" s="44" t="n"/>
      <c r="AP265" s="44" t="n"/>
      <c r="AQ265" s="44" t="n"/>
      <c r="AR265" s="44" t="n"/>
      <c r="AS265" s="44" t="n"/>
    </row>
    <row r="266">
      <c r="A266" s="44" t="n"/>
      <c r="B266" s="44" t="n"/>
      <c r="C266" s="44" t="n"/>
      <c r="D266" s="44" t="n"/>
      <c r="E266" s="44" t="n"/>
      <c r="F266" s="44" t="n"/>
      <c r="G266" s="45" t="n"/>
      <c r="H266" s="45" t="n"/>
      <c r="I266" s="85" t="n"/>
      <c r="J266" s="44" t="n"/>
      <c r="K266" s="44" t="n"/>
      <c r="L266" s="44" t="n"/>
      <c r="M266" s="45" t="n"/>
      <c r="N266" s="44" t="n"/>
      <c r="O266" s="86" t="n"/>
      <c r="P266" s="44" t="n"/>
      <c r="Q266" s="45" t="n"/>
      <c r="R266" s="85" t="n"/>
      <c r="S266" s="85" t="n"/>
      <c r="T266" s="85" t="n"/>
      <c r="U266" s="85" t="n"/>
      <c r="V266" s="85" t="n"/>
      <c r="W266" s="86" t="n"/>
      <c r="X266" s="44" t="n"/>
      <c r="Y266" s="44" t="n"/>
      <c r="Z266" s="44" t="n"/>
      <c r="AA266" s="85" t="n"/>
      <c r="AB266" s="45" t="n"/>
      <c r="AC266" s="86" t="n"/>
      <c r="AD266" s="44" t="n"/>
      <c r="AE266" s="87" t="n"/>
      <c r="AF266" s="44" t="n"/>
      <c r="AG266" s="44" t="n"/>
      <c r="AH266" s="87" t="n"/>
      <c r="AI266" s="44" t="n"/>
      <c r="AJ266" s="45" t="n"/>
      <c r="AK266" s="45" t="n"/>
      <c r="AL266" s="45" t="n"/>
      <c r="AM266" s="44" t="n"/>
      <c r="AN266" s="45" t="n"/>
      <c r="AO266" s="44" t="n"/>
      <c r="AP266" s="44" t="n"/>
      <c r="AQ266" s="44" t="n"/>
      <c r="AR266" s="44" t="n"/>
      <c r="AS266" s="44" t="n"/>
    </row>
    <row r="267">
      <c r="A267" s="44" t="n"/>
      <c r="B267" s="44" t="n"/>
      <c r="C267" s="44" t="n"/>
      <c r="D267" s="44" t="n"/>
      <c r="E267" s="44" t="n"/>
      <c r="F267" s="44" t="n"/>
      <c r="G267" s="45" t="n"/>
      <c r="H267" s="45" t="n"/>
      <c r="I267" s="85" t="n"/>
      <c r="J267" s="44" t="n"/>
      <c r="K267" s="44" t="n"/>
      <c r="L267" s="44" t="n"/>
      <c r="M267" s="45" t="n"/>
      <c r="N267" s="44" t="n"/>
      <c r="O267" s="86" t="n"/>
      <c r="P267" s="44" t="n"/>
      <c r="Q267" s="45" t="n"/>
      <c r="R267" s="85" t="n"/>
      <c r="S267" s="85" t="n"/>
      <c r="T267" s="85" t="n"/>
      <c r="U267" s="85" t="n"/>
      <c r="V267" s="85" t="n"/>
      <c r="W267" s="86" t="n"/>
      <c r="X267" s="44" t="n"/>
      <c r="Y267" s="44" t="n"/>
      <c r="Z267" s="44" t="n"/>
      <c r="AA267" s="85" t="n"/>
      <c r="AB267" s="45" t="n"/>
      <c r="AC267" s="86" t="n"/>
      <c r="AD267" s="44" t="n"/>
      <c r="AE267" s="87" t="n"/>
      <c r="AF267" s="44" t="n"/>
      <c r="AG267" s="44" t="n"/>
      <c r="AH267" s="87" t="n"/>
      <c r="AI267" s="44" t="n"/>
      <c r="AJ267" s="45" t="n"/>
      <c r="AK267" s="45" t="n"/>
      <c r="AL267" s="45" t="n"/>
      <c r="AM267" s="44" t="n"/>
      <c r="AN267" s="45" t="n"/>
      <c r="AO267" s="44" t="n"/>
      <c r="AP267" s="44" t="n"/>
      <c r="AQ267" s="44" t="n"/>
      <c r="AR267" s="44" t="n"/>
      <c r="AS267" s="44" t="n"/>
    </row>
    <row r="268">
      <c r="A268" s="44" t="n"/>
      <c r="B268" s="44" t="n"/>
      <c r="C268" s="44" t="n"/>
      <c r="D268" s="44" t="n"/>
      <c r="E268" s="44" t="n"/>
      <c r="F268" s="44" t="n"/>
      <c r="G268" s="45" t="n"/>
      <c r="H268" s="45" t="n"/>
      <c r="I268" s="85" t="n"/>
      <c r="J268" s="44" t="n"/>
      <c r="K268" s="44" t="n"/>
      <c r="L268" s="44" t="n"/>
      <c r="M268" s="45" t="n"/>
      <c r="N268" s="44" t="n"/>
      <c r="O268" s="86" t="n"/>
      <c r="P268" s="44" t="n"/>
      <c r="Q268" s="45" t="n"/>
      <c r="R268" s="85" t="n"/>
      <c r="S268" s="85" t="n"/>
      <c r="T268" s="85" t="n"/>
      <c r="U268" s="85" t="n"/>
      <c r="V268" s="85" t="n"/>
      <c r="W268" s="86" t="n"/>
      <c r="X268" s="44" t="n"/>
      <c r="Y268" s="44" t="n"/>
      <c r="Z268" s="44" t="n"/>
      <c r="AA268" s="85" t="n"/>
      <c r="AB268" s="45" t="n"/>
      <c r="AC268" s="86" t="n"/>
      <c r="AD268" s="44" t="n"/>
      <c r="AE268" s="87" t="n"/>
      <c r="AF268" s="44" t="n"/>
      <c r="AG268" s="44" t="n"/>
      <c r="AH268" s="87" t="n"/>
      <c r="AI268" s="44" t="n"/>
      <c r="AJ268" s="45" t="n"/>
      <c r="AK268" s="45" t="n"/>
      <c r="AL268" s="45" t="n"/>
      <c r="AM268" s="44" t="n"/>
      <c r="AN268" s="45" t="n"/>
      <c r="AO268" s="44" t="n"/>
      <c r="AP268" s="44" t="n"/>
      <c r="AQ268" s="44" t="n"/>
      <c r="AR268" s="44" t="n"/>
      <c r="AS268" s="44" t="n"/>
    </row>
    <row r="269">
      <c r="A269" s="44" t="n"/>
      <c r="B269" s="44" t="n"/>
      <c r="C269" s="44" t="n"/>
      <c r="D269" s="44" t="n"/>
      <c r="E269" s="44" t="n"/>
      <c r="F269" s="44" t="n"/>
      <c r="G269" s="45" t="n"/>
      <c r="H269" s="45" t="n"/>
      <c r="I269" s="85" t="n"/>
      <c r="J269" s="44" t="n"/>
      <c r="K269" s="44" t="n"/>
      <c r="L269" s="44" t="n"/>
      <c r="M269" s="45" t="n"/>
      <c r="N269" s="44" t="n"/>
      <c r="O269" s="86" t="n"/>
      <c r="P269" s="44" t="n"/>
      <c r="Q269" s="45" t="n"/>
      <c r="R269" s="85" t="n"/>
      <c r="S269" s="85" t="n"/>
      <c r="T269" s="85" t="n"/>
      <c r="U269" s="85" t="n"/>
      <c r="V269" s="85" t="n"/>
      <c r="W269" s="86" t="n"/>
      <c r="X269" s="44" t="n"/>
      <c r="Y269" s="44" t="n"/>
      <c r="Z269" s="44" t="n"/>
      <c r="AA269" s="85" t="n"/>
      <c r="AB269" s="45" t="n"/>
      <c r="AC269" s="86" t="n"/>
      <c r="AD269" s="44" t="n"/>
      <c r="AE269" s="87" t="n"/>
      <c r="AF269" s="44" t="n"/>
      <c r="AG269" s="44" t="n"/>
      <c r="AH269" s="87" t="n"/>
      <c r="AI269" s="44" t="n"/>
      <c r="AJ269" s="45" t="n"/>
      <c r="AK269" s="45" t="n"/>
      <c r="AL269" s="45" t="n"/>
      <c r="AM269" s="44" t="n"/>
      <c r="AN269" s="45" t="n"/>
      <c r="AO269" s="44" t="n"/>
      <c r="AP269" s="44" t="n"/>
      <c r="AQ269" s="44" t="n"/>
      <c r="AR269" s="44" t="n"/>
      <c r="AS269" s="44" t="n"/>
    </row>
    <row r="270">
      <c r="A270" s="44" t="n"/>
      <c r="B270" s="44" t="n"/>
      <c r="C270" s="44" t="n"/>
      <c r="D270" s="44" t="n"/>
      <c r="E270" s="44" t="n"/>
      <c r="F270" s="44" t="n"/>
      <c r="G270" s="45" t="n"/>
      <c r="H270" s="45" t="n"/>
      <c r="I270" s="85" t="n"/>
      <c r="J270" s="44" t="n"/>
      <c r="K270" s="44" t="n"/>
      <c r="L270" s="44" t="n"/>
      <c r="M270" s="45" t="n"/>
      <c r="N270" s="44" t="n"/>
      <c r="O270" s="86" t="n"/>
      <c r="P270" s="44" t="n"/>
      <c r="Q270" s="45" t="n"/>
      <c r="R270" s="85" t="n"/>
      <c r="S270" s="85" t="n"/>
      <c r="T270" s="85" t="n"/>
      <c r="U270" s="85" t="n"/>
      <c r="V270" s="85" t="n"/>
      <c r="W270" s="86" t="n"/>
      <c r="X270" s="44" t="n"/>
      <c r="Y270" s="44" t="n"/>
      <c r="Z270" s="44" t="n"/>
      <c r="AA270" s="85" t="n"/>
      <c r="AB270" s="45" t="n"/>
      <c r="AC270" s="86" t="n"/>
      <c r="AD270" s="44" t="n"/>
      <c r="AE270" s="87" t="n"/>
      <c r="AF270" s="44" t="n"/>
      <c r="AG270" s="44" t="n"/>
      <c r="AH270" s="87" t="n"/>
      <c r="AI270" s="44" t="n"/>
      <c r="AJ270" s="45" t="n"/>
      <c r="AK270" s="45" t="n"/>
      <c r="AL270" s="45" t="n"/>
      <c r="AM270" s="44" t="n"/>
      <c r="AN270" s="45" t="n"/>
      <c r="AO270" s="44" t="n"/>
      <c r="AP270" s="44" t="n"/>
      <c r="AQ270" s="44" t="n"/>
      <c r="AR270" s="44" t="n"/>
      <c r="AS270" s="44" t="n"/>
    </row>
    <row r="271">
      <c r="A271" s="44" t="n"/>
      <c r="B271" s="44" t="n"/>
      <c r="C271" s="44" t="n"/>
      <c r="D271" s="44" t="n"/>
      <c r="E271" s="44" t="n"/>
      <c r="F271" s="44" t="n"/>
      <c r="G271" s="45" t="n"/>
      <c r="H271" s="45" t="n"/>
      <c r="I271" s="85" t="n"/>
      <c r="J271" s="44" t="n"/>
      <c r="K271" s="44" t="n"/>
      <c r="L271" s="44" t="n"/>
      <c r="M271" s="45" t="n"/>
      <c r="N271" s="44" t="n"/>
      <c r="O271" s="86" t="n"/>
      <c r="P271" s="44" t="n"/>
      <c r="Q271" s="45" t="n"/>
      <c r="R271" s="85" t="n"/>
      <c r="S271" s="85" t="n"/>
      <c r="T271" s="85" t="n"/>
      <c r="U271" s="85" t="n"/>
      <c r="V271" s="85" t="n"/>
      <c r="W271" s="86" t="n"/>
      <c r="X271" s="44" t="n"/>
      <c r="Y271" s="44" t="n"/>
      <c r="Z271" s="44" t="n"/>
      <c r="AA271" s="85" t="n"/>
      <c r="AB271" s="45" t="n"/>
      <c r="AC271" s="86" t="n"/>
      <c r="AD271" s="44" t="n"/>
      <c r="AE271" s="87" t="n"/>
      <c r="AF271" s="44" t="n"/>
      <c r="AG271" s="44" t="n"/>
      <c r="AH271" s="87" t="n"/>
      <c r="AI271" s="44" t="n"/>
      <c r="AJ271" s="45" t="n"/>
      <c r="AK271" s="45" t="n"/>
      <c r="AL271" s="45" t="n"/>
      <c r="AM271" s="44" t="n"/>
      <c r="AN271" s="45" t="n"/>
      <c r="AO271" s="44" t="n"/>
      <c r="AP271" s="44" t="n"/>
      <c r="AQ271" s="44" t="n"/>
      <c r="AR271" s="44" t="n"/>
      <c r="AS271" s="44" t="n"/>
    </row>
    <row r="272">
      <c r="A272" s="44" t="n"/>
      <c r="B272" s="44" t="n"/>
      <c r="C272" s="44" t="n"/>
      <c r="D272" s="44" t="n"/>
      <c r="E272" s="44" t="n"/>
      <c r="F272" s="44" t="n"/>
      <c r="G272" s="45" t="n"/>
      <c r="H272" s="45" t="n"/>
      <c r="I272" s="85" t="n"/>
      <c r="J272" s="44" t="n"/>
      <c r="K272" s="44" t="n"/>
      <c r="L272" s="44" t="n"/>
      <c r="M272" s="45" t="n"/>
      <c r="N272" s="44" t="n"/>
      <c r="O272" s="86" t="n"/>
      <c r="P272" s="44" t="n"/>
      <c r="Q272" s="45" t="n"/>
      <c r="R272" s="85" t="n"/>
      <c r="S272" s="85" t="n"/>
      <c r="T272" s="85" t="n"/>
      <c r="U272" s="85" t="n"/>
      <c r="V272" s="85" t="n"/>
      <c r="W272" s="86" t="n"/>
      <c r="X272" s="44" t="n"/>
      <c r="Y272" s="44" t="n"/>
      <c r="Z272" s="44" t="n"/>
      <c r="AA272" s="85" t="n"/>
      <c r="AB272" s="45" t="n"/>
      <c r="AC272" s="86" t="n"/>
      <c r="AD272" s="44" t="n"/>
      <c r="AE272" s="87" t="n"/>
      <c r="AF272" s="44" t="n"/>
      <c r="AG272" s="44" t="n"/>
      <c r="AH272" s="87" t="n"/>
      <c r="AI272" s="44" t="n"/>
      <c r="AJ272" s="45" t="n"/>
      <c r="AK272" s="45" t="n"/>
      <c r="AL272" s="45" t="n"/>
      <c r="AM272" s="44" t="n"/>
      <c r="AN272" s="45" t="n"/>
      <c r="AO272" s="44" t="n"/>
      <c r="AP272" s="44" t="n"/>
      <c r="AQ272" s="44" t="n"/>
      <c r="AR272" s="44" t="n"/>
      <c r="AS272" s="44" t="n"/>
    </row>
    <row r="273">
      <c r="A273" s="44" t="n"/>
      <c r="B273" s="44" t="n"/>
      <c r="C273" s="44" t="n"/>
      <c r="D273" s="44" t="n"/>
      <c r="E273" s="44" t="n"/>
      <c r="F273" s="44" t="n"/>
      <c r="G273" s="45" t="n"/>
      <c r="H273" s="45" t="n"/>
      <c r="I273" s="85" t="n"/>
      <c r="J273" s="44" t="n"/>
      <c r="K273" s="44" t="n"/>
      <c r="L273" s="44" t="n"/>
      <c r="M273" s="45" t="n"/>
      <c r="N273" s="44" t="n"/>
      <c r="O273" s="86" t="n"/>
      <c r="P273" s="44" t="n"/>
      <c r="Q273" s="45" t="n"/>
      <c r="R273" s="85" t="n"/>
      <c r="S273" s="85" t="n"/>
      <c r="T273" s="85" t="n"/>
      <c r="U273" s="85" t="n"/>
      <c r="V273" s="85" t="n"/>
      <c r="W273" s="86" t="n"/>
      <c r="X273" s="44" t="n"/>
      <c r="Y273" s="44" t="n"/>
      <c r="Z273" s="44" t="n"/>
      <c r="AA273" s="85" t="n"/>
      <c r="AB273" s="45" t="n"/>
      <c r="AC273" s="86" t="n"/>
      <c r="AD273" s="44" t="n"/>
      <c r="AE273" s="87" t="n"/>
      <c r="AF273" s="44" t="n"/>
      <c r="AG273" s="44" t="n"/>
      <c r="AH273" s="87" t="n"/>
      <c r="AI273" s="44" t="n"/>
      <c r="AJ273" s="45" t="n"/>
      <c r="AK273" s="45" t="n"/>
      <c r="AL273" s="45" t="n"/>
      <c r="AM273" s="44" t="n"/>
      <c r="AN273" s="45" t="n"/>
      <c r="AO273" s="44" t="n"/>
      <c r="AP273" s="44" t="n"/>
      <c r="AQ273" s="44" t="n"/>
      <c r="AR273" s="44" t="n"/>
      <c r="AS273" s="44" t="n"/>
    </row>
    <row r="274">
      <c r="A274" s="44" t="n"/>
      <c r="B274" s="44" t="n"/>
      <c r="C274" s="44" t="n"/>
      <c r="D274" s="44" t="n"/>
      <c r="E274" s="44" t="n"/>
      <c r="F274" s="44" t="n"/>
      <c r="G274" s="45" t="n"/>
      <c r="H274" s="45" t="n"/>
      <c r="I274" s="85" t="n"/>
      <c r="J274" s="44" t="n"/>
      <c r="K274" s="44" t="n"/>
      <c r="L274" s="44" t="n"/>
      <c r="M274" s="45" t="n"/>
      <c r="N274" s="44" t="n"/>
      <c r="O274" s="86" t="n"/>
      <c r="P274" s="44" t="n"/>
      <c r="Q274" s="45" t="n"/>
      <c r="R274" s="85" t="n"/>
      <c r="S274" s="85" t="n"/>
      <c r="T274" s="85" t="n"/>
      <c r="U274" s="85" t="n"/>
      <c r="V274" s="85" t="n"/>
      <c r="W274" s="86" t="n"/>
      <c r="X274" s="44" t="n"/>
      <c r="Y274" s="44" t="n"/>
      <c r="Z274" s="44" t="n"/>
      <c r="AA274" s="85" t="n"/>
      <c r="AB274" s="45" t="n"/>
      <c r="AC274" s="86" t="n"/>
      <c r="AD274" s="44" t="n"/>
      <c r="AE274" s="87" t="n"/>
      <c r="AF274" s="44" t="n"/>
      <c r="AG274" s="44" t="n"/>
      <c r="AH274" s="87" t="n"/>
      <c r="AI274" s="44" t="n"/>
      <c r="AJ274" s="45" t="n"/>
      <c r="AK274" s="45" t="n"/>
      <c r="AL274" s="45" t="n"/>
      <c r="AM274" s="44" t="n"/>
      <c r="AN274" s="45" t="n"/>
      <c r="AO274" s="44" t="n"/>
      <c r="AP274" s="44" t="n"/>
      <c r="AQ274" s="44" t="n"/>
      <c r="AR274" s="44" t="n"/>
      <c r="AS274" s="44" t="n"/>
    </row>
    <row r="275">
      <c r="A275" s="44" t="n"/>
      <c r="B275" s="44" t="n"/>
      <c r="C275" s="44" t="n"/>
      <c r="D275" s="44" t="n"/>
      <c r="E275" s="44" t="n"/>
      <c r="F275" s="44" t="n"/>
      <c r="G275" s="45" t="n"/>
      <c r="H275" s="45" t="n"/>
      <c r="I275" s="85" t="n"/>
      <c r="J275" s="44" t="n"/>
      <c r="K275" s="44" t="n"/>
      <c r="L275" s="44" t="n"/>
      <c r="M275" s="45" t="n"/>
      <c r="N275" s="44" t="n"/>
      <c r="O275" s="86" t="n"/>
      <c r="P275" s="44" t="n"/>
      <c r="Q275" s="45" t="n"/>
      <c r="R275" s="85" t="n"/>
      <c r="S275" s="85" t="n"/>
      <c r="T275" s="85" t="n"/>
      <c r="U275" s="85" t="n"/>
      <c r="V275" s="85" t="n"/>
      <c r="W275" s="86" t="n"/>
      <c r="X275" s="44" t="n"/>
      <c r="Y275" s="44" t="n"/>
      <c r="Z275" s="44" t="n"/>
      <c r="AA275" s="85" t="n"/>
      <c r="AB275" s="45" t="n"/>
      <c r="AC275" s="86" t="n"/>
      <c r="AD275" s="44" t="n"/>
      <c r="AE275" s="87" t="n"/>
      <c r="AF275" s="44" t="n"/>
      <c r="AG275" s="44" t="n"/>
      <c r="AH275" s="87" t="n"/>
      <c r="AI275" s="44" t="n"/>
      <c r="AJ275" s="45" t="n"/>
      <c r="AK275" s="45" t="n"/>
      <c r="AL275" s="45" t="n"/>
      <c r="AM275" s="44" t="n"/>
      <c r="AN275" s="45" t="n"/>
      <c r="AO275" s="44" t="n"/>
      <c r="AP275" s="44" t="n"/>
      <c r="AQ275" s="44" t="n"/>
      <c r="AR275" s="44" t="n"/>
      <c r="AS275" s="44" t="n"/>
    </row>
    <row r="276">
      <c r="A276" s="44" t="n"/>
      <c r="B276" s="44" t="n"/>
      <c r="C276" s="44" t="n"/>
      <c r="D276" s="44" t="n"/>
      <c r="E276" s="44" t="n"/>
      <c r="F276" s="44" t="n"/>
      <c r="G276" s="45" t="n"/>
      <c r="H276" s="45" t="n"/>
      <c r="I276" s="85" t="n"/>
      <c r="J276" s="44" t="n"/>
      <c r="K276" s="44" t="n"/>
      <c r="L276" s="44" t="n"/>
      <c r="M276" s="45" t="n"/>
      <c r="N276" s="44" t="n"/>
      <c r="O276" s="86" t="n"/>
      <c r="P276" s="44" t="n"/>
      <c r="Q276" s="45" t="n"/>
      <c r="R276" s="85" t="n"/>
      <c r="S276" s="85" t="n"/>
      <c r="T276" s="85" t="n"/>
      <c r="U276" s="85" t="n"/>
      <c r="V276" s="85" t="n"/>
      <c r="W276" s="86" t="n"/>
      <c r="X276" s="44" t="n"/>
      <c r="Y276" s="44" t="n"/>
      <c r="Z276" s="44" t="n"/>
      <c r="AA276" s="85" t="n"/>
      <c r="AB276" s="45" t="n"/>
      <c r="AC276" s="86" t="n"/>
      <c r="AD276" s="44" t="n"/>
      <c r="AE276" s="87" t="n"/>
      <c r="AF276" s="44" t="n"/>
      <c r="AG276" s="44" t="n"/>
      <c r="AH276" s="87" t="n"/>
      <c r="AI276" s="44" t="n"/>
      <c r="AJ276" s="45" t="n"/>
      <c r="AK276" s="45" t="n"/>
      <c r="AL276" s="45" t="n"/>
      <c r="AM276" s="44" t="n"/>
      <c r="AN276" s="45" t="n"/>
      <c r="AO276" s="44" t="n"/>
      <c r="AP276" s="44" t="n"/>
      <c r="AQ276" s="44" t="n"/>
      <c r="AR276" s="44" t="n"/>
      <c r="AS276" s="44" t="n"/>
    </row>
    <row r="277">
      <c r="A277" s="44" t="n"/>
      <c r="B277" s="44" t="n"/>
      <c r="C277" s="44" t="n"/>
      <c r="D277" s="44" t="n"/>
      <c r="E277" s="44" t="n"/>
      <c r="F277" s="44" t="n"/>
      <c r="G277" s="45" t="n"/>
      <c r="H277" s="45" t="n"/>
      <c r="I277" s="85" t="n"/>
      <c r="J277" s="44" t="n"/>
      <c r="K277" s="44" t="n"/>
      <c r="L277" s="44" t="n"/>
      <c r="M277" s="45" t="n"/>
      <c r="N277" s="44" t="n"/>
      <c r="O277" s="86" t="n"/>
      <c r="P277" s="44" t="n"/>
      <c r="Q277" s="45" t="n"/>
      <c r="R277" s="85" t="n"/>
      <c r="S277" s="85" t="n"/>
      <c r="T277" s="85" t="n"/>
      <c r="U277" s="85" t="n"/>
      <c r="V277" s="85" t="n"/>
      <c r="W277" s="86" t="n"/>
      <c r="X277" s="44" t="n"/>
      <c r="Y277" s="44" t="n"/>
      <c r="Z277" s="44" t="n"/>
      <c r="AA277" s="85" t="n"/>
      <c r="AB277" s="45" t="n"/>
      <c r="AC277" s="86" t="n"/>
      <c r="AD277" s="44" t="n"/>
      <c r="AE277" s="87" t="n"/>
      <c r="AF277" s="44" t="n"/>
      <c r="AG277" s="44" t="n"/>
      <c r="AH277" s="87" t="n"/>
      <c r="AI277" s="44" t="n"/>
      <c r="AJ277" s="45" t="n"/>
      <c r="AK277" s="45" t="n"/>
      <c r="AL277" s="45" t="n"/>
      <c r="AM277" s="44" t="n"/>
      <c r="AN277" s="45" t="n"/>
      <c r="AO277" s="44" t="n"/>
      <c r="AP277" s="44" t="n"/>
      <c r="AQ277" s="44" t="n"/>
      <c r="AR277" s="44" t="n"/>
      <c r="AS277" s="44" t="n"/>
    </row>
    <row r="278">
      <c r="A278" s="44" t="n"/>
      <c r="B278" s="44" t="n"/>
      <c r="C278" s="44" t="n"/>
      <c r="D278" s="44" t="n"/>
      <c r="E278" s="44" t="n"/>
      <c r="F278" s="44" t="n"/>
      <c r="G278" s="45" t="n"/>
      <c r="H278" s="45" t="n"/>
      <c r="I278" s="85" t="n"/>
      <c r="J278" s="44" t="n"/>
      <c r="K278" s="44" t="n"/>
      <c r="L278" s="44" t="n"/>
      <c r="M278" s="45" t="n"/>
      <c r="N278" s="44" t="n"/>
      <c r="O278" s="86" t="n"/>
      <c r="P278" s="44" t="n"/>
      <c r="Q278" s="45" t="n"/>
      <c r="R278" s="85" t="n"/>
      <c r="S278" s="85" t="n"/>
      <c r="T278" s="85" t="n"/>
      <c r="U278" s="85" t="n"/>
      <c r="V278" s="85" t="n"/>
      <c r="W278" s="86" t="n"/>
      <c r="X278" s="44" t="n"/>
      <c r="Y278" s="44" t="n"/>
      <c r="Z278" s="44" t="n"/>
      <c r="AA278" s="85" t="n"/>
      <c r="AB278" s="45" t="n"/>
      <c r="AC278" s="86" t="n"/>
      <c r="AD278" s="44" t="n"/>
      <c r="AE278" s="87" t="n"/>
      <c r="AF278" s="44" t="n"/>
      <c r="AG278" s="44" t="n"/>
      <c r="AH278" s="87" t="n"/>
      <c r="AI278" s="44" t="n"/>
      <c r="AJ278" s="45" t="n"/>
      <c r="AK278" s="45" t="n"/>
      <c r="AL278" s="45" t="n"/>
      <c r="AM278" s="44" t="n"/>
      <c r="AN278" s="45" t="n"/>
      <c r="AO278" s="44" t="n"/>
      <c r="AP278" s="44" t="n"/>
      <c r="AQ278" s="44" t="n"/>
      <c r="AR278" s="44" t="n"/>
      <c r="AS278" s="44" t="n"/>
    </row>
    <row r="279">
      <c r="A279" s="44" t="n"/>
      <c r="B279" s="44" t="n"/>
      <c r="C279" s="44" t="n"/>
      <c r="D279" s="44" t="n"/>
      <c r="E279" s="44" t="n"/>
      <c r="F279" s="44" t="n"/>
      <c r="G279" s="45" t="n"/>
      <c r="H279" s="45" t="n"/>
      <c r="I279" s="85" t="n"/>
      <c r="J279" s="44" t="n"/>
      <c r="K279" s="44" t="n"/>
      <c r="L279" s="44" t="n"/>
      <c r="M279" s="45" t="n"/>
      <c r="N279" s="44" t="n"/>
      <c r="O279" s="86" t="n"/>
      <c r="P279" s="44" t="n"/>
      <c r="Q279" s="45" t="n"/>
      <c r="R279" s="85" t="n"/>
      <c r="S279" s="85" t="n"/>
      <c r="T279" s="85" t="n"/>
      <c r="U279" s="85" t="n"/>
      <c r="V279" s="85" t="n"/>
      <c r="W279" s="86" t="n"/>
      <c r="X279" s="44" t="n"/>
      <c r="Y279" s="44" t="n"/>
      <c r="Z279" s="44" t="n"/>
      <c r="AA279" s="85" t="n"/>
      <c r="AB279" s="45" t="n"/>
      <c r="AC279" s="86" t="n"/>
      <c r="AD279" s="44" t="n"/>
      <c r="AE279" s="87" t="n"/>
      <c r="AF279" s="44" t="n"/>
      <c r="AG279" s="44" t="n"/>
      <c r="AH279" s="87" t="n"/>
      <c r="AI279" s="44" t="n"/>
      <c r="AJ279" s="45" t="n"/>
      <c r="AK279" s="45" t="n"/>
      <c r="AL279" s="45" t="n"/>
      <c r="AM279" s="44" t="n"/>
      <c r="AN279" s="45" t="n"/>
      <c r="AO279" s="44" t="n"/>
      <c r="AP279" s="44" t="n"/>
      <c r="AQ279" s="44" t="n"/>
      <c r="AR279" s="44" t="n"/>
      <c r="AS279" s="44" t="n"/>
    </row>
    <row r="280">
      <c r="A280" s="44" t="n"/>
      <c r="B280" s="44" t="n"/>
      <c r="C280" s="44" t="n"/>
      <c r="D280" s="44" t="n"/>
      <c r="E280" s="44" t="n"/>
      <c r="F280" s="44" t="n"/>
      <c r="G280" s="45" t="n"/>
      <c r="H280" s="45" t="n"/>
      <c r="I280" s="85" t="n"/>
      <c r="J280" s="44" t="n"/>
      <c r="K280" s="44" t="n"/>
      <c r="L280" s="44" t="n"/>
      <c r="M280" s="45" t="n"/>
      <c r="N280" s="44" t="n"/>
      <c r="O280" s="86" t="n"/>
      <c r="P280" s="44" t="n"/>
      <c r="Q280" s="45" t="n"/>
      <c r="R280" s="85" t="n"/>
      <c r="S280" s="85" t="n"/>
      <c r="T280" s="85" t="n"/>
      <c r="U280" s="85" t="n"/>
      <c r="V280" s="85" t="n"/>
      <c r="W280" s="86" t="n"/>
      <c r="X280" s="44" t="n"/>
      <c r="Y280" s="44" t="n"/>
      <c r="Z280" s="44" t="n"/>
      <c r="AA280" s="85" t="n"/>
      <c r="AB280" s="45" t="n"/>
      <c r="AC280" s="86" t="n"/>
      <c r="AD280" s="44" t="n"/>
      <c r="AE280" s="87" t="n"/>
      <c r="AF280" s="44" t="n"/>
      <c r="AG280" s="44" t="n"/>
      <c r="AH280" s="87" t="n"/>
      <c r="AI280" s="44" t="n"/>
      <c r="AJ280" s="45" t="n"/>
      <c r="AK280" s="45" t="n"/>
      <c r="AL280" s="45" t="n"/>
      <c r="AM280" s="44" t="n"/>
      <c r="AN280" s="45" t="n"/>
      <c r="AO280" s="44" t="n"/>
      <c r="AP280" s="44" t="n"/>
      <c r="AQ280" s="44" t="n"/>
      <c r="AR280" s="44" t="n"/>
      <c r="AS280" s="44" t="n"/>
    </row>
    <row r="281">
      <c r="A281" s="44" t="n"/>
      <c r="B281" s="44" t="n"/>
      <c r="C281" s="44" t="n"/>
      <c r="D281" s="44" t="n"/>
      <c r="E281" s="44" t="n"/>
      <c r="F281" s="44" t="n"/>
      <c r="G281" s="45" t="n"/>
      <c r="H281" s="45" t="n"/>
      <c r="I281" s="85" t="n"/>
      <c r="J281" s="44" t="n"/>
      <c r="K281" s="44" t="n"/>
      <c r="L281" s="44" t="n"/>
      <c r="M281" s="45" t="n"/>
      <c r="N281" s="44" t="n"/>
      <c r="O281" s="86" t="n"/>
      <c r="P281" s="44" t="n"/>
      <c r="Q281" s="45" t="n"/>
      <c r="R281" s="85" t="n"/>
      <c r="S281" s="85" t="n"/>
      <c r="T281" s="85" t="n"/>
      <c r="U281" s="85" t="n"/>
      <c r="V281" s="85" t="n"/>
      <c r="W281" s="86" t="n"/>
      <c r="X281" s="44" t="n"/>
      <c r="Y281" s="44" t="n"/>
      <c r="Z281" s="44" t="n"/>
      <c r="AA281" s="85" t="n"/>
      <c r="AB281" s="45" t="n"/>
      <c r="AC281" s="86" t="n"/>
      <c r="AD281" s="44" t="n"/>
      <c r="AE281" s="87" t="n"/>
      <c r="AF281" s="44" t="n"/>
      <c r="AG281" s="44" t="n"/>
      <c r="AH281" s="87" t="n"/>
      <c r="AI281" s="44" t="n"/>
      <c r="AJ281" s="45" t="n"/>
      <c r="AK281" s="45" t="n"/>
      <c r="AL281" s="45" t="n"/>
      <c r="AM281" s="44" t="n"/>
      <c r="AN281" s="45" t="n"/>
      <c r="AO281" s="44" t="n"/>
      <c r="AP281" s="44" t="n"/>
      <c r="AQ281" s="44" t="n"/>
      <c r="AR281" s="44" t="n"/>
      <c r="AS281" s="44" t="n"/>
    </row>
    <row r="282">
      <c r="A282" s="44" t="n"/>
      <c r="B282" s="44" t="n"/>
      <c r="C282" s="44" t="n"/>
      <c r="D282" s="44" t="n"/>
      <c r="E282" s="44" t="n"/>
      <c r="F282" s="44" t="n"/>
      <c r="G282" s="45" t="n"/>
      <c r="H282" s="45" t="n"/>
      <c r="I282" s="85" t="n"/>
      <c r="J282" s="44" t="n"/>
      <c r="K282" s="44" t="n"/>
      <c r="L282" s="44" t="n"/>
      <c r="M282" s="45" t="n"/>
      <c r="N282" s="44" t="n"/>
      <c r="O282" s="86" t="n"/>
      <c r="P282" s="44" t="n"/>
      <c r="Q282" s="45" t="n"/>
      <c r="R282" s="85" t="n"/>
      <c r="S282" s="85" t="n"/>
      <c r="T282" s="85" t="n"/>
      <c r="U282" s="85" t="n"/>
      <c r="V282" s="85" t="n"/>
      <c r="W282" s="86" t="n"/>
      <c r="X282" s="44" t="n"/>
      <c r="Y282" s="44" t="n"/>
      <c r="Z282" s="44" t="n"/>
      <c r="AA282" s="85" t="n"/>
      <c r="AB282" s="45" t="n"/>
      <c r="AC282" s="86" t="n"/>
      <c r="AD282" s="44" t="n"/>
      <c r="AE282" s="87" t="n"/>
      <c r="AF282" s="44" t="n"/>
      <c r="AG282" s="44" t="n"/>
      <c r="AH282" s="87" t="n"/>
      <c r="AI282" s="44" t="n"/>
      <c r="AJ282" s="45" t="n"/>
      <c r="AK282" s="45" t="n"/>
      <c r="AL282" s="45" t="n"/>
      <c r="AM282" s="44" t="n"/>
      <c r="AN282" s="45" t="n"/>
      <c r="AO282" s="44" t="n"/>
      <c r="AP282" s="44" t="n"/>
      <c r="AQ282" s="44" t="n"/>
      <c r="AR282" s="44" t="n"/>
      <c r="AS282" s="44" t="n"/>
    </row>
    <row r="283">
      <c r="A283" s="44" t="n"/>
      <c r="B283" s="44" t="n"/>
      <c r="C283" s="44" t="n"/>
      <c r="D283" s="44" t="n"/>
      <c r="E283" s="44" t="n"/>
      <c r="F283" s="44" t="n"/>
      <c r="G283" s="45" t="n"/>
      <c r="H283" s="45" t="n"/>
      <c r="I283" s="85" t="n"/>
      <c r="J283" s="44" t="n"/>
      <c r="K283" s="44" t="n"/>
      <c r="L283" s="44" t="n"/>
      <c r="M283" s="45" t="n"/>
      <c r="N283" s="44" t="n"/>
      <c r="O283" s="86" t="n"/>
      <c r="P283" s="44" t="n"/>
      <c r="Q283" s="45" t="n"/>
      <c r="R283" s="85" t="n"/>
      <c r="S283" s="85" t="n"/>
      <c r="T283" s="85" t="n"/>
      <c r="U283" s="85" t="n"/>
      <c r="V283" s="85" t="n"/>
      <c r="W283" s="86" t="n"/>
      <c r="X283" s="44" t="n"/>
      <c r="Y283" s="44" t="n"/>
      <c r="Z283" s="44" t="n"/>
      <c r="AA283" s="85" t="n"/>
      <c r="AB283" s="45" t="n"/>
      <c r="AC283" s="86" t="n"/>
      <c r="AD283" s="44" t="n"/>
      <c r="AE283" s="87" t="n"/>
      <c r="AF283" s="44" t="n"/>
      <c r="AG283" s="44" t="n"/>
      <c r="AH283" s="87" t="n"/>
      <c r="AI283" s="44" t="n"/>
      <c r="AJ283" s="45" t="n"/>
      <c r="AK283" s="45" t="n"/>
      <c r="AL283" s="45" t="n"/>
      <c r="AM283" s="44" t="n"/>
      <c r="AN283" s="45" t="n"/>
      <c r="AO283" s="44" t="n"/>
      <c r="AP283" s="44" t="n"/>
      <c r="AQ283" s="44" t="n"/>
      <c r="AR283" s="44" t="n"/>
      <c r="AS283" s="44" t="n"/>
    </row>
    <row r="284">
      <c r="A284" s="44" t="n"/>
      <c r="B284" s="44" t="n"/>
      <c r="C284" s="44" t="n"/>
      <c r="D284" s="44" t="n"/>
      <c r="E284" s="44" t="n"/>
      <c r="F284" s="44" t="n"/>
      <c r="G284" s="45" t="n"/>
      <c r="H284" s="45" t="n"/>
      <c r="I284" s="85" t="n"/>
      <c r="J284" s="44" t="n"/>
      <c r="K284" s="44" t="n"/>
      <c r="L284" s="44" t="n"/>
      <c r="M284" s="45" t="n"/>
      <c r="N284" s="44" t="n"/>
      <c r="O284" s="86" t="n"/>
      <c r="P284" s="44" t="n"/>
      <c r="Q284" s="45" t="n"/>
      <c r="R284" s="85" t="n"/>
      <c r="S284" s="85" t="n"/>
      <c r="T284" s="85" t="n"/>
      <c r="U284" s="85" t="n"/>
      <c r="V284" s="85" t="n"/>
      <c r="W284" s="86" t="n"/>
      <c r="X284" s="44" t="n"/>
      <c r="Y284" s="44" t="n"/>
      <c r="Z284" s="44" t="n"/>
      <c r="AA284" s="85" t="n"/>
      <c r="AB284" s="45" t="n"/>
      <c r="AC284" s="86" t="n"/>
      <c r="AD284" s="44" t="n"/>
      <c r="AE284" s="87" t="n"/>
      <c r="AF284" s="44" t="n"/>
      <c r="AG284" s="44" t="n"/>
      <c r="AH284" s="87" t="n"/>
      <c r="AI284" s="44" t="n"/>
      <c r="AJ284" s="45" t="n"/>
      <c r="AK284" s="45" t="n"/>
      <c r="AL284" s="45" t="n"/>
      <c r="AM284" s="44" t="n"/>
      <c r="AN284" s="45" t="n"/>
      <c r="AO284" s="44" t="n"/>
      <c r="AP284" s="44" t="n"/>
      <c r="AQ284" s="44" t="n"/>
      <c r="AR284" s="44" t="n"/>
      <c r="AS284" s="44" t="n"/>
    </row>
    <row r="285">
      <c r="A285" s="44" t="n"/>
      <c r="B285" s="44" t="n"/>
      <c r="C285" s="44" t="n"/>
      <c r="D285" s="44" t="n"/>
      <c r="E285" s="44" t="n"/>
      <c r="F285" s="44" t="n"/>
      <c r="G285" s="45" t="n"/>
      <c r="H285" s="45" t="n"/>
      <c r="I285" s="85" t="n"/>
      <c r="J285" s="44" t="n"/>
      <c r="K285" s="44" t="n"/>
      <c r="L285" s="44" t="n"/>
      <c r="M285" s="45" t="n"/>
      <c r="N285" s="44" t="n"/>
      <c r="O285" s="86" t="n"/>
      <c r="P285" s="44" t="n"/>
      <c r="Q285" s="45" t="n"/>
      <c r="R285" s="85" t="n"/>
      <c r="S285" s="85" t="n"/>
      <c r="T285" s="85" t="n"/>
      <c r="U285" s="85" t="n"/>
      <c r="V285" s="85" t="n"/>
      <c r="W285" s="86" t="n"/>
      <c r="X285" s="44" t="n"/>
      <c r="Y285" s="44" t="n"/>
      <c r="Z285" s="44" t="n"/>
      <c r="AA285" s="85" t="n"/>
      <c r="AB285" s="45" t="n"/>
      <c r="AC285" s="86" t="n"/>
      <c r="AD285" s="44" t="n"/>
      <c r="AE285" s="87" t="n"/>
      <c r="AF285" s="44" t="n"/>
      <c r="AG285" s="44" t="n"/>
      <c r="AH285" s="87" t="n"/>
      <c r="AI285" s="44" t="n"/>
      <c r="AJ285" s="45" t="n"/>
      <c r="AK285" s="45" t="n"/>
      <c r="AL285" s="45" t="n"/>
      <c r="AM285" s="44" t="n"/>
      <c r="AN285" s="45" t="n"/>
      <c r="AO285" s="44" t="n"/>
      <c r="AP285" s="44" t="n"/>
      <c r="AQ285" s="44" t="n"/>
      <c r="AR285" s="44" t="n"/>
      <c r="AS285" s="44" t="n"/>
    </row>
    <row r="286">
      <c r="A286" s="44" t="n"/>
      <c r="B286" s="44" t="n"/>
      <c r="C286" s="44" t="n"/>
      <c r="D286" s="44" t="n"/>
      <c r="E286" s="44" t="n"/>
      <c r="F286" s="44" t="n"/>
      <c r="G286" s="45" t="n"/>
      <c r="H286" s="45" t="n"/>
      <c r="I286" s="85" t="n"/>
      <c r="J286" s="44" t="n"/>
      <c r="K286" s="44" t="n"/>
      <c r="L286" s="44" t="n"/>
      <c r="M286" s="45" t="n"/>
      <c r="N286" s="44" t="n"/>
      <c r="O286" s="86" t="n"/>
      <c r="P286" s="44" t="n"/>
      <c r="Q286" s="45" t="n"/>
      <c r="R286" s="85" t="n"/>
      <c r="S286" s="85" t="n"/>
      <c r="T286" s="85" t="n"/>
      <c r="U286" s="85" t="n"/>
      <c r="V286" s="85" t="n"/>
      <c r="W286" s="86" t="n"/>
      <c r="X286" s="44" t="n"/>
      <c r="Y286" s="44" t="n"/>
      <c r="Z286" s="44" t="n"/>
      <c r="AA286" s="85" t="n"/>
      <c r="AB286" s="45" t="n"/>
      <c r="AC286" s="86" t="n"/>
      <c r="AD286" s="44" t="n"/>
      <c r="AE286" s="87" t="n"/>
      <c r="AF286" s="44" t="n"/>
      <c r="AG286" s="44" t="n"/>
      <c r="AH286" s="87" t="n"/>
      <c r="AI286" s="44" t="n"/>
      <c r="AJ286" s="45" t="n"/>
      <c r="AK286" s="45" t="n"/>
      <c r="AL286" s="45" t="n"/>
      <c r="AM286" s="44" t="n"/>
      <c r="AN286" s="45" t="n"/>
      <c r="AO286" s="44" t="n"/>
      <c r="AP286" s="44" t="n"/>
      <c r="AQ286" s="44" t="n"/>
      <c r="AR286" s="44" t="n"/>
      <c r="AS286" s="44" t="n"/>
    </row>
    <row r="287">
      <c r="A287" s="44" t="n"/>
      <c r="B287" s="44" t="n"/>
      <c r="C287" s="44" t="n"/>
      <c r="D287" s="44" t="n"/>
      <c r="E287" s="44" t="n"/>
      <c r="F287" s="44" t="n"/>
      <c r="G287" s="45" t="n"/>
      <c r="H287" s="45" t="n"/>
      <c r="I287" s="85" t="n"/>
      <c r="J287" s="44" t="n"/>
      <c r="K287" s="44" t="n"/>
      <c r="L287" s="44" t="n"/>
      <c r="M287" s="45" t="n"/>
      <c r="N287" s="44" t="n"/>
      <c r="O287" s="86" t="n"/>
      <c r="P287" s="44" t="n"/>
      <c r="Q287" s="45" t="n"/>
      <c r="R287" s="85" t="n"/>
      <c r="S287" s="85" t="n"/>
      <c r="T287" s="85" t="n"/>
      <c r="U287" s="85" t="n"/>
      <c r="V287" s="85" t="n"/>
      <c r="W287" s="86" t="n"/>
      <c r="X287" s="44" t="n"/>
      <c r="Y287" s="44" t="n"/>
      <c r="Z287" s="44" t="n"/>
      <c r="AA287" s="85" t="n"/>
      <c r="AB287" s="45" t="n"/>
      <c r="AC287" s="86" t="n"/>
      <c r="AD287" s="44" t="n"/>
      <c r="AE287" s="87" t="n"/>
      <c r="AF287" s="44" t="n"/>
      <c r="AG287" s="44" t="n"/>
      <c r="AH287" s="87" t="n"/>
      <c r="AI287" s="44" t="n"/>
      <c r="AJ287" s="45" t="n"/>
      <c r="AK287" s="45" t="n"/>
      <c r="AL287" s="45" t="n"/>
      <c r="AM287" s="44" t="n"/>
      <c r="AN287" s="45" t="n"/>
      <c r="AO287" s="44" t="n"/>
      <c r="AP287" s="44" t="n"/>
      <c r="AQ287" s="44" t="n"/>
      <c r="AR287" s="44" t="n"/>
      <c r="AS287" s="44" t="n"/>
    </row>
    <row r="288">
      <c r="A288" s="44" t="n"/>
      <c r="B288" s="44" t="n"/>
      <c r="C288" s="44" t="n"/>
      <c r="D288" s="44" t="n"/>
      <c r="E288" s="44" t="n"/>
      <c r="F288" s="44" t="n"/>
      <c r="G288" s="45" t="n"/>
      <c r="H288" s="45" t="n"/>
      <c r="I288" s="85" t="n"/>
      <c r="J288" s="44" t="n"/>
      <c r="K288" s="44" t="n"/>
      <c r="L288" s="44" t="n"/>
      <c r="M288" s="45" t="n"/>
      <c r="N288" s="44" t="n"/>
      <c r="O288" s="86" t="n"/>
      <c r="P288" s="44" t="n"/>
      <c r="Q288" s="45" t="n"/>
      <c r="R288" s="85" t="n"/>
      <c r="S288" s="85" t="n"/>
      <c r="T288" s="85" t="n"/>
      <c r="U288" s="85" t="n"/>
      <c r="V288" s="85" t="n"/>
      <c r="W288" s="86" t="n"/>
      <c r="X288" s="44" t="n"/>
      <c r="Y288" s="44" t="n"/>
      <c r="Z288" s="44" t="n"/>
      <c r="AA288" s="85" t="n"/>
      <c r="AB288" s="45" t="n"/>
      <c r="AC288" s="86" t="n"/>
      <c r="AD288" s="44" t="n"/>
      <c r="AE288" s="87" t="n"/>
      <c r="AF288" s="44" t="n"/>
      <c r="AG288" s="44" t="n"/>
      <c r="AH288" s="87" t="n"/>
      <c r="AI288" s="44" t="n"/>
      <c r="AJ288" s="45" t="n"/>
      <c r="AK288" s="45" t="n"/>
      <c r="AL288" s="45" t="n"/>
      <c r="AM288" s="44" t="n"/>
      <c r="AN288" s="45" t="n"/>
      <c r="AO288" s="44" t="n"/>
      <c r="AP288" s="44" t="n"/>
      <c r="AQ288" s="44" t="n"/>
      <c r="AR288" s="44" t="n"/>
      <c r="AS288" s="44" t="n"/>
    </row>
    <row r="289">
      <c r="A289" s="44" t="n"/>
      <c r="B289" s="44" t="n"/>
      <c r="C289" s="44" t="n"/>
      <c r="D289" s="44" t="n"/>
      <c r="E289" s="44" t="n"/>
      <c r="F289" s="44" t="n"/>
      <c r="G289" s="45" t="n"/>
      <c r="H289" s="45" t="n"/>
      <c r="I289" s="85" t="n"/>
      <c r="J289" s="44" t="n"/>
      <c r="K289" s="44" t="n"/>
      <c r="L289" s="44" t="n"/>
      <c r="M289" s="45" t="n"/>
      <c r="N289" s="44" t="n"/>
      <c r="O289" s="86" t="n"/>
      <c r="P289" s="44" t="n"/>
      <c r="Q289" s="45" t="n"/>
      <c r="R289" s="85" t="n"/>
      <c r="S289" s="85" t="n"/>
      <c r="T289" s="85" t="n"/>
      <c r="U289" s="85" t="n"/>
      <c r="V289" s="85" t="n"/>
      <c r="W289" s="86" t="n"/>
      <c r="X289" s="44" t="n"/>
      <c r="Y289" s="44" t="n"/>
      <c r="Z289" s="44" t="n"/>
      <c r="AA289" s="85" t="n"/>
      <c r="AB289" s="45" t="n"/>
      <c r="AC289" s="86" t="n"/>
      <c r="AD289" s="44" t="n"/>
      <c r="AE289" s="87" t="n"/>
      <c r="AF289" s="44" t="n"/>
      <c r="AG289" s="44" t="n"/>
      <c r="AH289" s="87" t="n"/>
      <c r="AI289" s="44" t="n"/>
      <c r="AJ289" s="45" t="n"/>
      <c r="AK289" s="45" t="n"/>
      <c r="AL289" s="45" t="n"/>
      <c r="AM289" s="44" t="n"/>
      <c r="AN289" s="45" t="n"/>
      <c r="AO289" s="44" t="n"/>
      <c r="AP289" s="44" t="n"/>
      <c r="AQ289" s="44" t="n"/>
      <c r="AR289" s="44" t="n"/>
      <c r="AS289" s="44" t="n"/>
    </row>
    <row r="290">
      <c r="A290" s="44" t="n"/>
      <c r="B290" s="44" t="n"/>
      <c r="C290" s="44" t="n"/>
      <c r="D290" s="44" t="n"/>
      <c r="E290" s="44" t="n"/>
      <c r="F290" s="44" t="n"/>
      <c r="G290" s="45" t="n"/>
      <c r="H290" s="45" t="n"/>
      <c r="I290" s="85" t="n"/>
      <c r="J290" s="44" t="n"/>
      <c r="K290" s="44" t="n"/>
      <c r="L290" s="44" t="n"/>
      <c r="M290" s="45" t="n"/>
      <c r="N290" s="44" t="n"/>
      <c r="O290" s="86" t="n"/>
      <c r="P290" s="44" t="n"/>
      <c r="Q290" s="45" t="n"/>
      <c r="R290" s="85" t="n"/>
      <c r="S290" s="85" t="n"/>
      <c r="T290" s="85" t="n"/>
      <c r="U290" s="85" t="n"/>
      <c r="V290" s="85" t="n"/>
      <c r="W290" s="86" t="n"/>
      <c r="X290" s="44" t="n"/>
      <c r="Y290" s="44" t="n"/>
      <c r="Z290" s="44" t="n"/>
      <c r="AA290" s="85" t="n"/>
      <c r="AB290" s="45" t="n"/>
      <c r="AC290" s="86" t="n"/>
      <c r="AD290" s="44" t="n"/>
      <c r="AE290" s="87" t="n"/>
      <c r="AF290" s="44" t="n"/>
      <c r="AG290" s="44" t="n"/>
      <c r="AH290" s="87" t="n"/>
      <c r="AI290" s="44" t="n"/>
      <c r="AJ290" s="45" t="n"/>
      <c r="AK290" s="45" t="n"/>
      <c r="AL290" s="45" t="n"/>
      <c r="AM290" s="44" t="n"/>
      <c r="AN290" s="45" t="n"/>
      <c r="AO290" s="44" t="n"/>
      <c r="AP290" s="44" t="n"/>
      <c r="AQ290" s="44" t="n"/>
      <c r="AR290" s="44" t="n"/>
      <c r="AS290" s="44" t="n"/>
    </row>
    <row r="291">
      <c r="A291" s="44" t="n"/>
      <c r="B291" s="44" t="n"/>
      <c r="C291" s="44" t="n"/>
      <c r="D291" s="44" t="n"/>
      <c r="E291" s="44" t="n"/>
      <c r="F291" s="44" t="n"/>
      <c r="G291" s="45" t="n"/>
      <c r="H291" s="45" t="n"/>
      <c r="I291" s="85" t="n"/>
      <c r="J291" s="44" t="n"/>
      <c r="K291" s="44" t="n"/>
      <c r="L291" s="44" t="n"/>
      <c r="M291" s="45" t="n"/>
      <c r="N291" s="44" t="n"/>
      <c r="O291" s="86" t="n"/>
      <c r="P291" s="44" t="n"/>
      <c r="Q291" s="45" t="n"/>
      <c r="R291" s="85" t="n"/>
      <c r="S291" s="85" t="n"/>
      <c r="T291" s="85" t="n"/>
      <c r="U291" s="85" t="n"/>
      <c r="V291" s="85" t="n"/>
      <c r="W291" s="86" t="n"/>
      <c r="X291" s="44" t="n"/>
      <c r="Y291" s="44" t="n"/>
      <c r="Z291" s="44" t="n"/>
      <c r="AA291" s="85" t="n"/>
      <c r="AB291" s="45" t="n"/>
      <c r="AC291" s="86" t="n"/>
      <c r="AD291" s="44" t="n"/>
      <c r="AE291" s="87" t="n"/>
      <c r="AF291" s="44" t="n"/>
      <c r="AG291" s="44" t="n"/>
      <c r="AH291" s="87" t="n"/>
      <c r="AI291" s="44" t="n"/>
      <c r="AJ291" s="45" t="n"/>
      <c r="AK291" s="45" t="n"/>
      <c r="AL291" s="45" t="n"/>
      <c r="AM291" s="44" t="n"/>
      <c r="AN291" s="45" t="n"/>
      <c r="AO291" s="44" t="n"/>
      <c r="AP291" s="44" t="n"/>
      <c r="AQ291" s="44" t="n"/>
      <c r="AR291" s="44" t="n"/>
      <c r="AS291" s="44" t="n"/>
    </row>
    <row r="292">
      <c r="A292" s="44" t="n"/>
      <c r="B292" s="44" t="n"/>
      <c r="C292" s="44" t="n"/>
      <c r="D292" s="44" t="n"/>
      <c r="E292" s="44" t="n"/>
      <c r="F292" s="44" t="n"/>
      <c r="G292" s="45" t="n"/>
      <c r="H292" s="45" t="n"/>
      <c r="I292" s="85" t="n"/>
      <c r="J292" s="44" t="n"/>
      <c r="K292" s="44" t="n"/>
      <c r="L292" s="44" t="n"/>
      <c r="M292" s="45" t="n"/>
      <c r="N292" s="44" t="n"/>
      <c r="O292" s="86" t="n"/>
      <c r="P292" s="44" t="n"/>
      <c r="Q292" s="45" t="n"/>
      <c r="R292" s="85" t="n"/>
      <c r="S292" s="85" t="n"/>
      <c r="T292" s="85" t="n"/>
      <c r="U292" s="85" t="n"/>
      <c r="V292" s="85" t="n"/>
      <c r="W292" s="86" t="n"/>
      <c r="X292" s="44" t="n"/>
      <c r="Y292" s="44" t="n"/>
      <c r="Z292" s="44" t="n"/>
      <c r="AA292" s="85" t="n"/>
      <c r="AB292" s="45" t="n"/>
      <c r="AC292" s="86" t="n"/>
      <c r="AD292" s="44" t="n"/>
      <c r="AE292" s="87" t="n"/>
      <c r="AF292" s="44" t="n"/>
      <c r="AG292" s="44" t="n"/>
      <c r="AH292" s="87" t="n"/>
      <c r="AI292" s="44" t="n"/>
      <c r="AJ292" s="45" t="n"/>
      <c r="AK292" s="45" t="n"/>
      <c r="AL292" s="45" t="n"/>
      <c r="AM292" s="44" t="n"/>
      <c r="AN292" s="45" t="n"/>
      <c r="AO292" s="44" t="n"/>
      <c r="AP292" s="44" t="n"/>
      <c r="AQ292" s="44" t="n"/>
      <c r="AR292" s="44" t="n"/>
      <c r="AS292" s="44" t="n"/>
    </row>
    <row r="293">
      <c r="A293" s="44" t="n"/>
      <c r="B293" s="44" t="n"/>
      <c r="C293" s="44" t="n"/>
      <c r="D293" s="44" t="n"/>
      <c r="E293" s="44" t="n"/>
      <c r="F293" s="44" t="n"/>
      <c r="G293" s="45" t="n"/>
      <c r="H293" s="45" t="n"/>
      <c r="I293" s="85" t="n"/>
      <c r="J293" s="44" t="n"/>
      <c r="K293" s="44" t="n"/>
      <c r="L293" s="44" t="n"/>
      <c r="M293" s="45" t="n"/>
      <c r="N293" s="44" t="n"/>
      <c r="O293" s="86" t="n"/>
      <c r="P293" s="44" t="n"/>
      <c r="Q293" s="45" t="n"/>
      <c r="R293" s="85" t="n"/>
      <c r="S293" s="85" t="n"/>
      <c r="T293" s="85" t="n"/>
      <c r="U293" s="85" t="n"/>
      <c r="V293" s="85" t="n"/>
      <c r="W293" s="86" t="n"/>
      <c r="X293" s="44" t="n"/>
      <c r="Y293" s="44" t="n"/>
      <c r="Z293" s="44" t="n"/>
      <c r="AA293" s="85" t="n"/>
      <c r="AB293" s="45" t="n"/>
      <c r="AC293" s="86" t="n"/>
      <c r="AD293" s="44" t="n"/>
      <c r="AE293" s="87" t="n"/>
      <c r="AF293" s="44" t="n"/>
      <c r="AG293" s="44" t="n"/>
      <c r="AH293" s="87" t="n"/>
      <c r="AI293" s="44" t="n"/>
      <c r="AJ293" s="45" t="n"/>
      <c r="AK293" s="45" t="n"/>
      <c r="AL293" s="45" t="n"/>
      <c r="AM293" s="44" t="n"/>
      <c r="AN293" s="45" t="n"/>
      <c r="AO293" s="44" t="n"/>
      <c r="AP293" s="44" t="n"/>
      <c r="AQ293" s="44" t="n"/>
      <c r="AR293" s="44" t="n"/>
      <c r="AS293" s="44" t="n"/>
    </row>
    <row r="294">
      <c r="A294" s="44" t="n"/>
      <c r="B294" s="44" t="n"/>
      <c r="C294" s="44" t="n"/>
      <c r="D294" s="44" t="n"/>
      <c r="E294" s="44" t="n"/>
      <c r="F294" s="44" t="n"/>
      <c r="G294" s="45" t="n"/>
      <c r="H294" s="45" t="n"/>
      <c r="I294" s="85" t="n"/>
      <c r="J294" s="44" t="n"/>
      <c r="K294" s="44" t="n"/>
      <c r="L294" s="44" t="n"/>
      <c r="M294" s="45" t="n"/>
      <c r="N294" s="44" t="n"/>
      <c r="O294" s="86" t="n"/>
      <c r="P294" s="44" t="n"/>
      <c r="Q294" s="45" t="n"/>
      <c r="R294" s="85" t="n"/>
      <c r="S294" s="85" t="n"/>
      <c r="T294" s="85" t="n"/>
      <c r="U294" s="85" t="n"/>
      <c r="V294" s="85" t="n"/>
      <c r="W294" s="86" t="n"/>
      <c r="X294" s="44" t="n"/>
      <c r="Y294" s="44" t="n"/>
      <c r="Z294" s="44" t="n"/>
      <c r="AA294" s="85" t="n"/>
      <c r="AB294" s="45" t="n"/>
      <c r="AC294" s="86" t="n"/>
      <c r="AD294" s="44" t="n"/>
      <c r="AE294" s="87" t="n"/>
      <c r="AF294" s="44" t="n"/>
      <c r="AG294" s="44" t="n"/>
      <c r="AH294" s="87" t="n"/>
      <c r="AI294" s="44" t="n"/>
      <c r="AJ294" s="45" t="n"/>
      <c r="AK294" s="45" t="n"/>
      <c r="AL294" s="45" t="n"/>
      <c r="AM294" s="44" t="n"/>
      <c r="AN294" s="45" t="n"/>
      <c r="AO294" s="44" t="n"/>
      <c r="AP294" s="44" t="n"/>
      <c r="AQ294" s="44" t="n"/>
      <c r="AR294" s="44" t="n"/>
      <c r="AS294" s="44" t="n"/>
    </row>
    <row r="295">
      <c r="A295" s="44" t="n"/>
      <c r="B295" s="44" t="n"/>
      <c r="C295" s="44" t="n"/>
      <c r="D295" s="44" t="n"/>
      <c r="E295" s="44" t="n"/>
      <c r="F295" s="44" t="n"/>
      <c r="G295" s="45" t="n"/>
      <c r="H295" s="45" t="n"/>
      <c r="I295" s="85" t="n"/>
      <c r="J295" s="44" t="n"/>
      <c r="K295" s="44" t="n"/>
      <c r="L295" s="44" t="n"/>
      <c r="M295" s="45" t="n"/>
      <c r="N295" s="44" t="n"/>
      <c r="O295" s="86" t="n"/>
      <c r="P295" s="44" t="n"/>
      <c r="Q295" s="45" t="n"/>
      <c r="R295" s="85" t="n"/>
      <c r="S295" s="85" t="n"/>
      <c r="T295" s="85" t="n"/>
      <c r="U295" s="85" t="n"/>
      <c r="V295" s="85" t="n"/>
      <c r="W295" s="86" t="n"/>
      <c r="X295" s="44" t="n"/>
      <c r="Y295" s="44" t="n"/>
      <c r="Z295" s="44" t="n"/>
      <c r="AA295" s="85" t="n"/>
      <c r="AB295" s="45" t="n"/>
      <c r="AC295" s="86" t="n"/>
      <c r="AD295" s="44" t="n"/>
      <c r="AE295" s="87" t="n"/>
      <c r="AF295" s="44" t="n"/>
      <c r="AG295" s="44" t="n"/>
      <c r="AH295" s="87" t="n"/>
      <c r="AI295" s="44" t="n"/>
      <c r="AJ295" s="45" t="n"/>
      <c r="AK295" s="45" t="n"/>
      <c r="AL295" s="45" t="n"/>
      <c r="AM295" s="44" t="n"/>
      <c r="AN295" s="45" t="n"/>
      <c r="AO295" s="44" t="n"/>
      <c r="AP295" s="44" t="n"/>
      <c r="AQ295" s="44" t="n"/>
      <c r="AR295" s="44" t="n"/>
      <c r="AS295" s="44" t="n"/>
    </row>
    <row r="296">
      <c r="A296" s="44" t="n"/>
      <c r="B296" s="44" t="n"/>
      <c r="C296" s="44" t="n"/>
      <c r="D296" s="44" t="n"/>
      <c r="E296" s="44" t="n"/>
      <c r="F296" s="44" t="n"/>
      <c r="G296" s="45" t="n"/>
      <c r="H296" s="45" t="n"/>
      <c r="I296" s="85" t="n"/>
      <c r="J296" s="44" t="n"/>
      <c r="K296" s="44" t="n"/>
      <c r="L296" s="44" t="n"/>
      <c r="M296" s="45" t="n"/>
      <c r="N296" s="44" t="n"/>
      <c r="O296" s="86" t="n"/>
      <c r="P296" s="44" t="n"/>
      <c r="Q296" s="45" t="n"/>
      <c r="R296" s="85" t="n"/>
      <c r="S296" s="85" t="n"/>
      <c r="T296" s="85" t="n"/>
      <c r="U296" s="85" t="n"/>
      <c r="V296" s="85" t="n"/>
      <c r="W296" s="86" t="n"/>
      <c r="X296" s="44" t="n"/>
      <c r="Y296" s="44" t="n"/>
      <c r="Z296" s="44" t="n"/>
      <c r="AA296" s="85" t="n"/>
      <c r="AB296" s="45" t="n"/>
      <c r="AC296" s="86" t="n"/>
      <c r="AD296" s="44" t="n"/>
      <c r="AE296" s="87" t="n"/>
      <c r="AF296" s="44" t="n"/>
      <c r="AG296" s="44" t="n"/>
      <c r="AH296" s="87" t="n"/>
      <c r="AI296" s="44" t="n"/>
      <c r="AJ296" s="45" t="n"/>
      <c r="AK296" s="45" t="n"/>
      <c r="AL296" s="45" t="n"/>
      <c r="AM296" s="44" t="n"/>
      <c r="AN296" s="45" t="n"/>
      <c r="AO296" s="44" t="n"/>
      <c r="AP296" s="44" t="n"/>
      <c r="AQ296" s="44" t="n"/>
      <c r="AR296" s="44" t="n"/>
      <c r="AS296" s="44" t="n"/>
    </row>
    <row r="297">
      <c r="A297" s="44" t="n"/>
      <c r="B297" s="44" t="n"/>
      <c r="C297" s="44" t="n"/>
      <c r="D297" s="44" t="n"/>
      <c r="E297" s="44" t="n"/>
      <c r="F297" s="44" t="n"/>
      <c r="G297" s="45" t="n"/>
      <c r="H297" s="45" t="n"/>
      <c r="I297" s="85" t="n"/>
      <c r="J297" s="44" t="n"/>
      <c r="K297" s="44" t="n"/>
      <c r="L297" s="44" t="n"/>
      <c r="M297" s="45" t="n"/>
      <c r="N297" s="44" t="n"/>
      <c r="O297" s="86" t="n"/>
      <c r="P297" s="44" t="n"/>
      <c r="Q297" s="45" t="n"/>
      <c r="R297" s="85" t="n"/>
      <c r="S297" s="85" t="n"/>
      <c r="T297" s="85" t="n"/>
      <c r="U297" s="85" t="n"/>
      <c r="V297" s="85" t="n"/>
      <c r="W297" s="86" t="n"/>
      <c r="X297" s="44" t="n"/>
      <c r="Y297" s="44" t="n"/>
      <c r="Z297" s="44" t="n"/>
      <c r="AA297" s="85" t="n"/>
      <c r="AB297" s="45" t="n"/>
      <c r="AC297" s="86" t="n"/>
      <c r="AD297" s="44" t="n"/>
      <c r="AE297" s="87" t="n"/>
      <c r="AF297" s="44" t="n"/>
      <c r="AG297" s="44" t="n"/>
      <c r="AH297" s="87" t="n"/>
      <c r="AI297" s="44" t="n"/>
      <c r="AJ297" s="45" t="n"/>
      <c r="AK297" s="45" t="n"/>
      <c r="AL297" s="45" t="n"/>
      <c r="AM297" s="44" t="n"/>
      <c r="AN297" s="45" t="n"/>
      <c r="AO297" s="44" t="n"/>
      <c r="AP297" s="44" t="n"/>
      <c r="AQ297" s="44" t="n"/>
      <c r="AR297" s="44" t="n"/>
      <c r="AS297" s="44" t="n"/>
    </row>
    <row r="298">
      <c r="A298" s="44" t="n"/>
      <c r="B298" s="44" t="n"/>
      <c r="C298" s="44" t="n"/>
      <c r="D298" s="44" t="n"/>
      <c r="E298" s="44" t="n"/>
      <c r="F298" s="44" t="n"/>
      <c r="G298" s="45" t="n"/>
      <c r="H298" s="45" t="n"/>
      <c r="I298" s="85" t="n"/>
      <c r="J298" s="44" t="n"/>
      <c r="K298" s="44" t="n"/>
      <c r="L298" s="44" t="n"/>
      <c r="M298" s="45" t="n"/>
      <c r="N298" s="44" t="n"/>
      <c r="O298" s="86" t="n"/>
      <c r="P298" s="44" t="n"/>
      <c r="Q298" s="45" t="n"/>
      <c r="R298" s="85" t="n"/>
      <c r="S298" s="85" t="n"/>
      <c r="T298" s="85" t="n"/>
      <c r="U298" s="85" t="n"/>
      <c r="V298" s="85" t="n"/>
      <c r="W298" s="86" t="n"/>
      <c r="X298" s="44" t="n"/>
      <c r="Y298" s="44" t="n"/>
      <c r="Z298" s="44" t="n"/>
      <c r="AA298" s="85" t="n"/>
      <c r="AB298" s="45" t="n"/>
      <c r="AC298" s="86" t="n"/>
      <c r="AD298" s="44" t="n"/>
      <c r="AE298" s="87" t="n"/>
      <c r="AF298" s="44" t="n"/>
      <c r="AG298" s="44" t="n"/>
      <c r="AH298" s="87" t="n"/>
      <c r="AI298" s="44" t="n"/>
      <c r="AJ298" s="45" t="n"/>
      <c r="AK298" s="45" t="n"/>
      <c r="AL298" s="45" t="n"/>
      <c r="AM298" s="44" t="n"/>
      <c r="AN298" s="45" t="n"/>
      <c r="AO298" s="44" t="n"/>
      <c r="AP298" s="44" t="n"/>
      <c r="AQ298" s="44" t="n"/>
      <c r="AR298" s="44" t="n"/>
      <c r="AS298" s="44" t="n"/>
    </row>
    <row r="299">
      <c r="A299" s="44" t="n"/>
      <c r="B299" s="44" t="n"/>
      <c r="C299" s="44" t="n"/>
      <c r="D299" s="44" t="n"/>
      <c r="E299" s="44" t="n"/>
      <c r="F299" s="44" t="n"/>
      <c r="G299" s="45" t="n"/>
      <c r="H299" s="45" t="n"/>
      <c r="I299" s="85" t="n"/>
      <c r="J299" s="44" t="n"/>
      <c r="K299" s="44" t="n"/>
      <c r="L299" s="44" t="n"/>
      <c r="M299" s="45" t="n"/>
      <c r="N299" s="44" t="n"/>
      <c r="O299" s="86" t="n"/>
      <c r="P299" s="44" t="n"/>
      <c r="Q299" s="45" t="n"/>
      <c r="R299" s="85" t="n"/>
      <c r="S299" s="85" t="n"/>
      <c r="T299" s="85" t="n"/>
      <c r="U299" s="85" t="n"/>
      <c r="V299" s="85" t="n"/>
      <c r="W299" s="86" t="n"/>
      <c r="X299" s="44" t="n"/>
      <c r="Y299" s="44" t="n"/>
      <c r="Z299" s="44" t="n"/>
      <c r="AA299" s="85" t="n"/>
      <c r="AB299" s="45" t="n"/>
      <c r="AC299" s="86" t="n"/>
      <c r="AD299" s="44" t="n"/>
      <c r="AE299" s="87" t="n"/>
      <c r="AF299" s="44" t="n"/>
      <c r="AG299" s="44" t="n"/>
      <c r="AH299" s="87" t="n"/>
      <c r="AI299" s="44" t="n"/>
      <c r="AJ299" s="45" t="n"/>
      <c r="AK299" s="45" t="n"/>
      <c r="AL299" s="45" t="n"/>
      <c r="AM299" s="44" t="n"/>
      <c r="AN299" s="45" t="n"/>
      <c r="AO299" s="44" t="n"/>
      <c r="AP299" s="44" t="n"/>
      <c r="AQ299" s="44" t="n"/>
      <c r="AR299" s="44" t="n"/>
      <c r="AS299" s="44" t="n"/>
    </row>
    <row r="300">
      <c r="A300" s="44" t="n"/>
      <c r="B300" s="44" t="n"/>
      <c r="C300" s="44" t="n"/>
      <c r="D300" s="44" t="n"/>
      <c r="E300" s="44" t="n"/>
      <c r="F300" s="44" t="n"/>
      <c r="G300" s="45" t="n"/>
      <c r="H300" s="45" t="n"/>
      <c r="I300" s="85" t="n"/>
      <c r="J300" s="44" t="n"/>
      <c r="K300" s="44" t="n"/>
      <c r="L300" s="44" t="n"/>
      <c r="M300" s="45" t="n"/>
      <c r="N300" s="44" t="n"/>
      <c r="O300" s="86" t="n"/>
      <c r="P300" s="44" t="n"/>
      <c r="Q300" s="45" t="n"/>
      <c r="R300" s="85" t="n"/>
      <c r="S300" s="85" t="n"/>
      <c r="T300" s="85" t="n"/>
      <c r="U300" s="85" t="n"/>
      <c r="V300" s="85" t="n"/>
      <c r="W300" s="86" t="n"/>
      <c r="X300" s="44" t="n"/>
      <c r="Y300" s="44" t="n"/>
      <c r="Z300" s="44" t="n"/>
      <c r="AA300" s="85" t="n"/>
      <c r="AB300" s="45" t="n"/>
      <c r="AC300" s="86" t="n"/>
      <c r="AD300" s="44" t="n"/>
      <c r="AE300" s="87" t="n"/>
      <c r="AF300" s="44" t="n"/>
      <c r="AG300" s="44" t="n"/>
      <c r="AH300" s="87" t="n"/>
      <c r="AI300" s="44" t="n"/>
      <c r="AJ300" s="45" t="n"/>
      <c r="AK300" s="45" t="n"/>
      <c r="AL300" s="45" t="n"/>
      <c r="AM300" s="44" t="n"/>
      <c r="AN300" s="45" t="n"/>
      <c r="AO300" s="44" t="n"/>
      <c r="AP300" s="44" t="n"/>
      <c r="AQ300" s="44" t="n"/>
      <c r="AR300" s="44" t="n"/>
      <c r="AS300" s="44" t="n"/>
    </row>
    <row r="301">
      <c r="A301" s="44" t="n"/>
      <c r="B301" s="44" t="n"/>
      <c r="C301" s="44" t="n"/>
      <c r="D301" s="44" t="n"/>
      <c r="E301" s="44" t="n"/>
      <c r="F301" s="44" t="n"/>
      <c r="G301" s="45" t="n"/>
      <c r="H301" s="45" t="n"/>
      <c r="I301" s="85" t="n"/>
      <c r="J301" s="44" t="n"/>
      <c r="K301" s="44" t="n"/>
      <c r="L301" s="44" t="n"/>
      <c r="M301" s="45" t="n"/>
      <c r="N301" s="44" t="n"/>
      <c r="O301" s="86" t="n"/>
      <c r="P301" s="44" t="n"/>
      <c r="Q301" s="45" t="n"/>
      <c r="R301" s="85" t="n"/>
      <c r="S301" s="85" t="n"/>
      <c r="T301" s="85" t="n"/>
      <c r="U301" s="85" t="n"/>
      <c r="V301" s="85" t="n"/>
      <c r="W301" s="86" t="n"/>
      <c r="X301" s="44" t="n"/>
      <c r="Y301" s="44" t="n"/>
      <c r="Z301" s="44" t="n"/>
      <c r="AA301" s="85" t="n"/>
      <c r="AB301" s="45" t="n"/>
      <c r="AC301" s="86" t="n"/>
      <c r="AD301" s="44" t="n"/>
      <c r="AE301" s="87" t="n"/>
      <c r="AF301" s="44" t="n"/>
      <c r="AG301" s="44" t="n"/>
      <c r="AH301" s="87" t="n"/>
      <c r="AI301" s="44" t="n"/>
      <c r="AJ301" s="45" t="n"/>
      <c r="AK301" s="45" t="n"/>
      <c r="AL301" s="45" t="n"/>
      <c r="AM301" s="44" t="n"/>
      <c r="AN301" s="45" t="n"/>
      <c r="AO301" s="44" t="n"/>
      <c r="AP301" s="44" t="n"/>
      <c r="AQ301" s="44" t="n"/>
      <c r="AR301" s="44" t="n"/>
      <c r="AS301" s="44" t="n"/>
    </row>
    <row r="302">
      <c r="A302" s="44" t="n"/>
      <c r="B302" s="44" t="n"/>
      <c r="C302" s="44" t="n"/>
      <c r="D302" s="44" t="n"/>
      <c r="E302" s="44" t="n"/>
      <c r="F302" s="44" t="n"/>
      <c r="G302" s="45" t="n"/>
      <c r="H302" s="45" t="n"/>
      <c r="I302" s="85" t="n"/>
      <c r="J302" s="44" t="n"/>
      <c r="K302" s="44" t="n"/>
      <c r="L302" s="44" t="n"/>
      <c r="M302" s="45" t="n"/>
      <c r="N302" s="44" t="n"/>
      <c r="O302" s="86" t="n"/>
      <c r="P302" s="44" t="n"/>
      <c r="Q302" s="45" t="n"/>
      <c r="R302" s="85" t="n"/>
      <c r="S302" s="85" t="n"/>
      <c r="T302" s="85" t="n"/>
      <c r="U302" s="85" t="n"/>
      <c r="V302" s="85" t="n"/>
      <c r="W302" s="86" t="n"/>
      <c r="X302" s="44" t="n"/>
      <c r="Y302" s="44" t="n"/>
      <c r="Z302" s="44" t="n"/>
      <c r="AA302" s="85" t="n"/>
      <c r="AB302" s="45" t="n"/>
      <c r="AC302" s="86" t="n"/>
      <c r="AD302" s="44" t="n"/>
      <c r="AE302" s="87" t="n"/>
      <c r="AF302" s="44" t="n"/>
      <c r="AG302" s="44" t="n"/>
      <c r="AH302" s="87" t="n"/>
      <c r="AI302" s="44" t="n"/>
      <c r="AJ302" s="45" t="n"/>
      <c r="AK302" s="45" t="n"/>
      <c r="AL302" s="45" t="n"/>
      <c r="AM302" s="44" t="n"/>
      <c r="AN302" s="45" t="n"/>
      <c r="AO302" s="44" t="n"/>
      <c r="AP302" s="44" t="n"/>
      <c r="AQ302" s="44" t="n"/>
      <c r="AR302" s="44" t="n"/>
      <c r="AS302" s="44" t="n"/>
    </row>
    <row r="303">
      <c r="A303" s="44" t="n"/>
      <c r="B303" s="44" t="n"/>
      <c r="C303" s="44" t="n"/>
      <c r="D303" s="44" t="n"/>
      <c r="E303" s="44" t="n"/>
      <c r="F303" s="44" t="n"/>
      <c r="G303" s="45" t="n"/>
      <c r="H303" s="45" t="n"/>
      <c r="I303" s="85" t="n"/>
      <c r="J303" s="44" t="n"/>
      <c r="K303" s="44" t="n"/>
      <c r="L303" s="44" t="n"/>
      <c r="M303" s="45" t="n"/>
      <c r="N303" s="44" t="n"/>
      <c r="O303" s="86" t="n"/>
      <c r="P303" s="44" t="n"/>
      <c r="Q303" s="45" t="n"/>
      <c r="R303" s="85" t="n"/>
      <c r="S303" s="85" t="n"/>
      <c r="T303" s="85" t="n"/>
      <c r="U303" s="85" t="n"/>
      <c r="V303" s="85" t="n"/>
      <c r="W303" s="86" t="n"/>
      <c r="X303" s="44" t="n"/>
      <c r="Y303" s="44" t="n"/>
      <c r="Z303" s="44" t="n"/>
      <c r="AA303" s="85" t="n"/>
      <c r="AB303" s="45" t="n"/>
      <c r="AC303" s="86" t="n"/>
      <c r="AD303" s="44" t="n"/>
      <c r="AE303" s="87" t="n"/>
      <c r="AF303" s="44" t="n"/>
      <c r="AG303" s="44" t="n"/>
      <c r="AH303" s="87" t="n"/>
      <c r="AI303" s="44" t="n"/>
      <c r="AJ303" s="45" t="n"/>
      <c r="AK303" s="45" t="n"/>
      <c r="AL303" s="45" t="n"/>
      <c r="AM303" s="44" t="n"/>
      <c r="AN303" s="45" t="n"/>
      <c r="AO303" s="44" t="n"/>
      <c r="AP303" s="44" t="n"/>
      <c r="AQ303" s="44" t="n"/>
      <c r="AR303" s="44" t="n"/>
      <c r="AS303" s="44" t="n"/>
    </row>
    <row r="304">
      <c r="A304" s="44" t="n"/>
      <c r="B304" s="44" t="n"/>
      <c r="C304" s="44" t="n"/>
      <c r="D304" s="44" t="n"/>
      <c r="E304" s="44" t="n"/>
      <c r="F304" s="44" t="n"/>
      <c r="G304" s="45" t="n"/>
      <c r="H304" s="45" t="n"/>
      <c r="I304" s="85" t="n"/>
      <c r="J304" s="44" t="n"/>
      <c r="K304" s="44" t="n"/>
      <c r="L304" s="44" t="n"/>
      <c r="M304" s="45" t="n"/>
      <c r="N304" s="44" t="n"/>
      <c r="O304" s="86" t="n"/>
      <c r="P304" s="44" t="n"/>
      <c r="Q304" s="45" t="n"/>
      <c r="R304" s="85" t="n"/>
      <c r="S304" s="85" t="n"/>
      <c r="T304" s="85" t="n"/>
      <c r="U304" s="85" t="n"/>
      <c r="V304" s="85" t="n"/>
      <c r="W304" s="86" t="n"/>
      <c r="X304" s="44" t="n"/>
      <c r="Y304" s="44" t="n"/>
      <c r="Z304" s="44" t="n"/>
      <c r="AA304" s="85" t="n"/>
      <c r="AB304" s="45" t="n"/>
      <c r="AC304" s="86" t="n"/>
      <c r="AD304" s="44" t="n"/>
      <c r="AE304" s="87" t="n"/>
      <c r="AF304" s="44" t="n"/>
      <c r="AG304" s="44" t="n"/>
      <c r="AH304" s="87" t="n"/>
      <c r="AI304" s="44" t="n"/>
      <c r="AJ304" s="45" t="n"/>
      <c r="AK304" s="45" t="n"/>
      <c r="AL304" s="45" t="n"/>
      <c r="AM304" s="44" t="n"/>
      <c r="AN304" s="45" t="n"/>
      <c r="AO304" s="44" t="n"/>
      <c r="AP304" s="44" t="n"/>
      <c r="AQ304" s="44" t="n"/>
      <c r="AR304" s="44" t="n"/>
      <c r="AS304" s="44" t="n"/>
    </row>
    <row r="305">
      <c r="A305" s="44" t="n"/>
      <c r="B305" s="44" t="n"/>
      <c r="C305" s="44" t="n"/>
      <c r="D305" s="44" t="n"/>
      <c r="E305" s="44" t="n"/>
      <c r="F305" s="44" t="n"/>
      <c r="G305" s="45" t="n"/>
      <c r="H305" s="45" t="n"/>
      <c r="I305" s="85" t="n"/>
      <c r="J305" s="44" t="n"/>
      <c r="K305" s="44" t="n"/>
      <c r="L305" s="44" t="n"/>
      <c r="M305" s="45" t="n"/>
      <c r="N305" s="44" t="n"/>
      <c r="O305" s="86" t="n"/>
      <c r="P305" s="44" t="n"/>
      <c r="Q305" s="45" t="n"/>
      <c r="R305" s="85" t="n"/>
      <c r="S305" s="85" t="n"/>
      <c r="T305" s="85" t="n"/>
      <c r="U305" s="85" t="n"/>
      <c r="V305" s="85" t="n"/>
      <c r="W305" s="86" t="n"/>
      <c r="X305" s="44" t="n"/>
      <c r="Y305" s="44" t="n"/>
      <c r="Z305" s="44" t="n"/>
      <c r="AA305" s="85" t="n"/>
      <c r="AB305" s="45" t="n"/>
      <c r="AC305" s="86" t="n"/>
      <c r="AD305" s="44" t="n"/>
      <c r="AE305" s="87" t="n"/>
      <c r="AF305" s="44" t="n"/>
      <c r="AG305" s="44" t="n"/>
      <c r="AH305" s="87" t="n"/>
      <c r="AI305" s="44" t="n"/>
      <c r="AJ305" s="45" t="n"/>
      <c r="AK305" s="45" t="n"/>
      <c r="AL305" s="45" t="n"/>
      <c r="AM305" s="44" t="n"/>
      <c r="AN305" s="45" t="n"/>
      <c r="AO305" s="44" t="n"/>
      <c r="AP305" s="44" t="n"/>
      <c r="AQ305" s="44" t="n"/>
      <c r="AR305" s="44" t="n"/>
      <c r="AS305" s="44" t="n"/>
    </row>
    <row r="306">
      <c r="A306" s="44" t="n"/>
      <c r="B306" s="44" t="n"/>
      <c r="C306" s="44" t="n"/>
      <c r="D306" s="44" t="n"/>
      <c r="E306" s="44" t="n"/>
      <c r="F306" s="44" t="n"/>
      <c r="G306" s="45" t="n"/>
      <c r="H306" s="45" t="n"/>
      <c r="I306" s="85" t="n"/>
      <c r="J306" s="44" t="n"/>
      <c r="K306" s="44" t="n"/>
      <c r="L306" s="44" t="n"/>
      <c r="M306" s="45" t="n"/>
      <c r="N306" s="44" t="n"/>
      <c r="O306" s="86" t="n"/>
      <c r="P306" s="44" t="n"/>
      <c r="Q306" s="45" t="n"/>
      <c r="R306" s="85" t="n"/>
      <c r="S306" s="85" t="n"/>
      <c r="T306" s="85" t="n"/>
      <c r="U306" s="85" t="n"/>
      <c r="V306" s="85" t="n"/>
      <c r="W306" s="86" t="n"/>
      <c r="X306" s="44" t="n"/>
      <c r="Y306" s="44" t="n"/>
      <c r="Z306" s="44" t="n"/>
      <c r="AA306" s="85" t="n"/>
      <c r="AB306" s="45" t="n"/>
      <c r="AC306" s="86" t="n"/>
      <c r="AD306" s="44" t="n"/>
      <c r="AE306" s="87" t="n"/>
      <c r="AF306" s="44" t="n"/>
      <c r="AG306" s="44" t="n"/>
      <c r="AH306" s="87" t="n"/>
      <c r="AI306" s="44" t="n"/>
      <c r="AJ306" s="45" t="n"/>
      <c r="AK306" s="45" t="n"/>
      <c r="AL306" s="45" t="n"/>
      <c r="AM306" s="44" t="n"/>
      <c r="AN306" s="45" t="n"/>
      <c r="AO306" s="44" t="n"/>
      <c r="AP306" s="44" t="n"/>
      <c r="AQ306" s="44" t="n"/>
      <c r="AR306" s="44" t="n"/>
      <c r="AS306" s="44" t="n"/>
    </row>
    <row r="307">
      <c r="A307" s="44" t="n"/>
      <c r="B307" s="44" t="n"/>
      <c r="C307" s="44" t="n"/>
      <c r="D307" s="44" t="n"/>
      <c r="E307" s="44" t="n"/>
      <c r="F307" s="44" t="n"/>
      <c r="G307" s="45" t="n"/>
      <c r="H307" s="45" t="n"/>
      <c r="I307" s="85" t="n"/>
      <c r="J307" s="44" t="n"/>
      <c r="K307" s="44" t="n"/>
      <c r="L307" s="44" t="n"/>
      <c r="M307" s="45" t="n"/>
      <c r="N307" s="44" t="n"/>
      <c r="O307" s="86" t="n"/>
      <c r="P307" s="44" t="n"/>
      <c r="Q307" s="45" t="n"/>
      <c r="R307" s="85" t="n"/>
      <c r="S307" s="85" t="n"/>
      <c r="T307" s="85" t="n"/>
      <c r="U307" s="85" t="n"/>
      <c r="V307" s="85" t="n"/>
      <c r="W307" s="86" t="n"/>
      <c r="X307" s="44" t="n"/>
      <c r="Y307" s="44" t="n"/>
      <c r="Z307" s="44" t="n"/>
      <c r="AA307" s="85" t="n"/>
      <c r="AB307" s="45" t="n"/>
      <c r="AC307" s="86" t="n"/>
      <c r="AD307" s="44" t="n"/>
      <c r="AE307" s="87" t="n"/>
      <c r="AF307" s="44" t="n"/>
      <c r="AG307" s="44" t="n"/>
      <c r="AH307" s="87" t="n"/>
      <c r="AI307" s="44" t="n"/>
      <c r="AJ307" s="45" t="n"/>
      <c r="AK307" s="45" t="n"/>
      <c r="AL307" s="45" t="n"/>
      <c r="AM307" s="44" t="n"/>
      <c r="AN307" s="45" t="n"/>
      <c r="AO307" s="44" t="n"/>
      <c r="AP307" s="44" t="n"/>
      <c r="AQ307" s="44" t="n"/>
      <c r="AR307" s="44" t="n"/>
      <c r="AS307" s="44" t="n"/>
    </row>
    <row r="308">
      <c r="A308" s="44" t="n"/>
      <c r="B308" s="44" t="n"/>
      <c r="C308" s="44" t="n"/>
      <c r="D308" s="44" t="n"/>
      <c r="E308" s="44" t="n"/>
      <c r="F308" s="44" t="n"/>
      <c r="G308" s="45" t="n"/>
      <c r="H308" s="45" t="n"/>
      <c r="I308" s="85" t="n"/>
      <c r="J308" s="44" t="n"/>
      <c r="K308" s="44" t="n"/>
      <c r="L308" s="44" t="n"/>
      <c r="M308" s="45" t="n"/>
      <c r="N308" s="44" t="n"/>
      <c r="O308" s="86" t="n"/>
      <c r="P308" s="44" t="n"/>
      <c r="Q308" s="45" t="n"/>
      <c r="R308" s="85" t="n"/>
      <c r="S308" s="85" t="n"/>
      <c r="T308" s="85" t="n"/>
      <c r="U308" s="85" t="n"/>
      <c r="V308" s="85" t="n"/>
      <c r="W308" s="86" t="n"/>
      <c r="X308" s="44" t="n"/>
      <c r="Y308" s="44" t="n"/>
      <c r="Z308" s="44" t="n"/>
      <c r="AA308" s="85" t="n"/>
      <c r="AB308" s="45" t="n"/>
      <c r="AC308" s="86" t="n"/>
      <c r="AD308" s="44" t="n"/>
      <c r="AE308" s="87" t="n"/>
      <c r="AF308" s="44" t="n"/>
      <c r="AG308" s="44" t="n"/>
      <c r="AH308" s="87" t="n"/>
      <c r="AI308" s="44" t="n"/>
      <c r="AJ308" s="45" t="n"/>
      <c r="AK308" s="45" t="n"/>
      <c r="AL308" s="45" t="n"/>
      <c r="AM308" s="44" t="n"/>
      <c r="AN308" s="45" t="n"/>
      <c r="AO308" s="44" t="n"/>
      <c r="AP308" s="44" t="n"/>
      <c r="AQ308" s="44" t="n"/>
      <c r="AR308" s="44" t="n"/>
      <c r="AS308" s="44" t="n"/>
    </row>
    <row r="309">
      <c r="A309" s="44" t="n"/>
      <c r="B309" s="44" t="n"/>
      <c r="C309" s="44" t="n"/>
      <c r="D309" s="44" t="n"/>
      <c r="E309" s="44" t="n"/>
      <c r="F309" s="44" t="n"/>
      <c r="G309" s="45" t="n"/>
      <c r="H309" s="45" t="n"/>
      <c r="I309" s="85" t="n"/>
      <c r="J309" s="44" t="n"/>
      <c r="K309" s="44" t="n"/>
      <c r="L309" s="44" t="n"/>
      <c r="M309" s="45" t="n"/>
      <c r="N309" s="44" t="n"/>
      <c r="O309" s="86" t="n"/>
      <c r="P309" s="44" t="n"/>
      <c r="Q309" s="45" t="n"/>
      <c r="R309" s="85" t="n"/>
      <c r="S309" s="85" t="n"/>
      <c r="T309" s="85" t="n"/>
      <c r="U309" s="85" t="n"/>
      <c r="V309" s="85" t="n"/>
      <c r="W309" s="86" t="n"/>
      <c r="X309" s="44" t="n"/>
      <c r="Y309" s="44" t="n"/>
      <c r="Z309" s="44" t="n"/>
      <c r="AA309" s="85" t="n"/>
      <c r="AB309" s="45" t="n"/>
      <c r="AC309" s="86" t="n"/>
      <c r="AD309" s="44" t="n"/>
      <c r="AE309" s="87" t="n"/>
      <c r="AF309" s="44" t="n"/>
      <c r="AG309" s="44" t="n"/>
      <c r="AH309" s="87" t="n"/>
      <c r="AI309" s="44" t="n"/>
      <c r="AJ309" s="45" t="n"/>
      <c r="AK309" s="45" t="n"/>
      <c r="AL309" s="45" t="n"/>
      <c r="AM309" s="44" t="n"/>
      <c r="AN309" s="45" t="n"/>
      <c r="AO309" s="44" t="n"/>
      <c r="AP309" s="44" t="n"/>
      <c r="AQ309" s="44" t="n"/>
      <c r="AR309" s="44" t="n"/>
      <c r="AS309" s="44" t="n"/>
    </row>
    <row r="310">
      <c r="A310" s="44" t="n"/>
      <c r="B310" s="44" t="n"/>
      <c r="C310" s="44" t="n"/>
      <c r="D310" s="44" t="n"/>
      <c r="E310" s="44" t="n"/>
      <c r="F310" s="44" t="n"/>
      <c r="G310" s="45" t="n"/>
      <c r="H310" s="45" t="n"/>
      <c r="I310" s="85" t="n"/>
      <c r="J310" s="44" t="n"/>
      <c r="K310" s="44" t="n"/>
      <c r="L310" s="44" t="n"/>
      <c r="M310" s="45" t="n"/>
      <c r="N310" s="44" t="n"/>
      <c r="O310" s="86" t="n"/>
      <c r="P310" s="44" t="n"/>
      <c r="Q310" s="45" t="n"/>
      <c r="R310" s="85" t="n"/>
      <c r="S310" s="85" t="n"/>
      <c r="T310" s="85" t="n"/>
      <c r="U310" s="85" t="n"/>
      <c r="V310" s="85" t="n"/>
      <c r="W310" s="86" t="n"/>
      <c r="X310" s="44" t="n"/>
      <c r="Y310" s="44" t="n"/>
      <c r="Z310" s="44" t="n"/>
      <c r="AA310" s="85" t="n"/>
      <c r="AB310" s="45" t="n"/>
      <c r="AC310" s="86" t="n"/>
      <c r="AD310" s="44" t="n"/>
      <c r="AE310" s="87" t="n"/>
      <c r="AF310" s="44" t="n"/>
      <c r="AG310" s="44" t="n"/>
      <c r="AH310" s="87" t="n"/>
      <c r="AI310" s="44" t="n"/>
      <c r="AJ310" s="45" t="n"/>
      <c r="AK310" s="45" t="n"/>
      <c r="AL310" s="45" t="n"/>
      <c r="AM310" s="44" t="n"/>
      <c r="AN310" s="45" t="n"/>
      <c r="AO310" s="44" t="n"/>
      <c r="AP310" s="44" t="n"/>
      <c r="AQ310" s="44" t="n"/>
      <c r="AR310" s="44" t="n"/>
      <c r="AS310" s="44" t="n"/>
    </row>
    <row r="311">
      <c r="A311" s="44" t="n"/>
      <c r="B311" s="44" t="n"/>
      <c r="C311" s="44" t="n"/>
      <c r="D311" s="44" t="n"/>
      <c r="E311" s="44" t="n"/>
      <c r="F311" s="44" t="n"/>
      <c r="G311" s="45" t="n"/>
      <c r="H311" s="45" t="n"/>
      <c r="I311" s="85" t="n"/>
      <c r="J311" s="44" t="n"/>
      <c r="K311" s="44" t="n"/>
      <c r="L311" s="44" t="n"/>
      <c r="M311" s="45" t="n"/>
      <c r="N311" s="44" t="n"/>
      <c r="O311" s="86" t="n"/>
      <c r="P311" s="44" t="n"/>
      <c r="Q311" s="45" t="n"/>
      <c r="R311" s="85" t="n"/>
      <c r="S311" s="85" t="n"/>
      <c r="T311" s="85" t="n"/>
      <c r="U311" s="85" t="n"/>
      <c r="V311" s="85" t="n"/>
      <c r="W311" s="86" t="n"/>
      <c r="X311" s="44" t="n"/>
      <c r="Y311" s="44" t="n"/>
      <c r="Z311" s="44" t="n"/>
      <c r="AA311" s="85" t="n"/>
      <c r="AB311" s="45" t="n"/>
      <c r="AC311" s="86" t="n"/>
      <c r="AD311" s="44" t="n"/>
      <c r="AE311" s="87" t="n"/>
      <c r="AF311" s="44" t="n"/>
      <c r="AG311" s="44" t="n"/>
      <c r="AH311" s="87" t="n"/>
      <c r="AI311" s="44" t="n"/>
      <c r="AJ311" s="45" t="n"/>
      <c r="AK311" s="45" t="n"/>
      <c r="AL311" s="45" t="n"/>
      <c r="AM311" s="44" t="n"/>
      <c r="AN311" s="45" t="n"/>
      <c r="AO311" s="44" t="n"/>
      <c r="AP311" s="44" t="n"/>
      <c r="AQ311" s="44" t="n"/>
      <c r="AR311" s="44" t="n"/>
      <c r="AS311" s="44" t="n"/>
    </row>
    <row r="312">
      <c r="A312" s="44" t="n"/>
      <c r="B312" s="44" t="n"/>
      <c r="C312" s="44" t="n"/>
      <c r="D312" s="44" t="n"/>
      <c r="E312" s="44" t="n"/>
      <c r="F312" s="44" t="n"/>
      <c r="G312" s="45" t="n"/>
      <c r="H312" s="45" t="n"/>
      <c r="I312" s="85" t="n"/>
      <c r="J312" s="44" t="n"/>
      <c r="K312" s="44" t="n"/>
      <c r="L312" s="44" t="n"/>
      <c r="M312" s="45" t="n"/>
      <c r="N312" s="44" t="n"/>
      <c r="O312" s="86" t="n"/>
      <c r="P312" s="44" t="n"/>
      <c r="Q312" s="45" t="n"/>
      <c r="R312" s="85" t="n"/>
      <c r="S312" s="85" t="n"/>
      <c r="T312" s="85" t="n"/>
      <c r="U312" s="85" t="n"/>
      <c r="V312" s="85" t="n"/>
      <c r="W312" s="86" t="n"/>
      <c r="X312" s="44" t="n"/>
      <c r="Y312" s="44" t="n"/>
      <c r="Z312" s="44" t="n"/>
      <c r="AA312" s="85" t="n"/>
      <c r="AB312" s="45" t="n"/>
      <c r="AC312" s="86" t="n"/>
      <c r="AD312" s="44" t="n"/>
      <c r="AE312" s="87" t="n"/>
      <c r="AF312" s="44" t="n"/>
      <c r="AG312" s="44" t="n"/>
      <c r="AH312" s="87" t="n"/>
      <c r="AI312" s="44" t="n"/>
      <c r="AJ312" s="45" t="n"/>
      <c r="AK312" s="45" t="n"/>
      <c r="AL312" s="45" t="n"/>
      <c r="AM312" s="44" t="n"/>
      <c r="AN312" s="45" t="n"/>
      <c r="AO312" s="44" t="n"/>
      <c r="AP312" s="44" t="n"/>
      <c r="AQ312" s="44" t="n"/>
      <c r="AR312" s="44" t="n"/>
      <c r="AS312" s="44" t="n"/>
    </row>
    <row r="313">
      <c r="A313" s="44" t="n"/>
      <c r="B313" s="44" t="n"/>
      <c r="C313" s="44" t="n"/>
      <c r="D313" s="44" t="n"/>
      <c r="E313" s="44" t="n"/>
      <c r="F313" s="44" t="n"/>
      <c r="G313" s="45" t="n"/>
      <c r="H313" s="45" t="n"/>
      <c r="I313" s="85" t="n"/>
      <c r="J313" s="44" t="n"/>
      <c r="K313" s="44" t="n"/>
      <c r="L313" s="44" t="n"/>
      <c r="M313" s="45" t="n"/>
      <c r="N313" s="44" t="n"/>
      <c r="O313" s="86" t="n"/>
      <c r="P313" s="44" t="n"/>
      <c r="Q313" s="45" t="n"/>
      <c r="R313" s="85" t="n"/>
      <c r="S313" s="85" t="n"/>
      <c r="T313" s="85" t="n"/>
      <c r="U313" s="85" t="n"/>
      <c r="V313" s="85" t="n"/>
      <c r="W313" s="86" t="n"/>
      <c r="X313" s="44" t="n"/>
      <c r="Y313" s="44" t="n"/>
      <c r="Z313" s="44" t="n"/>
      <c r="AA313" s="85" t="n"/>
      <c r="AB313" s="45" t="n"/>
      <c r="AC313" s="86" t="n"/>
      <c r="AD313" s="44" t="n"/>
      <c r="AE313" s="87" t="n"/>
      <c r="AF313" s="44" t="n"/>
      <c r="AG313" s="44" t="n"/>
      <c r="AH313" s="87" t="n"/>
      <c r="AI313" s="44" t="n"/>
      <c r="AJ313" s="45" t="n"/>
      <c r="AK313" s="45" t="n"/>
      <c r="AL313" s="45" t="n"/>
      <c r="AM313" s="44" t="n"/>
      <c r="AN313" s="45" t="n"/>
      <c r="AO313" s="44" t="n"/>
      <c r="AP313" s="44" t="n"/>
      <c r="AQ313" s="44" t="n"/>
      <c r="AR313" s="44" t="n"/>
      <c r="AS313" s="44" t="n"/>
    </row>
    <row r="314">
      <c r="A314" s="44" t="n"/>
      <c r="B314" s="44" t="n"/>
      <c r="C314" s="44" t="n"/>
      <c r="D314" s="44" t="n"/>
      <c r="E314" s="44" t="n"/>
      <c r="F314" s="44" t="n"/>
      <c r="G314" s="45" t="n"/>
      <c r="H314" s="45" t="n"/>
      <c r="I314" s="85" t="n"/>
      <c r="J314" s="44" t="n"/>
      <c r="K314" s="44" t="n"/>
      <c r="L314" s="44" t="n"/>
      <c r="M314" s="45" t="n"/>
      <c r="N314" s="44" t="n"/>
      <c r="O314" s="86" t="n"/>
      <c r="P314" s="44" t="n"/>
      <c r="Q314" s="45" t="n"/>
      <c r="R314" s="85" t="n"/>
      <c r="S314" s="85" t="n"/>
      <c r="T314" s="85" t="n"/>
      <c r="U314" s="85" t="n"/>
      <c r="V314" s="85" t="n"/>
      <c r="W314" s="86" t="n"/>
      <c r="X314" s="44" t="n"/>
      <c r="Y314" s="44" t="n"/>
      <c r="Z314" s="44" t="n"/>
      <c r="AA314" s="85" t="n"/>
      <c r="AB314" s="45" t="n"/>
      <c r="AC314" s="86" t="n"/>
      <c r="AD314" s="44" t="n"/>
      <c r="AE314" s="87" t="n"/>
      <c r="AF314" s="44" t="n"/>
      <c r="AG314" s="44" t="n"/>
      <c r="AH314" s="87" t="n"/>
      <c r="AI314" s="44" t="n"/>
      <c r="AJ314" s="45" t="n"/>
      <c r="AK314" s="45" t="n"/>
      <c r="AL314" s="45" t="n"/>
      <c r="AM314" s="44" t="n"/>
      <c r="AN314" s="45" t="n"/>
      <c r="AO314" s="44" t="n"/>
      <c r="AP314" s="44" t="n"/>
      <c r="AQ314" s="44" t="n"/>
      <c r="AR314" s="44" t="n"/>
      <c r="AS314" s="44" t="n"/>
    </row>
    <row r="315">
      <c r="A315" s="44" t="n"/>
      <c r="B315" s="44" t="n"/>
      <c r="C315" s="44" t="n"/>
      <c r="D315" s="44" t="n"/>
      <c r="E315" s="44" t="n"/>
      <c r="F315" s="44" t="n"/>
      <c r="G315" s="45" t="n"/>
      <c r="H315" s="45" t="n"/>
      <c r="I315" s="85" t="n"/>
      <c r="J315" s="44" t="n"/>
      <c r="K315" s="44" t="n"/>
      <c r="L315" s="44" t="n"/>
      <c r="M315" s="45" t="n"/>
      <c r="N315" s="44" t="n"/>
      <c r="O315" s="86" t="n"/>
      <c r="P315" s="44" t="n"/>
      <c r="Q315" s="45" t="n"/>
      <c r="R315" s="85" t="n"/>
      <c r="S315" s="85" t="n"/>
      <c r="T315" s="85" t="n"/>
      <c r="U315" s="85" t="n"/>
      <c r="V315" s="85" t="n"/>
      <c r="W315" s="86" t="n"/>
      <c r="X315" s="44" t="n"/>
      <c r="Y315" s="44" t="n"/>
      <c r="Z315" s="44" t="n"/>
      <c r="AA315" s="85" t="n"/>
      <c r="AB315" s="45" t="n"/>
      <c r="AC315" s="86" t="n"/>
      <c r="AD315" s="44" t="n"/>
      <c r="AE315" s="87" t="n"/>
      <c r="AF315" s="44" t="n"/>
      <c r="AG315" s="44" t="n"/>
      <c r="AH315" s="87" t="n"/>
      <c r="AI315" s="44" t="n"/>
      <c r="AJ315" s="45" t="n"/>
      <c r="AK315" s="45" t="n"/>
      <c r="AL315" s="45" t="n"/>
      <c r="AM315" s="44" t="n"/>
      <c r="AN315" s="45" t="n"/>
      <c r="AO315" s="44" t="n"/>
      <c r="AP315" s="44" t="n"/>
      <c r="AQ315" s="44" t="n"/>
      <c r="AR315" s="44" t="n"/>
      <c r="AS315" s="44" t="n"/>
    </row>
    <row r="316">
      <c r="A316" s="44" t="n"/>
      <c r="B316" s="44" t="n"/>
      <c r="C316" s="44" t="n"/>
      <c r="D316" s="44" t="n"/>
      <c r="E316" s="44" t="n"/>
      <c r="F316" s="44" t="n"/>
      <c r="G316" s="45" t="n"/>
      <c r="H316" s="45" t="n"/>
      <c r="I316" s="85" t="n"/>
      <c r="J316" s="44" t="n"/>
      <c r="K316" s="44" t="n"/>
      <c r="L316" s="44" t="n"/>
      <c r="M316" s="45" t="n"/>
      <c r="N316" s="44" t="n"/>
      <c r="O316" s="86" t="n"/>
      <c r="P316" s="44" t="n"/>
      <c r="Q316" s="45" t="n"/>
      <c r="R316" s="85" t="n"/>
      <c r="S316" s="85" t="n"/>
      <c r="T316" s="85" t="n"/>
      <c r="U316" s="85" t="n"/>
      <c r="V316" s="85" t="n"/>
      <c r="W316" s="86" t="n"/>
      <c r="X316" s="44" t="n"/>
      <c r="Y316" s="44" t="n"/>
      <c r="Z316" s="44" t="n"/>
      <c r="AA316" s="85" t="n"/>
      <c r="AB316" s="45" t="n"/>
      <c r="AC316" s="86" t="n"/>
      <c r="AD316" s="44" t="n"/>
      <c r="AE316" s="87" t="n"/>
      <c r="AF316" s="44" t="n"/>
      <c r="AG316" s="44" t="n"/>
      <c r="AH316" s="87" t="n"/>
      <c r="AI316" s="44" t="n"/>
      <c r="AJ316" s="45" t="n"/>
      <c r="AK316" s="45" t="n"/>
      <c r="AL316" s="45" t="n"/>
      <c r="AM316" s="44" t="n"/>
      <c r="AN316" s="45" t="n"/>
      <c r="AO316" s="44" t="n"/>
      <c r="AP316" s="44" t="n"/>
      <c r="AQ316" s="44" t="n"/>
      <c r="AR316" s="44" t="n"/>
      <c r="AS316" s="44" t="n"/>
    </row>
    <row r="317">
      <c r="A317" s="44" t="n"/>
      <c r="B317" s="44" t="n"/>
      <c r="C317" s="44" t="n"/>
      <c r="D317" s="44" t="n"/>
      <c r="E317" s="44" t="n"/>
      <c r="F317" s="44" t="n"/>
      <c r="G317" s="45" t="n"/>
      <c r="H317" s="45" t="n"/>
      <c r="I317" s="85" t="n"/>
      <c r="J317" s="44" t="n"/>
      <c r="K317" s="44" t="n"/>
      <c r="L317" s="44" t="n"/>
      <c r="M317" s="45" t="n"/>
      <c r="N317" s="44" t="n"/>
      <c r="O317" s="86" t="n"/>
      <c r="P317" s="44" t="n"/>
      <c r="Q317" s="45" t="n"/>
      <c r="R317" s="85" t="n"/>
      <c r="S317" s="85" t="n"/>
      <c r="T317" s="85" t="n"/>
      <c r="U317" s="85" t="n"/>
      <c r="V317" s="85" t="n"/>
      <c r="W317" s="86" t="n"/>
      <c r="X317" s="44" t="n"/>
      <c r="Y317" s="44" t="n"/>
      <c r="Z317" s="44" t="n"/>
      <c r="AA317" s="85" t="n"/>
      <c r="AB317" s="45" t="n"/>
      <c r="AC317" s="86" t="n"/>
      <c r="AD317" s="44" t="n"/>
      <c r="AE317" s="87" t="n"/>
      <c r="AF317" s="44" t="n"/>
      <c r="AG317" s="44" t="n"/>
      <c r="AH317" s="87" t="n"/>
      <c r="AI317" s="44" t="n"/>
      <c r="AJ317" s="45" t="n"/>
      <c r="AK317" s="45" t="n"/>
      <c r="AL317" s="45" t="n"/>
      <c r="AM317" s="44" t="n"/>
      <c r="AN317" s="45" t="n"/>
      <c r="AO317" s="44" t="n"/>
      <c r="AP317" s="44" t="n"/>
      <c r="AQ317" s="44" t="n"/>
      <c r="AR317" s="44" t="n"/>
      <c r="AS317" s="44" t="n"/>
    </row>
    <row r="318">
      <c r="A318" s="44" t="n"/>
      <c r="B318" s="44" t="n"/>
      <c r="C318" s="44" t="n"/>
      <c r="D318" s="44" t="n"/>
      <c r="E318" s="44" t="n"/>
      <c r="F318" s="44" t="n"/>
      <c r="G318" s="45" t="n"/>
      <c r="H318" s="45" t="n"/>
      <c r="I318" s="85" t="n"/>
      <c r="J318" s="44" t="n"/>
      <c r="K318" s="44" t="n"/>
      <c r="L318" s="44" t="n"/>
      <c r="M318" s="45" t="n"/>
      <c r="N318" s="44" t="n"/>
      <c r="O318" s="86" t="n"/>
      <c r="P318" s="44" t="n"/>
      <c r="Q318" s="45" t="n"/>
      <c r="R318" s="85" t="n"/>
      <c r="S318" s="85" t="n"/>
      <c r="T318" s="85" t="n"/>
      <c r="U318" s="85" t="n"/>
      <c r="V318" s="85" t="n"/>
      <c r="W318" s="86" t="n"/>
      <c r="X318" s="44" t="n"/>
      <c r="Y318" s="44" t="n"/>
      <c r="Z318" s="44" t="n"/>
      <c r="AA318" s="85" t="n"/>
      <c r="AB318" s="45" t="n"/>
      <c r="AC318" s="86" t="n"/>
      <c r="AD318" s="44" t="n"/>
      <c r="AE318" s="87" t="n"/>
      <c r="AF318" s="44" t="n"/>
      <c r="AG318" s="44" t="n"/>
      <c r="AH318" s="87" t="n"/>
      <c r="AI318" s="44" t="n"/>
      <c r="AJ318" s="45" t="n"/>
      <c r="AK318" s="45" t="n"/>
      <c r="AL318" s="45" t="n"/>
      <c r="AM318" s="44" t="n"/>
      <c r="AN318" s="45" t="n"/>
      <c r="AO318" s="44" t="n"/>
      <c r="AP318" s="44" t="n"/>
      <c r="AQ318" s="44" t="n"/>
      <c r="AR318" s="44" t="n"/>
      <c r="AS318" s="44" t="n"/>
    </row>
    <row r="319">
      <c r="A319" s="44" t="n"/>
      <c r="B319" s="44" t="n"/>
      <c r="C319" s="44" t="n"/>
      <c r="D319" s="44" t="n"/>
      <c r="E319" s="44" t="n"/>
      <c r="F319" s="44" t="n"/>
      <c r="G319" s="45" t="n"/>
      <c r="H319" s="45" t="n"/>
      <c r="I319" s="85" t="n"/>
      <c r="J319" s="44" t="n"/>
      <c r="K319" s="44" t="n"/>
      <c r="L319" s="44" t="n"/>
      <c r="M319" s="45" t="n"/>
      <c r="N319" s="44" t="n"/>
      <c r="O319" s="86" t="n"/>
      <c r="P319" s="44" t="n"/>
      <c r="Q319" s="45" t="n"/>
      <c r="R319" s="85" t="n"/>
      <c r="S319" s="85" t="n"/>
      <c r="T319" s="85" t="n"/>
      <c r="U319" s="85" t="n"/>
      <c r="V319" s="85" t="n"/>
      <c r="W319" s="86" t="n"/>
      <c r="X319" s="44" t="n"/>
      <c r="Y319" s="44" t="n"/>
      <c r="Z319" s="44" t="n"/>
      <c r="AA319" s="85" t="n"/>
      <c r="AB319" s="45" t="n"/>
      <c r="AC319" s="86" t="n"/>
      <c r="AD319" s="44" t="n"/>
      <c r="AE319" s="87" t="n"/>
      <c r="AF319" s="44" t="n"/>
      <c r="AG319" s="44" t="n"/>
      <c r="AH319" s="87" t="n"/>
      <c r="AI319" s="44" t="n"/>
      <c r="AJ319" s="45" t="n"/>
      <c r="AK319" s="45" t="n"/>
      <c r="AL319" s="45" t="n"/>
      <c r="AM319" s="44" t="n"/>
      <c r="AN319" s="45" t="n"/>
      <c r="AO319" s="44" t="n"/>
      <c r="AP319" s="44" t="n"/>
      <c r="AQ319" s="44" t="n"/>
      <c r="AR319" s="44" t="n"/>
      <c r="AS319" s="44" t="n"/>
    </row>
    <row r="320">
      <c r="A320" s="44" t="n"/>
      <c r="B320" s="44" t="n"/>
      <c r="C320" s="44" t="n"/>
      <c r="D320" s="44" t="n"/>
      <c r="E320" s="44" t="n"/>
      <c r="F320" s="44" t="n"/>
      <c r="G320" s="45" t="n"/>
      <c r="H320" s="45" t="n"/>
      <c r="I320" s="85" t="n"/>
      <c r="J320" s="44" t="n"/>
      <c r="K320" s="44" t="n"/>
      <c r="L320" s="44" t="n"/>
      <c r="M320" s="45" t="n"/>
      <c r="N320" s="44" t="n"/>
      <c r="O320" s="86" t="n"/>
      <c r="P320" s="44" t="n"/>
      <c r="Q320" s="45" t="n"/>
      <c r="R320" s="85" t="n"/>
      <c r="S320" s="85" t="n"/>
      <c r="T320" s="85" t="n"/>
      <c r="U320" s="85" t="n"/>
      <c r="V320" s="85" t="n"/>
      <c r="W320" s="86" t="n"/>
      <c r="X320" s="44" t="n"/>
      <c r="Y320" s="44" t="n"/>
      <c r="Z320" s="44" t="n"/>
      <c r="AA320" s="85" t="n"/>
      <c r="AB320" s="45" t="n"/>
      <c r="AC320" s="86" t="n"/>
      <c r="AD320" s="44" t="n"/>
      <c r="AE320" s="87" t="n"/>
      <c r="AF320" s="44" t="n"/>
      <c r="AG320" s="44" t="n"/>
      <c r="AH320" s="87" t="n"/>
      <c r="AI320" s="44" t="n"/>
      <c r="AJ320" s="45" t="n"/>
      <c r="AK320" s="45" t="n"/>
      <c r="AL320" s="45" t="n"/>
      <c r="AM320" s="44" t="n"/>
      <c r="AN320" s="45" t="n"/>
      <c r="AO320" s="44" t="n"/>
      <c r="AP320" s="44" t="n"/>
      <c r="AQ320" s="44" t="n"/>
      <c r="AR320" s="44" t="n"/>
      <c r="AS320" s="44" t="n"/>
    </row>
    <row r="321">
      <c r="A321" s="44" t="n"/>
      <c r="B321" s="44" t="n"/>
      <c r="C321" s="44" t="n"/>
      <c r="D321" s="44" t="n"/>
      <c r="E321" s="44" t="n"/>
      <c r="F321" s="44" t="n"/>
      <c r="G321" s="45" t="n"/>
      <c r="H321" s="45" t="n"/>
      <c r="I321" s="85" t="n"/>
      <c r="J321" s="44" t="n"/>
      <c r="K321" s="44" t="n"/>
      <c r="L321" s="44" t="n"/>
      <c r="M321" s="45" t="n"/>
      <c r="N321" s="44" t="n"/>
      <c r="O321" s="86" t="n"/>
      <c r="P321" s="44" t="n"/>
      <c r="Q321" s="45" t="n"/>
      <c r="R321" s="85" t="n"/>
      <c r="S321" s="85" t="n"/>
      <c r="T321" s="85" t="n"/>
      <c r="U321" s="85" t="n"/>
      <c r="V321" s="85" t="n"/>
      <c r="W321" s="86" t="n"/>
      <c r="X321" s="44" t="n"/>
      <c r="Y321" s="44" t="n"/>
      <c r="Z321" s="44" t="n"/>
      <c r="AA321" s="85" t="n"/>
      <c r="AB321" s="45" t="n"/>
      <c r="AC321" s="86" t="n"/>
      <c r="AD321" s="44" t="n"/>
      <c r="AE321" s="87" t="n"/>
      <c r="AF321" s="44" t="n"/>
      <c r="AG321" s="44" t="n"/>
      <c r="AH321" s="87" t="n"/>
      <c r="AI321" s="44" t="n"/>
      <c r="AJ321" s="45" t="n"/>
      <c r="AK321" s="45" t="n"/>
      <c r="AL321" s="45" t="n"/>
      <c r="AM321" s="44" t="n"/>
      <c r="AN321" s="45" t="n"/>
      <c r="AO321" s="44" t="n"/>
      <c r="AP321" s="44" t="n"/>
      <c r="AQ321" s="44" t="n"/>
      <c r="AR321" s="44" t="n"/>
      <c r="AS321" s="44" t="n"/>
    </row>
    <row r="322">
      <c r="A322" s="44" t="n"/>
      <c r="B322" s="44" t="n"/>
      <c r="C322" s="44" t="n"/>
      <c r="D322" s="44" t="n"/>
      <c r="E322" s="44" t="n"/>
      <c r="F322" s="44" t="n"/>
      <c r="G322" s="45" t="n"/>
      <c r="H322" s="45" t="n"/>
      <c r="I322" s="85" t="n"/>
      <c r="J322" s="44" t="n"/>
      <c r="K322" s="44" t="n"/>
      <c r="L322" s="44" t="n"/>
      <c r="M322" s="45" t="n"/>
      <c r="N322" s="44" t="n"/>
      <c r="O322" s="86" t="n"/>
      <c r="P322" s="44" t="n"/>
      <c r="Q322" s="45" t="n"/>
      <c r="R322" s="85" t="n"/>
      <c r="S322" s="85" t="n"/>
      <c r="T322" s="85" t="n"/>
      <c r="U322" s="85" t="n"/>
      <c r="V322" s="85" t="n"/>
      <c r="W322" s="86" t="n"/>
      <c r="X322" s="44" t="n"/>
      <c r="Y322" s="44" t="n"/>
      <c r="Z322" s="44" t="n"/>
      <c r="AA322" s="85" t="n"/>
      <c r="AB322" s="45" t="n"/>
      <c r="AC322" s="86" t="n"/>
      <c r="AD322" s="44" t="n"/>
      <c r="AE322" s="87" t="n"/>
      <c r="AF322" s="44" t="n"/>
      <c r="AG322" s="44" t="n"/>
      <c r="AH322" s="87" t="n"/>
      <c r="AI322" s="44" t="n"/>
      <c r="AJ322" s="45" t="n"/>
      <c r="AK322" s="45" t="n"/>
      <c r="AL322" s="45" t="n"/>
      <c r="AM322" s="44" t="n"/>
      <c r="AN322" s="45" t="n"/>
      <c r="AO322" s="44" t="n"/>
      <c r="AP322" s="44" t="n"/>
      <c r="AQ322" s="44" t="n"/>
      <c r="AR322" s="44" t="n"/>
      <c r="AS322" s="44" t="n"/>
    </row>
    <row r="323">
      <c r="A323" s="44" t="n"/>
      <c r="B323" s="44" t="n"/>
      <c r="C323" s="44" t="n"/>
      <c r="D323" s="44" t="n"/>
      <c r="E323" s="44" t="n"/>
      <c r="F323" s="44" t="n"/>
      <c r="G323" s="45" t="n"/>
      <c r="H323" s="45" t="n"/>
      <c r="I323" s="85" t="n"/>
      <c r="J323" s="44" t="n"/>
      <c r="K323" s="44" t="n"/>
      <c r="L323" s="44" t="n"/>
      <c r="M323" s="45" t="n"/>
      <c r="N323" s="44" t="n"/>
      <c r="O323" s="86" t="n"/>
      <c r="P323" s="44" t="n"/>
      <c r="Q323" s="45" t="n"/>
      <c r="R323" s="85" t="n"/>
      <c r="S323" s="85" t="n"/>
      <c r="T323" s="85" t="n"/>
      <c r="U323" s="85" t="n"/>
      <c r="V323" s="85" t="n"/>
      <c r="W323" s="86" t="n"/>
      <c r="X323" s="44" t="n"/>
      <c r="Y323" s="44" t="n"/>
      <c r="Z323" s="44" t="n"/>
      <c r="AA323" s="85" t="n"/>
      <c r="AB323" s="45" t="n"/>
      <c r="AC323" s="86" t="n"/>
      <c r="AD323" s="44" t="n"/>
      <c r="AE323" s="87" t="n"/>
      <c r="AF323" s="44" t="n"/>
      <c r="AG323" s="44" t="n"/>
      <c r="AH323" s="87" t="n"/>
      <c r="AI323" s="44" t="n"/>
      <c r="AJ323" s="45" t="n"/>
      <c r="AK323" s="45" t="n"/>
      <c r="AL323" s="45" t="n"/>
      <c r="AM323" s="44" t="n"/>
      <c r="AN323" s="45" t="n"/>
      <c r="AO323" s="44" t="n"/>
      <c r="AP323" s="44" t="n"/>
      <c r="AQ323" s="44" t="n"/>
      <c r="AR323" s="44" t="n"/>
      <c r="AS323" s="44" t="n"/>
    </row>
    <row r="324">
      <c r="A324" s="44" t="n"/>
      <c r="B324" s="44" t="n"/>
      <c r="C324" s="44" t="n"/>
      <c r="D324" s="44" t="n"/>
      <c r="E324" s="44" t="n"/>
      <c r="F324" s="44" t="n"/>
      <c r="G324" s="45" t="n"/>
      <c r="H324" s="45" t="n"/>
      <c r="I324" s="85" t="n"/>
      <c r="J324" s="44" t="n"/>
      <c r="K324" s="44" t="n"/>
      <c r="L324" s="44" t="n"/>
      <c r="M324" s="45" t="n"/>
      <c r="N324" s="44" t="n"/>
      <c r="O324" s="86" t="n"/>
      <c r="P324" s="44" t="n"/>
      <c r="Q324" s="45" t="n"/>
      <c r="R324" s="85" t="n"/>
      <c r="S324" s="85" t="n"/>
      <c r="T324" s="85" t="n"/>
      <c r="U324" s="85" t="n"/>
      <c r="V324" s="85" t="n"/>
      <c r="W324" s="86" t="n"/>
      <c r="X324" s="44" t="n"/>
      <c r="Y324" s="44" t="n"/>
      <c r="Z324" s="44" t="n"/>
      <c r="AA324" s="85" t="n"/>
      <c r="AB324" s="45" t="n"/>
      <c r="AC324" s="86" t="n"/>
      <c r="AD324" s="44" t="n"/>
      <c r="AE324" s="87" t="n"/>
      <c r="AF324" s="44" t="n"/>
      <c r="AG324" s="44" t="n"/>
      <c r="AH324" s="87" t="n"/>
      <c r="AI324" s="44" t="n"/>
      <c r="AJ324" s="45" t="n"/>
      <c r="AK324" s="45" t="n"/>
      <c r="AL324" s="45" t="n"/>
      <c r="AM324" s="44" t="n"/>
      <c r="AN324" s="45" t="n"/>
      <c r="AO324" s="44" t="n"/>
      <c r="AP324" s="44" t="n"/>
      <c r="AQ324" s="44" t="n"/>
      <c r="AR324" s="44" t="n"/>
      <c r="AS324" s="44" t="n"/>
    </row>
    <row r="325">
      <c r="A325" s="44" t="n"/>
      <c r="B325" s="44" t="n"/>
      <c r="C325" s="44" t="n"/>
      <c r="D325" s="44" t="n"/>
      <c r="E325" s="44" t="n"/>
      <c r="F325" s="44" t="n"/>
      <c r="G325" s="45" t="n"/>
      <c r="H325" s="45" t="n"/>
      <c r="I325" s="85" t="n"/>
      <c r="J325" s="44" t="n"/>
      <c r="K325" s="44" t="n"/>
      <c r="L325" s="44" t="n"/>
      <c r="M325" s="45" t="n"/>
      <c r="N325" s="44" t="n"/>
      <c r="O325" s="86" t="n"/>
      <c r="P325" s="44" t="n"/>
      <c r="Q325" s="45" t="n"/>
      <c r="R325" s="85" t="n"/>
      <c r="S325" s="85" t="n"/>
      <c r="T325" s="85" t="n"/>
      <c r="U325" s="85" t="n"/>
      <c r="V325" s="85" t="n"/>
      <c r="W325" s="86" t="n"/>
      <c r="X325" s="44" t="n"/>
      <c r="Y325" s="44" t="n"/>
      <c r="Z325" s="44" t="n"/>
      <c r="AA325" s="85" t="n"/>
      <c r="AB325" s="45" t="n"/>
      <c r="AC325" s="86" t="n"/>
      <c r="AD325" s="44" t="n"/>
      <c r="AE325" s="87" t="n"/>
      <c r="AF325" s="44" t="n"/>
      <c r="AG325" s="44" t="n"/>
      <c r="AH325" s="87" t="n"/>
      <c r="AI325" s="44" t="n"/>
      <c r="AJ325" s="45" t="n"/>
      <c r="AK325" s="45" t="n"/>
      <c r="AL325" s="45" t="n"/>
      <c r="AM325" s="44" t="n"/>
      <c r="AN325" s="45" t="n"/>
      <c r="AO325" s="44" t="n"/>
      <c r="AP325" s="44" t="n"/>
      <c r="AQ325" s="44" t="n"/>
      <c r="AR325" s="44" t="n"/>
      <c r="AS325" s="44" t="n"/>
    </row>
    <row r="326">
      <c r="A326" s="44" t="n"/>
      <c r="B326" s="44" t="n"/>
      <c r="C326" s="44" t="n"/>
      <c r="D326" s="44" t="n"/>
      <c r="E326" s="44" t="n"/>
      <c r="F326" s="44" t="n"/>
      <c r="G326" s="45" t="n"/>
      <c r="H326" s="45" t="n"/>
      <c r="I326" s="85" t="n"/>
      <c r="J326" s="44" t="n"/>
      <c r="K326" s="44" t="n"/>
      <c r="L326" s="44" t="n"/>
      <c r="M326" s="45" t="n"/>
      <c r="N326" s="44" t="n"/>
      <c r="O326" s="86" t="n"/>
      <c r="P326" s="44" t="n"/>
      <c r="Q326" s="45" t="n"/>
      <c r="R326" s="85" t="n"/>
      <c r="S326" s="85" t="n"/>
      <c r="T326" s="85" t="n"/>
      <c r="U326" s="85" t="n"/>
      <c r="V326" s="85" t="n"/>
      <c r="W326" s="86" t="n"/>
      <c r="X326" s="44" t="n"/>
      <c r="Y326" s="44" t="n"/>
      <c r="Z326" s="44" t="n"/>
      <c r="AA326" s="85" t="n"/>
      <c r="AB326" s="45" t="n"/>
      <c r="AC326" s="86" t="n"/>
      <c r="AD326" s="44" t="n"/>
      <c r="AE326" s="87" t="n"/>
      <c r="AF326" s="44" t="n"/>
      <c r="AG326" s="44" t="n"/>
      <c r="AH326" s="87" t="n"/>
      <c r="AI326" s="44" t="n"/>
      <c r="AJ326" s="45" t="n"/>
      <c r="AK326" s="45" t="n"/>
      <c r="AL326" s="45" t="n"/>
      <c r="AM326" s="44" t="n"/>
      <c r="AN326" s="45" t="n"/>
      <c r="AO326" s="44" t="n"/>
      <c r="AP326" s="44" t="n"/>
      <c r="AQ326" s="44" t="n"/>
      <c r="AR326" s="44" t="n"/>
      <c r="AS326" s="44" t="n"/>
    </row>
    <row r="327">
      <c r="A327" s="44" t="n"/>
      <c r="B327" s="44" t="n"/>
      <c r="C327" s="44" t="n"/>
      <c r="D327" s="44" t="n"/>
      <c r="E327" s="44" t="n"/>
      <c r="F327" s="44" t="n"/>
      <c r="G327" s="45" t="n"/>
      <c r="H327" s="45" t="n"/>
      <c r="I327" s="85" t="n"/>
      <c r="J327" s="44" t="n"/>
      <c r="K327" s="44" t="n"/>
      <c r="L327" s="44" t="n"/>
      <c r="M327" s="45" t="n"/>
      <c r="N327" s="44" t="n"/>
      <c r="O327" s="86" t="n"/>
      <c r="P327" s="44" t="n"/>
      <c r="Q327" s="45" t="n"/>
      <c r="R327" s="85" t="n"/>
      <c r="S327" s="85" t="n"/>
      <c r="T327" s="85" t="n"/>
      <c r="U327" s="85" t="n"/>
      <c r="V327" s="85" t="n"/>
      <c r="W327" s="86" t="n"/>
      <c r="X327" s="44" t="n"/>
      <c r="Y327" s="44" t="n"/>
      <c r="Z327" s="44" t="n"/>
      <c r="AA327" s="85" t="n"/>
      <c r="AB327" s="45" t="n"/>
      <c r="AC327" s="86" t="n"/>
      <c r="AD327" s="44" t="n"/>
      <c r="AE327" s="87" t="n"/>
      <c r="AF327" s="44" t="n"/>
      <c r="AG327" s="44" t="n"/>
      <c r="AH327" s="87" t="n"/>
      <c r="AI327" s="44" t="n"/>
      <c r="AJ327" s="45" t="n"/>
      <c r="AK327" s="45" t="n"/>
      <c r="AL327" s="45" t="n"/>
      <c r="AM327" s="44" t="n"/>
      <c r="AN327" s="45" t="n"/>
      <c r="AO327" s="44" t="n"/>
      <c r="AP327" s="44" t="n"/>
      <c r="AQ327" s="44" t="n"/>
      <c r="AR327" s="44" t="n"/>
      <c r="AS327" s="44" t="n"/>
    </row>
    <row r="328">
      <c r="A328" s="44" t="n"/>
      <c r="B328" s="44" t="n"/>
      <c r="C328" s="44" t="n"/>
      <c r="D328" s="44" t="n"/>
      <c r="E328" s="44" t="n"/>
      <c r="F328" s="44" t="n"/>
      <c r="G328" s="45" t="n"/>
      <c r="H328" s="45" t="n"/>
      <c r="I328" s="85" t="n"/>
      <c r="J328" s="44" t="n"/>
      <c r="K328" s="44" t="n"/>
      <c r="L328" s="44" t="n"/>
      <c r="M328" s="45" t="n"/>
      <c r="N328" s="44" t="n"/>
      <c r="O328" s="86" t="n"/>
      <c r="P328" s="44" t="n"/>
      <c r="Q328" s="45" t="n"/>
      <c r="R328" s="85" t="n"/>
      <c r="S328" s="85" t="n"/>
      <c r="T328" s="85" t="n"/>
      <c r="U328" s="85" t="n"/>
      <c r="V328" s="85" t="n"/>
      <c r="W328" s="86" t="n"/>
      <c r="X328" s="44" t="n"/>
      <c r="Y328" s="44" t="n"/>
      <c r="Z328" s="44" t="n"/>
      <c r="AA328" s="85" t="n"/>
      <c r="AB328" s="45" t="n"/>
      <c r="AC328" s="86" t="n"/>
      <c r="AD328" s="44" t="n"/>
      <c r="AE328" s="87" t="n"/>
      <c r="AF328" s="44" t="n"/>
      <c r="AG328" s="44" t="n"/>
      <c r="AH328" s="87" t="n"/>
      <c r="AI328" s="44" t="n"/>
      <c r="AJ328" s="45" t="n"/>
      <c r="AK328" s="45" t="n"/>
      <c r="AL328" s="45" t="n"/>
      <c r="AM328" s="44" t="n"/>
      <c r="AN328" s="45" t="n"/>
      <c r="AO328" s="44" t="n"/>
      <c r="AP328" s="44" t="n"/>
      <c r="AQ328" s="44" t="n"/>
      <c r="AR328" s="44" t="n"/>
      <c r="AS328" s="44" t="n"/>
    </row>
    <row r="329">
      <c r="A329" s="44" t="n"/>
      <c r="B329" s="44" t="n"/>
      <c r="C329" s="44" t="n"/>
      <c r="D329" s="44" t="n"/>
      <c r="E329" s="44" t="n"/>
      <c r="F329" s="44" t="n"/>
      <c r="G329" s="45" t="n"/>
      <c r="H329" s="45" t="n"/>
      <c r="I329" s="85" t="n"/>
      <c r="J329" s="44" t="n"/>
      <c r="K329" s="44" t="n"/>
      <c r="L329" s="44" t="n"/>
      <c r="M329" s="45" t="n"/>
      <c r="N329" s="44" t="n"/>
      <c r="O329" s="86" t="n"/>
      <c r="P329" s="44" t="n"/>
      <c r="Q329" s="45" t="n"/>
      <c r="R329" s="85" t="n"/>
      <c r="S329" s="85" t="n"/>
      <c r="T329" s="85" t="n"/>
      <c r="U329" s="85" t="n"/>
      <c r="V329" s="85" t="n"/>
      <c r="W329" s="86" t="n"/>
      <c r="X329" s="44" t="n"/>
      <c r="Y329" s="44" t="n"/>
      <c r="Z329" s="44" t="n"/>
      <c r="AA329" s="85" t="n"/>
      <c r="AB329" s="45" t="n"/>
      <c r="AC329" s="86" t="n"/>
      <c r="AD329" s="44" t="n"/>
      <c r="AE329" s="87" t="n"/>
      <c r="AF329" s="44" t="n"/>
      <c r="AG329" s="44" t="n"/>
      <c r="AH329" s="87" t="n"/>
      <c r="AI329" s="44" t="n"/>
      <c r="AJ329" s="45" t="n"/>
      <c r="AK329" s="45" t="n"/>
      <c r="AL329" s="45" t="n"/>
      <c r="AM329" s="44" t="n"/>
      <c r="AN329" s="45" t="n"/>
      <c r="AO329" s="44" t="n"/>
      <c r="AP329" s="44" t="n"/>
      <c r="AQ329" s="44" t="n"/>
      <c r="AR329" s="44" t="n"/>
      <c r="AS329" s="44" t="n"/>
    </row>
    <row r="330">
      <c r="A330" s="44" t="n"/>
      <c r="B330" s="44" t="n"/>
      <c r="C330" s="44" t="n"/>
      <c r="D330" s="44" t="n"/>
      <c r="E330" s="44" t="n"/>
      <c r="F330" s="44" t="n"/>
      <c r="G330" s="45" t="n"/>
      <c r="H330" s="45" t="n"/>
      <c r="I330" s="85" t="n"/>
      <c r="J330" s="44" t="n"/>
      <c r="K330" s="44" t="n"/>
      <c r="L330" s="44" t="n"/>
      <c r="M330" s="45" t="n"/>
      <c r="N330" s="44" t="n"/>
      <c r="O330" s="86" t="n"/>
      <c r="P330" s="44" t="n"/>
      <c r="Q330" s="45" t="n"/>
      <c r="R330" s="85" t="n"/>
      <c r="S330" s="85" t="n"/>
      <c r="T330" s="85" t="n"/>
      <c r="U330" s="85" t="n"/>
      <c r="V330" s="85" t="n"/>
      <c r="W330" s="86" t="n"/>
      <c r="X330" s="44" t="n"/>
      <c r="Y330" s="44" t="n"/>
      <c r="Z330" s="44" t="n"/>
      <c r="AA330" s="85" t="n"/>
      <c r="AB330" s="45" t="n"/>
      <c r="AC330" s="86" t="n"/>
      <c r="AD330" s="44" t="n"/>
      <c r="AE330" s="87" t="n"/>
      <c r="AF330" s="44" t="n"/>
      <c r="AG330" s="44" t="n"/>
      <c r="AH330" s="87" t="n"/>
      <c r="AI330" s="44" t="n"/>
      <c r="AJ330" s="45" t="n"/>
      <c r="AK330" s="45" t="n"/>
      <c r="AL330" s="45" t="n"/>
      <c r="AM330" s="44" t="n"/>
      <c r="AN330" s="45" t="n"/>
      <c r="AO330" s="44" t="n"/>
      <c r="AP330" s="44" t="n"/>
      <c r="AQ330" s="44" t="n"/>
      <c r="AR330" s="44" t="n"/>
      <c r="AS330" s="44" t="n"/>
    </row>
    <row r="331">
      <c r="A331" s="44" t="n"/>
      <c r="B331" s="44" t="n"/>
      <c r="C331" s="44" t="n"/>
      <c r="D331" s="44" t="n"/>
      <c r="E331" s="44" t="n"/>
      <c r="F331" s="44" t="n"/>
      <c r="G331" s="45" t="n"/>
      <c r="H331" s="45" t="n"/>
      <c r="I331" s="85" t="n"/>
      <c r="J331" s="44" t="n"/>
      <c r="K331" s="44" t="n"/>
      <c r="L331" s="44" t="n"/>
      <c r="M331" s="45" t="n"/>
      <c r="N331" s="44" t="n"/>
      <c r="O331" s="86" t="n"/>
      <c r="P331" s="44" t="n"/>
      <c r="Q331" s="45" t="n"/>
      <c r="R331" s="85" t="n"/>
      <c r="S331" s="85" t="n"/>
      <c r="T331" s="85" t="n"/>
      <c r="U331" s="85" t="n"/>
      <c r="V331" s="85" t="n"/>
      <c r="W331" s="86" t="n"/>
      <c r="X331" s="44" t="n"/>
      <c r="Y331" s="44" t="n"/>
      <c r="Z331" s="44" t="n"/>
      <c r="AA331" s="85" t="n"/>
      <c r="AB331" s="45" t="n"/>
      <c r="AC331" s="86" t="n"/>
      <c r="AD331" s="44" t="n"/>
      <c r="AE331" s="87" t="n"/>
      <c r="AF331" s="44" t="n"/>
      <c r="AG331" s="44" t="n"/>
      <c r="AH331" s="87" t="n"/>
      <c r="AI331" s="44" t="n"/>
      <c r="AJ331" s="45" t="n"/>
      <c r="AK331" s="45" t="n"/>
      <c r="AL331" s="45" t="n"/>
      <c r="AM331" s="44" t="n"/>
      <c r="AN331" s="45" t="n"/>
      <c r="AO331" s="44" t="n"/>
      <c r="AP331" s="44" t="n"/>
      <c r="AQ331" s="44" t="n"/>
      <c r="AR331" s="44" t="n"/>
      <c r="AS331" s="44" t="n"/>
    </row>
    <row r="332">
      <c r="A332" s="44" t="n"/>
      <c r="B332" s="44" t="n"/>
      <c r="C332" s="44" t="n"/>
      <c r="D332" s="44" t="n"/>
      <c r="E332" s="44" t="n"/>
      <c r="F332" s="44" t="n"/>
      <c r="G332" s="45" t="n"/>
      <c r="H332" s="45" t="n"/>
      <c r="I332" s="85" t="n"/>
      <c r="J332" s="44" t="n"/>
      <c r="K332" s="44" t="n"/>
      <c r="L332" s="44" t="n"/>
      <c r="M332" s="45" t="n"/>
      <c r="N332" s="44" t="n"/>
      <c r="O332" s="86" t="n"/>
      <c r="P332" s="44" t="n"/>
      <c r="Q332" s="45" t="n"/>
      <c r="R332" s="85" t="n"/>
      <c r="S332" s="85" t="n"/>
      <c r="T332" s="85" t="n"/>
      <c r="U332" s="85" t="n"/>
      <c r="V332" s="85" t="n"/>
      <c r="W332" s="86" t="n"/>
      <c r="X332" s="44" t="n"/>
      <c r="Y332" s="44" t="n"/>
      <c r="Z332" s="44" t="n"/>
      <c r="AA332" s="85" t="n"/>
      <c r="AB332" s="45" t="n"/>
      <c r="AC332" s="86" t="n"/>
      <c r="AD332" s="44" t="n"/>
      <c r="AE332" s="87" t="n"/>
      <c r="AF332" s="44" t="n"/>
      <c r="AG332" s="44" t="n"/>
      <c r="AH332" s="87" t="n"/>
      <c r="AI332" s="44" t="n"/>
      <c r="AJ332" s="45" t="n"/>
      <c r="AK332" s="45" t="n"/>
      <c r="AL332" s="45" t="n"/>
      <c r="AM332" s="44" t="n"/>
      <c r="AN332" s="45" t="n"/>
      <c r="AO332" s="44" t="n"/>
      <c r="AP332" s="44" t="n"/>
      <c r="AQ332" s="44" t="n"/>
      <c r="AR332" s="44" t="n"/>
      <c r="AS332" s="44" t="n"/>
    </row>
    <row r="333">
      <c r="A333" s="44" t="n"/>
      <c r="B333" s="44" t="n"/>
      <c r="C333" s="44" t="n"/>
      <c r="D333" s="44" t="n"/>
      <c r="E333" s="44" t="n"/>
      <c r="F333" s="44" t="n"/>
      <c r="G333" s="45" t="n"/>
      <c r="H333" s="45" t="n"/>
      <c r="I333" s="85" t="n"/>
      <c r="J333" s="44" t="n"/>
      <c r="K333" s="44" t="n"/>
      <c r="L333" s="44" t="n"/>
      <c r="M333" s="45" t="n"/>
      <c r="N333" s="44" t="n"/>
      <c r="O333" s="86" t="n"/>
      <c r="P333" s="44" t="n"/>
      <c r="Q333" s="45" t="n"/>
      <c r="R333" s="85" t="n"/>
      <c r="S333" s="85" t="n"/>
      <c r="T333" s="85" t="n"/>
      <c r="U333" s="85" t="n"/>
      <c r="V333" s="85" t="n"/>
      <c r="W333" s="86" t="n"/>
      <c r="X333" s="44" t="n"/>
      <c r="Y333" s="44" t="n"/>
      <c r="Z333" s="44" t="n"/>
      <c r="AA333" s="85" t="n"/>
      <c r="AB333" s="45" t="n"/>
      <c r="AC333" s="86" t="n"/>
      <c r="AD333" s="44" t="n"/>
      <c r="AE333" s="87" t="n"/>
      <c r="AF333" s="44" t="n"/>
      <c r="AG333" s="44" t="n"/>
      <c r="AH333" s="87" t="n"/>
      <c r="AI333" s="44" t="n"/>
      <c r="AJ333" s="45" t="n"/>
      <c r="AK333" s="45" t="n"/>
      <c r="AL333" s="45" t="n"/>
      <c r="AM333" s="44" t="n"/>
      <c r="AN333" s="45" t="n"/>
      <c r="AO333" s="44" t="n"/>
      <c r="AP333" s="44" t="n"/>
      <c r="AQ333" s="44" t="n"/>
      <c r="AR333" s="44" t="n"/>
      <c r="AS333" s="44" t="n"/>
    </row>
    <row r="334">
      <c r="A334" s="44" t="n"/>
      <c r="B334" s="44" t="n"/>
      <c r="C334" s="44" t="n"/>
      <c r="D334" s="44" t="n"/>
      <c r="E334" s="44" t="n"/>
      <c r="F334" s="44" t="n"/>
      <c r="G334" s="45" t="n"/>
      <c r="H334" s="45" t="n"/>
      <c r="I334" s="85" t="n"/>
      <c r="J334" s="44" t="n"/>
      <c r="K334" s="44" t="n"/>
      <c r="L334" s="44" t="n"/>
      <c r="M334" s="45" t="n"/>
      <c r="N334" s="44" t="n"/>
      <c r="O334" s="86" t="n"/>
      <c r="P334" s="44" t="n"/>
      <c r="Q334" s="45" t="n"/>
      <c r="R334" s="85" t="n"/>
      <c r="S334" s="85" t="n"/>
      <c r="T334" s="85" t="n"/>
      <c r="U334" s="85" t="n"/>
      <c r="V334" s="85" t="n"/>
      <c r="W334" s="86" t="n"/>
      <c r="X334" s="44" t="n"/>
      <c r="Y334" s="44" t="n"/>
      <c r="Z334" s="44" t="n"/>
      <c r="AA334" s="85" t="n"/>
      <c r="AB334" s="45" t="n"/>
      <c r="AC334" s="86" t="n"/>
      <c r="AD334" s="44" t="n"/>
      <c r="AE334" s="87" t="n"/>
      <c r="AF334" s="44" t="n"/>
      <c r="AG334" s="44" t="n"/>
      <c r="AH334" s="87" t="n"/>
      <c r="AI334" s="44" t="n"/>
      <c r="AJ334" s="45" t="n"/>
      <c r="AK334" s="45" t="n"/>
      <c r="AL334" s="45" t="n"/>
      <c r="AM334" s="44" t="n"/>
      <c r="AN334" s="45" t="n"/>
      <c r="AO334" s="44" t="n"/>
      <c r="AP334" s="44" t="n"/>
      <c r="AQ334" s="44" t="n"/>
      <c r="AR334" s="44" t="n"/>
      <c r="AS334" s="44" t="n"/>
    </row>
    <row r="335">
      <c r="A335" s="44" t="n"/>
      <c r="B335" s="44" t="n"/>
      <c r="C335" s="44" t="n"/>
      <c r="D335" s="44" t="n"/>
      <c r="E335" s="44" t="n"/>
      <c r="F335" s="44" t="n"/>
      <c r="G335" s="45" t="n"/>
      <c r="H335" s="45" t="n"/>
      <c r="I335" s="85" t="n"/>
      <c r="J335" s="44" t="n"/>
      <c r="K335" s="44" t="n"/>
      <c r="L335" s="44" t="n"/>
      <c r="M335" s="45" t="n"/>
      <c r="N335" s="44" t="n"/>
      <c r="O335" s="86" t="n"/>
      <c r="P335" s="44" t="n"/>
      <c r="Q335" s="45" t="n"/>
      <c r="R335" s="85" t="n"/>
      <c r="S335" s="85" t="n"/>
      <c r="T335" s="85" t="n"/>
      <c r="U335" s="85" t="n"/>
      <c r="V335" s="85" t="n"/>
      <c r="W335" s="86" t="n"/>
      <c r="X335" s="44" t="n"/>
      <c r="Y335" s="44" t="n"/>
      <c r="Z335" s="44" t="n"/>
      <c r="AA335" s="85" t="n"/>
      <c r="AB335" s="45" t="n"/>
      <c r="AC335" s="86" t="n"/>
      <c r="AD335" s="44" t="n"/>
      <c r="AE335" s="87" t="n"/>
      <c r="AF335" s="44" t="n"/>
      <c r="AG335" s="44" t="n"/>
      <c r="AH335" s="87" t="n"/>
      <c r="AI335" s="44" t="n"/>
      <c r="AJ335" s="45" t="n"/>
      <c r="AK335" s="45" t="n"/>
      <c r="AL335" s="45" t="n"/>
      <c r="AM335" s="44" t="n"/>
      <c r="AN335" s="45" t="n"/>
      <c r="AO335" s="44" t="n"/>
      <c r="AP335" s="44" t="n"/>
      <c r="AQ335" s="44" t="n"/>
      <c r="AR335" s="44" t="n"/>
      <c r="AS335" s="44" t="n"/>
    </row>
    <row r="336">
      <c r="A336" s="44" t="n"/>
      <c r="B336" s="44" t="n"/>
      <c r="C336" s="44" t="n"/>
      <c r="D336" s="44" t="n"/>
      <c r="E336" s="44" t="n"/>
      <c r="F336" s="44" t="n"/>
      <c r="G336" s="45" t="n"/>
      <c r="H336" s="45" t="n"/>
      <c r="I336" s="85" t="n"/>
      <c r="J336" s="44" t="n"/>
      <c r="K336" s="44" t="n"/>
      <c r="L336" s="44" t="n"/>
      <c r="M336" s="45" t="n"/>
      <c r="N336" s="44" t="n"/>
      <c r="O336" s="86" t="n"/>
      <c r="P336" s="44" t="n"/>
      <c r="Q336" s="45" t="n"/>
      <c r="R336" s="85" t="n"/>
      <c r="S336" s="85" t="n"/>
      <c r="T336" s="85" t="n"/>
      <c r="U336" s="85" t="n"/>
      <c r="V336" s="85" t="n"/>
      <c r="W336" s="86" t="n"/>
      <c r="X336" s="44" t="n"/>
      <c r="Y336" s="44" t="n"/>
      <c r="Z336" s="44" t="n"/>
      <c r="AA336" s="85" t="n"/>
      <c r="AB336" s="45" t="n"/>
      <c r="AC336" s="86" t="n"/>
      <c r="AD336" s="44" t="n"/>
      <c r="AE336" s="87" t="n"/>
      <c r="AF336" s="44" t="n"/>
      <c r="AG336" s="44" t="n"/>
      <c r="AH336" s="87" t="n"/>
      <c r="AI336" s="44" t="n"/>
      <c r="AJ336" s="45" t="n"/>
      <c r="AK336" s="45" t="n"/>
      <c r="AL336" s="45" t="n"/>
      <c r="AM336" s="44" t="n"/>
      <c r="AN336" s="45" t="n"/>
      <c r="AO336" s="44" t="n"/>
      <c r="AP336" s="44" t="n"/>
      <c r="AQ336" s="44" t="n"/>
      <c r="AR336" s="44" t="n"/>
      <c r="AS336" s="44" t="n"/>
    </row>
    <row r="337">
      <c r="A337" s="44" t="n"/>
      <c r="B337" s="44" t="n"/>
      <c r="C337" s="44" t="n"/>
      <c r="D337" s="44" t="n"/>
      <c r="E337" s="44" t="n"/>
      <c r="F337" s="44" t="n"/>
      <c r="G337" s="45" t="n"/>
      <c r="H337" s="45" t="n"/>
      <c r="I337" s="85" t="n"/>
      <c r="J337" s="44" t="n"/>
      <c r="K337" s="44" t="n"/>
      <c r="L337" s="44" t="n"/>
      <c r="M337" s="45" t="n"/>
      <c r="N337" s="44" t="n"/>
      <c r="O337" s="86" t="n"/>
      <c r="P337" s="44" t="n"/>
      <c r="Q337" s="45" t="n"/>
      <c r="R337" s="85" t="n"/>
      <c r="S337" s="85" t="n"/>
      <c r="T337" s="85" t="n"/>
      <c r="U337" s="85" t="n"/>
      <c r="V337" s="85" t="n"/>
      <c r="W337" s="86" t="n"/>
      <c r="X337" s="44" t="n"/>
      <c r="Y337" s="44" t="n"/>
      <c r="Z337" s="44" t="n"/>
      <c r="AA337" s="85" t="n"/>
      <c r="AB337" s="45" t="n"/>
      <c r="AC337" s="86" t="n"/>
      <c r="AD337" s="44" t="n"/>
      <c r="AE337" s="87" t="n"/>
      <c r="AF337" s="44" t="n"/>
      <c r="AG337" s="44" t="n"/>
      <c r="AH337" s="87" t="n"/>
      <c r="AI337" s="44" t="n"/>
      <c r="AJ337" s="45" t="n"/>
      <c r="AK337" s="45" t="n"/>
      <c r="AL337" s="45" t="n"/>
      <c r="AM337" s="44" t="n"/>
      <c r="AN337" s="45" t="n"/>
      <c r="AO337" s="44" t="n"/>
      <c r="AP337" s="44" t="n"/>
      <c r="AQ337" s="44" t="n"/>
      <c r="AR337" s="44" t="n"/>
      <c r="AS337" s="44" t="n"/>
    </row>
    <row r="338">
      <c r="A338" s="44" t="n"/>
      <c r="B338" s="44" t="n"/>
      <c r="C338" s="44" t="n"/>
      <c r="D338" s="44" t="n"/>
      <c r="E338" s="44" t="n"/>
      <c r="F338" s="44" t="n"/>
      <c r="G338" s="45" t="n"/>
      <c r="H338" s="45" t="n"/>
      <c r="I338" s="85" t="n"/>
      <c r="J338" s="44" t="n"/>
      <c r="K338" s="44" t="n"/>
      <c r="L338" s="44" t="n"/>
      <c r="M338" s="45" t="n"/>
      <c r="N338" s="44" t="n"/>
      <c r="O338" s="86" t="n"/>
      <c r="P338" s="44" t="n"/>
      <c r="Q338" s="45" t="n"/>
      <c r="R338" s="85" t="n"/>
      <c r="S338" s="85" t="n"/>
      <c r="T338" s="85" t="n"/>
      <c r="U338" s="85" t="n"/>
      <c r="V338" s="85" t="n"/>
      <c r="W338" s="86" t="n"/>
      <c r="X338" s="44" t="n"/>
      <c r="Y338" s="44" t="n"/>
      <c r="Z338" s="44" t="n"/>
      <c r="AA338" s="85" t="n"/>
      <c r="AB338" s="45" t="n"/>
      <c r="AC338" s="86" t="n"/>
      <c r="AD338" s="44" t="n"/>
      <c r="AE338" s="87" t="n"/>
      <c r="AF338" s="44" t="n"/>
      <c r="AG338" s="44" t="n"/>
      <c r="AH338" s="87" t="n"/>
      <c r="AI338" s="44" t="n"/>
      <c r="AJ338" s="45" t="n"/>
      <c r="AK338" s="45" t="n"/>
      <c r="AL338" s="45" t="n"/>
      <c r="AM338" s="44" t="n"/>
      <c r="AN338" s="45" t="n"/>
      <c r="AO338" s="44" t="n"/>
      <c r="AP338" s="44" t="n"/>
      <c r="AQ338" s="44" t="n"/>
      <c r="AR338" s="44" t="n"/>
      <c r="AS338" s="44" t="n"/>
    </row>
    <row r="339">
      <c r="A339" s="44" t="n"/>
      <c r="B339" s="44" t="n"/>
      <c r="C339" s="44" t="n"/>
      <c r="D339" s="44" t="n"/>
      <c r="E339" s="44" t="n"/>
      <c r="F339" s="44" t="n"/>
      <c r="G339" s="45" t="n"/>
      <c r="H339" s="45" t="n"/>
      <c r="I339" s="85" t="n"/>
      <c r="J339" s="44" t="n"/>
      <c r="K339" s="44" t="n"/>
      <c r="L339" s="44" t="n"/>
      <c r="M339" s="45" t="n"/>
      <c r="N339" s="44" t="n"/>
      <c r="O339" s="86" t="n"/>
      <c r="P339" s="44" t="n"/>
      <c r="Q339" s="45" t="n"/>
      <c r="R339" s="85" t="n"/>
      <c r="S339" s="85" t="n"/>
      <c r="T339" s="85" t="n"/>
      <c r="U339" s="85" t="n"/>
      <c r="V339" s="85" t="n"/>
      <c r="W339" s="86" t="n"/>
      <c r="X339" s="44" t="n"/>
      <c r="Y339" s="44" t="n"/>
      <c r="Z339" s="44" t="n"/>
      <c r="AA339" s="85" t="n"/>
      <c r="AB339" s="45" t="n"/>
      <c r="AC339" s="86" t="n"/>
      <c r="AD339" s="44" t="n"/>
      <c r="AE339" s="87" t="n"/>
      <c r="AF339" s="44" t="n"/>
      <c r="AG339" s="44" t="n"/>
      <c r="AH339" s="87" t="n"/>
      <c r="AI339" s="44" t="n"/>
      <c r="AJ339" s="45" t="n"/>
      <c r="AK339" s="45" t="n"/>
      <c r="AL339" s="45" t="n"/>
      <c r="AM339" s="44" t="n"/>
      <c r="AN339" s="45" t="n"/>
      <c r="AO339" s="44" t="n"/>
      <c r="AP339" s="44" t="n"/>
      <c r="AQ339" s="44" t="n"/>
      <c r="AR339" s="44" t="n"/>
      <c r="AS339" s="44" t="n"/>
    </row>
    <row r="340">
      <c r="A340" s="44" t="n"/>
      <c r="B340" s="44" t="n"/>
      <c r="C340" s="44" t="n"/>
      <c r="D340" s="44" t="n"/>
      <c r="E340" s="44" t="n"/>
      <c r="F340" s="44" t="n"/>
      <c r="G340" s="45" t="n"/>
      <c r="H340" s="45" t="n"/>
      <c r="I340" s="85" t="n"/>
      <c r="J340" s="44" t="n"/>
      <c r="K340" s="44" t="n"/>
      <c r="L340" s="44" t="n"/>
      <c r="M340" s="45" t="n"/>
      <c r="N340" s="44" t="n"/>
      <c r="O340" s="86" t="n"/>
      <c r="P340" s="44" t="n"/>
      <c r="Q340" s="45" t="n"/>
      <c r="R340" s="85" t="n"/>
      <c r="S340" s="85" t="n"/>
      <c r="T340" s="85" t="n"/>
      <c r="U340" s="85" t="n"/>
      <c r="V340" s="85" t="n"/>
      <c r="W340" s="86" t="n"/>
      <c r="X340" s="44" t="n"/>
      <c r="Y340" s="44" t="n"/>
      <c r="Z340" s="44" t="n"/>
      <c r="AA340" s="85" t="n"/>
      <c r="AB340" s="45" t="n"/>
      <c r="AC340" s="86" t="n"/>
      <c r="AD340" s="44" t="n"/>
      <c r="AE340" s="87" t="n"/>
      <c r="AF340" s="44" t="n"/>
      <c r="AG340" s="44" t="n"/>
      <c r="AH340" s="87" t="n"/>
      <c r="AI340" s="44" t="n"/>
      <c r="AJ340" s="45" t="n"/>
      <c r="AK340" s="45" t="n"/>
      <c r="AL340" s="45" t="n"/>
      <c r="AM340" s="44" t="n"/>
      <c r="AN340" s="45" t="n"/>
      <c r="AO340" s="44" t="n"/>
      <c r="AP340" s="44" t="n"/>
      <c r="AQ340" s="44" t="n"/>
      <c r="AR340" s="44" t="n"/>
      <c r="AS340" s="44" t="n"/>
    </row>
    <row r="341">
      <c r="A341" s="44" t="n"/>
      <c r="B341" s="44" t="n"/>
      <c r="C341" s="44" t="n"/>
      <c r="D341" s="44" t="n"/>
      <c r="E341" s="44" t="n"/>
      <c r="F341" s="44" t="n"/>
      <c r="G341" s="45" t="n"/>
      <c r="H341" s="45" t="n"/>
      <c r="I341" s="85" t="n"/>
      <c r="J341" s="44" t="n"/>
      <c r="K341" s="44" t="n"/>
      <c r="L341" s="44" t="n"/>
      <c r="M341" s="45" t="n"/>
      <c r="N341" s="44" t="n"/>
      <c r="O341" s="86" t="n"/>
      <c r="P341" s="44" t="n"/>
      <c r="Q341" s="45" t="n"/>
      <c r="R341" s="85" t="n"/>
      <c r="S341" s="85" t="n"/>
      <c r="T341" s="85" t="n"/>
      <c r="U341" s="85" t="n"/>
      <c r="V341" s="85" t="n"/>
      <c r="W341" s="86" t="n"/>
      <c r="X341" s="44" t="n"/>
      <c r="Y341" s="44" t="n"/>
      <c r="Z341" s="44" t="n"/>
      <c r="AA341" s="85" t="n"/>
      <c r="AB341" s="45" t="n"/>
      <c r="AC341" s="86" t="n"/>
      <c r="AD341" s="44" t="n"/>
      <c r="AE341" s="87" t="n"/>
      <c r="AF341" s="44" t="n"/>
      <c r="AG341" s="44" t="n"/>
      <c r="AH341" s="87" t="n"/>
      <c r="AI341" s="44" t="n"/>
      <c r="AJ341" s="45" t="n"/>
      <c r="AK341" s="45" t="n"/>
      <c r="AL341" s="45" t="n"/>
      <c r="AM341" s="44" t="n"/>
      <c r="AN341" s="45" t="n"/>
      <c r="AO341" s="44" t="n"/>
      <c r="AP341" s="44" t="n"/>
      <c r="AQ341" s="44" t="n"/>
      <c r="AR341" s="44" t="n"/>
      <c r="AS341" s="44" t="n"/>
    </row>
    <row r="342">
      <c r="A342" s="44" t="n"/>
      <c r="B342" s="44" t="n"/>
      <c r="C342" s="44" t="n"/>
      <c r="D342" s="44" t="n"/>
      <c r="E342" s="44" t="n"/>
      <c r="F342" s="44" t="n"/>
      <c r="G342" s="45" t="n"/>
      <c r="H342" s="45" t="n"/>
      <c r="I342" s="85" t="n"/>
      <c r="J342" s="44" t="n"/>
      <c r="K342" s="44" t="n"/>
      <c r="L342" s="44" t="n"/>
      <c r="M342" s="45" t="n"/>
      <c r="N342" s="44" t="n"/>
      <c r="O342" s="86" t="n"/>
      <c r="P342" s="44" t="n"/>
      <c r="Q342" s="45" t="n"/>
      <c r="R342" s="85" t="n"/>
      <c r="S342" s="85" t="n"/>
      <c r="T342" s="85" t="n"/>
      <c r="U342" s="85" t="n"/>
      <c r="V342" s="85" t="n"/>
      <c r="W342" s="86" t="n"/>
      <c r="X342" s="44" t="n"/>
      <c r="Y342" s="44" t="n"/>
      <c r="Z342" s="44" t="n"/>
      <c r="AA342" s="85" t="n"/>
      <c r="AB342" s="45" t="n"/>
      <c r="AC342" s="86" t="n"/>
      <c r="AD342" s="44" t="n"/>
      <c r="AE342" s="87" t="n"/>
      <c r="AF342" s="44" t="n"/>
      <c r="AG342" s="44" t="n"/>
      <c r="AH342" s="87" t="n"/>
      <c r="AI342" s="44" t="n"/>
      <c r="AJ342" s="45" t="n"/>
      <c r="AK342" s="45" t="n"/>
      <c r="AL342" s="45" t="n"/>
      <c r="AM342" s="44" t="n"/>
      <c r="AN342" s="45" t="n"/>
      <c r="AO342" s="44" t="n"/>
      <c r="AP342" s="44" t="n"/>
      <c r="AQ342" s="44" t="n"/>
      <c r="AR342" s="44" t="n"/>
      <c r="AS342" s="44" t="n"/>
    </row>
    <row r="343">
      <c r="A343" s="44" t="n"/>
      <c r="B343" s="44" t="n"/>
      <c r="C343" s="44" t="n"/>
      <c r="D343" s="44" t="n"/>
      <c r="E343" s="44" t="n"/>
      <c r="F343" s="44" t="n"/>
      <c r="G343" s="45" t="n"/>
      <c r="H343" s="45" t="n"/>
      <c r="I343" s="85" t="n"/>
      <c r="J343" s="44" t="n"/>
      <c r="K343" s="44" t="n"/>
      <c r="L343" s="44" t="n"/>
      <c r="M343" s="45" t="n"/>
      <c r="N343" s="44" t="n"/>
      <c r="O343" s="86" t="n"/>
      <c r="P343" s="44" t="n"/>
      <c r="Q343" s="45" t="n"/>
      <c r="R343" s="85" t="n"/>
      <c r="S343" s="85" t="n"/>
      <c r="T343" s="85" t="n"/>
      <c r="U343" s="85" t="n"/>
      <c r="V343" s="85" t="n"/>
      <c r="W343" s="86" t="n"/>
      <c r="X343" s="44" t="n"/>
      <c r="Y343" s="44" t="n"/>
      <c r="Z343" s="44" t="n"/>
      <c r="AA343" s="85" t="n"/>
      <c r="AB343" s="45" t="n"/>
      <c r="AC343" s="86" t="n"/>
      <c r="AD343" s="44" t="n"/>
      <c r="AE343" s="87" t="n"/>
      <c r="AF343" s="44" t="n"/>
      <c r="AG343" s="44" t="n"/>
      <c r="AH343" s="87" t="n"/>
      <c r="AI343" s="44" t="n"/>
      <c r="AJ343" s="45" t="n"/>
      <c r="AK343" s="45" t="n"/>
      <c r="AL343" s="45" t="n"/>
      <c r="AM343" s="44" t="n"/>
      <c r="AN343" s="45" t="n"/>
      <c r="AO343" s="44" t="n"/>
      <c r="AP343" s="44" t="n"/>
      <c r="AQ343" s="44" t="n"/>
      <c r="AR343" s="44" t="n"/>
      <c r="AS343" s="44" t="n"/>
    </row>
    <row r="344">
      <c r="A344" s="44" t="n"/>
      <c r="B344" s="44" t="n"/>
      <c r="C344" s="44" t="n"/>
      <c r="D344" s="44" t="n"/>
      <c r="E344" s="44" t="n"/>
      <c r="F344" s="44" t="n"/>
      <c r="G344" s="45" t="n"/>
      <c r="H344" s="45" t="n"/>
      <c r="I344" s="85" t="n"/>
      <c r="J344" s="44" t="n"/>
      <c r="K344" s="44" t="n"/>
      <c r="L344" s="44" t="n"/>
      <c r="M344" s="45" t="n"/>
      <c r="N344" s="44" t="n"/>
      <c r="O344" s="86" t="n"/>
      <c r="P344" s="44" t="n"/>
      <c r="Q344" s="45" t="n"/>
      <c r="R344" s="85" t="n"/>
      <c r="S344" s="85" t="n"/>
      <c r="T344" s="85" t="n"/>
      <c r="U344" s="85" t="n"/>
      <c r="V344" s="85" t="n"/>
      <c r="W344" s="86" t="n"/>
      <c r="X344" s="44" t="n"/>
      <c r="Y344" s="44" t="n"/>
      <c r="Z344" s="44" t="n"/>
      <c r="AA344" s="85" t="n"/>
      <c r="AB344" s="45" t="n"/>
      <c r="AC344" s="86" t="n"/>
      <c r="AD344" s="44" t="n"/>
      <c r="AE344" s="87" t="n"/>
      <c r="AF344" s="44" t="n"/>
      <c r="AG344" s="44" t="n"/>
      <c r="AH344" s="87" t="n"/>
      <c r="AI344" s="44" t="n"/>
      <c r="AJ344" s="45" t="n"/>
      <c r="AK344" s="45" t="n"/>
      <c r="AL344" s="45" t="n"/>
      <c r="AM344" s="44" t="n"/>
      <c r="AN344" s="45" t="n"/>
      <c r="AO344" s="44" t="n"/>
      <c r="AP344" s="44" t="n"/>
      <c r="AQ344" s="44" t="n"/>
      <c r="AR344" s="44" t="n"/>
      <c r="AS344" s="44" t="n"/>
    </row>
    <row r="345">
      <c r="A345" s="44" t="n"/>
      <c r="B345" s="44" t="n"/>
      <c r="C345" s="44" t="n"/>
      <c r="D345" s="44" t="n"/>
      <c r="E345" s="44" t="n"/>
      <c r="F345" s="44" t="n"/>
      <c r="G345" s="45" t="n"/>
      <c r="H345" s="45" t="n"/>
      <c r="I345" s="85" t="n"/>
      <c r="J345" s="44" t="n"/>
      <c r="K345" s="44" t="n"/>
      <c r="L345" s="44" t="n"/>
      <c r="M345" s="45" t="n"/>
      <c r="N345" s="44" t="n"/>
      <c r="O345" s="86" t="n"/>
      <c r="P345" s="44" t="n"/>
      <c r="Q345" s="45" t="n"/>
      <c r="R345" s="85" t="n"/>
      <c r="S345" s="85" t="n"/>
      <c r="T345" s="85" t="n"/>
      <c r="U345" s="85" t="n"/>
      <c r="V345" s="85" t="n"/>
      <c r="W345" s="86" t="n"/>
      <c r="X345" s="44" t="n"/>
      <c r="Y345" s="44" t="n"/>
      <c r="Z345" s="44" t="n"/>
      <c r="AA345" s="85" t="n"/>
      <c r="AB345" s="45" t="n"/>
      <c r="AC345" s="86" t="n"/>
      <c r="AD345" s="44" t="n"/>
      <c r="AE345" s="87" t="n"/>
      <c r="AF345" s="44" t="n"/>
      <c r="AG345" s="44" t="n"/>
      <c r="AH345" s="87" t="n"/>
      <c r="AI345" s="44" t="n"/>
      <c r="AJ345" s="45" t="n"/>
      <c r="AK345" s="45" t="n"/>
      <c r="AL345" s="45" t="n"/>
      <c r="AM345" s="44" t="n"/>
      <c r="AN345" s="45" t="n"/>
      <c r="AO345" s="44" t="n"/>
      <c r="AP345" s="44" t="n"/>
      <c r="AQ345" s="44" t="n"/>
      <c r="AR345" s="44" t="n"/>
      <c r="AS345" s="44" t="n"/>
    </row>
    <row r="346">
      <c r="A346" s="44" t="n"/>
      <c r="B346" s="44" t="n"/>
      <c r="C346" s="44" t="n"/>
      <c r="D346" s="44" t="n"/>
      <c r="E346" s="44" t="n"/>
      <c r="F346" s="44" t="n"/>
      <c r="G346" s="45" t="n"/>
      <c r="H346" s="45" t="n"/>
      <c r="I346" s="85" t="n"/>
      <c r="J346" s="44" t="n"/>
      <c r="K346" s="44" t="n"/>
      <c r="L346" s="44" t="n"/>
      <c r="M346" s="45" t="n"/>
      <c r="N346" s="44" t="n"/>
      <c r="O346" s="86" t="n"/>
      <c r="P346" s="44" t="n"/>
      <c r="Q346" s="45" t="n"/>
      <c r="R346" s="85" t="n"/>
      <c r="S346" s="85" t="n"/>
      <c r="T346" s="85" t="n"/>
      <c r="U346" s="85" t="n"/>
      <c r="V346" s="85" t="n"/>
      <c r="W346" s="86" t="n"/>
      <c r="X346" s="44" t="n"/>
      <c r="Y346" s="44" t="n"/>
      <c r="Z346" s="44" t="n"/>
      <c r="AA346" s="85" t="n"/>
      <c r="AB346" s="45" t="n"/>
      <c r="AC346" s="86" t="n"/>
      <c r="AD346" s="44" t="n"/>
      <c r="AE346" s="87" t="n"/>
      <c r="AF346" s="44" t="n"/>
      <c r="AG346" s="44" t="n"/>
      <c r="AH346" s="87" t="n"/>
      <c r="AI346" s="44" t="n"/>
      <c r="AJ346" s="45" t="n"/>
      <c r="AK346" s="45" t="n"/>
      <c r="AL346" s="45" t="n"/>
      <c r="AM346" s="44" t="n"/>
      <c r="AN346" s="45" t="n"/>
      <c r="AO346" s="44" t="n"/>
      <c r="AP346" s="44" t="n"/>
      <c r="AQ346" s="44" t="n"/>
      <c r="AR346" s="44" t="n"/>
      <c r="AS346" s="44" t="n"/>
    </row>
    <row r="347">
      <c r="A347" s="44" t="n"/>
      <c r="B347" s="44" t="n"/>
      <c r="C347" s="44" t="n"/>
      <c r="D347" s="44" t="n"/>
      <c r="E347" s="44" t="n"/>
      <c r="F347" s="44" t="n"/>
      <c r="G347" s="45" t="n"/>
      <c r="H347" s="45" t="n"/>
      <c r="I347" s="85" t="n"/>
      <c r="J347" s="44" t="n"/>
      <c r="K347" s="44" t="n"/>
      <c r="L347" s="44" t="n"/>
      <c r="M347" s="45" t="n"/>
      <c r="N347" s="44" t="n"/>
      <c r="O347" s="86" t="n"/>
      <c r="P347" s="44" t="n"/>
      <c r="Q347" s="45" t="n"/>
      <c r="R347" s="85" t="n"/>
      <c r="S347" s="85" t="n"/>
      <c r="T347" s="85" t="n"/>
      <c r="U347" s="85" t="n"/>
      <c r="V347" s="85" t="n"/>
      <c r="W347" s="86" t="n"/>
      <c r="X347" s="44" t="n"/>
      <c r="Y347" s="44" t="n"/>
      <c r="Z347" s="44" t="n"/>
      <c r="AA347" s="85" t="n"/>
      <c r="AB347" s="45" t="n"/>
      <c r="AC347" s="86" t="n"/>
      <c r="AD347" s="44" t="n"/>
      <c r="AE347" s="87" t="n"/>
      <c r="AF347" s="44" t="n"/>
      <c r="AG347" s="44" t="n"/>
      <c r="AH347" s="87" t="n"/>
      <c r="AI347" s="44" t="n"/>
      <c r="AJ347" s="45" t="n"/>
      <c r="AK347" s="45" t="n"/>
      <c r="AL347" s="45" t="n"/>
      <c r="AM347" s="44" t="n"/>
      <c r="AN347" s="45" t="n"/>
      <c r="AO347" s="44" t="n"/>
      <c r="AP347" s="44" t="n"/>
      <c r="AQ347" s="44" t="n"/>
      <c r="AR347" s="44" t="n"/>
      <c r="AS347" s="44" t="n"/>
    </row>
    <row r="348">
      <c r="A348" s="44" t="n"/>
      <c r="B348" s="44" t="n"/>
      <c r="C348" s="44" t="n"/>
      <c r="D348" s="44" t="n"/>
      <c r="E348" s="44" t="n"/>
      <c r="F348" s="44" t="n"/>
      <c r="G348" s="45" t="n"/>
      <c r="H348" s="45" t="n"/>
      <c r="I348" s="85" t="n"/>
      <c r="J348" s="44" t="n"/>
      <c r="K348" s="44" t="n"/>
      <c r="L348" s="44" t="n"/>
      <c r="M348" s="45" t="n"/>
      <c r="N348" s="44" t="n"/>
      <c r="O348" s="86" t="n"/>
      <c r="P348" s="44" t="n"/>
      <c r="Q348" s="45" t="n"/>
      <c r="R348" s="85" t="n"/>
      <c r="S348" s="85" t="n"/>
      <c r="T348" s="85" t="n"/>
      <c r="U348" s="85" t="n"/>
      <c r="V348" s="85" t="n"/>
      <c r="W348" s="86" t="n"/>
      <c r="X348" s="44" t="n"/>
      <c r="Y348" s="44" t="n"/>
      <c r="Z348" s="44" t="n"/>
      <c r="AA348" s="85" t="n"/>
      <c r="AB348" s="45" t="n"/>
      <c r="AC348" s="86" t="n"/>
      <c r="AD348" s="44" t="n"/>
      <c r="AE348" s="87" t="n"/>
      <c r="AF348" s="44" t="n"/>
      <c r="AG348" s="44" t="n"/>
      <c r="AH348" s="87" t="n"/>
      <c r="AI348" s="44" t="n"/>
      <c r="AJ348" s="45" t="n"/>
      <c r="AK348" s="45" t="n"/>
      <c r="AL348" s="45" t="n"/>
      <c r="AM348" s="44" t="n"/>
      <c r="AN348" s="45" t="n"/>
      <c r="AO348" s="44" t="n"/>
      <c r="AP348" s="44" t="n"/>
      <c r="AQ348" s="44" t="n"/>
      <c r="AR348" s="44" t="n"/>
      <c r="AS348" s="44" t="n"/>
    </row>
    <row r="349">
      <c r="A349" s="44" t="n"/>
      <c r="B349" s="44" t="n"/>
      <c r="C349" s="44" t="n"/>
      <c r="D349" s="44" t="n"/>
      <c r="E349" s="44" t="n"/>
      <c r="F349" s="44" t="n"/>
      <c r="G349" s="45" t="n"/>
      <c r="H349" s="45" t="n"/>
      <c r="I349" s="85" t="n"/>
      <c r="J349" s="44" t="n"/>
      <c r="K349" s="44" t="n"/>
      <c r="L349" s="44" t="n"/>
      <c r="M349" s="45" t="n"/>
      <c r="N349" s="44" t="n"/>
      <c r="O349" s="86" t="n"/>
      <c r="P349" s="44" t="n"/>
      <c r="Q349" s="45" t="n"/>
      <c r="R349" s="85" t="n"/>
      <c r="S349" s="85" t="n"/>
      <c r="T349" s="85" t="n"/>
      <c r="U349" s="85" t="n"/>
      <c r="V349" s="85" t="n"/>
      <c r="W349" s="86" t="n"/>
      <c r="X349" s="44" t="n"/>
      <c r="Y349" s="44" t="n"/>
      <c r="Z349" s="44" t="n"/>
      <c r="AA349" s="85" t="n"/>
      <c r="AB349" s="45" t="n"/>
      <c r="AC349" s="86" t="n"/>
      <c r="AD349" s="44" t="n"/>
      <c r="AE349" s="87" t="n"/>
      <c r="AF349" s="44" t="n"/>
      <c r="AG349" s="44" t="n"/>
      <c r="AH349" s="87" t="n"/>
      <c r="AI349" s="44" t="n"/>
      <c r="AJ349" s="45" t="n"/>
      <c r="AK349" s="45" t="n"/>
      <c r="AL349" s="45" t="n"/>
      <c r="AM349" s="44" t="n"/>
      <c r="AN349" s="45" t="n"/>
      <c r="AO349" s="44" t="n"/>
      <c r="AP349" s="44" t="n"/>
      <c r="AQ349" s="44" t="n"/>
      <c r="AR349" s="44" t="n"/>
      <c r="AS349" s="44" t="n"/>
    </row>
    <row r="350">
      <c r="A350" s="44" t="n"/>
      <c r="B350" s="44" t="n"/>
      <c r="C350" s="44" t="n"/>
      <c r="D350" s="44" t="n"/>
      <c r="E350" s="44" t="n"/>
      <c r="F350" s="44" t="n"/>
      <c r="G350" s="45" t="n"/>
      <c r="H350" s="45" t="n"/>
      <c r="I350" s="85" t="n"/>
      <c r="J350" s="44" t="n"/>
      <c r="K350" s="44" t="n"/>
      <c r="L350" s="44" t="n"/>
      <c r="M350" s="45" t="n"/>
      <c r="N350" s="44" t="n"/>
      <c r="O350" s="86" t="n"/>
      <c r="P350" s="44" t="n"/>
      <c r="Q350" s="45" t="n"/>
      <c r="R350" s="85" t="n"/>
      <c r="S350" s="85" t="n"/>
      <c r="T350" s="85" t="n"/>
      <c r="U350" s="85" t="n"/>
      <c r="V350" s="85" t="n"/>
      <c r="W350" s="86" t="n"/>
      <c r="X350" s="44" t="n"/>
      <c r="Y350" s="44" t="n"/>
      <c r="Z350" s="44" t="n"/>
      <c r="AA350" s="85" t="n"/>
      <c r="AB350" s="45" t="n"/>
      <c r="AC350" s="86" t="n"/>
      <c r="AD350" s="44" t="n"/>
      <c r="AE350" s="87" t="n"/>
      <c r="AF350" s="44" t="n"/>
      <c r="AG350" s="44" t="n"/>
      <c r="AH350" s="87" t="n"/>
      <c r="AI350" s="44" t="n"/>
      <c r="AJ350" s="45" t="n"/>
      <c r="AK350" s="45" t="n"/>
      <c r="AL350" s="45" t="n"/>
      <c r="AM350" s="44" t="n"/>
      <c r="AN350" s="45" t="n"/>
      <c r="AO350" s="44" t="n"/>
      <c r="AP350" s="44" t="n"/>
      <c r="AQ350" s="44" t="n"/>
      <c r="AR350" s="44" t="n"/>
      <c r="AS350" s="44" t="n"/>
    </row>
    <row r="351">
      <c r="A351" s="44" t="n"/>
      <c r="B351" s="44" t="n"/>
      <c r="C351" s="44" t="n"/>
      <c r="D351" s="44" t="n"/>
      <c r="E351" s="44" t="n"/>
      <c r="F351" s="44" t="n"/>
      <c r="G351" s="45" t="n"/>
      <c r="H351" s="45" t="n"/>
      <c r="I351" s="85" t="n"/>
      <c r="J351" s="44" t="n"/>
      <c r="K351" s="44" t="n"/>
      <c r="L351" s="44" t="n"/>
      <c r="M351" s="45" t="n"/>
      <c r="N351" s="44" t="n"/>
      <c r="O351" s="86" t="n"/>
      <c r="P351" s="44" t="n"/>
      <c r="Q351" s="45" t="n"/>
      <c r="R351" s="85" t="n"/>
      <c r="S351" s="85" t="n"/>
      <c r="T351" s="85" t="n"/>
      <c r="U351" s="85" t="n"/>
      <c r="V351" s="85" t="n"/>
      <c r="W351" s="86" t="n"/>
      <c r="X351" s="44" t="n"/>
      <c r="Y351" s="44" t="n"/>
      <c r="Z351" s="44" t="n"/>
      <c r="AA351" s="85" t="n"/>
      <c r="AB351" s="45" t="n"/>
      <c r="AC351" s="86" t="n"/>
      <c r="AD351" s="44" t="n"/>
      <c r="AE351" s="87" t="n"/>
      <c r="AF351" s="44" t="n"/>
      <c r="AG351" s="44" t="n"/>
      <c r="AH351" s="87" t="n"/>
      <c r="AI351" s="44" t="n"/>
      <c r="AJ351" s="45" t="n"/>
      <c r="AK351" s="45" t="n"/>
      <c r="AL351" s="45" t="n"/>
      <c r="AM351" s="44" t="n"/>
      <c r="AN351" s="45" t="n"/>
      <c r="AO351" s="44" t="n"/>
      <c r="AP351" s="44" t="n"/>
      <c r="AQ351" s="44" t="n"/>
      <c r="AR351" s="44" t="n"/>
      <c r="AS351" s="44" t="n"/>
    </row>
    <row r="352">
      <c r="A352" s="44" t="n"/>
      <c r="B352" s="44" t="n"/>
      <c r="C352" s="44" t="n"/>
      <c r="D352" s="44" t="n"/>
      <c r="E352" s="44" t="n"/>
      <c r="F352" s="44" t="n"/>
      <c r="G352" s="45" t="n"/>
      <c r="H352" s="45" t="n"/>
      <c r="I352" s="85" t="n"/>
      <c r="J352" s="44" t="n"/>
      <c r="K352" s="44" t="n"/>
      <c r="L352" s="44" t="n"/>
      <c r="M352" s="45" t="n"/>
      <c r="N352" s="44" t="n"/>
      <c r="O352" s="86" t="n"/>
      <c r="P352" s="44" t="n"/>
      <c r="Q352" s="45" t="n"/>
      <c r="R352" s="85" t="n"/>
      <c r="S352" s="85" t="n"/>
      <c r="T352" s="85" t="n"/>
      <c r="U352" s="85" t="n"/>
      <c r="V352" s="85" t="n"/>
      <c r="W352" s="86" t="n"/>
      <c r="X352" s="44" t="n"/>
      <c r="Y352" s="44" t="n"/>
      <c r="Z352" s="44" t="n"/>
      <c r="AA352" s="85" t="n"/>
      <c r="AB352" s="45" t="n"/>
      <c r="AC352" s="86" t="n"/>
      <c r="AD352" s="44" t="n"/>
      <c r="AE352" s="87" t="n"/>
      <c r="AF352" s="44" t="n"/>
      <c r="AG352" s="44" t="n"/>
      <c r="AH352" s="87" t="n"/>
      <c r="AI352" s="44" t="n"/>
      <c r="AJ352" s="45" t="n"/>
      <c r="AK352" s="45" t="n"/>
      <c r="AL352" s="45" t="n"/>
      <c r="AM352" s="44" t="n"/>
      <c r="AN352" s="45" t="n"/>
      <c r="AO352" s="44" t="n"/>
      <c r="AP352" s="44" t="n"/>
      <c r="AQ352" s="44" t="n"/>
      <c r="AR352" s="44" t="n"/>
      <c r="AS352" s="44" t="n"/>
    </row>
    <row r="353">
      <c r="A353" s="44" t="n"/>
      <c r="B353" s="44" t="n"/>
      <c r="C353" s="44" t="n"/>
      <c r="D353" s="44" t="n"/>
      <c r="E353" s="44" t="n"/>
      <c r="F353" s="44" t="n"/>
      <c r="G353" s="45" t="n"/>
      <c r="H353" s="45" t="n"/>
      <c r="I353" s="85" t="n"/>
      <c r="J353" s="44" t="n"/>
      <c r="K353" s="44" t="n"/>
      <c r="L353" s="44" t="n"/>
      <c r="M353" s="45" t="n"/>
      <c r="N353" s="44" t="n"/>
      <c r="O353" s="86" t="n"/>
      <c r="P353" s="44" t="n"/>
      <c r="Q353" s="45" t="n"/>
      <c r="R353" s="85" t="n"/>
      <c r="S353" s="85" t="n"/>
      <c r="T353" s="85" t="n"/>
      <c r="U353" s="85" t="n"/>
      <c r="V353" s="85" t="n"/>
      <c r="W353" s="86" t="n"/>
      <c r="X353" s="44" t="n"/>
      <c r="Y353" s="44" t="n"/>
      <c r="Z353" s="44" t="n"/>
      <c r="AA353" s="85" t="n"/>
      <c r="AB353" s="45" t="n"/>
      <c r="AC353" s="86" t="n"/>
      <c r="AD353" s="44" t="n"/>
      <c r="AE353" s="87" t="n"/>
      <c r="AF353" s="44" t="n"/>
      <c r="AG353" s="44" t="n"/>
      <c r="AH353" s="87" t="n"/>
      <c r="AI353" s="44" t="n"/>
      <c r="AJ353" s="45" t="n"/>
      <c r="AK353" s="45" t="n"/>
      <c r="AL353" s="45" t="n"/>
      <c r="AM353" s="44" t="n"/>
      <c r="AN353" s="45" t="n"/>
      <c r="AO353" s="44" t="n"/>
      <c r="AP353" s="44" t="n"/>
      <c r="AQ353" s="44" t="n"/>
      <c r="AR353" s="44" t="n"/>
      <c r="AS353" s="44" t="n"/>
    </row>
    <row r="354">
      <c r="A354" s="44" t="n"/>
      <c r="B354" s="44" t="n"/>
      <c r="C354" s="44" t="n"/>
      <c r="D354" s="44" t="n"/>
      <c r="E354" s="44" t="n"/>
      <c r="F354" s="44" t="n"/>
      <c r="G354" s="45" t="n"/>
      <c r="H354" s="45" t="n"/>
      <c r="I354" s="85" t="n"/>
      <c r="J354" s="44" t="n"/>
      <c r="K354" s="44" t="n"/>
      <c r="L354" s="44" t="n"/>
      <c r="M354" s="45" t="n"/>
      <c r="N354" s="44" t="n"/>
      <c r="O354" s="86" t="n"/>
      <c r="P354" s="44" t="n"/>
      <c r="Q354" s="45" t="n"/>
      <c r="R354" s="85" t="n"/>
      <c r="S354" s="85" t="n"/>
      <c r="T354" s="85" t="n"/>
      <c r="U354" s="85" t="n"/>
      <c r="V354" s="85" t="n"/>
      <c r="W354" s="86" t="n"/>
      <c r="X354" s="44" t="n"/>
      <c r="Y354" s="44" t="n"/>
      <c r="Z354" s="44" t="n"/>
      <c r="AA354" s="85" t="n"/>
      <c r="AB354" s="45" t="n"/>
      <c r="AC354" s="86" t="n"/>
      <c r="AD354" s="44" t="n"/>
      <c r="AE354" s="87" t="n"/>
      <c r="AF354" s="44" t="n"/>
      <c r="AG354" s="44" t="n"/>
      <c r="AH354" s="87" t="n"/>
      <c r="AI354" s="44" t="n"/>
      <c r="AJ354" s="45" t="n"/>
      <c r="AK354" s="45" t="n"/>
      <c r="AL354" s="45" t="n"/>
      <c r="AM354" s="44" t="n"/>
      <c r="AN354" s="45" t="n"/>
      <c r="AO354" s="44" t="n"/>
      <c r="AP354" s="44" t="n"/>
      <c r="AQ354" s="44" t="n"/>
      <c r="AR354" s="44" t="n"/>
      <c r="AS354" s="44" t="n"/>
    </row>
    <row r="355">
      <c r="A355" s="44" t="n"/>
      <c r="B355" s="44" t="n"/>
      <c r="C355" s="44" t="n"/>
      <c r="D355" s="44" t="n"/>
      <c r="E355" s="44" t="n"/>
      <c r="F355" s="44" t="n"/>
      <c r="G355" s="45" t="n"/>
      <c r="H355" s="45" t="n"/>
      <c r="I355" s="85" t="n"/>
      <c r="J355" s="44" t="n"/>
      <c r="K355" s="44" t="n"/>
      <c r="L355" s="44" t="n"/>
      <c r="M355" s="45" t="n"/>
      <c r="N355" s="44" t="n"/>
      <c r="O355" s="86" t="n"/>
      <c r="P355" s="44" t="n"/>
      <c r="Q355" s="45" t="n"/>
      <c r="R355" s="85" t="n"/>
      <c r="S355" s="85" t="n"/>
      <c r="T355" s="85" t="n"/>
      <c r="U355" s="85" t="n"/>
      <c r="V355" s="85" t="n"/>
      <c r="W355" s="86" t="n"/>
      <c r="X355" s="44" t="n"/>
      <c r="Y355" s="44" t="n"/>
      <c r="Z355" s="44" t="n"/>
      <c r="AA355" s="85" t="n"/>
      <c r="AB355" s="45" t="n"/>
      <c r="AC355" s="86" t="n"/>
      <c r="AD355" s="44" t="n"/>
      <c r="AE355" s="87" t="n"/>
      <c r="AF355" s="44" t="n"/>
      <c r="AG355" s="44" t="n"/>
      <c r="AH355" s="87" t="n"/>
      <c r="AI355" s="44" t="n"/>
      <c r="AJ355" s="45" t="n"/>
      <c r="AK355" s="45" t="n"/>
      <c r="AL355" s="45" t="n"/>
      <c r="AM355" s="44" t="n"/>
      <c r="AN355" s="45" t="n"/>
      <c r="AO355" s="44" t="n"/>
      <c r="AP355" s="44" t="n"/>
      <c r="AQ355" s="44" t="n"/>
      <c r="AR355" s="44" t="n"/>
      <c r="AS355" s="44" t="n"/>
    </row>
    <row r="356">
      <c r="A356" s="44" t="n"/>
      <c r="B356" s="44" t="n"/>
      <c r="C356" s="44" t="n"/>
      <c r="D356" s="44" t="n"/>
      <c r="E356" s="44" t="n"/>
      <c r="F356" s="44" t="n"/>
      <c r="G356" s="45" t="n"/>
      <c r="H356" s="45" t="n"/>
      <c r="I356" s="85" t="n"/>
      <c r="J356" s="44" t="n"/>
      <c r="K356" s="44" t="n"/>
      <c r="L356" s="44" t="n"/>
      <c r="M356" s="45" t="n"/>
      <c r="N356" s="44" t="n"/>
      <c r="O356" s="86" t="n"/>
      <c r="P356" s="44" t="n"/>
      <c r="Q356" s="45" t="n"/>
      <c r="R356" s="85" t="n"/>
      <c r="S356" s="85" t="n"/>
      <c r="T356" s="85" t="n"/>
      <c r="U356" s="85" t="n"/>
      <c r="V356" s="85" t="n"/>
      <c r="W356" s="86" t="n"/>
      <c r="X356" s="44" t="n"/>
      <c r="Y356" s="44" t="n"/>
      <c r="Z356" s="44" t="n"/>
      <c r="AA356" s="85" t="n"/>
      <c r="AB356" s="45" t="n"/>
      <c r="AC356" s="86" t="n"/>
      <c r="AD356" s="44" t="n"/>
      <c r="AE356" s="87" t="n"/>
      <c r="AF356" s="44" t="n"/>
      <c r="AG356" s="44" t="n"/>
      <c r="AH356" s="87" t="n"/>
      <c r="AI356" s="44" t="n"/>
      <c r="AJ356" s="45" t="n"/>
      <c r="AK356" s="45" t="n"/>
      <c r="AL356" s="45" t="n"/>
      <c r="AM356" s="44" t="n"/>
      <c r="AN356" s="45" t="n"/>
      <c r="AO356" s="44" t="n"/>
      <c r="AP356" s="44" t="n"/>
      <c r="AQ356" s="44" t="n"/>
      <c r="AR356" s="44" t="n"/>
      <c r="AS356" s="44" t="n"/>
    </row>
    <row r="357">
      <c r="A357" s="44" t="n"/>
      <c r="B357" s="44" t="n"/>
      <c r="C357" s="44" t="n"/>
      <c r="D357" s="44" t="n"/>
      <c r="E357" s="44" t="n"/>
      <c r="F357" s="44" t="n"/>
      <c r="G357" s="45" t="n"/>
      <c r="H357" s="45" t="n"/>
      <c r="I357" s="85" t="n"/>
      <c r="J357" s="44" t="n"/>
      <c r="K357" s="44" t="n"/>
      <c r="L357" s="44" t="n"/>
      <c r="M357" s="45" t="n"/>
      <c r="N357" s="44" t="n"/>
      <c r="O357" s="86" t="n"/>
      <c r="P357" s="44" t="n"/>
      <c r="Q357" s="45" t="n"/>
      <c r="R357" s="85" t="n"/>
      <c r="S357" s="85" t="n"/>
      <c r="T357" s="85" t="n"/>
      <c r="U357" s="85" t="n"/>
      <c r="V357" s="85" t="n"/>
      <c r="W357" s="86" t="n"/>
      <c r="X357" s="44" t="n"/>
      <c r="Y357" s="44" t="n"/>
      <c r="Z357" s="44" t="n"/>
      <c r="AA357" s="85" t="n"/>
      <c r="AB357" s="45" t="n"/>
      <c r="AC357" s="86" t="n"/>
      <c r="AD357" s="44" t="n"/>
      <c r="AE357" s="87" t="n"/>
      <c r="AF357" s="44" t="n"/>
      <c r="AG357" s="44" t="n"/>
      <c r="AH357" s="87" t="n"/>
      <c r="AI357" s="44" t="n"/>
      <c r="AJ357" s="45" t="n"/>
      <c r="AK357" s="45" t="n"/>
      <c r="AL357" s="45" t="n"/>
      <c r="AM357" s="44" t="n"/>
      <c r="AN357" s="45" t="n"/>
      <c r="AO357" s="44" t="n"/>
      <c r="AP357" s="44" t="n"/>
      <c r="AQ357" s="44" t="n"/>
      <c r="AR357" s="44" t="n"/>
      <c r="AS357" s="44" t="n"/>
    </row>
    <row r="358">
      <c r="A358" s="44" t="n"/>
      <c r="B358" s="44" t="n"/>
      <c r="C358" s="44" t="n"/>
      <c r="D358" s="44" t="n"/>
      <c r="E358" s="44" t="n"/>
      <c r="F358" s="44" t="n"/>
      <c r="G358" s="45" t="n"/>
      <c r="H358" s="45" t="n"/>
      <c r="I358" s="85" t="n"/>
      <c r="J358" s="44" t="n"/>
      <c r="K358" s="44" t="n"/>
      <c r="L358" s="44" t="n"/>
      <c r="M358" s="45" t="n"/>
      <c r="N358" s="44" t="n"/>
      <c r="O358" s="86" t="n"/>
      <c r="P358" s="44" t="n"/>
      <c r="Q358" s="45" t="n"/>
      <c r="R358" s="85" t="n"/>
      <c r="S358" s="85" t="n"/>
      <c r="T358" s="85" t="n"/>
      <c r="U358" s="85" t="n"/>
      <c r="V358" s="85" t="n"/>
      <c r="W358" s="86" t="n"/>
      <c r="X358" s="44" t="n"/>
      <c r="Y358" s="44" t="n"/>
      <c r="Z358" s="44" t="n"/>
      <c r="AA358" s="85" t="n"/>
      <c r="AB358" s="45" t="n"/>
      <c r="AC358" s="86" t="n"/>
      <c r="AD358" s="44" t="n"/>
      <c r="AE358" s="87" t="n"/>
      <c r="AF358" s="44" t="n"/>
      <c r="AG358" s="44" t="n"/>
      <c r="AH358" s="87" t="n"/>
      <c r="AI358" s="44" t="n"/>
      <c r="AJ358" s="45" t="n"/>
      <c r="AK358" s="45" t="n"/>
      <c r="AL358" s="45" t="n"/>
      <c r="AM358" s="44" t="n"/>
      <c r="AN358" s="45" t="n"/>
      <c r="AO358" s="44" t="n"/>
      <c r="AP358" s="44" t="n"/>
      <c r="AQ358" s="44" t="n"/>
      <c r="AR358" s="44" t="n"/>
      <c r="AS358" s="44" t="n"/>
    </row>
    <row r="359">
      <c r="A359" s="44" t="n"/>
      <c r="B359" s="44" t="n"/>
      <c r="C359" s="44" t="n"/>
      <c r="D359" s="44" t="n"/>
      <c r="E359" s="44" t="n"/>
      <c r="F359" s="44" t="n"/>
      <c r="G359" s="45" t="n"/>
      <c r="H359" s="45" t="n"/>
      <c r="I359" s="85" t="n"/>
      <c r="J359" s="44" t="n"/>
      <c r="K359" s="44" t="n"/>
      <c r="L359" s="44" t="n"/>
      <c r="M359" s="45" t="n"/>
      <c r="N359" s="44" t="n"/>
      <c r="O359" s="86" t="n"/>
      <c r="P359" s="44" t="n"/>
      <c r="Q359" s="45" t="n"/>
      <c r="R359" s="85" t="n"/>
      <c r="S359" s="85" t="n"/>
      <c r="T359" s="85" t="n"/>
      <c r="U359" s="85" t="n"/>
      <c r="V359" s="85" t="n"/>
      <c r="W359" s="86" t="n"/>
      <c r="X359" s="44" t="n"/>
      <c r="Y359" s="44" t="n"/>
      <c r="Z359" s="44" t="n"/>
      <c r="AA359" s="85" t="n"/>
      <c r="AB359" s="45" t="n"/>
      <c r="AC359" s="86" t="n"/>
      <c r="AD359" s="44" t="n"/>
      <c r="AE359" s="87" t="n"/>
      <c r="AF359" s="44" t="n"/>
      <c r="AG359" s="44" t="n"/>
      <c r="AH359" s="87" t="n"/>
      <c r="AI359" s="44" t="n"/>
      <c r="AJ359" s="45" t="n"/>
      <c r="AK359" s="45" t="n"/>
      <c r="AL359" s="45" t="n"/>
      <c r="AM359" s="44" t="n"/>
      <c r="AN359" s="45" t="n"/>
      <c r="AO359" s="44" t="n"/>
      <c r="AP359" s="44" t="n"/>
      <c r="AQ359" s="44" t="n"/>
      <c r="AR359" s="44" t="n"/>
      <c r="AS359" s="44" t="n"/>
    </row>
    <row r="360">
      <c r="A360" s="44" t="n"/>
      <c r="B360" s="44" t="n"/>
      <c r="C360" s="44" t="n"/>
      <c r="D360" s="44" t="n"/>
      <c r="E360" s="44" t="n"/>
      <c r="F360" s="44" t="n"/>
      <c r="G360" s="45" t="n"/>
      <c r="H360" s="45" t="n"/>
      <c r="I360" s="85" t="n"/>
      <c r="J360" s="44" t="n"/>
      <c r="K360" s="44" t="n"/>
      <c r="L360" s="44" t="n"/>
      <c r="M360" s="45" t="n"/>
      <c r="N360" s="44" t="n"/>
      <c r="O360" s="86" t="n"/>
      <c r="P360" s="44" t="n"/>
      <c r="Q360" s="45" t="n"/>
      <c r="R360" s="85" t="n"/>
      <c r="S360" s="85" t="n"/>
      <c r="T360" s="85" t="n"/>
      <c r="U360" s="85" t="n"/>
      <c r="V360" s="85" t="n"/>
      <c r="W360" s="86" t="n"/>
      <c r="X360" s="44" t="n"/>
      <c r="Y360" s="44" t="n"/>
      <c r="Z360" s="44" t="n"/>
      <c r="AA360" s="85" t="n"/>
      <c r="AB360" s="45" t="n"/>
      <c r="AC360" s="86" t="n"/>
      <c r="AD360" s="44" t="n"/>
      <c r="AE360" s="87" t="n"/>
      <c r="AF360" s="44" t="n"/>
      <c r="AG360" s="44" t="n"/>
      <c r="AH360" s="87" t="n"/>
      <c r="AI360" s="44" t="n"/>
      <c r="AJ360" s="45" t="n"/>
      <c r="AK360" s="45" t="n"/>
      <c r="AL360" s="45" t="n"/>
      <c r="AM360" s="44" t="n"/>
      <c r="AN360" s="45" t="n"/>
      <c r="AO360" s="44" t="n"/>
      <c r="AP360" s="44" t="n"/>
      <c r="AQ360" s="44" t="n"/>
      <c r="AR360" s="44" t="n"/>
      <c r="AS360" s="44" t="n"/>
    </row>
    <row r="361">
      <c r="A361" s="44" t="n"/>
      <c r="B361" s="44" t="n"/>
      <c r="C361" s="44" t="n"/>
      <c r="D361" s="44" t="n"/>
      <c r="E361" s="44" t="n"/>
      <c r="F361" s="44" t="n"/>
      <c r="G361" s="45" t="n"/>
      <c r="H361" s="45" t="n"/>
      <c r="I361" s="85" t="n"/>
      <c r="J361" s="44" t="n"/>
      <c r="K361" s="44" t="n"/>
      <c r="L361" s="44" t="n"/>
      <c r="M361" s="45" t="n"/>
      <c r="N361" s="44" t="n"/>
      <c r="O361" s="86" t="n"/>
      <c r="P361" s="44" t="n"/>
      <c r="Q361" s="45" t="n"/>
      <c r="R361" s="85" t="n"/>
      <c r="S361" s="85" t="n"/>
      <c r="T361" s="85" t="n"/>
      <c r="U361" s="85" t="n"/>
      <c r="V361" s="85" t="n"/>
      <c r="W361" s="86" t="n"/>
      <c r="X361" s="44" t="n"/>
      <c r="Y361" s="44" t="n"/>
      <c r="Z361" s="44" t="n"/>
      <c r="AA361" s="85" t="n"/>
      <c r="AB361" s="45" t="n"/>
      <c r="AC361" s="86" t="n"/>
      <c r="AD361" s="44" t="n"/>
      <c r="AE361" s="87" t="n"/>
      <c r="AF361" s="44" t="n"/>
      <c r="AG361" s="44" t="n"/>
      <c r="AH361" s="87" t="n"/>
      <c r="AI361" s="44" t="n"/>
      <c r="AJ361" s="45" t="n"/>
      <c r="AK361" s="45" t="n"/>
      <c r="AL361" s="45" t="n"/>
      <c r="AM361" s="44" t="n"/>
      <c r="AN361" s="45" t="n"/>
      <c r="AO361" s="44" t="n"/>
      <c r="AP361" s="44" t="n"/>
      <c r="AQ361" s="44" t="n"/>
      <c r="AR361" s="44" t="n"/>
      <c r="AS361" s="44" t="n"/>
    </row>
    <row r="362">
      <c r="A362" s="44" t="n"/>
      <c r="B362" s="44" t="n"/>
      <c r="C362" s="44" t="n"/>
      <c r="D362" s="44" t="n"/>
      <c r="E362" s="44" t="n"/>
      <c r="F362" s="44" t="n"/>
      <c r="G362" s="45" t="n"/>
      <c r="H362" s="45" t="n"/>
      <c r="I362" s="85" t="n"/>
      <c r="J362" s="44" t="n"/>
      <c r="K362" s="44" t="n"/>
      <c r="L362" s="44" t="n"/>
      <c r="M362" s="45" t="n"/>
      <c r="N362" s="44" t="n"/>
      <c r="O362" s="86" t="n"/>
      <c r="P362" s="44" t="n"/>
      <c r="Q362" s="45" t="n"/>
      <c r="R362" s="85" t="n"/>
      <c r="S362" s="85" t="n"/>
      <c r="T362" s="85" t="n"/>
      <c r="U362" s="85" t="n"/>
      <c r="V362" s="85" t="n"/>
      <c r="W362" s="86" t="n"/>
      <c r="X362" s="44" t="n"/>
      <c r="Y362" s="44" t="n"/>
      <c r="Z362" s="44" t="n"/>
      <c r="AA362" s="85" t="n"/>
      <c r="AB362" s="45" t="n"/>
      <c r="AC362" s="86" t="n"/>
      <c r="AD362" s="44" t="n"/>
      <c r="AE362" s="87" t="n"/>
      <c r="AF362" s="44" t="n"/>
      <c r="AG362" s="44" t="n"/>
      <c r="AH362" s="87" t="n"/>
      <c r="AI362" s="44" t="n"/>
      <c r="AJ362" s="45" t="n"/>
      <c r="AK362" s="45" t="n"/>
      <c r="AL362" s="45" t="n"/>
      <c r="AM362" s="44" t="n"/>
      <c r="AN362" s="45" t="n"/>
      <c r="AO362" s="44" t="n"/>
      <c r="AP362" s="44" t="n"/>
      <c r="AQ362" s="44" t="n"/>
      <c r="AR362" s="44" t="n"/>
      <c r="AS362" s="44" t="n"/>
    </row>
    <row r="363">
      <c r="A363" s="44" t="n"/>
      <c r="B363" s="44" t="n"/>
      <c r="C363" s="44" t="n"/>
      <c r="D363" s="44" t="n"/>
      <c r="E363" s="44" t="n"/>
      <c r="F363" s="44" t="n"/>
      <c r="G363" s="45" t="n"/>
      <c r="H363" s="45" t="n"/>
      <c r="I363" s="85" t="n"/>
      <c r="J363" s="44" t="n"/>
      <c r="K363" s="44" t="n"/>
      <c r="L363" s="44" t="n"/>
      <c r="M363" s="45" t="n"/>
      <c r="N363" s="44" t="n"/>
      <c r="O363" s="86" t="n"/>
      <c r="P363" s="44" t="n"/>
      <c r="Q363" s="45" t="n"/>
      <c r="R363" s="85" t="n"/>
      <c r="S363" s="85" t="n"/>
      <c r="T363" s="85" t="n"/>
      <c r="U363" s="85" t="n"/>
      <c r="V363" s="85" t="n"/>
      <c r="W363" s="86" t="n"/>
      <c r="X363" s="44" t="n"/>
      <c r="Y363" s="44" t="n"/>
      <c r="Z363" s="44" t="n"/>
      <c r="AA363" s="85" t="n"/>
      <c r="AB363" s="45" t="n"/>
      <c r="AC363" s="86" t="n"/>
      <c r="AD363" s="44" t="n"/>
      <c r="AE363" s="87" t="n"/>
      <c r="AF363" s="44" t="n"/>
      <c r="AG363" s="44" t="n"/>
      <c r="AH363" s="87" t="n"/>
      <c r="AI363" s="44" t="n"/>
      <c r="AJ363" s="45" t="n"/>
      <c r="AK363" s="45" t="n"/>
      <c r="AL363" s="45" t="n"/>
      <c r="AM363" s="44" t="n"/>
      <c r="AN363" s="45" t="n"/>
      <c r="AO363" s="44" t="n"/>
      <c r="AP363" s="44" t="n"/>
      <c r="AQ363" s="44" t="n"/>
      <c r="AR363" s="44" t="n"/>
      <c r="AS363" s="44" t="n"/>
    </row>
    <row r="364">
      <c r="A364" s="44" t="n"/>
      <c r="B364" s="44" t="n"/>
      <c r="C364" s="44" t="n"/>
      <c r="D364" s="44" t="n"/>
      <c r="E364" s="44" t="n"/>
      <c r="F364" s="44" t="n"/>
      <c r="G364" s="45" t="n"/>
      <c r="H364" s="45" t="n"/>
      <c r="I364" s="85" t="n"/>
      <c r="J364" s="44" t="n"/>
      <c r="K364" s="44" t="n"/>
      <c r="L364" s="44" t="n"/>
      <c r="M364" s="45" t="n"/>
      <c r="N364" s="44" t="n"/>
      <c r="O364" s="86" t="n"/>
      <c r="P364" s="44" t="n"/>
      <c r="Q364" s="45" t="n"/>
      <c r="R364" s="85" t="n"/>
      <c r="S364" s="85" t="n"/>
      <c r="T364" s="85" t="n"/>
      <c r="U364" s="85" t="n"/>
      <c r="V364" s="85" t="n"/>
      <c r="W364" s="86" t="n"/>
      <c r="X364" s="44" t="n"/>
      <c r="Y364" s="44" t="n"/>
      <c r="Z364" s="44" t="n"/>
      <c r="AA364" s="85" t="n"/>
      <c r="AB364" s="45" t="n"/>
      <c r="AC364" s="86" t="n"/>
      <c r="AD364" s="44" t="n"/>
      <c r="AE364" s="87" t="n"/>
      <c r="AF364" s="44" t="n"/>
      <c r="AG364" s="44" t="n"/>
      <c r="AH364" s="87" t="n"/>
      <c r="AI364" s="44" t="n"/>
      <c r="AJ364" s="45" t="n"/>
      <c r="AK364" s="45" t="n"/>
      <c r="AL364" s="45" t="n"/>
      <c r="AM364" s="44" t="n"/>
      <c r="AN364" s="45" t="n"/>
      <c r="AO364" s="44" t="n"/>
      <c r="AP364" s="44" t="n"/>
      <c r="AQ364" s="44" t="n"/>
      <c r="AR364" s="44" t="n"/>
      <c r="AS364" s="44" t="n"/>
    </row>
    <row r="365">
      <c r="A365" s="44" t="n"/>
      <c r="B365" s="44" t="n"/>
      <c r="C365" s="44" t="n"/>
      <c r="D365" s="44" t="n"/>
      <c r="E365" s="44" t="n"/>
      <c r="F365" s="44" t="n"/>
      <c r="G365" s="45" t="n"/>
      <c r="H365" s="45" t="n"/>
      <c r="I365" s="85" t="n"/>
      <c r="J365" s="44" t="n"/>
      <c r="K365" s="44" t="n"/>
      <c r="L365" s="44" t="n"/>
      <c r="M365" s="45" t="n"/>
      <c r="N365" s="44" t="n"/>
      <c r="O365" s="86" t="n"/>
      <c r="P365" s="44" t="n"/>
      <c r="Q365" s="45" t="n"/>
      <c r="R365" s="85" t="n"/>
      <c r="S365" s="85" t="n"/>
      <c r="T365" s="85" t="n"/>
      <c r="U365" s="85" t="n"/>
      <c r="V365" s="85" t="n"/>
      <c r="W365" s="86" t="n"/>
      <c r="X365" s="44" t="n"/>
      <c r="Y365" s="44" t="n"/>
      <c r="Z365" s="44" t="n"/>
      <c r="AA365" s="85" t="n"/>
      <c r="AB365" s="45" t="n"/>
      <c r="AC365" s="86" t="n"/>
      <c r="AD365" s="44" t="n"/>
      <c r="AE365" s="87" t="n"/>
      <c r="AF365" s="44" t="n"/>
      <c r="AG365" s="44" t="n"/>
      <c r="AH365" s="87" t="n"/>
      <c r="AI365" s="44" t="n"/>
      <c r="AJ365" s="45" t="n"/>
      <c r="AK365" s="45" t="n"/>
      <c r="AL365" s="45" t="n"/>
      <c r="AM365" s="44" t="n"/>
      <c r="AN365" s="45" t="n"/>
      <c r="AO365" s="44" t="n"/>
      <c r="AP365" s="44" t="n"/>
      <c r="AQ365" s="44" t="n"/>
      <c r="AR365" s="44" t="n"/>
      <c r="AS365" s="44" t="n"/>
    </row>
    <row r="366">
      <c r="A366" s="44" t="n"/>
      <c r="B366" s="44" t="n"/>
      <c r="C366" s="44" t="n"/>
      <c r="D366" s="44" t="n"/>
      <c r="E366" s="44" t="n"/>
      <c r="F366" s="44" t="n"/>
      <c r="G366" s="45" t="n"/>
      <c r="H366" s="45" t="n"/>
      <c r="I366" s="85" t="n"/>
      <c r="J366" s="44" t="n"/>
      <c r="K366" s="44" t="n"/>
      <c r="L366" s="44" t="n"/>
      <c r="M366" s="45" t="n"/>
      <c r="N366" s="44" t="n"/>
      <c r="O366" s="86" t="n"/>
      <c r="P366" s="44" t="n"/>
      <c r="Q366" s="45" t="n"/>
      <c r="R366" s="85" t="n"/>
      <c r="S366" s="85" t="n"/>
      <c r="T366" s="85" t="n"/>
      <c r="U366" s="85" t="n"/>
      <c r="V366" s="85" t="n"/>
      <c r="W366" s="86" t="n"/>
      <c r="X366" s="44" t="n"/>
      <c r="Y366" s="44" t="n"/>
      <c r="Z366" s="44" t="n"/>
      <c r="AA366" s="85" t="n"/>
      <c r="AB366" s="45" t="n"/>
      <c r="AC366" s="86" t="n"/>
      <c r="AD366" s="44" t="n"/>
      <c r="AE366" s="87" t="n"/>
      <c r="AF366" s="44" t="n"/>
      <c r="AG366" s="44" t="n"/>
      <c r="AH366" s="87" t="n"/>
      <c r="AI366" s="44" t="n"/>
      <c r="AJ366" s="45" t="n"/>
      <c r="AK366" s="45" t="n"/>
      <c r="AL366" s="45" t="n"/>
      <c r="AM366" s="44" t="n"/>
      <c r="AN366" s="45" t="n"/>
      <c r="AO366" s="44" t="n"/>
      <c r="AP366" s="44" t="n"/>
      <c r="AQ366" s="44" t="n"/>
      <c r="AR366" s="44" t="n"/>
      <c r="AS366" s="44" t="n"/>
    </row>
    <row r="367">
      <c r="A367" s="44" t="n"/>
      <c r="B367" s="44" t="n"/>
      <c r="C367" s="44" t="n"/>
      <c r="D367" s="44" t="n"/>
      <c r="E367" s="44" t="n"/>
      <c r="F367" s="44" t="n"/>
      <c r="G367" s="45" t="n"/>
      <c r="H367" s="45" t="n"/>
      <c r="I367" s="85" t="n"/>
      <c r="J367" s="44" t="n"/>
      <c r="K367" s="44" t="n"/>
      <c r="L367" s="44" t="n"/>
      <c r="M367" s="45" t="n"/>
      <c r="N367" s="44" t="n"/>
      <c r="O367" s="86" t="n"/>
      <c r="P367" s="44" t="n"/>
      <c r="Q367" s="45" t="n"/>
      <c r="R367" s="85" t="n"/>
      <c r="S367" s="85" t="n"/>
      <c r="T367" s="85" t="n"/>
      <c r="U367" s="85" t="n"/>
      <c r="V367" s="85" t="n"/>
      <c r="W367" s="86" t="n"/>
      <c r="X367" s="44" t="n"/>
      <c r="Y367" s="44" t="n"/>
      <c r="Z367" s="44" t="n"/>
      <c r="AA367" s="85" t="n"/>
      <c r="AB367" s="45" t="n"/>
      <c r="AC367" s="86" t="n"/>
      <c r="AD367" s="44" t="n"/>
      <c r="AE367" s="87" t="n"/>
      <c r="AF367" s="44" t="n"/>
      <c r="AG367" s="44" t="n"/>
      <c r="AH367" s="87" t="n"/>
      <c r="AI367" s="44" t="n"/>
      <c r="AJ367" s="45" t="n"/>
      <c r="AK367" s="45" t="n"/>
      <c r="AL367" s="45" t="n"/>
      <c r="AM367" s="44" t="n"/>
      <c r="AN367" s="45" t="n"/>
      <c r="AO367" s="44" t="n"/>
      <c r="AP367" s="44" t="n"/>
      <c r="AQ367" s="44" t="n"/>
      <c r="AR367" s="44" t="n"/>
      <c r="AS367" s="44" t="n"/>
    </row>
    <row r="368">
      <c r="A368" s="44" t="n"/>
      <c r="B368" s="44" t="n"/>
      <c r="C368" s="44" t="n"/>
      <c r="D368" s="44" t="n"/>
      <c r="E368" s="44" t="n"/>
      <c r="F368" s="44" t="n"/>
      <c r="G368" s="45" t="n"/>
      <c r="H368" s="45" t="n"/>
      <c r="I368" s="85" t="n"/>
      <c r="J368" s="44" t="n"/>
      <c r="K368" s="44" t="n"/>
      <c r="L368" s="44" t="n"/>
      <c r="M368" s="45" t="n"/>
      <c r="N368" s="44" t="n"/>
      <c r="O368" s="86" t="n"/>
      <c r="P368" s="44" t="n"/>
      <c r="Q368" s="45" t="n"/>
      <c r="R368" s="85" t="n"/>
      <c r="S368" s="85" t="n"/>
      <c r="T368" s="85" t="n"/>
      <c r="U368" s="85" t="n"/>
      <c r="V368" s="85" t="n"/>
      <c r="W368" s="86" t="n"/>
      <c r="X368" s="44" t="n"/>
      <c r="Y368" s="44" t="n"/>
      <c r="Z368" s="44" t="n"/>
      <c r="AA368" s="85" t="n"/>
      <c r="AB368" s="45" t="n"/>
      <c r="AC368" s="86" t="n"/>
      <c r="AD368" s="44" t="n"/>
      <c r="AE368" s="87" t="n"/>
      <c r="AF368" s="44" t="n"/>
      <c r="AG368" s="44" t="n"/>
      <c r="AH368" s="87" t="n"/>
      <c r="AI368" s="44" t="n"/>
      <c r="AJ368" s="45" t="n"/>
      <c r="AK368" s="45" t="n"/>
      <c r="AL368" s="45" t="n"/>
      <c r="AM368" s="44" t="n"/>
      <c r="AN368" s="45" t="n"/>
      <c r="AO368" s="44" t="n"/>
      <c r="AP368" s="44" t="n"/>
      <c r="AQ368" s="44" t="n"/>
      <c r="AR368" s="44" t="n"/>
      <c r="AS368" s="44" t="n"/>
    </row>
    <row r="369">
      <c r="A369" s="44" t="n"/>
      <c r="B369" s="44" t="n"/>
      <c r="C369" s="44" t="n"/>
      <c r="D369" s="44" t="n"/>
      <c r="E369" s="44" t="n"/>
      <c r="F369" s="44" t="n"/>
      <c r="G369" s="45" t="n"/>
      <c r="H369" s="45" t="n"/>
      <c r="I369" s="85" t="n"/>
      <c r="J369" s="44" t="n"/>
      <c r="K369" s="44" t="n"/>
      <c r="L369" s="44" t="n"/>
      <c r="M369" s="45" t="n"/>
      <c r="N369" s="44" t="n"/>
      <c r="O369" s="86" t="n"/>
      <c r="P369" s="44" t="n"/>
      <c r="Q369" s="45" t="n"/>
      <c r="R369" s="85" t="n"/>
      <c r="S369" s="85" t="n"/>
      <c r="T369" s="85" t="n"/>
      <c r="U369" s="85" t="n"/>
      <c r="V369" s="85" t="n"/>
      <c r="W369" s="86" t="n"/>
      <c r="X369" s="44" t="n"/>
      <c r="Y369" s="44" t="n"/>
      <c r="Z369" s="44" t="n"/>
      <c r="AA369" s="85" t="n"/>
      <c r="AB369" s="45" t="n"/>
      <c r="AC369" s="86" t="n"/>
      <c r="AD369" s="44" t="n"/>
      <c r="AE369" s="87" t="n"/>
      <c r="AF369" s="44" t="n"/>
      <c r="AG369" s="44" t="n"/>
      <c r="AH369" s="87" t="n"/>
      <c r="AI369" s="44" t="n"/>
      <c r="AJ369" s="45" t="n"/>
      <c r="AK369" s="45" t="n"/>
      <c r="AL369" s="45" t="n"/>
      <c r="AM369" s="44" t="n"/>
      <c r="AN369" s="45" t="n"/>
      <c r="AO369" s="44" t="n"/>
      <c r="AP369" s="44" t="n"/>
      <c r="AQ369" s="44" t="n"/>
      <c r="AR369" s="44" t="n"/>
      <c r="AS369" s="44" t="n"/>
    </row>
    <row r="370">
      <c r="A370" s="44" t="n"/>
      <c r="B370" s="44" t="n"/>
      <c r="C370" s="44" t="n"/>
      <c r="D370" s="44" t="n"/>
      <c r="E370" s="44" t="n"/>
      <c r="F370" s="44" t="n"/>
      <c r="G370" s="45" t="n"/>
      <c r="H370" s="45" t="n"/>
      <c r="I370" s="85" t="n"/>
      <c r="J370" s="44" t="n"/>
      <c r="K370" s="44" t="n"/>
      <c r="L370" s="44" t="n"/>
      <c r="M370" s="45" t="n"/>
      <c r="N370" s="44" t="n"/>
      <c r="O370" s="86" t="n"/>
      <c r="P370" s="44" t="n"/>
      <c r="Q370" s="45" t="n"/>
      <c r="R370" s="85" t="n"/>
      <c r="S370" s="85" t="n"/>
      <c r="T370" s="85" t="n"/>
      <c r="U370" s="85" t="n"/>
      <c r="V370" s="85" t="n"/>
      <c r="W370" s="86" t="n"/>
      <c r="X370" s="44" t="n"/>
      <c r="Y370" s="44" t="n"/>
      <c r="Z370" s="44" t="n"/>
      <c r="AA370" s="85" t="n"/>
      <c r="AB370" s="45" t="n"/>
      <c r="AC370" s="86" t="n"/>
      <c r="AD370" s="44" t="n"/>
      <c r="AE370" s="87" t="n"/>
      <c r="AF370" s="44" t="n"/>
      <c r="AG370" s="44" t="n"/>
      <c r="AH370" s="87" t="n"/>
      <c r="AI370" s="44" t="n"/>
      <c r="AJ370" s="45" t="n"/>
      <c r="AK370" s="45" t="n"/>
      <c r="AL370" s="45" t="n"/>
      <c r="AM370" s="44" t="n"/>
      <c r="AN370" s="45" t="n"/>
      <c r="AO370" s="44" t="n"/>
      <c r="AP370" s="44" t="n"/>
      <c r="AQ370" s="44" t="n"/>
      <c r="AR370" s="44" t="n"/>
      <c r="AS370" s="44" t="n"/>
    </row>
    <row r="371">
      <c r="A371" s="44" t="n"/>
      <c r="B371" s="44" t="n"/>
      <c r="C371" s="44" t="n"/>
      <c r="D371" s="44" t="n"/>
      <c r="E371" s="44" t="n"/>
      <c r="F371" s="44" t="n"/>
      <c r="G371" s="45" t="n"/>
      <c r="H371" s="45" t="n"/>
      <c r="I371" s="85" t="n"/>
      <c r="J371" s="44" t="n"/>
      <c r="K371" s="44" t="n"/>
      <c r="L371" s="44" t="n"/>
      <c r="M371" s="45" t="n"/>
      <c r="N371" s="44" t="n"/>
      <c r="O371" s="86" t="n"/>
      <c r="P371" s="44" t="n"/>
      <c r="Q371" s="45" t="n"/>
      <c r="R371" s="85" t="n"/>
      <c r="S371" s="85" t="n"/>
      <c r="T371" s="85" t="n"/>
      <c r="U371" s="85" t="n"/>
      <c r="V371" s="85" t="n"/>
      <c r="W371" s="86" t="n"/>
      <c r="X371" s="44" t="n"/>
      <c r="Y371" s="44" t="n"/>
      <c r="Z371" s="44" t="n"/>
      <c r="AA371" s="85" t="n"/>
      <c r="AB371" s="45" t="n"/>
      <c r="AC371" s="86" t="n"/>
      <c r="AD371" s="44" t="n"/>
      <c r="AE371" s="87" t="n"/>
      <c r="AF371" s="44" t="n"/>
      <c r="AG371" s="44" t="n"/>
      <c r="AH371" s="87" t="n"/>
      <c r="AI371" s="44" t="n"/>
      <c r="AJ371" s="45" t="n"/>
      <c r="AK371" s="45" t="n"/>
      <c r="AL371" s="45" t="n"/>
      <c r="AM371" s="44" t="n"/>
      <c r="AN371" s="45" t="n"/>
      <c r="AO371" s="44" t="n"/>
      <c r="AP371" s="44" t="n"/>
      <c r="AQ371" s="44" t="n"/>
      <c r="AR371" s="44" t="n"/>
      <c r="AS371" s="44" t="n"/>
    </row>
    <row r="372">
      <c r="A372" s="44" t="n"/>
      <c r="B372" s="44" t="n"/>
      <c r="C372" s="44" t="n"/>
      <c r="D372" s="44" t="n"/>
      <c r="E372" s="44" t="n"/>
      <c r="F372" s="44" t="n"/>
      <c r="G372" s="45" t="n"/>
      <c r="H372" s="45" t="n"/>
      <c r="I372" s="85" t="n"/>
      <c r="J372" s="44" t="n"/>
      <c r="K372" s="44" t="n"/>
      <c r="L372" s="44" t="n"/>
      <c r="M372" s="45" t="n"/>
      <c r="N372" s="44" t="n"/>
      <c r="O372" s="86" t="n"/>
      <c r="P372" s="44" t="n"/>
      <c r="Q372" s="45" t="n"/>
      <c r="R372" s="85" t="n"/>
      <c r="S372" s="85" t="n"/>
      <c r="T372" s="85" t="n"/>
      <c r="U372" s="85" t="n"/>
      <c r="V372" s="85" t="n"/>
      <c r="W372" s="86" t="n"/>
      <c r="X372" s="44" t="n"/>
      <c r="Y372" s="44" t="n"/>
      <c r="Z372" s="44" t="n"/>
      <c r="AA372" s="85" t="n"/>
      <c r="AB372" s="45" t="n"/>
      <c r="AC372" s="86" t="n"/>
      <c r="AD372" s="44" t="n"/>
      <c r="AE372" s="87" t="n"/>
      <c r="AF372" s="44" t="n"/>
      <c r="AG372" s="44" t="n"/>
      <c r="AH372" s="87" t="n"/>
      <c r="AI372" s="44" t="n"/>
      <c r="AJ372" s="45" t="n"/>
      <c r="AK372" s="45" t="n"/>
      <c r="AL372" s="45" t="n"/>
      <c r="AM372" s="44" t="n"/>
      <c r="AN372" s="45" t="n"/>
      <c r="AO372" s="44" t="n"/>
      <c r="AP372" s="44" t="n"/>
      <c r="AQ372" s="44" t="n"/>
      <c r="AR372" s="44" t="n"/>
      <c r="AS372" s="44" t="n"/>
    </row>
    <row r="373">
      <c r="A373" s="44" t="n"/>
      <c r="B373" s="44" t="n"/>
      <c r="C373" s="44" t="n"/>
      <c r="D373" s="44" t="n"/>
      <c r="E373" s="44" t="n"/>
      <c r="F373" s="44" t="n"/>
      <c r="G373" s="45" t="n"/>
      <c r="H373" s="45" t="n"/>
      <c r="I373" s="85" t="n"/>
      <c r="J373" s="44" t="n"/>
      <c r="K373" s="44" t="n"/>
      <c r="L373" s="44" t="n"/>
      <c r="M373" s="45" t="n"/>
      <c r="N373" s="44" t="n"/>
      <c r="O373" s="86" t="n"/>
      <c r="P373" s="44" t="n"/>
      <c r="Q373" s="45" t="n"/>
      <c r="R373" s="85" t="n"/>
      <c r="S373" s="85" t="n"/>
      <c r="T373" s="85" t="n"/>
      <c r="U373" s="85" t="n"/>
      <c r="V373" s="85" t="n"/>
      <c r="W373" s="86" t="n"/>
      <c r="X373" s="44" t="n"/>
      <c r="Y373" s="44" t="n"/>
      <c r="Z373" s="44" t="n"/>
      <c r="AA373" s="85" t="n"/>
      <c r="AB373" s="45" t="n"/>
      <c r="AC373" s="86" t="n"/>
      <c r="AD373" s="44" t="n"/>
      <c r="AE373" s="87" t="n"/>
      <c r="AF373" s="44" t="n"/>
      <c r="AG373" s="44" t="n"/>
      <c r="AH373" s="87" t="n"/>
      <c r="AI373" s="44" t="n"/>
      <c r="AJ373" s="45" t="n"/>
      <c r="AK373" s="45" t="n"/>
      <c r="AL373" s="45" t="n"/>
      <c r="AM373" s="44" t="n"/>
      <c r="AN373" s="45" t="n"/>
      <c r="AO373" s="44" t="n"/>
      <c r="AP373" s="44" t="n"/>
      <c r="AQ373" s="44" t="n"/>
      <c r="AR373" s="44" t="n"/>
      <c r="AS373" s="44" t="n"/>
    </row>
    <row r="374">
      <c r="A374" s="44" t="n"/>
      <c r="B374" s="44" t="n"/>
      <c r="C374" s="44" t="n"/>
      <c r="D374" s="44" t="n"/>
      <c r="E374" s="44" t="n"/>
      <c r="F374" s="44" t="n"/>
      <c r="G374" s="45" t="n"/>
      <c r="H374" s="45" t="n"/>
      <c r="I374" s="85" t="n"/>
      <c r="J374" s="44" t="n"/>
      <c r="K374" s="44" t="n"/>
      <c r="L374" s="44" t="n"/>
      <c r="M374" s="45" t="n"/>
      <c r="N374" s="44" t="n"/>
      <c r="O374" s="86" t="n"/>
      <c r="P374" s="44" t="n"/>
      <c r="Q374" s="45" t="n"/>
      <c r="R374" s="85" t="n"/>
      <c r="S374" s="85" t="n"/>
      <c r="T374" s="85" t="n"/>
      <c r="U374" s="85" t="n"/>
      <c r="V374" s="85" t="n"/>
      <c r="W374" s="86" t="n"/>
      <c r="X374" s="44" t="n"/>
      <c r="Y374" s="44" t="n"/>
      <c r="Z374" s="44" t="n"/>
      <c r="AA374" s="85" t="n"/>
      <c r="AB374" s="45" t="n"/>
      <c r="AC374" s="86" t="n"/>
      <c r="AD374" s="44" t="n"/>
      <c r="AE374" s="87" t="n"/>
      <c r="AF374" s="44" t="n"/>
      <c r="AG374" s="44" t="n"/>
      <c r="AH374" s="87" t="n"/>
      <c r="AI374" s="44" t="n"/>
      <c r="AJ374" s="45" t="n"/>
      <c r="AK374" s="45" t="n"/>
      <c r="AL374" s="45" t="n"/>
      <c r="AM374" s="44" t="n"/>
      <c r="AN374" s="45" t="n"/>
      <c r="AO374" s="44" t="n"/>
      <c r="AP374" s="44" t="n"/>
      <c r="AQ374" s="44" t="n"/>
      <c r="AR374" s="44" t="n"/>
      <c r="AS374" s="44" t="n"/>
    </row>
    <row r="375">
      <c r="A375" s="44" t="n"/>
      <c r="B375" s="44" t="n"/>
      <c r="C375" s="44" t="n"/>
      <c r="D375" s="44" t="n"/>
      <c r="E375" s="44" t="n"/>
      <c r="F375" s="44" t="n"/>
      <c r="G375" s="45" t="n"/>
      <c r="H375" s="45" t="n"/>
      <c r="I375" s="85" t="n"/>
      <c r="J375" s="44" t="n"/>
      <c r="K375" s="44" t="n"/>
      <c r="L375" s="44" t="n"/>
      <c r="M375" s="45" t="n"/>
      <c r="N375" s="44" t="n"/>
      <c r="O375" s="86" t="n"/>
      <c r="P375" s="44" t="n"/>
      <c r="Q375" s="45" t="n"/>
      <c r="R375" s="85" t="n"/>
      <c r="S375" s="85" t="n"/>
      <c r="T375" s="85" t="n"/>
      <c r="U375" s="85" t="n"/>
      <c r="V375" s="85" t="n"/>
      <c r="W375" s="86" t="n"/>
      <c r="X375" s="44" t="n"/>
      <c r="Y375" s="44" t="n"/>
      <c r="Z375" s="44" t="n"/>
      <c r="AA375" s="85" t="n"/>
      <c r="AB375" s="45" t="n"/>
      <c r="AC375" s="86" t="n"/>
      <c r="AD375" s="44" t="n"/>
      <c r="AE375" s="87" t="n"/>
      <c r="AF375" s="44" t="n"/>
      <c r="AG375" s="44" t="n"/>
      <c r="AH375" s="87" t="n"/>
      <c r="AI375" s="44" t="n"/>
      <c r="AJ375" s="45" t="n"/>
      <c r="AK375" s="45" t="n"/>
      <c r="AL375" s="45" t="n"/>
      <c r="AM375" s="44" t="n"/>
      <c r="AN375" s="45" t="n"/>
      <c r="AO375" s="44" t="n"/>
      <c r="AP375" s="44" t="n"/>
      <c r="AQ375" s="44" t="n"/>
      <c r="AR375" s="44" t="n"/>
      <c r="AS375" s="44" t="n"/>
    </row>
    <row r="376">
      <c r="A376" s="44" t="n"/>
      <c r="B376" s="44" t="n"/>
      <c r="C376" s="44" t="n"/>
      <c r="D376" s="44" t="n"/>
      <c r="E376" s="44" t="n"/>
      <c r="F376" s="44" t="n"/>
      <c r="G376" s="45" t="n"/>
      <c r="H376" s="45" t="n"/>
      <c r="I376" s="85" t="n"/>
      <c r="J376" s="44" t="n"/>
      <c r="K376" s="44" t="n"/>
      <c r="L376" s="44" t="n"/>
      <c r="M376" s="45" t="n"/>
      <c r="N376" s="44" t="n"/>
      <c r="O376" s="86" t="n"/>
      <c r="P376" s="44" t="n"/>
      <c r="Q376" s="45" t="n"/>
      <c r="R376" s="85" t="n"/>
      <c r="S376" s="85" t="n"/>
      <c r="T376" s="85" t="n"/>
      <c r="U376" s="85" t="n"/>
      <c r="V376" s="85" t="n"/>
      <c r="W376" s="86" t="n"/>
      <c r="X376" s="44" t="n"/>
      <c r="Y376" s="44" t="n"/>
      <c r="Z376" s="44" t="n"/>
      <c r="AA376" s="85" t="n"/>
      <c r="AB376" s="45" t="n"/>
      <c r="AC376" s="86" t="n"/>
      <c r="AD376" s="44" t="n"/>
      <c r="AE376" s="87" t="n"/>
      <c r="AF376" s="44" t="n"/>
      <c r="AG376" s="44" t="n"/>
      <c r="AH376" s="87" t="n"/>
      <c r="AI376" s="44" t="n"/>
      <c r="AJ376" s="45" t="n"/>
      <c r="AK376" s="45" t="n"/>
      <c r="AL376" s="45" t="n"/>
      <c r="AM376" s="44" t="n"/>
      <c r="AN376" s="45" t="n"/>
      <c r="AO376" s="44" t="n"/>
      <c r="AP376" s="44" t="n"/>
      <c r="AQ376" s="44" t="n"/>
      <c r="AR376" s="44" t="n"/>
      <c r="AS376" s="44" t="n"/>
    </row>
    <row r="377">
      <c r="A377" s="44" t="n"/>
      <c r="B377" s="44" t="n"/>
      <c r="C377" s="44" t="n"/>
      <c r="D377" s="44" t="n"/>
      <c r="E377" s="44" t="n"/>
      <c r="F377" s="44" t="n"/>
      <c r="G377" s="45" t="n"/>
      <c r="H377" s="45" t="n"/>
      <c r="I377" s="85" t="n"/>
      <c r="J377" s="44" t="n"/>
      <c r="K377" s="44" t="n"/>
      <c r="L377" s="44" t="n"/>
      <c r="M377" s="45" t="n"/>
      <c r="N377" s="44" t="n"/>
      <c r="O377" s="86" t="n"/>
      <c r="P377" s="44" t="n"/>
      <c r="Q377" s="45" t="n"/>
      <c r="R377" s="85" t="n"/>
      <c r="S377" s="85" t="n"/>
      <c r="T377" s="85" t="n"/>
      <c r="U377" s="85" t="n"/>
      <c r="V377" s="85" t="n"/>
      <c r="W377" s="86" t="n"/>
      <c r="X377" s="44" t="n"/>
      <c r="Y377" s="44" t="n"/>
      <c r="Z377" s="44" t="n"/>
      <c r="AA377" s="85" t="n"/>
      <c r="AB377" s="45" t="n"/>
      <c r="AC377" s="86" t="n"/>
      <c r="AD377" s="44" t="n"/>
      <c r="AE377" s="87" t="n"/>
      <c r="AF377" s="44" t="n"/>
      <c r="AG377" s="44" t="n"/>
      <c r="AH377" s="87" t="n"/>
      <c r="AI377" s="44" t="n"/>
      <c r="AJ377" s="45" t="n"/>
      <c r="AK377" s="45" t="n"/>
      <c r="AL377" s="45" t="n"/>
      <c r="AM377" s="44" t="n"/>
      <c r="AN377" s="45" t="n"/>
      <c r="AO377" s="44" t="n"/>
      <c r="AP377" s="44" t="n"/>
      <c r="AQ377" s="44" t="n"/>
      <c r="AR377" s="44" t="n"/>
      <c r="AS377" s="44" t="n"/>
    </row>
    <row r="378">
      <c r="A378" s="44" t="n"/>
      <c r="B378" s="44" t="n"/>
      <c r="C378" s="44" t="n"/>
      <c r="D378" s="44" t="n"/>
      <c r="E378" s="44" t="n"/>
      <c r="F378" s="44" t="n"/>
      <c r="G378" s="45" t="n"/>
      <c r="H378" s="45" t="n"/>
      <c r="I378" s="85" t="n"/>
      <c r="J378" s="44" t="n"/>
      <c r="K378" s="44" t="n"/>
      <c r="L378" s="44" t="n"/>
      <c r="M378" s="45" t="n"/>
      <c r="N378" s="44" t="n"/>
      <c r="O378" s="86" t="n"/>
      <c r="P378" s="44" t="n"/>
      <c r="Q378" s="45" t="n"/>
      <c r="R378" s="85" t="n"/>
      <c r="S378" s="85" t="n"/>
      <c r="T378" s="85" t="n"/>
      <c r="U378" s="85" t="n"/>
      <c r="V378" s="85" t="n"/>
      <c r="W378" s="86" t="n"/>
      <c r="X378" s="44" t="n"/>
      <c r="Y378" s="44" t="n"/>
      <c r="Z378" s="44" t="n"/>
      <c r="AA378" s="85" t="n"/>
      <c r="AB378" s="45" t="n"/>
      <c r="AC378" s="86" t="n"/>
      <c r="AD378" s="44" t="n"/>
      <c r="AE378" s="87" t="n"/>
      <c r="AF378" s="44" t="n"/>
      <c r="AG378" s="44" t="n"/>
      <c r="AH378" s="87" t="n"/>
      <c r="AI378" s="44" t="n"/>
      <c r="AJ378" s="45" t="n"/>
      <c r="AK378" s="45" t="n"/>
      <c r="AL378" s="45" t="n"/>
      <c r="AM378" s="44" t="n"/>
      <c r="AN378" s="45" t="n"/>
      <c r="AO378" s="44" t="n"/>
      <c r="AP378" s="44" t="n"/>
      <c r="AQ378" s="44" t="n"/>
      <c r="AR378" s="44" t="n"/>
      <c r="AS378" s="44" t="n"/>
    </row>
    <row r="379">
      <c r="A379" s="44" t="n"/>
      <c r="B379" s="44" t="n"/>
      <c r="C379" s="44" t="n"/>
      <c r="D379" s="44" t="n"/>
      <c r="E379" s="44" t="n"/>
      <c r="F379" s="44" t="n"/>
      <c r="G379" s="45" t="n"/>
      <c r="H379" s="45" t="n"/>
      <c r="I379" s="85" t="n"/>
      <c r="J379" s="44" t="n"/>
      <c r="K379" s="44" t="n"/>
      <c r="L379" s="44" t="n"/>
      <c r="M379" s="45" t="n"/>
      <c r="N379" s="44" t="n"/>
      <c r="O379" s="86" t="n"/>
      <c r="P379" s="44" t="n"/>
      <c r="Q379" s="45" t="n"/>
      <c r="R379" s="85" t="n"/>
      <c r="S379" s="85" t="n"/>
      <c r="T379" s="85" t="n"/>
      <c r="U379" s="85" t="n"/>
      <c r="V379" s="85" t="n"/>
      <c r="W379" s="86" t="n"/>
      <c r="X379" s="44" t="n"/>
      <c r="Y379" s="44" t="n"/>
      <c r="Z379" s="44" t="n"/>
      <c r="AA379" s="85" t="n"/>
      <c r="AB379" s="45" t="n"/>
      <c r="AC379" s="86" t="n"/>
      <c r="AD379" s="44" t="n"/>
      <c r="AE379" s="87" t="n"/>
      <c r="AF379" s="44" t="n"/>
      <c r="AG379" s="44" t="n"/>
      <c r="AH379" s="87" t="n"/>
      <c r="AI379" s="44" t="n"/>
      <c r="AJ379" s="45" t="n"/>
      <c r="AK379" s="45" t="n"/>
      <c r="AL379" s="45" t="n"/>
      <c r="AM379" s="44" t="n"/>
      <c r="AN379" s="45" t="n"/>
      <c r="AO379" s="44" t="n"/>
      <c r="AP379" s="44" t="n"/>
      <c r="AQ379" s="44" t="n"/>
      <c r="AR379" s="44" t="n"/>
      <c r="AS379" s="44" t="n"/>
    </row>
    <row r="380">
      <c r="A380" s="44" t="n"/>
      <c r="B380" s="44" t="n"/>
      <c r="C380" s="44" t="n"/>
      <c r="D380" s="44" t="n"/>
      <c r="E380" s="44" t="n"/>
      <c r="F380" s="44" t="n"/>
      <c r="G380" s="45" t="n"/>
      <c r="H380" s="45" t="n"/>
      <c r="I380" s="85" t="n"/>
      <c r="J380" s="44" t="n"/>
      <c r="K380" s="44" t="n"/>
      <c r="L380" s="44" t="n"/>
      <c r="M380" s="45" t="n"/>
      <c r="N380" s="44" t="n"/>
      <c r="O380" s="86" t="n"/>
      <c r="P380" s="44" t="n"/>
      <c r="Q380" s="45" t="n"/>
      <c r="R380" s="85" t="n"/>
      <c r="S380" s="85" t="n"/>
      <c r="T380" s="85" t="n"/>
      <c r="U380" s="85" t="n"/>
      <c r="V380" s="85" t="n"/>
      <c r="W380" s="86" t="n"/>
      <c r="X380" s="44" t="n"/>
      <c r="Y380" s="44" t="n"/>
      <c r="Z380" s="44" t="n"/>
      <c r="AA380" s="85" t="n"/>
      <c r="AB380" s="45" t="n"/>
      <c r="AC380" s="86" t="n"/>
      <c r="AD380" s="44" t="n"/>
      <c r="AE380" s="87" t="n"/>
      <c r="AF380" s="44" t="n"/>
      <c r="AG380" s="44" t="n"/>
      <c r="AH380" s="87" t="n"/>
      <c r="AI380" s="44" t="n"/>
      <c r="AJ380" s="45" t="n"/>
      <c r="AK380" s="45" t="n"/>
      <c r="AL380" s="45" t="n"/>
      <c r="AM380" s="44" t="n"/>
      <c r="AN380" s="45" t="n"/>
      <c r="AO380" s="44" t="n"/>
      <c r="AP380" s="44" t="n"/>
      <c r="AQ380" s="44" t="n"/>
      <c r="AR380" s="44" t="n"/>
      <c r="AS380" s="44" t="n"/>
    </row>
    <row r="381">
      <c r="A381" s="44" t="n"/>
      <c r="B381" s="44" t="n"/>
      <c r="C381" s="44" t="n"/>
      <c r="D381" s="44" t="n"/>
      <c r="E381" s="44" t="n"/>
      <c r="F381" s="44" t="n"/>
      <c r="G381" s="45" t="n"/>
      <c r="H381" s="45" t="n"/>
      <c r="I381" s="85" t="n"/>
      <c r="J381" s="44" t="n"/>
      <c r="K381" s="44" t="n"/>
      <c r="L381" s="44" t="n"/>
      <c r="M381" s="45" t="n"/>
      <c r="N381" s="44" t="n"/>
      <c r="O381" s="86" t="n"/>
      <c r="P381" s="44" t="n"/>
      <c r="Q381" s="45" t="n"/>
      <c r="R381" s="85" t="n"/>
      <c r="S381" s="85" t="n"/>
      <c r="T381" s="85" t="n"/>
      <c r="U381" s="85" t="n"/>
      <c r="V381" s="85" t="n"/>
      <c r="W381" s="86" t="n"/>
      <c r="X381" s="44" t="n"/>
      <c r="Y381" s="44" t="n"/>
      <c r="Z381" s="44" t="n"/>
      <c r="AA381" s="85" t="n"/>
      <c r="AB381" s="45" t="n"/>
      <c r="AC381" s="86" t="n"/>
      <c r="AD381" s="44" t="n"/>
      <c r="AE381" s="87" t="n"/>
      <c r="AF381" s="44" t="n"/>
      <c r="AG381" s="44" t="n"/>
      <c r="AH381" s="87" t="n"/>
      <c r="AI381" s="44" t="n"/>
      <c r="AJ381" s="45" t="n"/>
      <c r="AK381" s="45" t="n"/>
      <c r="AL381" s="45" t="n"/>
      <c r="AM381" s="44" t="n"/>
      <c r="AN381" s="45" t="n"/>
      <c r="AO381" s="44" t="n"/>
      <c r="AP381" s="44" t="n"/>
      <c r="AQ381" s="44" t="n"/>
      <c r="AR381" s="44" t="n"/>
      <c r="AS381" s="44" t="n"/>
    </row>
    <row r="382">
      <c r="A382" s="44" t="n"/>
      <c r="B382" s="44" t="n"/>
      <c r="C382" s="44" t="n"/>
      <c r="D382" s="44" t="n"/>
      <c r="E382" s="44" t="n"/>
      <c r="F382" s="44" t="n"/>
      <c r="G382" s="45" t="n"/>
      <c r="H382" s="45" t="n"/>
      <c r="I382" s="85" t="n"/>
      <c r="J382" s="44" t="n"/>
      <c r="K382" s="44" t="n"/>
      <c r="L382" s="44" t="n"/>
      <c r="M382" s="45" t="n"/>
      <c r="N382" s="44" t="n"/>
      <c r="O382" s="86" t="n"/>
      <c r="P382" s="44" t="n"/>
      <c r="Q382" s="45" t="n"/>
      <c r="R382" s="85" t="n"/>
      <c r="S382" s="85" t="n"/>
      <c r="T382" s="85" t="n"/>
      <c r="U382" s="85" t="n"/>
      <c r="V382" s="85" t="n"/>
      <c r="W382" s="86" t="n"/>
      <c r="X382" s="44" t="n"/>
      <c r="Y382" s="44" t="n"/>
      <c r="Z382" s="44" t="n"/>
      <c r="AA382" s="85" t="n"/>
      <c r="AB382" s="45" t="n"/>
      <c r="AC382" s="86" t="n"/>
      <c r="AD382" s="44" t="n"/>
      <c r="AE382" s="87" t="n"/>
      <c r="AF382" s="44" t="n"/>
      <c r="AG382" s="44" t="n"/>
      <c r="AH382" s="87" t="n"/>
      <c r="AI382" s="44" t="n"/>
      <c r="AJ382" s="45" t="n"/>
      <c r="AK382" s="45" t="n"/>
      <c r="AL382" s="45" t="n"/>
      <c r="AM382" s="44" t="n"/>
      <c r="AN382" s="45" t="n"/>
      <c r="AO382" s="44" t="n"/>
      <c r="AP382" s="44" t="n"/>
      <c r="AQ382" s="44" t="n"/>
      <c r="AR382" s="44" t="n"/>
      <c r="AS382" s="44" t="n"/>
    </row>
    <row r="383">
      <c r="A383" s="44" t="n"/>
      <c r="B383" s="44" t="n"/>
      <c r="C383" s="44" t="n"/>
      <c r="D383" s="44" t="n"/>
      <c r="E383" s="44" t="n"/>
      <c r="F383" s="44" t="n"/>
      <c r="G383" s="45" t="n"/>
      <c r="H383" s="45" t="n"/>
      <c r="I383" s="85" t="n"/>
      <c r="J383" s="44" t="n"/>
      <c r="K383" s="44" t="n"/>
      <c r="L383" s="44" t="n"/>
      <c r="M383" s="45" t="n"/>
      <c r="N383" s="44" t="n"/>
      <c r="O383" s="86" t="n"/>
      <c r="P383" s="44" t="n"/>
      <c r="Q383" s="45" t="n"/>
      <c r="R383" s="85" t="n"/>
      <c r="S383" s="85" t="n"/>
      <c r="T383" s="85" t="n"/>
      <c r="U383" s="85" t="n"/>
      <c r="V383" s="85" t="n"/>
      <c r="W383" s="86" t="n"/>
      <c r="X383" s="44" t="n"/>
      <c r="Y383" s="44" t="n"/>
      <c r="Z383" s="44" t="n"/>
      <c r="AA383" s="85" t="n"/>
      <c r="AB383" s="45" t="n"/>
      <c r="AC383" s="86" t="n"/>
      <c r="AD383" s="44" t="n"/>
      <c r="AE383" s="87" t="n"/>
      <c r="AF383" s="44" t="n"/>
      <c r="AG383" s="44" t="n"/>
      <c r="AH383" s="87" t="n"/>
      <c r="AI383" s="44" t="n"/>
      <c r="AJ383" s="45" t="n"/>
      <c r="AK383" s="45" t="n"/>
      <c r="AL383" s="45" t="n"/>
      <c r="AM383" s="44" t="n"/>
      <c r="AN383" s="45" t="n"/>
      <c r="AO383" s="44" t="n"/>
      <c r="AP383" s="44" t="n"/>
      <c r="AQ383" s="44" t="n"/>
      <c r="AR383" s="44" t="n"/>
      <c r="AS383" s="44" t="n"/>
    </row>
    <row r="384">
      <c r="A384" s="44" t="n"/>
      <c r="B384" s="44" t="n"/>
      <c r="C384" s="44" t="n"/>
      <c r="D384" s="44" t="n"/>
      <c r="E384" s="44" t="n"/>
      <c r="F384" s="44" t="n"/>
      <c r="G384" s="45" t="n"/>
      <c r="H384" s="45" t="n"/>
      <c r="I384" s="85" t="n"/>
      <c r="J384" s="44" t="n"/>
      <c r="K384" s="44" t="n"/>
      <c r="L384" s="44" t="n"/>
      <c r="M384" s="45" t="n"/>
      <c r="N384" s="44" t="n"/>
      <c r="O384" s="86" t="n"/>
      <c r="P384" s="44" t="n"/>
      <c r="Q384" s="45" t="n"/>
      <c r="R384" s="85" t="n"/>
      <c r="S384" s="85" t="n"/>
      <c r="T384" s="85" t="n"/>
      <c r="U384" s="85" t="n"/>
      <c r="V384" s="85" t="n"/>
      <c r="W384" s="86" t="n"/>
      <c r="X384" s="44" t="n"/>
      <c r="Y384" s="44" t="n"/>
      <c r="Z384" s="44" t="n"/>
      <c r="AA384" s="85" t="n"/>
      <c r="AB384" s="45" t="n"/>
      <c r="AC384" s="86" t="n"/>
      <c r="AD384" s="44" t="n"/>
      <c r="AE384" s="87" t="n"/>
      <c r="AF384" s="44" t="n"/>
      <c r="AG384" s="44" t="n"/>
      <c r="AH384" s="87" t="n"/>
      <c r="AI384" s="44" t="n"/>
      <c r="AJ384" s="45" t="n"/>
      <c r="AK384" s="45" t="n"/>
      <c r="AL384" s="45" t="n"/>
      <c r="AM384" s="44" t="n"/>
      <c r="AN384" s="45" t="n"/>
      <c r="AO384" s="44" t="n"/>
      <c r="AP384" s="44" t="n"/>
      <c r="AQ384" s="44" t="n"/>
      <c r="AR384" s="44" t="n"/>
      <c r="AS384" s="44" t="n"/>
    </row>
    <row r="385">
      <c r="A385" s="44" t="n"/>
      <c r="B385" s="44" t="n"/>
      <c r="C385" s="44" t="n"/>
      <c r="D385" s="44" t="n"/>
      <c r="E385" s="44" t="n"/>
      <c r="F385" s="44" t="n"/>
      <c r="G385" s="45" t="n"/>
      <c r="H385" s="45" t="n"/>
      <c r="I385" s="85" t="n"/>
      <c r="J385" s="44" t="n"/>
      <c r="K385" s="44" t="n"/>
      <c r="L385" s="44" t="n"/>
      <c r="M385" s="45" t="n"/>
      <c r="N385" s="44" t="n"/>
      <c r="O385" s="86" t="n"/>
      <c r="P385" s="44" t="n"/>
      <c r="Q385" s="45" t="n"/>
      <c r="R385" s="85" t="n"/>
      <c r="S385" s="85" t="n"/>
      <c r="T385" s="85" t="n"/>
      <c r="U385" s="85" t="n"/>
      <c r="V385" s="85" t="n"/>
      <c r="W385" s="86" t="n"/>
      <c r="X385" s="44" t="n"/>
      <c r="Y385" s="44" t="n"/>
      <c r="Z385" s="44" t="n"/>
      <c r="AA385" s="85" t="n"/>
      <c r="AB385" s="45" t="n"/>
      <c r="AC385" s="86" t="n"/>
      <c r="AD385" s="44" t="n"/>
      <c r="AE385" s="87" t="n"/>
      <c r="AF385" s="44" t="n"/>
      <c r="AG385" s="44" t="n"/>
      <c r="AH385" s="87" t="n"/>
      <c r="AI385" s="44" t="n"/>
      <c r="AJ385" s="45" t="n"/>
      <c r="AK385" s="45" t="n"/>
      <c r="AL385" s="45" t="n"/>
      <c r="AM385" s="44" t="n"/>
      <c r="AN385" s="45" t="n"/>
      <c r="AO385" s="44" t="n"/>
      <c r="AP385" s="44" t="n"/>
      <c r="AQ385" s="44" t="n"/>
      <c r="AR385" s="44" t="n"/>
      <c r="AS385" s="44" t="n"/>
    </row>
    <row r="386">
      <c r="A386" s="44" t="n"/>
      <c r="B386" s="44" t="n"/>
      <c r="C386" s="44" t="n"/>
      <c r="D386" s="44" t="n"/>
      <c r="E386" s="44" t="n"/>
      <c r="F386" s="44" t="n"/>
      <c r="G386" s="45" t="n"/>
      <c r="H386" s="45" t="n"/>
      <c r="I386" s="85" t="n"/>
      <c r="J386" s="44" t="n"/>
      <c r="K386" s="44" t="n"/>
      <c r="L386" s="44" t="n"/>
      <c r="M386" s="45" t="n"/>
      <c r="N386" s="44" t="n"/>
      <c r="O386" s="86" t="n"/>
      <c r="P386" s="44" t="n"/>
      <c r="Q386" s="45" t="n"/>
      <c r="R386" s="85" t="n"/>
      <c r="S386" s="85" t="n"/>
      <c r="T386" s="85" t="n"/>
      <c r="U386" s="85" t="n"/>
      <c r="V386" s="85" t="n"/>
      <c r="W386" s="86" t="n"/>
      <c r="X386" s="44" t="n"/>
      <c r="Y386" s="44" t="n"/>
      <c r="Z386" s="44" t="n"/>
      <c r="AA386" s="85" t="n"/>
      <c r="AB386" s="45" t="n"/>
      <c r="AC386" s="86" t="n"/>
      <c r="AD386" s="44" t="n"/>
      <c r="AE386" s="87" t="n"/>
      <c r="AF386" s="44" t="n"/>
      <c r="AG386" s="44" t="n"/>
      <c r="AH386" s="87" t="n"/>
      <c r="AI386" s="44" t="n"/>
      <c r="AJ386" s="45" t="n"/>
      <c r="AK386" s="45" t="n"/>
      <c r="AL386" s="45" t="n"/>
      <c r="AM386" s="44" t="n"/>
      <c r="AN386" s="45" t="n"/>
      <c r="AO386" s="44" t="n"/>
      <c r="AP386" s="44" t="n"/>
      <c r="AQ386" s="44" t="n"/>
      <c r="AR386" s="44" t="n"/>
      <c r="AS386" s="44" t="n"/>
    </row>
    <row r="387">
      <c r="A387" s="44" t="n"/>
      <c r="B387" s="44" t="n"/>
      <c r="C387" s="44" t="n"/>
      <c r="D387" s="44" t="n"/>
      <c r="E387" s="44" t="n"/>
      <c r="F387" s="44" t="n"/>
      <c r="G387" s="45" t="n"/>
      <c r="H387" s="45" t="n"/>
      <c r="I387" s="85" t="n"/>
      <c r="J387" s="44" t="n"/>
      <c r="K387" s="44" t="n"/>
      <c r="L387" s="44" t="n"/>
      <c r="M387" s="45" t="n"/>
      <c r="N387" s="44" t="n"/>
      <c r="O387" s="86" t="n"/>
      <c r="P387" s="44" t="n"/>
      <c r="Q387" s="45" t="n"/>
      <c r="R387" s="85" t="n"/>
      <c r="S387" s="85" t="n"/>
      <c r="T387" s="85" t="n"/>
      <c r="U387" s="85" t="n"/>
      <c r="V387" s="85" t="n"/>
      <c r="W387" s="86" t="n"/>
      <c r="X387" s="44" t="n"/>
      <c r="Y387" s="44" t="n"/>
      <c r="Z387" s="44" t="n"/>
      <c r="AA387" s="85" t="n"/>
      <c r="AB387" s="45" t="n"/>
      <c r="AC387" s="86" t="n"/>
      <c r="AD387" s="44" t="n"/>
      <c r="AE387" s="87" t="n"/>
      <c r="AF387" s="44" t="n"/>
      <c r="AG387" s="44" t="n"/>
      <c r="AH387" s="87" t="n"/>
      <c r="AI387" s="44" t="n"/>
      <c r="AJ387" s="45" t="n"/>
      <c r="AK387" s="45" t="n"/>
      <c r="AL387" s="45" t="n"/>
      <c r="AM387" s="44" t="n"/>
      <c r="AN387" s="45" t="n"/>
      <c r="AO387" s="44" t="n"/>
      <c r="AP387" s="44" t="n"/>
      <c r="AQ387" s="44" t="n"/>
      <c r="AR387" s="44" t="n"/>
      <c r="AS387" s="44" t="n"/>
    </row>
    <row r="388">
      <c r="A388" s="44" t="n"/>
      <c r="B388" s="44" t="n"/>
      <c r="C388" s="44" t="n"/>
      <c r="D388" s="44" t="n"/>
      <c r="E388" s="44" t="n"/>
      <c r="F388" s="44" t="n"/>
      <c r="G388" s="45" t="n"/>
      <c r="H388" s="45" t="n"/>
      <c r="I388" s="85" t="n"/>
      <c r="J388" s="44" t="n"/>
      <c r="K388" s="44" t="n"/>
      <c r="L388" s="44" t="n"/>
      <c r="M388" s="45" t="n"/>
      <c r="N388" s="44" t="n"/>
      <c r="O388" s="86" t="n"/>
      <c r="P388" s="44" t="n"/>
      <c r="Q388" s="45" t="n"/>
      <c r="R388" s="85" t="n"/>
      <c r="S388" s="85" t="n"/>
      <c r="T388" s="85" t="n"/>
      <c r="U388" s="85" t="n"/>
      <c r="V388" s="85" t="n"/>
      <c r="W388" s="86" t="n"/>
      <c r="X388" s="44" t="n"/>
      <c r="Y388" s="44" t="n"/>
      <c r="Z388" s="44" t="n"/>
      <c r="AA388" s="85" t="n"/>
      <c r="AB388" s="45" t="n"/>
      <c r="AC388" s="86" t="n"/>
      <c r="AD388" s="44" t="n"/>
      <c r="AE388" s="87" t="n"/>
      <c r="AF388" s="44" t="n"/>
      <c r="AG388" s="44" t="n"/>
      <c r="AH388" s="87" t="n"/>
      <c r="AI388" s="44" t="n"/>
      <c r="AJ388" s="45" t="n"/>
      <c r="AK388" s="45" t="n"/>
      <c r="AL388" s="45" t="n"/>
      <c r="AM388" s="44" t="n"/>
      <c r="AN388" s="45" t="n"/>
      <c r="AO388" s="44" t="n"/>
      <c r="AP388" s="44" t="n"/>
      <c r="AQ388" s="44" t="n"/>
      <c r="AR388" s="44" t="n"/>
      <c r="AS388" s="44" t="n"/>
    </row>
    <row r="389">
      <c r="A389" s="44" t="n"/>
      <c r="B389" s="44" t="n"/>
      <c r="C389" s="44" t="n"/>
      <c r="D389" s="44" t="n"/>
      <c r="E389" s="44" t="n"/>
      <c r="F389" s="44" t="n"/>
      <c r="G389" s="45" t="n"/>
      <c r="H389" s="45" t="n"/>
      <c r="I389" s="85" t="n"/>
      <c r="J389" s="44" t="n"/>
      <c r="K389" s="44" t="n"/>
      <c r="L389" s="44" t="n"/>
      <c r="M389" s="45" t="n"/>
      <c r="N389" s="44" t="n"/>
      <c r="O389" s="86" t="n"/>
      <c r="P389" s="44" t="n"/>
      <c r="Q389" s="45" t="n"/>
      <c r="R389" s="85" t="n"/>
      <c r="S389" s="85" t="n"/>
      <c r="T389" s="85" t="n"/>
      <c r="U389" s="85" t="n"/>
      <c r="V389" s="85" t="n"/>
      <c r="W389" s="86" t="n"/>
      <c r="X389" s="44" t="n"/>
      <c r="Y389" s="44" t="n"/>
      <c r="Z389" s="44" t="n"/>
      <c r="AA389" s="85" t="n"/>
      <c r="AB389" s="45" t="n"/>
      <c r="AC389" s="86" t="n"/>
      <c r="AD389" s="44" t="n"/>
      <c r="AE389" s="87" t="n"/>
      <c r="AF389" s="44" t="n"/>
      <c r="AG389" s="44" t="n"/>
      <c r="AH389" s="87" t="n"/>
      <c r="AI389" s="44" t="n"/>
      <c r="AJ389" s="45" t="n"/>
      <c r="AK389" s="45" t="n"/>
      <c r="AL389" s="45" t="n"/>
      <c r="AM389" s="44" t="n"/>
      <c r="AN389" s="45" t="n"/>
      <c r="AO389" s="44" t="n"/>
      <c r="AP389" s="44" t="n"/>
      <c r="AQ389" s="44" t="n"/>
      <c r="AR389" s="44" t="n"/>
      <c r="AS389" s="44" t="n"/>
    </row>
    <row r="390">
      <c r="A390" s="44" t="n"/>
      <c r="B390" s="44" t="n"/>
      <c r="C390" s="44" t="n"/>
      <c r="D390" s="44" t="n"/>
      <c r="E390" s="44" t="n"/>
      <c r="F390" s="44" t="n"/>
      <c r="G390" s="45" t="n"/>
      <c r="H390" s="45" t="n"/>
      <c r="I390" s="85" t="n"/>
      <c r="J390" s="44" t="n"/>
      <c r="K390" s="44" t="n"/>
      <c r="L390" s="44" t="n"/>
      <c r="M390" s="45" t="n"/>
      <c r="N390" s="44" t="n"/>
      <c r="O390" s="86" t="n"/>
      <c r="P390" s="44" t="n"/>
      <c r="Q390" s="45" t="n"/>
      <c r="R390" s="85" t="n"/>
      <c r="S390" s="85" t="n"/>
      <c r="T390" s="85" t="n"/>
      <c r="U390" s="85" t="n"/>
      <c r="V390" s="85" t="n"/>
      <c r="W390" s="86" t="n"/>
      <c r="X390" s="44" t="n"/>
      <c r="Y390" s="44" t="n"/>
      <c r="Z390" s="44" t="n"/>
      <c r="AA390" s="85" t="n"/>
      <c r="AB390" s="45" t="n"/>
      <c r="AC390" s="86" t="n"/>
      <c r="AD390" s="44" t="n"/>
      <c r="AE390" s="87" t="n"/>
      <c r="AF390" s="44" t="n"/>
      <c r="AG390" s="44" t="n"/>
      <c r="AH390" s="87" t="n"/>
      <c r="AI390" s="44" t="n"/>
      <c r="AJ390" s="45" t="n"/>
      <c r="AK390" s="45" t="n"/>
      <c r="AL390" s="45" t="n"/>
      <c r="AM390" s="44" t="n"/>
      <c r="AN390" s="45" t="n"/>
      <c r="AO390" s="44" t="n"/>
      <c r="AP390" s="44" t="n"/>
      <c r="AQ390" s="44" t="n"/>
      <c r="AR390" s="44" t="n"/>
      <c r="AS390" s="44" t="n"/>
    </row>
    <row r="391">
      <c r="A391" s="44" t="n"/>
      <c r="B391" s="44" t="n"/>
      <c r="C391" s="44" t="n"/>
      <c r="D391" s="44" t="n"/>
      <c r="E391" s="44" t="n"/>
      <c r="F391" s="44" t="n"/>
      <c r="G391" s="45" t="n"/>
      <c r="H391" s="45" t="n"/>
      <c r="I391" s="85" t="n"/>
      <c r="J391" s="44" t="n"/>
      <c r="K391" s="44" t="n"/>
      <c r="L391" s="44" t="n"/>
      <c r="M391" s="45" t="n"/>
      <c r="N391" s="44" t="n"/>
      <c r="O391" s="86" t="n"/>
      <c r="P391" s="44" t="n"/>
      <c r="Q391" s="45" t="n"/>
      <c r="R391" s="85" t="n"/>
      <c r="S391" s="85" t="n"/>
      <c r="T391" s="85" t="n"/>
      <c r="U391" s="85" t="n"/>
      <c r="V391" s="85" t="n"/>
      <c r="W391" s="86" t="n"/>
      <c r="X391" s="44" t="n"/>
      <c r="Y391" s="44" t="n"/>
      <c r="Z391" s="44" t="n"/>
      <c r="AA391" s="85" t="n"/>
      <c r="AB391" s="45" t="n"/>
      <c r="AC391" s="86" t="n"/>
      <c r="AD391" s="44" t="n"/>
      <c r="AE391" s="87" t="n"/>
      <c r="AF391" s="44" t="n"/>
      <c r="AG391" s="44" t="n"/>
      <c r="AH391" s="87" t="n"/>
      <c r="AI391" s="44" t="n"/>
      <c r="AJ391" s="45" t="n"/>
      <c r="AK391" s="45" t="n"/>
      <c r="AL391" s="45" t="n"/>
      <c r="AM391" s="44" t="n"/>
      <c r="AN391" s="45" t="n"/>
      <c r="AO391" s="44" t="n"/>
      <c r="AP391" s="44" t="n"/>
      <c r="AQ391" s="44" t="n"/>
      <c r="AR391" s="44" t="n"/>
      <c r="AS391" s="44" t="n"/>
    </row>
    <row r="392">
      <c r="A392" s="44" t="n"/>
      <c r="B392" s="44" t="n"/>
      <c r="C392" s="44" t="n"/>
      <c r="D392" s="44" t="n"/>
      <c r="E392" s="44" t="n"/>
      <c r="F392" s="44" t="n"/>
      <c r="G392" s="45" t="n"/>
      <c r="H392" s="45" t="n"/>
      <c r="I392" s="85" t="n"/>
      <c r="J392" s="44" t="n"/>
      <c r="K392" s="44" t="n"/>
      <c r="L392" s="44" t="n"/>
      <c r="M392" s="45" t="n"/>
      <c r="N392" s="44" t="n"/>
      <c r="O392" s="86" t="n"/>
      <c r="P392" s="44" t="n"/>
      <c r="Q392" s="45" t="n"/>
      <c r="R392" s="85" t="n"/>
      <c r="S392" s="85" t="n"/>
      <c r="T392" s="85" t="n"/>
      <c r="U392" s="85" t="n"/>
      <c r="V392" s="85" t="n"/>
      <c r="W392" s="86" t="n"/>
      <c r="X392" s="44" t="n"/>
      <c r="Y392" s="44" t="n"/>
      <c r="Z392" s="44" t="n"/>
      <c r="AA392" s="85" t="n"/>
      <c r="AB392" s="45" t="n"/>
      <c r="AC392" s="86" t="n"/>
      <c r="AD392" s="44" t="n"/>
      <c r="AE392" s="87" t="n"/>
      <c r="AF392" s="44" t="n"/>
      <c r="AG392" s="44" t="n"/>
      <c r="AH392" s="87" t="n"/>
      <c r="AI392" s="44" t="n"/>
      <c r="AJ392" s="45" t="n"/>
      <c r="AK392" s="45" t="n"/>
      <c r="AL392" s="45" t="n"/>
      <c r="AM392" s="44" t="n"/>
      <c r="AN392" s="45" t="n"/>
      <c r="AO392" s="44" t="n"/>
      <c r="AP392" s="44" t="n"/>
      <c r="AQ392" s="44" t="n"/>
      <c r="AR392" s="44" t="n"/>
      <c r="AS392" s="44" t="n"/>
    </row>
    <row r="393">
      <c r="A393" s="44" t="n"/>
      <c r="B393" s="44" t="n"/>
      <c r="C393" s="44" t="n"/>
      <c r="D393" s="44" t="n"/>
      <c r="E393" s="44" t="n"/>
      <c r="F393" s="44" t="n"/>
      <c r="G393" s="45" t="n"/>
      <c r="H393" s="45" t="n"/>
      <c r="I393" s="85" t="n"/>
      <c r="J393" s="44" t="n"/>
      <c r="K393" s="44" t="n"/>
      <c r="L393" s="44" t="n"/>
      <c r="M393" s="45" t="n"/>
      <c r="N393" s="44" t="n"/>
      <c r="O393" s="86" t="n"/>
      <c r="P393" s="44" t="n"/>
      <c r="Q393" s="45" t="n"/>
      <c r="R393" s="85" t="n"/>
      <c r="S393" s="85" t="n"/>
      <c r="T393" s="85" t="n"/>
      <c r="U393" s="85" t="n"/>
      <c r="V393" s="85" t="n"/>
      <c r="W393" s="86" t="n"/>
      <c r="X393" s="44" t="n"/>
      <c r="Y393" s="44" t="n"/>
      <c r="Z393" s="44" t="n"/>
      <c r="AA393" s="85" t="n"/>
      <c r="AB393" s="45" t="n"/>
      <c r="AC393" s="86" t="n"/>
      <c r="AD393" s="44" t="n"/>
      <c r="AE393" s="87" t="n"/>
      <c r="AF393" s="44" t="n"/>
      <c r="AG393" s="44" t="n"/>
      <c r="AH393" s="87" t="n"/>
      <c r="AI393" s="44" t="n"/>
      <c r="AJ393" s="45" t="n"/>
      <c r="AK393" s="45" t="n"/>
      <c r="AL393" s="45" t="n"/>
      <c r="AM393" s="44" t="n"/>
      <c r="AN393" s="45" t="n"/>
      <c r="AO393" s="44" t="n"/>
      <c r="AP393" s="44" t="n"/>
      <c r="AQ393" s="44" t="n"/>
      <c r="AR393" s="44" t="n"/>
      <c r="AS393" s="44" t="n"/>
    </row>
    <row r="394">
      <c r="A394" s="44" t="n"/>
      <c r="B394" s="44" t="n"/>
      <c r="C394" s="44" t="n"/>
      <c r="D394" s="44" t="n"/>
      <c r="E394" s="44" t="n"/>
      <c r="F394" s="44" t="n"/>
      <c r="G394" s="45" t="n"/>
      <c r="H394" s="45" t="n"/>
      <c r="I394" s="85" t="n"/>
      <c r="J394" s="44" t="n"/>
      <c r="K394" s="44" t="n"/>
      <c r="L394" s="44" t="n"/>
      <c r="M394" s="45" t="n"/>
      <c r="N394" s="44" t="n"/>
      <c r="O394" s="86" t="n"/>
      <c r="P394" s="44" t="n"/>
      <c r="Q394" s="45" t="n"/>
      <c r="R394" s="85" t="n"/>
      <c r="S394" s="85" t="n"/>
      <c r="T394" s="85" t="n"/>
      <c r="U394" s="85" t="n"/>
      <c r="V394" s="85" t="n"/>
      <c r="W394" s="86" t="n"/>
      <c r="X394" s="44" t="n"/>
      <c r="Y394" s="44" t="n"/>
      <c r="Z394" s="44" t="n"/>
      <c r="AA394" s="85" t="n"/>
      <c r="AB394" s="45" t="n"/>
      <c r="AC394" s="86" t="n"/>
      <c r="AD394" s="44" t="n"/>
      <c r="AE394" s="87" t="n"/>
      <c r="AF394" s="44" t="n"/>
      <c r="AG394" s="44" t="n"/>
      <c r="AH394" s="87" t="n"/>
      <c r="AI394" s="44" t="n"/>
      <c r="AJ394" s="45" t="n"/>
      <c r="AK394" s="45" t="n"/>
      <c r="AL394" s="45" t="n"/>
      <c r="AM394" s="44" t="n"/>
      <c r="AN394" s="45" t="n"/>
      <c r="AO394" s="44" t="n"/>
      <c r="AP394" s="44" t="n"/>
      <c r="AQ394" s="44" t="n"/>
      <c r="AR394" s="44" t="n"/>
      <c r="AS394" s="44" t="n"/>
    </row>
    <row r="395">
      <c r="A395" s="44" t="n"/>
      <c r="B395" s="44" t="n"/>
      <c r="C395" s="44" t="n"/>
      <c r="D395" s="44" t="n"/>
      <c r="E395" s="44" t="n"/>
      <c r="F395" s="44" t="n"/>
      <c r="G395" s="45" t="n"/>
      <c r="H395" s="45" t="n"/>
      <c r="I395" s="85" t="n"/>
      <c r="J395" s="44" t="n"/>
      <c r="K395" s="44" t="n"/>
      <c r="L395" s="44" t="n"/>
      <c r="M395" s="45" t="n"/>
      <c r="N395" s="44" t="n"/>
      <c r="O395" s="86" t="n"/>
      <c r="P395" s="44" t="n"/>
      <c r="Q395" s="45" t="n"/>
      <c r="R395" s="85" t="n"/>
      <c r="S395" s="85" t="n"/>
      <c r="T395" s="85" t="n"/>
      <c r="U395" s="85" t="n"/>
      <c r="V395" s="85" t="n"/>
      <c r="W395" s="86" t="n"/>
      <c r="X395" s="44" t="n"/>
      <c r="Y395" s="44" t="n"/>
      <c r="Z395" s="44" t="n"/>
      <c r="AA395" s="85" t="n"/>
      <c r="AB395" s="45" t="n"/>
      <c r="AC395" s="86" t="n"/>
      <c r="AD395" s="44" t="n"/>
      <c r="AE395" s="87" t="n"/>
      <c r="AF395" s="44" t="n"/>
      <c r="AG395" s="44" t="n"/>
      <c r="AH395" s="87" t="n"/>
      <c r="AI395" s="44" t="n"/>
      <c r="AJ395" s="45" t="n"/>
      <c r="AK395" s="45" t="n"/>
      <c r="AL395" s="45" t="n"/>
      <c r="AM395" s="44" t="n"/>
      <c r="AN395" s="45" t="n"/>
      <c r="AO395" s="44" t="n"/>
      <c r="AP395" s="44" t="n"/>
      <c r="AQ395" s="44" t="n"/>
      <c r="AR395" s="44" t="n"/>
      <c r="AS395" s="44" t="n"/>
    </row>
    <row r="396">
      <c r="A396" s="44" t="n"/>
      <c r="B396" s="44" t="n"/>
      <c r="C396" s="44" t="n"/>
      <c r="D396" s="44" t="n"/>
      <c r="E396" s="44" t="n"/>
      <c r="F396" s="44" t="n"/>
      <c r="G396" s="45" t="n"/>
      <c r="H396" s="45" t="n"/>
      <c r="I396" s="85" t="n"/>
      <c r="J396" s="44" t="n"/>
      <c r="K396" s="44" t="n"/>
      <c r="L396" s="44" t="n"/>
      <c r="M396" s="45" t="n"/>
      <c r="N396" s="44" t="n"/>
      <c r="O396" s="86" t="n"/>
      <c r="P396" s="44" t="n"/>
      <c r="Q396" s="45" t="n"/>
      <c r="R396" s="85" t="n"/>
      <c r="S396" s="85" t="n"/>
      <c r="T396" s="85" t="n"/>
      <c r="U396" s="85" t="n"/>
      <c r="V396" s="85" t="n"/>
      <c r="W396" s="86" t="n"/>
      <c r="X396" s="44" t="n"/>
      <c r="Y396" s="44" t="n"/>
      <c r="Z396" s="44" t="n"/>
      <c r="AA396" s="85" t="n"/>
      <c r="AB396" s="45" t="n"/>
      <c r="AC396" s="86" t="n"/>
      <c r="AD396" s="44" t="n"/>
      <c r="AE396" s="87" t="n"/>
      <c r="AF396" s="44" t="n"/>
      <c r="AG396" s="44" t="n"/>
      <c r="AH396" s="87" t="n"/>
      <c r="AI396" s="44" t="n"/>
      <c r="AJ396" s="45" t="n"/>
      <c r="AK396" s="45" t="n"/>
      <c r="AL396" s="45" t="n"/>
      <c r="AM396" s="44" t="n"/>
      <c r="AN396" s="45" t="n"/>
      <c r="AO396" s="44" t="n"/>
      <c r="AP396" s="44" t="n"/>
      <c r="AQ396" s="44" t="n"/>
      <c r="AR396" s="44" t="n"/>
      <c r="AS396" s="44" t="n"/>
    </row>
    <row r="397">
      <c r="A397" s="44" t="n"/>
      <c r="B397" s="44" t="n"/>
      <c r="C397" s="44" t="n"/>
      <c r="D397" s="44" t="n"/>
      <c r="E397" s="44" t="n"/>
      <c r="F397" s="44" t="n"/>
      <c r="G397" s="45" t="n"/>
      <c r="H397" s="45" t="n"/>
      <c r="I397" s="85" t="n"/>
      <c r="J397" s="44" t="n"/>
      <c r="K397" s="44" t="n"/>
      <c r="L397" s="44" t="n"/>
      <c r="M397" s="45" t="n"/>
      <c r="N397" s="44" t="n"/>
      <c r="O397" s="86" t="n"/>
      <c r="P397" s="44" t="n"/>
      <c r="Q397" s="45" t="n"/>
      <c r="R397" s="85" t="n"/>
      <c r="S397" s="85" t="n"/>
      <c r="T397" s="85" t="n"/>
      <c r="U397" s="85" t="n"/>
      <c r="V397" s="85" t="n"/>
      <c r="W397" s="86" t="n"/>
      <c r="X397" s="44" t="n"/>
      <c r="Y397" s="44" t="n"/>
      <c r="Z397" s="44" t="n"/>
      <c r="AA397" s="85" t="n"/>
      <c r="AB397" s="45" t="n"/>
      <c r="AC397" s="86" t="n"/>
      <c r="AD397" s="44" t="n"/>
      <c r="AE397" s="87" t="n"/>
      <c r="AF397" s="44" t="n"/>
      <c r="AG397" s="44" t="n"/>
      <c r="AH397" s="87" t="n"/>
      <c r="AI397" s="44" t="n"/>
      <c r="AJ397" s="45" t="n"/>
      <c r="AK397" s="45" t="n"/>
      <c r="AL397" s="45" t="n"/>
      <c r="AM397" s="44" t="n"/>
      <c r="AN397" s="45" t="n"/>
      <c r="AO397" s="44" t="n"/>
      <c r="AP397" s="44" t="n"/>
      <c r="AQ397" s="44" t="n"/>
      <c r="AR397" s="44" t="n"/>
      <c r="AS397" s="44" t="n"/>
    </row>
    <row r="398">
      <c r="A398" s="44" t="n"/>
      <c r="B398" s="44" t="n"/>
      <c r="C398" s="44" t="n"/>
      <c r="D398" s="44" t="n"/>
      <c r="E398" s="44" t="n"/>
      <c r="F398" s="44" t="n"/>
      <c r="G398" s="45" t="n"/>
      <c r="H398" s="45" t="n"/>
      <c r="I398" s="85" t="n"/>
      <c r="J398" s="44" t="n"/>
      <c r="K398" s="44" t="n"/>
      <c r="L398" s="44" t="n"/>
      <c r="M398" s="45" t="n"/>
      <c r="N398" s="44" t="n"/>
      <c r="O398" s="86" t="n"/>
      <c r="P398" s="44" t="n"/>
      <c r="Q398" s="45" t="n"/>
      <c r="R398" s="85" t="n"/>
      <c r="S398" s="85" t="n"/>
      <c r="T398" s="85" t="n"/>
      <c r="U398" s="85" t="n"/>
      <c r="V398" s="85" t="n"/>
      <c r="W398" s="86" t="n"/>
      <c r="X398" s="44" t="n"/>
      <c r="Y398" s="44" t="n"/>
      <c r="Z398" s="44" t="n"/>
      <c r="AA398" s="85" t="n"/>
      <c r="AB398" s="45" t="n"/>
      <c r="AC398" s="86" t="n"/>
      <c r="AD398" s="44" t="n"/>
      <c r="AE398" s="87" t="n"/>
      <c r="AF398" s="44" t="n"/>
      <c r="AG398" s="44" t="n"/>
      <c r="AH398" s="87" t="n"/>
      <c r="AI398" s="44" t="n"/>
      <c r="AJ398" s="45" t="n"/>
      <c r="AK398" s="45" t="n"/>
      <c r="AL398" s="45" t="n"/>
      <c r="AM398" s="44" t="n"/>
      <c r="AN398" s="45" t="n"/>
      <c r="AO398" s="44" t="n"/>
      <c r="AP398" s="44" t="n"/>
      <c r="AQ398" s="44" t="n"/>
      <c r="AR398" s="44" t="n"/>
      <c r="AS398" s="44" t="n"/>
    </row>
    <row r="399">
      <c r="A399" s="44" t="n"/>
      <c r="B399" s="44" t="n"/>
      <c r="C399" s="44" t="n"/>
      <c r="D399" s="44" t="n"/>
      <c r="E399" s="44" t="n"/>
      <c r="F399" s="44" t="n"/>
      <c r="G399" s="45" t="n"/>
      <c r="H399" s="45" t="n"/>
      <c r="I399" s="85" t="n"/>
      <c r="J399" s="44" t="n"/>
      <c r="K399" s="44" t="n"/>
      <c r="L399" s="44" t="n"/>
      <c r="M399" s="45" t="n"/>
      <c r="N399" s="44" t="n"/>
      <c r="O399" s="86" t="n"/>
      <c r="P399" s="44" t="n"/>
      <c r="Q399" s="45" t="n"/>
      <c r="R399" s="85" t="n"/>
      <c r="S399" s="85" t="n"/>
      <c r="T399" s="85" t="n"/>
      <c r="U399" s="85" t="n"/>
      <c r="V399" s="85" t="n"/>
      <c r="W399" s="86" t="n"/>
      <c r="X399" s="44" t="n"/>
      <c r="Y399" s="44" t="n"/>
      <c r="Z399" s="44" t="n"/>
      <c r="AA399" s="85" t="n"/>
      <c r="AB399" s="45" t="n"/>
      <c r="AC399" s="86" t="n"/>
      <c r="AD399" s="44" t="n"/>
      <c r="AE399" s="87" t="n"/>
      <c r="AF399" s="44" t="n"/>
      <c r="AG399" s="44" t="n"/>
      <c r="AH399" s="87" t="n"/>
      <c r="AI399" s="44" t="n"/>
      <c r="AJ399" s="45" t="n"/>
      <c r="AK399" s="45" t="n"/>
      <c r="AL399" s="45" t="n"/>
      <c r="AM399" s="44" t="n"/>
      <c r="AN399" s="45" t="n"/>
      <c r="AO399" s="44" t="n"/>
      <c r="AP399" s="44" t="n"/>
      <c r="AQ399" s="44" t="n"/>
      <c r="AR399" s="44" t="n"/>
      <c r="AS399" s="44" t="n"/>
    </row>
    <row r="400">
      <c r="A400" s="44" t="n"/>
      <c r="B400" s="44" t="n"/>
      <c r="C400" s="44" t="n"/>
      <c r="D400" s="44" t="n"/>
      <c r="E400" s="44" t="n"/>
      <c r="F400" s="44" t="n"/>
      <c r="G400" s="45" t="n"/>
      <c r="H400" s="45" t="n"/>
      <c r="I400" s="85" t="n"/>
      <c r="J400" s="44" t="n"/>
      <c r="K400" s="44" t="n"/>
      <c r="L400" s="44" t="n"/>
      <c r="M400" s="45" t="n"/>
      <c r="N400" s="44" t="n"/>
      <c r="O400" s="86" t="n"/>
      <c r="P400" s="44" t="n"/>
      <c r="Q400" s="45" t="n"/>
      <c r="R400" s="85" t="n"/>
      <c r="S400" s="85" t="n"/>
      <c r="T400" s="85" t="n"/>
      <c r="U400" s="85" t="n"/>
      <c r="V400" s="85" t="n"/>
      <c r="W400" s="86" t="n"/>
      <c r="X400" s="44" t="n"/>
      <c r="Y400" s="44" t="n"/>
      <c r="Z400" s="44" t="n"/>
      <c r="AA400" s="85" t="n"/>
      <c r="AB400" s="45" t="n"/>
      <c r="AC400" s="86" t="n"/>
      <c r="AD400" s="44" t="n"/>
      <c r="AE400" s="87" t="n"/>
      <c r="AF400" s="44" t="n"/>
      <c r="AG400" s="44" t="n"/>
      <c r="AH400" s="87" t="n"/>
      <c r="AI400" s="44" t="n"/>
      <c r="AJ400" s="45" t="n"/>
      <c r="AK400" s="45" t="n"/>
      <c r="AL400" s="45" t="n"/>
      <c r="AM400" s="44" t="n"/>
      <c r="AN400" s="45" t="n"/>
      <c r="AO400" s="44" t="n"/>
      <c r="AP400" s="44" t="n"/>
      <c r="AQ400" s="44" t="n"/>
      <c r="AR400" s="44" t="n"/>
      <c r="AS400" s="44" t="n"/>
    </row>
    <row r="401">
      <c r="A401" s="44" t="n"/>
      <c r="B401" s="44" t="n"/>
      <c r="C401" s="44" t="n"/>
      <c r="D401" s="44" t="n"/>
      <c r="E401" s="44" t="n"/>
      <c r="F401" s="44" t="n"/>
      <c r="G401" s="45" t="n"/>
      <c r="H401" s="45" t="n"/>
      <c r="I401" s="85" t="n"/>
      <c r="J401" s="44" t="n"/>
      <c r="K401" s="44" t="n"/>
      <c r="L401" s="44" t="n"/>
      <c r="M401" s="45" t="n"/>
      <c r="N401" s="44" t="n"/>
      <c r="O401" s="86" t="n"/>
      <c r="P401" s="44" t="n"/>
      <c r="Q401" s="45" t="n"/>
      <c r="R401" s="85" t="n"/>
      <c r="S401" s="85" t="n"/>
      <c r="T401" s="85" t="n"/>
      <c r="U401" s="85" t="n"/>
      <c r="V401" s="85" t="n"/>
      <c r="W401" s="86" t="n"/>
      <c r="X401" s="44" t="n"/>
      <c r="Y401" s="44" t="n"/>
      <c r="Z401" s="44" t="n"/>
      <c r="AA401" s="85" t="n"/>
      <c r="AB401" s="45" t="n"/>
      <c r="AC401" s="86" t="n"/>
      <c r="AD401" s="44" t="n"/>
      <c r="AE401" s="87" t="n"/>
      <c r="AF401" s="44" t="n"/>
      <c r="AG401" s="44" t="n"/>
      <c r="AH401" s="87" t="n"/>
      <c r="AI401" s="44" t="n"/>
      <c r="AJ401" s="45" t="n"/>
      <c r="AK401" s="45" t="n"/>
      <c r="AL401" s="45" t="n"/>
      <c r="AM401" s="44" t="n"/>
      <c r="AN401" s="45" t="n"/>
      <c r="AO401" s="44" t="n"/>
      <c r="AP401" s="44" t="n"/>
      <c r="AQ401" s="44" t="n"/>
      <c r="AR401" s="44" t="n"/>
      <c r="AS401" s="44" t="n"/>
    </row>
    <row r="402">
      <c r="A402" s="44" t="n"/>
      <c r="B402" s="44" t="n"/>
      <c r="C402" s="44" t="n"/>
      <c r="D402" s="44" t="n"/>
      <c r="E402" s="44" t="n"/>
      <c r="F402" s="44" t="n"/>
      <c r="G402" s="45" t="n"/>
      <c r="H402" s="45" t="n"/>
      <c r="I402" s="85" t="n"/>
      <c r="J402" s="44" t="n"/>
      <c r="K402" s="44" t="n"/>
      <c r="L402" s="44" t="n"/>
      <c r="M402" s="45" t="n"/>
      <c r="N402" s="44" t="n"/>
      <c r="O402" s="86" t="n"/>
      <c r="P402" s="44" t="n"/>
      <c r="Q402" s="45" t="n"/>
      <c r="R402" s="85" t="n"/>
      <c r="S402" s="85" t="n"/>
      <c r="T402" s="85" t="n"/>
      <c r="U402" s="85" t="n"/>
      <c r="V402" s="85" t="n"/>
      <c r="W402" s="86" t="n"/>
      <c r="X402" s="44" t="n"/>
      <c r="Y402" s="44" t="n"/>
      <c r="Z402" s="44" t="n"/>
      <c r="AA402" s="85" t="n"/>
      <c r="AB402" s="45" t="n"/>
      <c r="AC402" s="86" t="n"/>
      <c r="AD402" s="44" t="n"/>
      <c r="AE402" s="87" t="n"/>
      <c r="AF402" s="44" t="n"/>
      <c r="AG402" s="44" t="n"/>
      <c r="AH402" s="87" t="n"/>
      <c r="AI402" s="44" t="n"/>
      <c r="AJ402" s="45" t="n"/>
      <c r="AK402" s="45" t="n"/>
      <c r="AL402" s="45" t="n"/>
      <c r="AM402" s="44" t="n"/>
      <c r="AN402" s="45" t="n"/>
      <c r="AO402" s="44" t="n"/>
      <c r="AP402" s="44" t="n"/>
      <c r="AQ402" s="44" t="n"/>
      <c r="AR402" s="44" t="n"/>
      <c r="AS402" s="44" t="n"/>
    </row>
    <row r="403">
      <c r="A403" s="44" t="n"/>
      <c r="B403" s="44" t="n"/>
      <c r="C403" s="44" t="n"/>
      <c r="D403" s="44" t="n"/>
      <c r="E403" s="44" t="n"/>
      <c r="F403" s="44" t="n"/>
      <c r="G403" s="45" t="n"/>
      <c r="H403" s="45" t="n"/>
      <c r="I403" s="85" t="n"/>
      <c r="J403" s="44" t="n"/>
      <c r="K403" s="44" t="n"/>
      <c r="L403" s="44" t="n"/>
      <c r="M403" s="45" t="n"/>
      <c r="N403" s="44" t="n"/>
      <c r="O403" s="86" t="n"/>
      <c r="P403" s="44" t="n"/>
      <c r="Q403" s="45" t="n"/>
      <c r="R403" s="85" t="n"/>
      <c r="S403" s="85" t="n"/>
      <c r="T403" s="85" t="n"/>
      <c r="U403" s="85" t="n"/>
      <c r="V403" s="85" t="n"/>
      <c r="W403" s="86" t="n"/>
      <c r="X403" s="44" t="n"/>
      <c r="Y403" s="44" t="n"/>
      <c r="Z403" s="44" t="n"/>
      <c r="AA403" s="85" t="n"/>
      <c r="AB403" s="45" t="n"/>
      <c r="AC403" s="86" t="n"/>
      <c r="AD403" s="44" t="n"/>
      <c r="AE403" s="87" t="n"/>
      <c r="AF403" s="44" t="n"/>
      <c r="AG403" s="44" t="n"/>
      <c r="AH403" s="87" t="n"/>
      <c r="AI403" s="44" t="n"/>
      <c r="AJ403" s="45" t="n"/>
      <c r="AK403" s="45" t="n"/>
      <c r="AL403" s="45" t="n"/>
      <c r="AM403" s="44" t="n"/>
      <c r="AN403" s="45" t="n"/>
      <c r="AO403" s="44" t="n"/>
      <c r="AP403" s="44" t="n"/>
      <c r="AQ403" s="44" t="n"/>
      <c r="AR403" s="44" t="n"/>
      <c r="AS403" s="44" t="n"/>
    </row>
    <row r="404">
      <c r="A404" s="44" t="n"/>
      <c r="B404" s="44" t="n"/>
      <c r="C404" s="44" t="n"/>
      <c r="D404" s="44" t="n"/>
      <c r="E404" s="44" t="n"/>
      <c r="F404" s="44" t="n"/>
      <c r="G404" s="45" t="n"/>
      <c r="H404" s="45" t="n"/>
      <c r="I404" s="85" t="n"/>
      <c r="J404" s="44" t="n"/>
      <c r="K404" s="44" t="n"/>
      <c r="L404" s="44" t="n"/>
      <c r="M404" s="45" t="n"/>
      <c r="N404" s="44" t="n"/>
      <c r="O404" s="86" t="n"/>
      <c r="P404" s="44" t="n"/>
      <c r="Q404" s="45" t="n"/>
      <c r="R404" s="85" t="n"/>
      <c r="S404" s="85" t="n"/>
      <c r="T404" s="85" t="n"/>
      <c r="U404" s="85" t="n"/>
      <c r="V404" s="85" t="n"/>
      <c r="W404" s="86" t="n"/>
      <c r="X404" s="44" t="n"/>
      <c r="Y404" s="44" t="n"/>
      <c r="Z404" s="44" t="n"/>
      <c r="AA404" s="85" t="n"/>
      <c r="AB404" s="45" t="n"/>
      <c r="AC404" s="86" t="n"/>
      <c r="AD404" s="44" t="n"/>
      <c r="AE404" s="87" t="n"/>
      <c r="AF404" s="44" t="n"/>
      <c r="AG404" s="44" t="n"/>
      <c r="AH404" s="87" t="n"/>
      <c r="AI404" s="44" t="n"/>
      <c r="AJ404" s="45" t="n"/>
      <c r="AK404" s="45" t="n"/>
      <c r="AL404" s="45" t="n"/>
      <c r="AM404" s="44" t="n"/>
      <c r="AN404" s="45" t="n"/>
      <c r="AO404" s="44" t="n"/>
      <c r="AP404" s="44" t="n"/>
      <c r="AQ404" s="44" t="n"/>
      <c r="AR404" s="44" t="n"/>
      <c r="AS404" s="44" t="n"/>
    </row>
    <row r="405">
      <c r="A405" s="44" t="n"/>
      <c r="B405" s="44" t="n"/>
      <c r="C405" s="44" t="n"/>
      <c r="D405" s="44" t="n"/>
      <c r="E405" s="44" t="n"/>
      <c r="F405" s="44" t="n"/>
      <c r="G405" s="45" t="n"/>
      <c r="H405" s="45" t="n"/>
      <c r="I405" s="85" t="n"/>
      <c r="J405" s="44" t="n"/>
      <c r="K405" s="44" t="n"/>
      <c r="L405" s="44" t="n"/>
      <c r="M405" s="45" t="n"/>
      <c r="N405" s="44" t="n"/>
      <c r="O405" s="86" t="n"/>
      <c r="P405" s="44" t="n"/>
      <c r="Q405" s="45" t="n"/>
      <c r="R405" s="85" t="n"/>
      <c r="S405" s="85" t="n"/>
      <c r="T405" s="85" t="n"/>
      <c r="U405" s="85" t="n"/>
      <c r="V405" s="85" t="n"/>
      <c r="W405" s="86" t="n"/>
      <c r="X405" s="44" t="n"/>
      <c r="Y405" s="44" t="n"/>
      <c r="Z405" s="44" t="n"/>
      <c r="AA405" s="85" t="n"/>
      <c r="AB405" s="45" t="n"/>
      <c r="AC405" s="86" t="n"/>
      <c r="AD405" s="44" t="n"/>
      <c r="AE405" s="87" t="n"/>
      <c r="AF405" s="44" t="n"/>
      <c r="AG405" s="44" t="n"/>
      <c r="AH405" s="87" t="n"/>
      <c r="AI405" s="44" t="n"/>
      <c r="AJ405" s="45" t="n"/>
      <c r="AK405" s="45" t="n"/>
      <c r="AL405" s="45" t="n"/>
      <c r="AM405" s="44" t="n"/>
      <c r="AN405" s="45" t="n"/>
      <c r="AO405" s="44" t="n"/>
      <c r="AP405" s="44" t="n"/>
      <c r="AQ405" s="44" t="n"/>
      <c r="AR405" s="44" t="n"/>
      <c r="AS405" s="44" t="n"/>
    </row>
    <row r="406">
      <c r="A406" s="44" t="n"/>
      <c r="B406" s="44" t="n"/>
      <c r="C406" s="44" t="n"/>
      <c r="D406" s="44" t="n"/>
      <c r="E406" s="44" t="n"/>
      <c r="F406" s="44" t="n"/>
      <c r="G406" s="45" t="n"/>
      <c r="H406" s="45" t="n"/>
      <c r="I406" s="85" t="n"/>
      <c r="J406" s="44" t="n"/>
      <c r="K406" s="44" t="n"/>
      <c r="L406" s="44" t="n"/>
      <c r="M406" s="45" t="n"/>
      <c r="N406" s="44" t="n"/>
      <c r="O406" s="86" t="n"/>
      <c r="P406" s="44" t="n"/>
      <c r="Q406" s="45" t="n"/>
      <c r="R406" s="85" t="n"/>
      <c r="S406" s="85" t="n"/>
      <c r="T406" s="85" t="n"/>
      <c r="U406" s="85" t="n"/>
      <c r="V406" s="85" t="n"/>
      <c r="W406" s="86" t="n"/>
      <c r="X406" s="44" t="n"/>
      <c r="Y406" s="44" t="n"/>
      <c r="Z406" s="44" t="n"/>
      <c r="AA406" s="85" t="n"/>
      <c r="AB406" s="45" t="n"/>
      <c r="AC406" s="86" t="n"/>
      <c r="AD406" s="44" t="n"/>
      <c r="AE406" s="87" t="n"/>
      <c r="AF406" s="44" t="n"/>
      <c r="AG406" s="44" t="n"/>
      <c r="AH406" s="87" t="n"/>
      <c r="AI406" s="44" t="n"/>
      <c r="AJ406" s="45" t="n"/>
      <c r="AK406" s="45" t="n"/>
      <c r="AL406" s="45" t="n"/>
      <c r="AM406" s="44" t="n"/>
      <c r="AN406" s="45" t="n"/>
      <c r="AO406" s="44" t="n"/>
      <c r="AP406" s="44" t="n"/>
      <c r="AQ406" s="44" t="n"/>
      <c r="AR406" s="44" t="n"/>
      <c r="AS406" s="44" t="n"/>
    </row>
    <row r="407">
      <c r="A407" s="44" t="n"/>
      <c r="B407" s="44" t="n"/>
      <c r="C407" s="44" t="n"/>
      <c r="D407" s="44" t="n"/>
      <c r="E407" s="44" t="n"/>
      <c r="F407" s="44" t="n"/>
      <c r="G407" s="45" t="n"/>
      <c r="H407" s="45" t="n"/>
      <c r="I407" s="85" t="n"/>
      <c r="J407" s="44" t="n"/>
      <c r="K407" s="44" t="n"/>
      <c r="L407" s="44" t="n"/>
      <c r="M407" s="45" t="n"/>
      <c r="N407" s="44" t="n"/>
      <c r="O407" s="86" t="n"/>
      <c r="P407" s="44" t="n"/>
      <c r="Q407" s="45" t="n"/>
      <c r="R407" s="85" t="n"/>
      <c r="S407" s="85" t="n"/>
      <c r="T407" s="85" t="n"/>
      <c r="U407" s="85" t="n"/>
      <c r="V407" s="85" t="n"/>
      <c r="W407" s="86" t="n"/>
      <c r="X407" s="44" t="n"/>
      <c r="Y407" s="44" t="n"/>
      <c r="Z407" s="44" t="n"/>
      <c r="AA407" s="85" t="n"/>
      <c r="AB407" s="45" t="n"/>
      <c r="AC407" s="86" t="n"/>
      <c r="AD407" s="44" t="n"/>
      <c r="AE407" s="87" t="n"/>
      <c r="AF407" s="44" t="n"/>
      <c r="AG407" s="44" t="n"/>
      <c r="AH407" s="87" t="n"/>
      <c r="AI407" s="44" t="n"/>
      <c r="AJ407" s="45" t="n"/>
      <c r="AK407" s="45" t="n"/>
      <c r="AL407" s="45" t="n"/>
      <c r="AM407" s="44" t="n"/>
      <c r="AN407" s="45" t="n"/>
      <c r="AO407" s="44" t="n"/>
      <c r="AP407" s="44" t="n"/>
      <c r="AQ407" s="44" t="n"/>
      <c r="AR407" s="44" t="n"/>
      <c r="AS407" s="44" t="n"/>
    </row>
    <row r="408">
      <c r="A408" s="44" t="n"/>
      <c r="B408" s="44" t="n"/>
      <c r="C408" s="44" t="n"/>
      <c r="D408" s="44" t="n"/>
      <c r="E408" s="44" t="n"/>
      <c r="F408" s="44" t="n"/>
      <c r="G408" s="45" t="n"/>
      <c r="H408" s="45" t="n"/>
      <c r="I408" s="85" t="n"/>
      <c r="J408" s="44" t="n"/>
      <c r="K408" s="44" t="n"/>
      <c r="L408" s="44" t="n"/>
      <c r="M408" s="45" t="n"/>
      <c r="N408" s="44" t="n"/>
      <c r="O408" s="86" t="n"/>
      <c r="P408" s="44" t="n"/>
      <c r="Q408" s="45" t="n"/>
      <c r="R408" s="85" t="n"/>
      <c r="S408" s="85" t="n"/>
      <c r="T408" s="85" t="n"/>
      <c r="U408" s="85" t="n"/>
      <c r="V408" s="85" t="n"/>
      <c r="W408" s="86" t="n"/>
      <c r="X408" s="44" t="n"/>
      <c r="Y408" s="44" t="n"/>
      <c r="Z408" s="44" t="n"/>
      <c r="AA408" s="85" t="n"/>
      <c r="AB408" s="45" t="n"/>
      <c r="AC408" s="86" t="n"/>
      <c r="AD408" s="44" t="n"/>
      <c r="AE408" s="87" t="n"/>
      <c r="AF408" s="44" t="n"/>
      <c r="AG408" s="44" t="n"/>
      <c r="AH408" s="87" t="n"/>
      <c r="AI408" s="44" t="n"/>
      <c r="AJ408" s="45" t="n"/>
      <c r="AK408" s="45" t="n"/>
      <c r="AL408" s="45" t="n"/>
      <c r="AM408" s="44" t="n"/>
      <c r="AN408" s="45" t="n"/>
      <c r="AO408" s="44" t="n"/>
      <c r="AP408" s="44" t="n"/>
      <c r="AQ408" s="44" t="n"/>
      <c r="AR408" s="44" t="n"/>
      <c r="AS408" s="44" t="n"/>
    </row>
    <row r="409">
      <c r="A409" s="44" t="n"/>
      <c r="B409" s="44" t="n"/>
      <c r="C409" s="44" t="n"/>
      <c r="D409" s="44" t="n"/>
      <c r="E409" s="44" t="n"/>
      <c r="F409" s="44" t="n"/>
      <c r="G409" s="45" t="n"/>
      <c r="H409" s="45" t="n"/>
      <c r="I409" s="85" t="n"/>
      <c r="J409" s="44" t="n"/>
      <c r="K409" s="44" t="n"/>
      <c r="L409" s="44" t="n"/>
      <c r="M409" s="45" t="n"/>
      <c r="N409" s="44" t="n"/>
      <c r="O409" s="86" t="n"/>
      <c r="P409" s="44" t="n"/>
      <c r="Q409" s="45" t="n"/>
      <c r="R409" s="85" t="n"/>
      <c r="S409" s="85" t="n"/>
      <c r="T409" s="85" t="n"/>
      <c r="U409" s="85" t="n"/>
      <c r="V409" s="85" t="n"/>
      <c r="W409" s="86" t="n"/>
      <c r="X409" s="44" t="n"/>
      <c r="Y409" s="44" t="n"/>
      <c r="Z409" s="44" t="n"/>
      <c r="AA409" s="85" t="n"/>
      <c r="AB409" s="45" t="n"/>
      <c r="AC409" s="86" t="n"/>
      <c r="AD409" s="44" t="n"/>
      <c r="AE409" s="87" t="n"/>
      <c r="AF409" s="44" t="n"/>
      <c r="AG409" s="44" t="n"/>
      <c r="AH409" s="87" t="n"/>
      <c r="AI409" s="44" t="n"/>
      <c r="AJ409" s="45" t="n"/>
      <c r="AK409" s="45" t="n"/>
      <c r="AL409" s="45" t="n"/>
      <c r="AM409" s="44" t="n"/>
      <c r="AN409" s="45" t="n"/>
      <c r="AO409" s="44" t="n"/>
      <c r="AP409" s="44" t="n"/>
      <c r="AQ409" s="44" t="n"/>
      <c r="AR409" s="44" t="n"/>
      <c r="AS409" s="44" t="n"/>
    </row>
    <row r="410">
      <c r="A410" s="44" t="n"/>
      <c r="B410" s="44" t="n"/>
      <c r="C410" s="44" t="n"/>
      <c r="D410" s="44" t="n"/>
      <c r="E410" s="44" t="n"/>
      <c r="F410" s="44" t="n"/>
      <c r="G410" s="45" t="n"/>
      <c r="H410" s="45" t="n"/>
      <c r="I410" s="85" t="n"/>
      <c r="J410" s="44" t="n"/>
      <c r="K410" s="44" t="n"/>
      <c r="L410" s="44" t="n"/>
      <c r="M410" s="45" t="n"/>
      <c r="N410" s="44" t="n"/>
      <c r="O410" s="86" t="n"/>
      <c r="P410" s="44" t="n"/>
      <c r="Q410" s="45" t="n"/>
      <c r="R410" s="85" t="n"/>
      <c r="S410" s="85" t="n"/>
      <c r="T410" s="85" t="n"/>
      <c r="U410" s="85" t="n"/>
      <c r="V410" s="85" t="n"/>
      <c r="W410" s="86" t="n"/>
      <c r="X410" s="44" t="n"/>
      <c r="Y410" s="44" t="n"/>
      <c r="Z410" s="44" t="n"/>
      <c r="AA410" s="85" t="n"/>
      <c r="AB410" s="45" t="n"/>
      <c r="AC410" s="86" t="n"/>
      <c r="AD410" s="44" t="n"/>
      <c r="AE410" s="87" t="n"/>
      <c r="AF410" s="44" t="n"/>
      <c r="AG410" s="44" t="n"/>
      <c r="AH410" s="87" t="n"/>
      <c r="AI410" s="44" t="n"/>
      <c r="AJ410" s="45" t="n"/>
      <c r="AK410" s="45" t="n"/>
      <c r="AL410" s="45" t="n"/>
      <c r="AM410" s="44" t="n"/>
      <c r="AN410" s="45" t="n"/>
      <c r="AO410" s="44" t="n"/>
      <c r="AP410" s="44" t="n"/>
      <c r="AQ410" s="44" t="n"/>
      <c r="AR410" s="44" t="n"/>
      <c r="AS410" s="44" t="n"/>
    </row>
    <row r="411">
      <c r="A411" s="44" t="n"/>
      <c r="B411" s="44" t="n"/>
      <c r="C411" s="44" t="n"/>
      <c r="D411" s="44" t="n"/>
      <c r="E411" s="44" t="n"/>
      <c r="F411" s="44" t="n"/>
      <c r="G411" s="45" t="n"/>
      <c r="H411" s="45" t="n"/>
      <c r="I411" s="85" t="n"/>
      <c r="J411" s="44" t="n"/>
      <c r="K411" s="44" t="n"/>
      <c r="L411" s="44" t="n"/>
      <c r="M411" s="45" t="n"/>
      <c r="N411" s="44" t="n"/>
      <c r="O411" s="86" t="n"/>
      <c r="P411" s="44" t="n"/>
      <c r="Q411" s="45" t="n"/>
      <c r="R411" s="85" t="n"/>
      <c r="S411" s="85" t="n"/>
      <c r="T411" s="85" t="n"/>
      <c r="U411" s="85" t="n"/>
      <c r="V411" s="85" t="n"/>
      <c r="W411" s="86" t="n"/>
      <c r="X411" s="44" t="n"/>
      <c r="Y411" s="44" t="n"/>
      <c r="Z411" s="44" t="n"/>
      <c r="AA411" s="85" t="n"/>
      <c r="AB411" s="45" t="n"/>
      <c r="AC411" s="86" t="n"/>
      <c r="AD411" s="44" t="n"/>
      <c r="AE411" s="87" t="n"/>
      <c r="AF411" s="44" t="n"/>
      <c r="AG411" s="44" t="n"/>
      <c r="AH411" s="87" t="n"/>
      <c r="AI411" s="44" t="n"/>
      <c r="AJ411" s="45" t="n"/>
      <c r="AK411" s="45" t="n"/>
      <c r="AL411" s="45" t="n"/>
      <c r="AM411" s="44" t="n"/>
      <c r="AN411" s="45" t="n"/>
      <c r="AO411" s="44" t="n"/>
      <c r="AP411" s="44" t="n"/>
      <c r="AQ411" s="44" t="n"/>
      <c r="AR411" s="44" t="n"/>
      <c r="AS411" s="44" t="n"/>
    </row>
    <row r="412">
      <c r="A412" s="44" t="n"/>
      <c r="B412" s="44" t="n"/>
      <c r="C412" s="44" t="n"/>
      <c r="D412" s="44" t="n"/>
      <c r="E412" s="44" t="n"/>
      <c r="F412" s="44" t="n"/>
      <c r="G412" s="45" t="n"/>
      <c r="H412" s="45" t="n"/>
      <c r="I412" s="85" t="n"/>
      <c r="J412" s="44" t="n"/>
      <c r="K412" s="44" t="n"/>
      <c r="L412" s="44" t="n"/>
      <c r="M412" s="45" t="n"/>
      <c r="N412" s="44" t="n"/>
      <c r="O412" s="86" t="n"/>
      <c r="P412" s="44" t="n"/>
      <c r="Q412" s="45" t="n"/>
      <c r="R412" s="85" t="n"/>
      <c r="S412" s="85" t="n"/>
      <c r="T412" s="85" t="n"/>
      <c r="U412" s="85" t="n"/>
      <c r="V412" s="85" t="n"/>
      <c r="W412" s="86" t="n"/>
      <c r="X412" s="44" t="n"/>
      <c r="Y412" s="44" t="n"/>
      <c r="Z412" s="44" t="n"/>
      <c r="AA412" s="85" t="n"/>
      <c r="AB412" s="45" t="n"/>
      <c r="AC412" s="86" t="n"/>
      <c r="AD412" s="44" t="n"/>
      <c r="AE412" s="87" t="n"/>
      <c r="AF412" s="44" t="n"/>
      <c r="AG412" s="44" t="n"/>
      <c r="AH412" s="87" t="n"/>
      <c r="AI412" s="44" t="n"/>
      <c r="AJ412" s="45" t="n"/>
      <c r="AK412" s="45" t="n"/>
      <c r="AL412" s="45" t="n"/>
      <c r="AM412" s="44" t="n"/>
      <c r="AN412" s="45" t="n"/>
      <c r="AO412" s="44" t="n"/>
      <c r="AP412" s="44" t="n"/>
      <c r="AQ412" s="44" t="n"/>
      <c r="AR412" s="44" t="n"/>
      <c r="AS412" s="44" t="n"/>
    </row>
    <row r="413">
      <c r="A413" s="44" t="n"/>
      <c r="B413" s="44" t="n"/>
      <c r="C413" s="44" t="n"/>
      <c r="D413" s="44" t="n"/>
      <c r="E413" s="44" t="n"/>
      <c r="F413" s="44" t="n"/>
      <c r="G413" s="45" t="n"/>
      <c r="H413" s="45" t="n"/>
      <c r="I413" s="85" t="n"/>
      <c r="J413" s="44" t="n"/>
      <c r="K413" s="44" t="n"/>
      <c r="L413" s="44" t="n"/>
      <c r="M413" s="45" t="n"/>
      <c r="N413" s="44" t="n"/>
      <c r="O413" s="86" t="n"/>
      <c r="P413" s="44" t="n"/>
      <c r="Q413" s="45" t="n"/>
      <c r="R413" s="85" t="n"/>
      <c r="S413" s="85" t="n"/>
      <c r="T413" s="85" t="n"/>
      <c r="U413" s="85" t="n"/>
      <c r="V413" s="85" t="n"/>
      <c r="W413" s="86" t="n"/>
      <c r="X413" s="44" t="n"/>
      <c r="Y413" s="44" t="n"/>
      <c r="Z413" s="44" t="n"/>
      <c r="AA413" s="85" t="n"/>
      <c r="AB413" s="45" t="n"/>
      <c r="AC413" s="86" t="n"/>
      <c r="AD413" s="44" t="n"/>
      <c r="AE413" s="87" t="n"/>
      <c r="AF413" s="44" t="n"/>
      <c r="AG413" s="44" t="n"/>
      <c r="AH413" s="87" t="n"/>
      <c r="AI413" s="44" t="n"/>
      <c r="AJ413" s="45" t="n"/>
      <c r="AK413" s="45" t="n"/>
      <c r="AL413" s="45" t="n"/>
      <c r="AM413" s="44" t="n"/>
      <c r="AN413" s="45" t="n"/>
      <c r="AO413" s="44" t="n"/>
      <c r="AP413" s="44" t="n"/>
      <c r="AQ413" s="44" t="n"/>
      <c r="AR413" s="44" t="n"/>
      <c r="AS413" s="44" t="n"/>
    </row>
    <row r="414">
      <c r="A414" s="44" t="n"/>
      <c r="B414" s="44" t="n"/>
      <c r="C414" s="44" t="n"/>
      <c r="D414" s="44" t="n"/>
      <c r="E414" s="44" t="n"/>
      <c r="F414" s="44" t="n"/>
      <c r="G414" s="45" t="n"/>
      <c r="H414" s="45" t="n"/>
      <c r="I414" s="85" t="n"/>
      <c r="J414" s="44" t="n"/>
      <c r="K414" s="44" t="n"/>
      <c r="L414" s="44" t="n"/>
      <c r="M414" s="45" t="n"/>
      <c r="N414" s="44" t="n"/>
      <c r="O414" s="86" t="n"/>
      <c r="P414" s="44" t="n"/>
      <c r="Q414" s="45" t="n"/>
      <c r="R414" s="85" t="n"/>
      <c r="S414" s="85" t="n"/>
      <c r="T414" s="85" t="n"/>
      <c r="U414" s="85" t="n"/>
      <c r="V414" s="85" t="n"/>
      <c r="W414" s="86" t="n"/>
      <c r="X414" s="44" t="n"/>
      <c r="Y414" s="44" t="n"/>
      <c r="Z414" s="44" t="n"/>
      <c r="AA414" s="85" t="n"/>
      <c r="AB414" s="45" t="n"/>
      <c r="AC414" s="86" t="n"/>
      <c r="AD414" s="44" t="n"/>
      <c r="AE414" s="87" t="n"/>
      <c r="AF414" s="44" t="n"/>
      <c r="AG414" s="44" t="n"/>
      <c r="AH414" s="87" t="n"/>
      <c r="AI414" s="44" t="n"/>
      <c r="AJ414" s="45" t="n"/>
      <c r="AK414" s="45" t="n"/>
      <c r="AL414" s="45" t="n"/>
      <c r="AM414" s="44" t="n"/>
      <c r="AN414" s="45" t="n"/>
      <c r="AO414" s="44" t="n"/>
      <c r="AP414" s="44" t="n"/>
      <c r="AQ414" s="44" t="n"/>
      <c r="AR414" s="44" t="n"/>
      <c r="AS414" s="44" t="n"/>
    </row>
    <row r="415">
      <c r="A415" s="44" t="n"/>
      <c r="B415" s="44" t="n"/>
      <c r="C415" s="44" t="n"/>
      <c r="D415" s="44" t="n"/>
      <c r="E415" s="44" t="n"/>
      <c r="F415" s="44" t="n"/>
      <c r="G415" s="45" t="n"/>
      <c r="H415" s="45" t="n"/>
      <c r="I415" s="85" t="n"/>
      <c r="J415" s="44" t="n"/>
      <c r="K415" s="44" t="n"/>
      <c r="L415" s="44" t="n"/>
      <c r="M415" s="45" t="n"/>
      <c r="N415" s="44" t="n"/>
      <c r="O415" s="86" t="n"/>
      <c r="P415" s="44" t="n"/>
      <c r="Q415" s="45" t="n"/>
      <c r="R415" s="85" t="n"/>
      <c r="S415" s="85" t="n"/>
      <c r="T415" s="85" t="n"/>
      <c r="U415" s="85" t="n"/>
      <c r="V415" s="85" t="n"/>
      <c r="W415" s="86" t="n"/>
      <c r="X415" s="44" t="n"/>
      <c r="Y415" s="44" t="n"/>
      <c r="Z415" s="44" t="n"/>
      <c r="AA415" s="85" t="n"/>
      <c r="AB415" s="45" t="n"/>
      <c r="AC415" s="86" t="n"/>
      <c r="AD415" s="44" t="n"/>
      <c r="AE415" s="87" t="n"/>
      <c r="AF415" s="44" t="n"/>
      <c r="AG415" s="44" t="n"/>
      <c r="AH415" s="87" t="n"/>
      <c r="AI415" s="44" t="n"/>
      <c r="AJ415" s="45" t="n"/>
      <c r="AK415" s="45" t="n"/>
      <c r="AL415" s="45" t="n"/>
      <c r="AM415" s="44" t="n"/>
      <c r="AN415" s="45" t="n"/>
      <c r="AO415" s="44" t="n"/>
      <c r="AP415" s="44" t="n"/>
      <c r="AQ415" s="44" t="n"/>
      <c r="AR415" s="44" t="n"/>
      <c r="AS415" s="44" t="n"/>
    </row>
    <row r="416">
      <c r="A416" s="44" t="n"/>
      <c r="B416" s="44" t="n"/>
      <c r="C416" s="44" t="n"/>
      <c r="D416" s="44" t="n"/>
      <c r="E416" s="44" t="n"/>
      <c r="F416" s="44" t="n"/>
      <c r="G416" s="45" t="n"/>
      <c r="H416" s="45" t="n"/>
      <c r="I416" s="85" t="n"/>
      <c r="J416" s="44" t="n"/>
      <c r="K416" s="44" t="n"/>
      <c r="L416" s="44" t="n"/>
      <c r="M416" s="45" t="n"/>
      <c r="N416" s="44" t="n"/>
      <c r="O416" s="86" t="n"/>
      <c r="P416" s="44" t="n"/>
      <c r="Q416" s="45" t="n"/>
      <c r="R416" s="85" t="n"/>
      <c r="S416" s="85" t="n"/>
      <c r="T416" s="85" t="n"/>
      <c r="U416" s="85" t="n"/>
      <c r="V416" s="85" t="n"/>
      <c r="W416" s="86" t="n"/>
      <c r="X416" s="44" t="n"/>
      <c r="Y416" s="44" t="n"/>
      <c r="Z416" s="44" t="n"/>
      <c r="AA416" s="85" t="n"/>
      <c r="AB416" s="45" t="n"/>
      <c r="AC416" s="86" t="n"/>
      <c r="AD416" s="44" t="n"/>
      <c r="AE416" s="87" t="n"/>
      <c r="AF416" s="44" t="n"/>
      <c r="AG416" s="44" t="n"/>
      <c r="AH416" s="87" t="n"/>
      <c r="AI416" s="44" t="n"/>
      <c r="AJ416" s="45" t="n"/>
      <c r="AK416" s="45" t="n"/>
      <c r="AL416" s="45" t="n"/>
      <c r="AM416" s="44" t="n"/>
      <c r="AN416" s="45" t="n"/>
      <c r="AO416" s="44" t="n"/>
      <c r="AP416" s="44" t="n"/>
      <c r="AQ416" s="44" t="n"/>
      <c r="AR416" s="44" t="n"/>
      <c r="AS416" s="44" t="n"/>
    </row>
    <row r="417">
      <c r="A417" s="44" t="n"/>
      <c r="B417" s="44" t="n"/>
      <c r="C417" s="44" t="n"/>
      <c r="D417" s="44" t="n"/>
      <c r="E417" s="44" t="n"/>
      <c r="F417" s="44" t="n"/>
      <c r="G417" s="45" t="n"/>
      <c r="H417" s="45" t="n"/>
      <c r="I417" s="85" t="n"/>
      <c r="J417" s="44" t="n"/>
      <c r="K417" s="44" t="n"/>
      <c r="L417" s="44" t="n"/>
      <c r="M417" s="45" t="n"/>
      <c r="N417" s="44" t="n"/>
      <c r="O417" s="86" t="n"/>
      <c r="P417" s="44" t="n"/>
      <c r="Q417" s="45" t="n"/>
      <c r="R417" s="85" t="n"/>
      <c r="S417" s="85" t="n"/>
      <c r="T417" s="85" t="n"/>
      <c r="U417" s="85" t="n"/>
      <c r="V417" s="85" t="n"/>
      <c r="W417" s="86" t="n"/>
      <c r="X417" s="44" t="n"/>
      <c r="Y417" s="44" t="n"/>
      <c r="Z417" s="44" t="n"/>
      <c r="AA417" s="85" t="n"/>
      <c r="AB417" s="45" t="n"/>
      <c r="AC417" s="86" t="n"/>
      <c r="AD417" s="44" t="n"/>
      <c r="AE417" s="87" t="n"/>
      <c r="AF417" s="44" t="n"/>
      <c r="AG417" s="44" t="n"/>
      <c r="AH417" s="87" t="n"/>
      <c r="AI417" s="44" t="n"/>
      <c r="AJ417" s="45" t="n"/>
      <c r="AK417" s="45" t="n"/>
      <c r="AL417" s="45" t="n"/>
      <c r="AM417" s="44" t="n"/>
      <c r="AN417" s="45" t="n"/>
      <c r="AO417" s="44" t="n"/>
      <c r="AP417" s="44" t="n"/>
      <c r="AQ417" s="44" t="n"/>
      <c r="AR417" s="44" t="n"/>
      <c r="AS417" s="44" t="n"/>
    </row>
    <row r="418">
      <c r="A418" s="44" t="n"/>
      <c r="B418" s="44" t="n"/>
      <c r="C418" s="44" t="n"/>
      <c r="D418" s="44" t="n"/>
      <c r="E418" s="44" t="n"/>
      <c r="F418" s="44" t="n"/>
      <c r="G418" s="45" t="n"/>
      <c r="H418" s="45" t="n"/>
      <c r="I418" s="85" t="n"/>
      <c r="J418" s="44" t="n"/>
      <c r="K418" s="44" t="n"/>
      <c r="L418" s="44" t="n"/>
      <c r="M418" s="45" t="n"/>
      <c r="N418" s="44" t="n"/>
      <c r="O418" s="86" t="n"/>
      <c r="P418" s="44" t="n"/>
      <c r="Q418" s="45" t="n"/>
      <c r="R418" s="85" t="n"/>
      <c r="S418" s="85" t="n"/>
      <c r="T418" s="85" t="n"/>
      <c r="U418" s="85" t="n"/>
      <c r="V418" s="85" t="n"/>
      <c r="W418" s="86" t="n"/>
      <c r="X418" s="44" t="n"/>
      <c r="Y418" s="44" t="n"/>
      <c r="Z418" s="44" t="n"/>
      <c r="AA418" s="85" t="n"/>
      <c r="AB418" s="45" t="n"/>
      <c r="AC418" s="86" t="n"/>
      <c r="AD418" s="44" t="n"/>
      <c r="AE418" s="87" t="n"/>
      <c r="AF418" s="44" t="n"/>
      <c r="AG418" s="44" t="n"/>
      <c r="AH418" s="87" t="n"/>
      <c r="AI418" s="44" t="n"/>
      <c r="AJ418" s="45" t="n"/>
      <c r="AK418" s="45" t="n"/>
      <c r="AL418" s="45" t="n"/>
      <c r="AM418" s="44" t="n"/>
      <c r="AN418" s="45" t="n"/>
      <c r="AO418" s="44" t="n"/>
      <c r="AP418" s="44" t="n"/>
      <c r="AQ418" s="44" t="n"/>
      <c r="AR418" s="44" t="n"/>
      <c r="AS418" s="44" t="n"/>
    </row>
    <row r="419">
      <c r="A419" s="44" t="n"/>
      <c r="B419" s="44" t="n"/>
      <c r="C419" s="44" t="n"/>
      <c r="D419" s="44" t="n"/>
      <c r="E419" s="44" t="n"/>
      <c r="F419" s="44" t="n"/>
      <c r="G419" s="45" t="n"/>
      <c r="H419" s="45" t="n"/>
      <c r="I419" s="85" t="n"/>
      <c r="J419" s="44" t="n"/>
      <c r="K419" s="44" t="n"/>
      <c r="L419" s="44" t="n"/>
      <c r="M419" s="45" t="n"/>
      <c r="N419" s="44" t="n"/>
      <c r="O419" s="86" t="n"/>
      <c r="P419" s="44" t="n"/>
      <c r="Q419" s="45" t="n"/>
      <c r="R419" s="85" t="n"/>
      <c r="S419" s="85" t="n"/>
      <c r="T419" s="85" t="n"/>
      <c r="U419" s="85" t="n"/>
      <c r="V419" s="85" t="n"/>
      <c r="W419" s="86" t="n"/>
      <c r="X419" s="44" t="n"/>
      <c r="Y419" s="44" t="n"/>
      <c r="Z419" s="44" t="n"/>
      <c r="AA419" s="85" t="n"/>
      <c r="AB419" s="45" t="n"/>
      <c r="AC419" s="86" t="n"/>
      <c r="AD419" s="44" t="n"/>
      <c r="AE419" s="87" t="n"/>
      <c r="AF419" s="44" t="n"/>
      <c r="AG419" s="44" t="n"/>
      <c r="AH419" s="87" t="n"/>
      <c r="AI419" s="44" t="n"/>
      <c r="AJ419" s="45" t="n"/>
      <c r="AK419" s="45" t="n"/>
      <c r="AL419" s="45" t="n"/>
      <c r="AM419" s="44" t="n"/>
      <c r="AN419" s="45" t="n"/>
      <c r="AO419" s="44" t="n"/>
      <c r="AP419" s="44" t="n"/>
      <c r="AQ419" s="44" t="n"/>
      <c r="AR419" s="44" t="n"/>
      <c r="AS419" s="44" t="n"/>
    </row>
    <row r="420">
      <c r="A420" s="44" t="n"/>
      <c r="B420" s="44" t="n"/>
      <c r="C420" s="44" t="n"/>
      <c r="D420" s="44" t="n"/>
      <c r="E420" s="44" t="n"/>
      <c r="F420" s="44" t="n"/>
      <c r="G420" s="45" t="n"/>
      <c r="H420" s="45" t="n"/>
      <c r="I420" s="85" t="n"/>
      <c r="J420" s="44" t="n"/>
      <c r="K420" s="44" t="n"/>
      <c r="L420" s="44" t="n"/>
      <c r="M420" s="45" t="n"/>
      <c r="N420" s="44" t="n"/>
      <c r="O420" s="86" t="n"/>
      <c r="P420" s="44" t="n"/>
      <c r="Q420" s="45" t="n"/>
      <c r="R420" s="85" t="n"/>
      <c r="S420" s="85" t="n"/>
      <c r="T420" s="85" t="n"/>
      <c r="U420" s="85" t="n"/>
      <c r="V420" s="85" t="n"/>
      <c r="W420" s="86" t="n"/>
      <c r="X420" s="44" t="n"/>
      <c r="Y420" s="44" t="n"/>
      <c r="Z420" s="44" t="n"/>
      <c r="AA420" s="85" t="n"/>
      <c r="AB420" s="45" t="n"/>
      <c r="AC420" s="86" t="n"/>
      <c r="AD420" s="44" t="n"/>
      <c r="AE420" s="87" t="n"/>
      <c r="AF420" s="44" t="n"/>
      <c r="AG420" s="44" t="n"/>
      <c r="AH420" s="87" t="n"/>
      <c r="AI420" s="44" t="n"/>
      <c r="AJ420" s="45" t="n"/>
      <c r="AK420" s="45" t="n"/>
      <c r="AL420" s="45" t="n"/>
      <c r="AM420" s="44" t="n"/>
      <c r="AN420" s="45" t="n"/>
      <c r="AO420" s="44" t="n"/>
      <c r="AP420" s="44" t="n"/>
      <c r="AQ420" s="44" t="n"/>
      <c r="AR420" s="44" t="n"/>
      <c r="AS420" s="44" t="n"/>
    </row>
    <row r="421">
      <c r="A421" s="44" t="n"/>
      <c r="B421" s="44" t="n"/>
      <c r="C421" s="44" t="n"/>
      <c r="D421" s="44" t="n"/>
      <c r="E421" s="44" t="n"/>
      <c r="F421" s="44" t="n"/>
      <c r="G421" s="45" t="n"/>
      <c r="H421" s="45" t="n"/>
      <c r="I421" s="85" t="n"/>
      <c r="J421" s="44" t="n"/>
      <c r="K421" s="44" t="n"/>
      <c r="L421" s="44" t="n"/>
      <c r="M421" s="45" t="n"/>
      <c r="N421" s="44" t="n"/>
      <c r="O421" s="86" t="n"/>
      <c r="P421" s="44" t="n"/>
      <c r="Q421" s="45" t="n"/>
      <c r="R421" s="85" t="n"/>
      <c r="S421" s="85" t="n"/>
      <c r="T421" s="85" t="n"/>
      <c r="U421" s="85" t="n"/>
      <c r="V421" s="85" t="n"/>
      <c r="W421" s="86" t="n"/>
      <c r="X421" s="44" t="n"/>
      <c r="Y421" s="44" t="n"/>
      <c r="Z421" s="44" t="n"/>
      <c r="AA421" s="85" t="n"/>
      <c r="AB421" s="45" t="n"/>
      <c r="AC421" s="86" t="n"/>
      <c r="AD421" s="44" t="n"/>
      <c r="AE421" s="87" t="n"/>
      <c r="AF421" s="44" t="n"/>
      <c r="AG421" s="44" t="n"/>
      <c r="AH421" s="87" t="n"/>
      <c r="AI421" s="44" t="n"/>
      <c r="AJ421" s="45" t="n"/>
      <c r="AK421" s="45" t="n"/>
      <c r="AL421" s="45" t="n"/>
      <c r="AM421" s="44" t="n"/>
      <c r="AN421" s="45" t="n"/>
      <c r="AO421" s="44" t="n"/>
      <c r="AP421" s="44" t="n"/>
      <c r="AQ421" s="44" t="n"/>
      <c r="AR421" s="44" t="n"/>
      <c r="AS421" s="44" t="n"/>
    </row>
    <row r="422">
      <c r="A422" s="44" t="n"/>
      <c r="B422" s="44" t="n"/>
      <c r="C422" s="44" t="n"/>
      <c r="D422" s="44" t="n"/>
      <c r="E422" s="44" t="n"/>
      <c r="F422" s="44" t="n"/>
      <c r="G422" s="45" t="n"/>
      <c r="H422" s="45" t="n"/>
      <c r="I422" s="85" t="n"/>
      <c r="J422" s="44" t="n"/>
      <c r="K422" s="44" t="n"/>
      <c r="L422" s="44" t="n"/>
      <c r="M422" s="45" t="n"/>
      <c r="N422" s="44" t="n"/>
      <c r="O422" s="86" t="n"/>
      <c r="P422" s="44" t="n"/>
      <c r="Q422" s="45" t="n"/>
      <c r="R422" s="85" t="n"/>
      <c r="S422" s="85" t="n"/>
      <c r="T422" s="85" t="n"/>
      <c r="U422" s="85" t="n"/>
      <c r="V422" s="85" t="n"/>
      <c r="W422" s="86" t="n"/>
      <c r="X422" s="44" t="n"/>
      <c r="Y422" s="44" t="n"/>
      <c r="Z422" s="44" t="n"/>
      <c r="AA422" s="85" t="n"/>
      <c r="AB422" s="45" t="n"/>
      <c r="AC422" s="86" t="n"/>
      <c r="AD422" s="44" t="n"/>
      <c r="AE422" s="87" t="n"/>
      <c r="AF422" s="44" t="n"/>
      <c r="AG422" s="44" t="n"/>
      <c r="AH422" s="87" t="n"/>
      <c r="AI422" s="44" t="n"/>
      <c r="AJ422" s="45" t="n"/>
      <c r="AK422" s="45" t="n"/>
      <c r="AL422" s="45" t="n"/>
      <c r="AM422" s="44" t="n"/>
      <c r="AN422" s="45" t="n"/>
      <c r="AO422" s="44" t="n"/>
      <c r="AP422" s="44" t="n"/>
      <c r="AQ422" s="44" t="n"/>
      <c r="AR422" s="44" t="n"/>
      <c r="AS422" s="44" t="n"/>
    </row>
    <row r="423">
      <c r="A423" s="44" t="n"/>
      <c r="B423" s="44" t="n"/>
      <c r="C423" s="44" t="n"/>
      <c r="D423" s="44" t="n"/>
      <c r="E423" s="44" t="n"/>
      <c r="F423" s="44" t="n"/>
      <c r="G423" s="45" t="n"/>
      <c r="H423" s="45" t="n"/>
      <c r="I423" s="85" t="n"/>
      <c r="J423" s="44" t="n"/>
      <c r="K423" s="44" t="n"/>
      <c r="L423" s="44" t="n"/>
      <c r="M423" s="45" t="n"/>
      <c r="N423" s="44" t="n"/>
      <c r="O423" s="86" t="n"/>
      <c r="P423" s="44" t="n"/>
      <c r="Q423" s="45" t="n"/>
      <c r="R423" s="85" t="n"/>
      <c r="S423" s="85" t="n"/>
      <c r="T423" s="85" t="n"/>
      <c r="U423" s="85" t="n"/>
      <c r="V423" s="85" t="n"/>
      <c r="W423" s="86" t="n"/>
      <c r="X423" s="44" t="n"/>
      <c r="Y423" s="44" t="n"/>
      <c r="Z423" s="44" t="n"/>
      <c r="AA423" s="85" t="n"/>
      <c r="AB423" s="45" t="n"/>
      <c r="AC423" s="86" t="n"/>
      <c r="AD423" s="44" t="n"/>
      <c r="AE423" s="87" t="n"/>
      <c r="AF423" s="44" t="n"/>
      <c r="AG423" s="44" t="n"/>
      <c r="AH423" s="87" t="n"/>
      <c r="AI423" s="44" t="n"/>
      <c r="AJ423" s="45" t="n"/>
      <c r="AK423" s="45" t="n"/>
      <c r="AL423" s="45" t="n"/>
      <c r="AM423" s="44" t="n"/>
      <c r="AN423" s="45" t="n"/>
      <c r="AO423" s="44" t="n"/>
      <c r="AP423" s="44" t="n"/>
      <c r="AQ423" s="44" t="n"/>
      <c r="AR423" s="44" t="n"/>
      <c r="AS423" s="44" t="n"/>
    </row>
    <row r="424">
      <c r="A424" s="44" t="n"/>
      <c r="B424" s="44" t="n"/>
      <c r="C424" s="44" t="n"/>
      <c r="D424" s="44" t="n"/>
      <c r="E424" s="44" t="n"/>
      <c r="F424" s="44" t="n"/>
      <c r="G424" s="45" t="n"/>
      <c r="H424" s="45" t="n"/>
      <c r="I424" s="85" t="n"/>
      <c r="J424" s="44" t="n"/>
      <c r="K424" s="44" t="n"/>
      <c r="L424" s="44" t="n"/>
      <c r="M424" s="45" t="n"/>
      <c r="N424" s="44" t="n"/>
      <c r="O424" s="86" t="n"/>
      <c r="P424" s="44" t="n"/>
      <c r="Q424" s="45" t="n"/>
      <c r="R424" s="85" t="n"/>
      <c r="S424" s="85" t="n"/>
      <c r="T424" s="85" t="n"/>
      <c r="U424" s="85" t="n"/>
      <c r="V424" s="85" t="n"/>
      <c r="W424" s="86" t="n"/>
      <c r="X424" s="44" t="n"/>
      <c r="Y424" s="44" t="n"/>
      <c r="Z424" s="44" t="n"/>
      <c r="AA424" s="85" t="n"/>
      <c r="AB424" s="45" t="n"/>
      <c r="AC424" s="86" t="n"/>
      <c r="AD424" s="44" t="n"/>
      <c r="AE424" s="87" t="n"/>
      <c r="AF424" s="44" t="n"/>
      <c r="AG424" s="44" t="n"/>
      <c r="AH424" s="87" t="n"/>
      <c r="AI424" s="44" t="n"/>
      <c r="AJ424" s="45" t="n"/>
      <c r="AK424" s="45" t="n"/>
      <c r="AL424" s="45" t="n"/>
      <c r="AM424" s="44" t="n"/>
      <c r="AN424" s="45" t="n"/>
      <c r="AO424" s="44" t="n"/>
      <c r="AP424" s="44" t="n"/>
      <c r="AQ424" s="44" t="n"/>
      <c r="AR424" s="44" t="n"/>
      <c r="AS424" s="44" t="n"/>
    </row>
    <row r="425">
      <c r="A425" s="44" t="n"/>
      <c r="B425" s="44" t="n"/>
      <c r="C425" s="44" t="n"/>
      <c r="D425" s="44" t="n"/>
      <c r="E425" s="44" t="n"/>
      <c r="F425" s="44" t="n"/>
      <c r="G425" s="45" t="n"/>
      <c r="H425" s="45" t="n"/>
      <c r="I425" s="85" t="n"/>
      <c r="J425" s="44" t="n"/>
      <c r="K425" s="44" t="n"/>
      <c r="L425" s="44" t="n"/>
      <c r="M425" s="45" t="n"/>
      <c r="N425" s="44" t="n"/>
      <c r="O425" s="86" t="n"/>
      <c r="P425" s="44" t="n"/>
      <c r="Q425" s="45" t="n"/>
      <c r="R425" s="85" t="n"/>
      <c r="S425" s="85" t="n"/>
      <c r="T425" s="85" t="n"/>
      <c r="U425" s="85" t="n"/>
      <c r="V425" s="85" t="n"/>
      <c r="W425" s="86" t="n"/>
      <c r="X425" s="44" t="n"/>
      <c r="Y425" s="44" t="n"/>
      <c r="Z425" s="44" t="n"/>
      <c r="AA425" s="85" t="n"/>
      <c r="AB425" s="45" t="n"/>
      <c r="AC425" s="86" t="n"/>
      <c r="AD425" s="44" t="n"/>
      <c r="AE425" s="87" t="n"/>
      <c r="AF425" s="44" t="n"/>
      <c r="AG425" s="44" t="n"/>
      <c r="AH425" s="87" t="n"/>
      <c r="AI425" s="44" t="n"/>
      <c r="AJ425" s="45" t="n"/>
      <c r="AK425" s="45" t="n"/>
      <c r="AL425" s="45" t="n"/>
      <c r="AM425" s="44" t="n"/>
      <c r="AN425" s="45" t="n"/>
      <c r="AO425" s="44" t="n"/>
      <c r="AP425" s="44" t="n"/>
      <c r="AQ425" s="44" t="n"/>
      <c r="AR425" s="44" t="n"/>
      <c r="AS425" s="44" t="n"/>
    </row>
    <row r="426">
      <c r="A426" s="44" t="n"/>
      <c r="B426" s="44" t="n"/>
      <c r="C426" s="44" t="n"/>
      <c r="D426" s="44" t="n"/>
      <c r="E426" s="44" t="n"/>
      <c r="F426" s="44" t="n"/>
      <c r="G426" s="45" t="n"/>
      <c r="H426" s="45" t="n"/>
      <c r="I426" s="85" t="n"/>
      <c r="J426" s="44" t="n"/>
      <c r="K426" s="44" t="n"/>
      <c r="L426" s="44" t="n"/>
      <c r="M426" s="45" t="n"/>
      <c r="N426" s="44" t="n"/>
      <c r="O426" s="86" t="n"/>
      <c r="P426" s="44" t="n"/>
      <c r="Q426" s="45" t="n"/>
      <c r="R426" s="85" t="n"/>
      <c r="S426" s="85" t="n"/>
      <c r="T426" s="85" t="n"/>
      <c r="U426" s="85" t="n"/>
      <c r="V426" s="85" t="n"/>
      <c r="W426" s="86" t="n"/>
      <c r="X426" s="44" t="n"/>
      <c r="Y426" s="44" t="n"/>
      <c r="Z426" s="44" t="n"/>
      <c r="AA426" s="85" t="n"/>
      <c r="AB426" s="45" t="n"/>
      <c r="AC426" s="86" t="n"/>
      <c r="AD426" s="44" t="n"/>
      <c r="AE426" s="87" t="n"/>
      <c r="AF426" s="44" t="n"/>
      <c r="AG426" s="44" t="n"/>
      <c r="AH426" s="87" t="n"/>
      <c r="AI426" s="44" t="n"/>
      <c r="AJ426" s="45" t="n"/>
      <c r="AK426" s="45" t="n"/>
      <c r="AL426" s="45" t="n"/>
      <c r="AM426" s="44" t="n"/>
      <c r="AN426" s="45" t="n"/>
      <c r="AO426" s="44" t="n"/>
      <c r="AP426" s="44" t="n"/>
      <c r="AQ426" s="44" t="n"/>
      <c r="AR426" s="44" t="n"/>
      <c r="AS426" s="44" t="n"/>
    </row>
    <row r="427">
      <c r="A427" s="44" t="n"/>
      <c r="B427" s="44" t="n"/>
      <c r="C427" s="44" t="n"/>
      <c r="D427" s="44" t="n"/>
      <c r="E427" s="44" t="n"/>
      <c r="F427" s="44" t="n"/>
      <c r="G427" s="45" t="n"/>
      <c r="H427" s="45" t="n"/>
      <c r="I427" s="85" t="n"/>
      <c r="J427" s="44" t="n"/>
      <c r="K427" s="44" t="n"/>
      <c r="L427" s="44" t="n"/>
      <c r="M427" s="45" t="n"/>
      <c r="N427" s="44" t="n"/>
      <c r="O427" s="86" t="n"/>
      <c r="P427" s="44" t="n"/>
      <c r="Q427" s="45" t="n"/>
      <c r="R427" s="85" t="n"/>
      <c r="S427" s="85" t="n"/>
      <c r="T427" s="85" t="n"/>
      <c r="U427" s="85" t="n"/>
      <c r="V427" s="85" t="n"/>
      <c r="W427" s="86" t="n"/>
      <c r="X427" s="44" t="n"/>
      <c r="Y427" s="44" t="n"/>
      <c r="Z427" s="44" t="n"/>
      <c r="AA427" s="85" t="n"/>
      <c r="AB427" s="45" t="n"/>
      <c r="AC427" s="86" t="n"/>
      <c r="AD427" s="44" t="n"/>
      <c r="AE427" s="87" t="n"/>
      <c r="AF427" s="44" t="n"/>
      <c r="AG427" s="44" t="n"/>
      <c r="AH427" s="87" t="n"/>
      <c r="AI427" s="44" t="n"/>
      <c r="AJ427" s="45" t="n"/>
      <c r="AK427" s="45" t="n"/>
      <c r="AL427" s="45" t="n"/>
      <c r="AM427" s="44" t="n"/>
      <c r="AN427" s="45" t="n"/>
      <c r="AO427" s="44" t="n"/>
      <c r="AP427" s="44" t="n"/>
      <c r="AQ427" s="44" t="n"/>
      <c r="AR427" s="44" t="n"/>
      <c r="AS427" s="44" t="n"/>
    </row>
    <row r="428">
      <c r="A428" s="44" t="n"/>
      <c r="B428" s="44" t="n"/>
      <c r="C428" s="44" t="n"/>
      <c r="D428" s="44" t="n"/>
      <c r="E428" s="44" t="n"/>
      <c r="F428" s="44" t="n"/>
      <c r="G428" s="45" t="n"/>
      <c r="H428" s="45" t="n"/>
      <c r="I428" s="85" t="n"/>
      <c r="J428" s="44" t="n"/>
      <c r="K428" s="44" t="n"/>
      <c r="L428" s="44" t="n"/>
      <c r="M428" s="45" t="n"/>
      <c r="N428" s="44" t="n"/>
      <c r="O428" s="86" t="n"/>
      <c r="P428" s="44" t="n"/>
      <c r="Q428" s="45" t="n"/>
      <c r="R428" s="85" t="n"/>
      <c r="S428" s="85" t="n"/>
      <c r="T428" s="85" t="n"/>
      <c r="U428" s="85" t="n"/>
      <c r="V428" s="85" t="n"/>
      <c r="W428" s="86" t="n"/>
      <c r="X428" s="44" t="n"/>
      <c r="Y428" s="44" t="n"/>
      <c r="Z428" s="44" t="n"/>
      <c r="AA428" s="85" t="n"/>
      <c r="AB428" s="45" t="n"/>
      <c r="AC428" s="86" t="n"/>
      <c r="AD428" s="44" t="n"/>
      <c r="AE428" s="87" t="n"/>
      <c r="AF428" s="44" t="n"/>
      <c r="AG428" s="44" t="n"/>
      <c r="AH428" s="87" t="n"/>
      <c r="AI428" s="44" t="n"/>
      <c r="AJ428" s="45" t="n"/>
      <c r="AK428" s="45" t="n"/>
      <c r="AL428" s="45" t="n"/>
      <c r="AM428" s="44" t="n"/>
      <c r="AN428" s="45" t="n"/>
      <c r="AO428" s="44" t="n"/>
      <c r="AP428" s="44" t="n"/>
      <c r="AQ428" s="44" t="n"/>
      <c r="AR428" s="44" t="n"/>
      <c r="AS428" s="44" t="n"/>
    </row>
    <row r="429">
      <c r="A429" s="44" t="n"/>
      <c r="B429" s="44" t="n"/>
      <c r="C429" s="44" t="n"/>
      <c r="D429" s="44" t="n"/>
      <c r="E429" s="44" t="n"/>
      <c r="F429" s="44" t="n"/>
      <c r="G429" s="45" t="n"/>
      <c r="H429" s="45" t="n"/>
      <c r="I429" s="85" t="n"/>
      <c r="J429" s="44" t="n"/>
      <c r="K429" s="44" t="n"/>
      <c r="L429" s="44" t="n"/>
      <c r="M429" s="45" t="n"/>
      <c r="N429" s="44" t="n"/>
      <c r="O429" s="86" t="n"/>
      <c r="P429" s="44" t="n"/>
      <c r="Q429" s="45" t="n"/>
      <c r="R429" s="85" t="n"/>
      <c r="S429" s="85" t="n"/>
      <c r="T429" s="85" t="n"/>
      <c r="U429" s="85" t="n"/>
      <c r="V429" s="85" t="n"/>
      <c r="W429" s="86" t="n"/>
      <c r="X429" s="44" t="n"/>
      <c r="Y429" s="44" t="n"/>
      <c r="Z429" s="44" t="n"/>
      <c r="AA429" s="85" t="n"/>
      <c r="AB429" s="45" t="n"/>
      <c r="AC429" s="86" t="n"/>
      <c r="AD429" s="44" t="n"/>
      <c r="AE429" s="87" t="n"/>
      <c r="AF429" s="44" t="n"/>
      <c r="AG429" s="44" t="n"/>
      <c r="AH429" s="87" t="n"/>
      <c r="AI429" s="44" t="n"/>
      <c r="AJ429" s="45" t="n"/>
      <c r="AK429" s="45" t="n"/>
      <c r="AL429" s="45" t="n"/>
      <c r="AM429" s="44" t="n"/>
      <c r="AN429" s="45" t="n"/>
      <c r="AO429" s="44" t="n"/>
      <c r="AP429" s="44" t="n"/>
      <c r="AQ429" s="44" t="n"/>
      <c r="AR429" s="44" t="n"/>
      <c r="AS429" s="44" t="n"/>
    </row>
    <row r="430">
      <c r="A430" s="44" t="n"/>
      <c r="B430" s="44" t="n"/>
      <c r="C430" s="44" t="n"/>
      <c r="D430" s="44" t="n"/>
      <c r="E430" s="44" t="n"/>
      <c r="F430" s="44" t="n"/>
      <c r="G430" s="45" t="n"/>
      <c r="H430" s="45" t="n"/>
      <c r="I430" s="85" t="n"/>
      <c r="J430" s="44" t="n"/>
      <c r="K430" s="44" t="n"/>
      <c r="L430" s="44" t="n"/>
      <c r="M430" s="45" t="n"/>
      <c r="N430" s="44" t="n"/>
      <c r="O430" s="86" t="n"/>
      <c r="P430" s="44" t="n"/>
      <c r="Q430" s="45" t="n"/>
      <c r="R430" s="85" t="n"/>
      <c r="S430" s="85" t="n"/>
      <c r="T430" s="85" t="n"/>
      <c r="U430" s="85" t="n"/>
      <c r="V430" s="85" t="n"/>
      <c r="W430" s="86" t="n"/>
      <c r="X430" s="44" t="n"/>
      <c r="Y430" s="44" t="n"/>
      <c r="Z430" s="44" t="n"/>
      <c r="AA430" s="85" t="n"/>
      <c r="AB430" s="45" t="n"/>
      <c r="AC430" s="86" t="n"/>
      <c r="AD430" s="44" t="n"/>
      <c r="AE430" s="87" t="n"/>
      <c r="AF430" s="44" t="n"/>
      <c r="AG430" s="44" t="n"/>
      <c r="AH430" s="87" t="n"/>
      <c r="AI430" s="44" t="n"/>
      <c r="AJ430" s="45" t="n"/>
      <c r="AK430" s="45" t="n"/>
      <c r="AL430" s="45" t="n"/>
      <c r="AM430" s="44" t="n"/>
      <c r="AN430" s="45" t="n"/>
      <c r="AO430" s="44" t="n"/>
      <c r="AP430" s="44" t="n"/>
      <c r="AQ430" s="44" t="n"/>
      <c r="AR430" s="44" t="n"/>
      <c r="AS430" s="44" t="n"/>
    </row>
    <row r="431">
      <c r="A431" s="44" t="n"/>
      <c r="B431" s="44" t="n"/>
      <c r="C431" s="44" t="n"/>
      <c r="D431" s="44" t="n"/>
      <c r="E431" s="44" t="n"/>
      <c r="F431" s="44" t="n"/>
      <c r="G431" s="45" t="n"/>
      <c r="H431" s="45" t="n"/>
      <c r="I431" s="85" t="n"/>
      <c r="J431" s="44" t="n"/>
      <c r="K431" s="44" t="n"/>
      <c r="L431" s="44" t="n"/>
      <c r="M431" s="45" t="n"/>
      <c r="N431" s="44" t="n"/>
      <c r="O431" s="86" t="n"/>
      <c r="P431" s="44" t="n"/>
      <c r="Q431" s="45" t="n"/>
      <c r="R431" s="85" t="n"/>
      <c r="S431" s="85" t="n"/>
      <c r="T431" s="85" t="n"/>
      <c r="U431" s="85" t="n"/>
      <c r="V431" s="85" t="n"/>
      <c r="W431" s="86" t="n"/>
      <c r="X431" s="44" t="n"/>
      <c r="Y431" s="44" t="n"/>
      <c r="Z431" s="44" t="n"/>
      <c r="AA431" s="85" t="n"/>
      <c r="AB431" s="45" t="n"/>
      <c r="AC431" s="86" t="n"/>
      <c r="AD431" s="44" t="n"/>
      <c r="AE431" s="87" t="n"/>
      <c r="AF431" s="44" t="n"/>
      <c r="AG431" s="44" t="n"/>
      <c r="AH431" s="87" t="n"/>
      <c r="AI431" s="44" t="n"/>
      <c r="AJ431" s="45" t="n"/>
      <c r="AK431" s="45" t="n"/>
      <c r="AL431" s="45" t="n"/>
      <c r="AM431" s="44" t="n"/>
      <c r="AN431" s="45" t="n"/>
      <c r="AO431" s="44" t="n"/>
      <c r="AP431" s="44" t="n"/>
      <c r="AQ431" s="44" t="n"/>
      <c r="AR431" s="44" t="n"/>
      <c r="AS431" s="44" t="n"/>
    </row>
    <row r="432">
      <c r="A432" s="44" t="n"/>
      <c r="B432" s="44" t="n"/>
      <c r="C432" s="44" t="n"/>
      <c r="D432" s="44" t="n"/>
      <c r="E432" s="44" t="n"/>
      <c r="F432" s="44" t="n"/>
      <c r="G432" s="45" t="n"/>
      <c r="H432" s="45" t="n"/>
      <c r="I432" s="85" t="n"/>
      <c r="J432" s="44" t="n"/>
      <c r="K432" s="44" t="n"/>
      <c r="L432" s="44" t="n"/>
      <c r="M432" s="45" t="n"/>
      <c r="N432" s="44" t="n"/>
      <c r="O432" s="86" t="n"/>
      <c r="P432" s="44" t="n"/>
      <c r="Q432" s="45" t="n"/>
      <c r="R432" s="85" t="n"/>
      <c r="S432" s="85" t="n"/>
      <c r="T432" s="85" t="n"/>
      <c r="U432" s="85" t="n"/>
      <c r="V432" s="85" t="n"/>
      <c r="W432" s="86" t="n"/>
      <c r="X432" s="44" t="n"/>
      <c r="Y432" s="44" t="n"/>
      <c r="Z432" s="44" t="n"/>
      <c r="AA432" s="85" t="n"/>
      <c r="AB432" s="45" t="n"/>
      <c r="AC432" s="86" t="n"/>
      <c r="AD432" s="44" t="n"/>
      <c r="AE432" s="87" t="n"/>
      <c r="AF432" s="44" t="n"/>
      <c r="AG432" s="44" t="n"/>
      <c r="AH432" s="87" t="n"/>
      <c r="AI432" s="44" t="n"/>
      <c r="AJ432" s="45" t="n"/>
      <c r="AK432" s="45" t="n"/>
      <c r="AL432" s="45" t="n"/>
      <c r="AM432" s="44" t="n"/>
      <c r="AN432" s="45" t="n"/>
      <c r="AO432" s="44" t="n"/>
      <c r="AP432" s="44" t="n"/>
      <c r="AQ432" s="44" t="n"/>
      <c r="AR432" s="44" t="n"/>
      <c r="AS432" s="44" t="n"/>
    </row>
    <row r="433">
      <c r="A433" s="44" t="n"/>
      <c r="B433" s="44" t="n"/>
      <c r="C433" s="44" t="n"/>
      <c r="D433" s="44" t="n"/>
      <c r="E433" s="44" t="n"/>
      <c r="F433" s="44" t="n"/>
      <c r="G433" s="45" t="n"/>
      <c r="H433" s="45" t="n"/>
      <c r="I433" s="85" t="n"/>
      <c r="J433" s="44" t="n"/>
      <c r="K433" s="44" t="n"/>
      <c r="L433" s="44" t="n"/>
      <c r="M433" s="45" t="n"/>
      <c r="N433" s="44" t="n"/>
      <c r="O433" s="86" t="n"/>
      <c r="P433" s="44" t="n"/>
      <c r="Q433" s="45" t="n"/>
      <c r="R433" s="85" t="n"/>
      <c r="S433" s="85" t="n"/>
      <c r="T433" s="85" t="n"/>
      <c r="U433" s="85" t="n"/>
      <c r="V433" s="85" t="n"/>
      <c r="W433" s="86" t="n"/>
      <c r="X433" s="44" t="n"/>
      <c r="Y433" s="44" t="n"/>
      <c r="Z433" s="44" t="n"/>
      <c r="AA433" s="85" t="n"/>
      <c r="AB433" s="45" t="n"/>
      <c r="AC433" s="86" t="n"/>
      <c r="AD433" s="44" t="n"/>
      <c r="AE433" s="87" t="n"/>
      <c r="AF433" s="44" t="n"/>
      <c r="AG433" s="44" t="n"/>
      <c r="AH433" s="87" t="n"/>
      <c r="AI433" s="44" t="n"/>
      <c r="AJ433" s="45" t="n"/>
      <c r="AK433" s="45" t="n"/>
      <c r="AL433" s="45" t="n"/>
      <c r="AM433" s="44" t="n"/>
      <c r="AN433" s="45" t="n"/>
      <c r="AO433" s="44" t="n"/>
      <c r="AP433" s="44" t="n"/>
      <c r="AQ433" s="44" t="n"/>
      <c r="AR433" s="44" t="n"/>
      <c r="AS433" s="44" t="n"/>
    </row>
    <row r="434">
      <c r="A434" s="44" t="n"/>
      <c r="B434" s="44" t="n"/>
      <c r="C434" s="44" t="n"/>
      <c r="D434" s="44" t="n"/>
      <c r="E434" s="44" t="n"/>
      <c r="F434" s="44" t="n"/>
      <c r="G434" s="45" t="n"/>
      <c r="H434" s="45" t="n"/>
      <c r="I434" s="85" t="n"/>
      <c r="J434" s="44" t="n"/>
      <c r="K434" s="44" t="n"/>
      <c r="L434" s="44" t="n"/>
      <c r="M434" s="45" t="n"/>
      <c r="N434" s="44" t="n"/>
      <c r="O434" s="86" t="n"/>
      <c r="P434" s="44" t="n"/>
      <c r="Q434" s="45" t="n"/>
      <c r="R434" s="85" t="n"/>
      <c r="S434" s="85" t="n"/>
      <c r="T434" s="85" t="n"/>
      <c r="U434" s="85" t="n"/>
      <c r="V434" s="85" t="n"/>
      <c r="W434" s="86" t="n"/>
      <c r="X434" s="44" t="n"/>
      <c r="Y434" s="44" t="n"/>
      <c r="Z434" s="44" t="n"/>
      <c r="AA434" s="85" t="n"/>
      <c r="AB434" s="45" t="n"/>
      <c r="AC434" s="86" t="n"/>
      <c r="AD434" s="44" t="n"/>
      <c r="AE434" s="87" t="n"/>
      <c r="AF434" s="44" t="n"/>
      <c r="AG434" s="44" t="n"/>
      <c r="AH434" s="87" t="n"/>
      <c r="AI434" s="44" t="n"/>
      <c r="AJ434" s="45" t="n"/>
      <c r="AK434" s="45" t="n"/>
      <c r="AL434" s="45" t="n"/>
      <c r="AM434" s="44" t="n"/>
      <c r="AN434" s="45" t="n"/>
      <c r="AO434" s="44" t="n"/>
      <c r="AP434" s="44" t="n"/>
      <c r="AQ434" s="44" t="n"/>
      <c r="AR434" s="44" t="n"/>
      <c r="AS434" s="44" t="n"/>
    </row>
    <row r="435">
      <c r="A435" s="44" t="n"/>
      <c r="B435" s="44" t="n"/>
      <c r="C435" s="44" t="n"/>
      <c r="D435" s="44" t="n"/>
      <c r="E435" s="44" t="n"/>
      <c r="F435" s="44" t="n"/>
      <c r="G435" s="45" t="n"/>
      <c r="H435" s="45" t="n"/>
      <c r="I435" s="85" t="n"/>
      <c r="J435" s="44" t="n"/>
      <c r="K435" s="44" t="n"/>
      <c r="L435" s="44" t="n"/>
      <c r="M435" s="45" t="n"/>
      <c r="N435" s="44" t="n"/>
      <c r="O435" s="86" t="n"/>
      <c r="P435" s="44" t="n"/>
      <c r="Q435" s="45" t="n"/>
      <c r="R435" s="85" t="n"/>
      <c r="S435" s="85" t="n"/>
      <c r="T435" s="85" t="n"/>
      <c r="U435" s="85" t="n"/>
      <c r="V435" s="85" t="n"/>
      <c r="W435" s="86" t="n"/>
      <c r="X435" s="44" t="n"/>
      <c r="Y435" s="44" t="n"/>
      <c r="Z435" s="44" t="n"/>
      <c r="AA435" s="85" t="n"/>
      <c r="AB435" s="45" t="n"/>
      <c r="AC435" s="86" t="n"/>
      <c r="AD435" s="44" t="n"/>
      <c r="AE435" s="87" t="n"/>
      <c r="AF435" s="44" t="n"/>
      <c r="AG435" s="44" t="n"/>
      <c r="AH435" s="87" t="n"/>
      <c r="AI435" s="44" t="n"/>
      <c r="AJ435" s="45" t="n"/>
      <c r="AK435" s="45" t="n"/>
      <c r="AL435" s="45" t="n"/>
      <c r="AM435" s="44" t="n"/>
      <c r="AN435" s="45" t="n"/>
      <c r="AO435" s="44" t="n"/>
      <c r="AP435" s="44" t="n"/>
      <c r="AQ435" s="44" t="n"/>
      <c r="AR435" s="44" t="n"/>
      <c r="AS435" s="44" t="n"/>
    </row>
    <row r="436">
      <c r="A436" s="44" t="n"/>
      <c r="B436" s="44" t="n"/>
      <c r="C436" s="44" t="n"/>
      <c r="D436" s="44" t="n"/>
      <c r="E436" s="44" t="n"/>
      <c r="F436" s="44" t="n"/>
      <c r="G436" s="45" t="n"/>
      <c r="H436" s="45" t="n"/>
      <c r="I436" s="85" t="n"/>
      <c r="J436" s="44" t="n"/>
      <c r="K436" s="44" t="n"/>
      <c r="L436" s="44" t="n"/>
      <c r="M436" s="45" t="n"/>
      <c r="N436" s="44" t="n"/>
      <c r="O436" s="86" t="n"/>
      <c r="P436" s="44" t="n"/>
      <c r="Q436" s="45" t="n"/>
      <c r="R436" s="85" t="n"/>
      <c r="S436" s="85" t="n"/>
      <c r="T436" s="85" t="n"/>
      <c r="U436" s="85" t="n"/>
      <c r="V436" s="85" t="n"/>
      <c r="W436" s="86" t="n"/>
      <c r="X436" s="44" t="n"/>
      <c r="Y436" s="44" t="n"/>
      <c r="Z436" s="44" t="n"/>
      <c r="AA436" s="85" t="n"/>
      <c r="AB436" s="45" t="n"/>
      <c r="AC436" s="86" t="n"/>
      <c r="AD436" s="44" t="n"/>
      <c r="AE436" s="87" t="n"/>
      <c r="AF436" s="44" t="n"/>
      <c r="AG436" s="44" t="n"/>
      <c r="AH436" s="87" t="n"/>
      <c r="AI436" s="44" t="n"/>
      <c r="AJ436" s="45" t="n"/>
      <c r="AK436" s="45" t="n"/>
      <c r="AL436" s="45" t="n"/>
      <c r="AM436" s="44" t="n"/>
      <c r="AN436" s="45" t="n"/>
      <c r="AO436" s="44" t="n"/>
      <c r="AP436" s="44" t="n"/>
      <c r="AQ436" s="44" t="n"/>
      <c r="AR436" s="44" t="n"/>
      <c r="AS436" s="44" t="n"/>
    </row>
    <row r="437">
      <c r="A437" s="44" t="n"/>
      <c r="B437" s="44" t="n"/>
      <c r="C437" s="44" t="n"/>
      <c r="D437" s="44" t="n"/>
      <c r="E437" s="44" t="n"/>
      <c r="F437" s="44" t="n"/>
      <c r="G437" s="45" t="n"/>
      <c r="H437" s="45" t="n"/>
      <c r="I437" s="85" t="n"/>
      <c r="J437" s="44" t="n"/>
      <c r="K437" s="44" t="n"/>
      <c r="L437" s="44" t="n"/>
      <c r="M437" s="45" t="n"/>
      <c r="N437" s="44" t="n"/>
      <c r="O437" s="86" t="n"/>
      <c r="P437" s="44" t="n"/>
      <c r="Q437" s="45" t="n"/>
      <c r="R437" s="85" t="n"/>
      <c r="S437" s="85" t="n"/>
      <c r="T437" s="85" t="n"/>
      <c r="U437" s="85" t="n"/>
      <c r="V437" s="85" t="n"/>
      <c r="W437" s="86" t="n"/>
      <c r="X437" s="44" t="n"/>
      <c r="Y437" s="44" t="n"/>
      <c r="Z437" s="44" t="n"/>
      <c r="AA437" s="85" t="n"/>
      <c r="AB437" s="45" t="n"/>
      <c r="AC437" s="86" t="n"/>
      <c r="AD437" s="44" t="n"/>
      <c r="AE437" s="87" t="n"/>
      <c r="AF437" s="44" t="n"/>
      <c r="AG437" s="44" t="n"/>
      <c r="AH437" s="87" t="n"/>
      <c r="AI437" s="44" t="n"/>
      <c r="AJ437" s="45" t="n"/>
      <c r="AK437" s="45" t="n"/>
      <c r="AL437" s="45" t="n"/>
      <c r="AM437" s="44" t="n"/>
      <c r="AN437" s="45" t="n"/>
      <c r="AO437" s="44" t="n"/>
      <c r="AP437" s="44" t="n"/>
      <c r="AQ437" s="44" t="n"/>
      <c r="AR437" s="44" t="n"/>
      <c r="AS437" s="44" t="n"/>
    </row>
    <row r="438">
      <c r="A438" s="44" t="n"/>
      <c r="B438" s="44" t="n"/>
      <c r="C438" s="44" t="n"/>
      <c r="D438" s="44" t="n"/>
      <c r="E438" s="44" t="n"/>
      <c r="F438" s="44" t="n"/>
      <c r="G438" s="45" t="n"/>
      <c r="H438" s="45" t="n"/>
      <c r="I438" s="85" t="n"/>
      <c r="J438" s="44" t="n"/>
      <c r="K438" s="44" t="n"/>
      <c r="L438" s="44" t="n"/>
      <c r="M438" s="45" t="n"/>
      <c r="N438" s="44" t="n"/>
      <c r="O438" s="86" t="n"/>
      <c r="P438" s="44" t="n"/>
      <c r="Q438" s="45" t="n"/>
      <c r="R438" s="85" t="n"/>
      <c r="S438" s="85" t="n"/>
      <c r="T438" s="85" t="n"/>
      <c r="U438" s="85" t="n"/>
      <c r="V438" s="85" t="n"/>
      <c r="W438" s="86" t="n"/>
      <c r="X438" s="44" t="n"/>
      <c r="Y438" s="44" t="n"/>
      <c r="Z438" s="44" t="n"/>
      <c r="AA438" s="85" t="n"/>
      <c r="AB438" s="45" t="n"/>
      <c r="AC438" s="86" t="n"/>
      <c r="AD438" s="44" t="n"/>
      <c r="AE438" s="87" t="n"/>
      <c r="AF438" s="44" t="n"/>
      <c r="AG438" s="44" t="n"/>
      <c r="AH438" s="87" t="n"/>
      <c r="AI438" s="44" t="n"/>
      <c r="AJ438" s="45" t="n"/>
      <c r="AK438" s="45" t="n"/>
      <c r="AL438" s="45" t="n"/>
      <c r="AM438" s="44" t="n"/>
      <c r="AN438" s="45" t="n"/>
      <c r="AO438" s="44" t="n"/>
      <c r="AP438" s="44" t="n"/>
      <c r="AQ438" s="44" t="n"/>
      <c r="AR438" s="44" t="n"/>
      <c r="AS438" s="44" t="n"/>
    </row>
    <row r="439">
      <c r="A439" s="44" t="n"/>
      <c r="B439" s="44" t="n"/>
      <c r="C439" s="44" t="n"/>
      <c r="D439" s="44" t="n"/>
      <c r="E439" s="44" t="n"/>
      <c r="F439" s="44" t="n"/>
      <c r="G439" s="45" t="n"/>
      <c r="H439" s="45" t="n"/>
      <c r="I439" s="85" t="n"/>
      <c r="J439" s="44" t="n"/>
      <c r="K439" s="44" t="n"/>
      <c r="L439" s="44" t="n"/>
      <c r="M439" s="45" t="n"/>
      <c r="N439" s="44" t="n"/>
      <c r="O439" s="86" t="n"/>
      <c r="P439" s="44" t="n"/>
      <c r="Q439" s="45" t="n"/>
      <c r="R439" s="85" t="n"/>
      <c r="S439" s="85" t="n"/>
      <c r="T439" s="85" t="n"/>
      <c r="U439" s="85" t="n"/>
      <c r="V439" s="85" t="n"/>
      <c r="W439" s="86" t="n"/>
      <c r="X439" s="44" t="n"/>
      <c r="Y439" s="44" t="n"/>
      <c r="Z439" s="44" t="n"/>
      <c r="AA439" s="85" t="n"/>
      <c r="AB439" s="45" t="n"/>
      <c r="AC439" s="86" t="n"/>
      <c r="AD439" s="44" t="n"/>
      <c r="AE439" s="87" t="n"/>
      <c r="AF439" s="44" t="n"/>
      <c r="AG439" s="44" t="n"/>
      <c r="AH439" s="87" t="n"/>
      <c r="AI439" s="44" t="n"/>
      <c r="AJ439" s="45" t="n"/>
      <c r="AK439" s="45" t="n"/>
      <c r="AL439" s="45" t="n"/>
      <c r="AM439" s="44" t="n"/>
      <c r="AN439" s="45" t="n"/>
      <c r="AO439" s="44" t="n"/>
      <c r="AP439" s="44" t="n"/>
      <c r="AQ439" s="44" t="n"/>
      <c r="AR439" s="44" t="n"/>
      <c r="AS439" s="44" t="n"/>
    </row>
    <row r="440">
      <c r="A440" s="44" t="n"/>
      <c r="B440" s="44" t="n"/>
      <c r="C440" s="44" t="n"/>
      <c r="D440" s="44" t="n"/>
      <c r="E440" s="44" t="n"/>
      <c r="F440" s="44" t="n"/>
      <c r="G440" s="45" t="n"/>
      <c r="H440" s="45" t="n"/>
      <c r="I440" s="85" t="n"/>
      <c r="J440" s="44" t="n"/>
      <c r="K440" s="44" t="n"/>
      <c r="L440" s="44" t="n"/>
      <c r="M440" s="45" t="n"/>
      <c r="N440" s="44" t="n"/>
      <c r="O440" s="86" t="n"/>
      <c r="P440" s="44" t="n"/>
      <c r="Q440" s="45" t="n"/>
      <c r="R440" s="85" t="n"/>
      <c r="S440" s="85" t="n"/>
      <c r="T440" s="85" t="n"/>
      <c r="U440" s="85" t="n"/>
      <c r="V440" s="85" t="n"/>
      <c r="W440" s="86" t="n"/>
      <c r="X440" s="44" t="n"/>
      <c r="Y440" s="44" t="n"/>
      <c r="Z440" s="44" t="n"/>
      <c r="AA440" s="85" t="n"/>
      <c r="AB440" s="45" t="n"/>
      <c r="AC440" s="86" t="n"/>
      <c r="AD440" s="44" t="n"/>
      <c r="AE440" s="87" t="n"/>
      <c r="AF440" s="44" t="n"/>
      <c r="AG440" s="44" t="n"/>
      <c r="AH440" s="87" t="n"/>
      <c r="AI440" s="44" t="n"/>
      <c r="AJ440" s="45" t="n"/>
      <c r="AK440" s="45" t="n"/>
      <c r="AL440" s="45" t="n"/>
      <c r="AM440" s="44" t="n"/>
      <c r="AN440" s="45" t="n"/>
      <c r="AO440" s="44" t="n"/>
      <c r="AP440" s="44" t="n"/>
      <c r="AQ440" s="44" t="n"/>
      <c r="AR440" s="44" t="n"/>
      <c r="AS440" s="44" t="n"/>
    </row>
    <row r="441">
      <c r="A441" s="44" t="n"/>
      <c r="B441" s="44" t="n"/>
      <c r="C441" s="44" t="n"/>
      <c r="D441" s="44" t="n"/>
      <c r="E441" s="44" t="n"/>
      <c r="F441" s="44" t="n"/>
      <c r="G441" s="45" t="n"/>
      <c r="H441" s="45" t="n"/>
      <c r="I441" s="85" t="n"/>
      <c r="J441" s="44" t="n"/>
      <c r="K441" s="44" t="n"/>
      <c r="L441" s="44" t="n"/>
      <c r="M441" s="45" t="n"/>
      <c r="N441" s="44" t="n"/>
      <c r="O441" s="86" t="n"/>
      <c r="P441" s="44" t="n"/>
      <c r="Q441" s="45" t="n"/>
      <c r="R441" s="85" t="n"/>
      <c r="S441" s="85" t="n"/>
      <c r="T441" s="85" t="n"/>
      <c r="U441" s="85" t="n"/>
      <c r="V441" s="85" t="n"/>
      <c r="W441" s="86" t="n"/>
      <c r="X441" s="44" t="n"/>
      <c r="Y441" s="44" t="n"/>
      <c r="Z441" s="44" t="n"/>
      <c r="AA441" s="85" t="n"/>
      <c r="AB441" s="45" t="n"/>
      <c r="AC441" s="86" t="n"/>
      <c r="AD441" s="44" t="n"/>
      <c r="AE441" s="87" t="n"/>
      <c r="AF441" s="44" t="n"/>
      <c r="AG441" s="44" t="n"/>
      <c r="AH441" s="87" t="n"/>
      <c r="AI441" s="44" t="n"/>
      <c r="AJ441" s="45" t="n"/>
      <c r="AK441" s="45" t="n"/>
      <c r="AL441" s="45" t="n"/>
      <c r="AM441" s="44" t="n"/>
      <c r="AN441" s="45" t="n"/>
      <c r="AO441" s="44" t="n"/>
      <c r="AP441" s="44" t="n"/>
      <c r="AQ441" s="44" t="n"/>
      <c r="AR441" s="44" t="n"/>
      <c r="AS441" s="44" t="n"/>
    </row>
    <row r="442">
      <c r="A442" s="44" t="n"/>
      <c r="B442" s="44" t="n"/>
      <c r="C442" s="44" t="n"/>
      <c r="D442" s="44" t="n"/>
      <c r="E442" s="44" t="n"/>
      <c r="F442" s="44" t="n"/>
      <c r="G442" s="45" t="n"/>
      <c r="H442" s="45" t="n"/>
      <c r="I442" s="85" t="n"/>
      <c r="J442" s="44" t="n"/>
      <c r="K442" s="44" t="n"/>
      <c r="L442" s="44" t="n"/>
      <c r="M442" s="45" t="n"/>
      <c r="N442" s="44" t="n"/>
      <c r="O442" s="86" t="n"/>
      <c r="P442" s="44" t="n"/>
      <c r="Q442" s="45" t="n"/>
      <c r="R442" s="85" t="n"/>
      <c r="S442" s="85" t="n"/>
      <c r="T442" s="85" t="n"/>
      <c r="U442" s="85" t="n"/>
      <c r="V442" s="85" t="n"/>
      <c r="W442" s="86" t="n"/>
      <c r="X442" s="44" t="n"/>
      <c r="Y442" s="44" t="n"/>
      <c r="Z442" s="44" t="n"/>
      <c r="AA442" s="85" t="n"/>
      <c r="AB442" s="45" t="n"/>
      <c r="AC442" s="86" t="n"/>
      <c r="AD442" s="44" t="n"/>
      <c r="AE442" s="87" t="n"/>
      <c r="AF442" s="44" t="n"/>
      <c r="AG442" s="44" t="n"/>
      <c r="AH442" s="87" t="n"/>
      <c r="AI442" s="44" t="n"/>
      <c r="AJ442" s="45" t="n"/>
      <c r="AK442" s="45" t="n"/>
      <c r="AL442" s="45" t="n"/>
      <c r="AM442" s="44" t="n"/>
      <c r="AN442" s="45" t="n"/>
      <c r="AO442" s="44" t="n"/>
      <c r="AP442" s="44" t="n"/>
      <c r="AQ442" s="44" t="n"/>
      <c r="AR442" s="44" t="n"/>
      <c r="AS442" s="44" t="n"/>
    </row>
    <row r="443">
      <c r="A443" s="44" t="n"/>
      <c r="B443" s="44" t="n"/>
      <c r="C443" s="44" t="n"/>
      <c r="D443" s="44" t="n"/>
      <c r="E443" s="44" t="n"/>
      <c r="F443" s="44" t="n"/>
      <c r="G443" s="45" t="n"/>
      <c r="H443" s="45" t="n"/>
      <c r="I443" s="85" t="n"/>
      <c r="J443" s="44" t="n"/>
      <c r="K443" s="44" t="n"/>
      <c r="L443" s="44" t="n"/>
      <c r="M443" s="45" t="n"/>
      <c r="N443" s="44" t="n"/>
      <c r="O443" s="86" t="n"/>
      <c r="P443" s="44" t="n"/>
      <c r="Q443" s="45" t="n"/>
      <c r="R443" s="85" t="n"/>
      <c r="S443" s="85" t="n"/>
      <c r="T443" s="85" t="n"/>
      <c r="U443" s="85" t="n"/>
      <c r="V443" s="85" t="n"/>
      <c r="W443" s="86" t="n"/>
      <c r="X443" s="44" t="n"/>
      <c r="Y443" s="44" t="n"/>
      <c r="Z443" s="44" t="n"/>
      <c r="AA443" s="85" t="n"/>
      <c r="AB443" s="45" t="n"/>
      <c r="AC443" s="86" t="n"/>
      <c r="AD443" s="44" t="n"/>
      <c r="AE443" s="87" t="n"/>
      <c r="AF443" s="44" t="n"/>
      <c r="AG443" s="44" t="n"/>
      <c r="AH443" s="87" t="n"/>
      <c r="AI443" s="44" t="n"/>
      <c r="AJ443" s="45" t="n"/>
      <c r="AK443" s="45" t="n"/>
      <c r="AL443" s="45" t="n"/>
      <c r="AM443" s="44" t="n"/>
      <c r="AN443" s="45" t="n"/>
      <c r="AO443" s="44" t="n"/>
      <c r="AP443" s="44" t="n"/>
      <c r="AQ443" s="44" t="n"/>
      <c r="AR443" s="44" t="n"/>
      <c r="AS443" s="44" t="n"/>
    </row>
    <row r="444">
      <c r="A444" s="44" t="n"/>
      <c r="B444" s="44" t="n"/>
      <c r="C444" s="44" t="n"/>
      <c r="D444" s="44" t="n"/>
      <c r="E444" s="44" t="n"/>
      <c r="F444" s="44" t="n"/>
      <c r="G444" s="45" t="n"/>
      <c r="H444" s="45" t="n"/>
      <c r="I444" s="85" t="n"/>
      <c r="J444" s="44" t="n"/>
      <c r="K444" s="44" t="n"/>
      <c r="L444" s="44" t="n"/>
      <c r="M444" s="45" t="n"/>
      <c r="N444" s="44" t="n"/>
      <c r="O444" s="86" t="n"/>
      <c r="P444" s="44" t="n"/>
      <c r="Q444" s="45" t="n"/>
      <c r="R444" s="85" t="n"/>
      <c r="S444" s="85" t="n"/>
      <c r="T444" s="85" t="n"/>
      <c r="U444" s="85" t="n"/>
      <c r="V444" s="85" t="n"/>
      <c r="W444" s="86" t="n"/>
      <c r="X444" s="44" t="n"/>
      <c r="Y444" s="44" t="n"/>
      <c r="Z444" s="44" t="n"/>
      <c r="AA444" s="85" t="n"/>
      <c r="AB444" s="45" t="n"/>
      <c r="AC444" s="86" t="n"/>
      <c r="AD444" s="44" t="n"/>
      <c r="AE444" s="87" t="n"/>
      <c r="AF444" s="44" t="n"/>
      <c r="AG444" s="44" t="n"/>
      <c r="AH444" s="87" t="n"/>
      <c r="AI444" s="44" t="n"/>
      <c r="AJ444" s="45" t="n"/>
      <c r="AK444" s="45" t="n"/>
      <c r="AL444" s="45" t="n"/>
      <c r="AM444" s="44" t="n"/>
      <c r="AN444" s="45" t="n"/>
      <c r="AO444" s="44" t="n"/>
      <c r="AP444" s="44" t="n"/>
      <c r="AQ444" s="44" t="n"/>
      <c r="AR444" s="44" t="n"/>
      <c r="AS444" s="44" t="n"/>
    </row>
    <row r="445">
      <c r="A445" s="44" t="n"/>
      <c r="B445" s="44" t="n"/>
      <c r="C445" s="44" t="n"/>
      <c r="D445" s="44" t="n"/>
      <c r="E445" s="44" t="n"/>
      <c r="F445" s="44" t="n"/>
      <c r="G445" s="45" t="n"/>
      <c r="H445" s="45" t="n"/>
      <c r="I445" s="85" t="n"/>
      <c r="J445" s="44" t="n"/>
      <c r="K445" s="44" t="n"/>
      <c r="L445" s="44" t="n"/>
      <c r="M445" s="45" t="n"/>
      <c r="N445" s="44" t="n"/>
      <c r="O445" s="86" t="n"/>
      <c r="P445" s="44" t="n"/>
      <c r="Q445" s="45" t="n"/>
      <c r="R445" s="85" t="n"/>
      <c r="S445" s="85" t="n"/>
      <c r="T445" s="85" t="n"/>
      <c r="U445" s="85" t="n"/>
      <c r="V445" s="85" t="n"/>
      <c r="W445" s="86" t="n"/>
      <c r="X445" s="44" t="n"/>
      <c r="Y445" s="44" t="n"/>
      <c r="Z445" s="44" t="n"/>
      <c r="AA445" s="85" t="n"/>
      <c r="AB445" s="45" t="n"/>
      <c r="AC445" s="86" t="n"/>
      <c r="AD445" s="44" t="n"/>
      <c r="AE445" s="87" t="n"/>
      <c r="AF445" s="44" t="n"/>
      <c r="AG445" s="44" t="n"/>
      <c r="AH445" s="87" t="n"/>
      <c r="AI445" s="44" t="n"/>
      <c r="AJ445" s="45" t="n"/>
      <c r="AK445" s="45" t="n"/>
      <c r="AL445" s="45" t="n"/>
      <c r="AM445" s="44" t="n"/>
      <c r="AN445" s="45" t="n"/>
      <c r="AO445" s="44" t="n"/>
      <c r="AP445" s="44" t="n"/>
      <c r="AQ445" s="44" t="n"/>
      <c r="AR445" s="44" t="n"/>
      <c r="AS445" s="44" t="n"/>
    </row>
    <row r="446">
      <c r="A446" s="44" t="n"/>
      <c r="B446" s="44" t="n"/>
      <c r="C446" s="44" t="n"/>
      <c r="D446" s="44" t="n"/>
      <c r="E446" s="44" t="n"/>
      <c r="F446" s="44" t="n"/>
      <c r="G446" s="45" t="n"/>
      <c r="H446" s="45" t="n"/>
      <c r="I446" s="85" t="n"/>
      <c r="J446" s="44" t="n"/>
      <c r="K446" s="44" t="n"/>
      <c r="L446" s="44" t="n"/>
      <c r="M446" s="45" t="n"/>
      <c r="N446" s="44" t="n"/>
      <c r="O446" s="86" t="n"/>
      <c r="P446" s="44" t="n"/>
      <c r="Q446" s="45" t="n"/>
      <c r="R446" s="85" t="n"/>
      <c r="S446" s="85" t="n"/>
      <c r="T446" s="85" t="n"/>
      <c r="U446" s="85" t="n"/>
      <c r="V446" s="85" t="n"/>
      <c r="W446" s="86" t="n"/>
      <c r="X446" s="44" t="n"/>
      <c r="Y446" s="44" t="n"/>
      <c r="Z446" s="44" t="n"/>
      <c r="AA446" s="85" t="n"/>
      <c r="AB446" s="45" t="n"/>
      <c r="AC446" s="86" t="n"/>
      <c r="AD446" s="44" t="n"/>
      <c r="AE446" s="87" t="n"/>
      <c r="AF446" s="44" t="n"/>
      <c r="AG446" s="44" t="n"/>
      <c r="AH446" s="87" t="n"/>
      <c r="AI446" s="44" t="n"/>
      <c r="AJ446" s="45" t="n"/>
      <c r="AK446" s="45" t="n"/>
      <c r="AL446" s="45" t="n"/>
      <c r="AM446" s="44" t="n"/>
      <c r="AN446" s="45" t="n"/>
      <c r="AO446" s="44" t="n"/>
      <c r="AP446" s="44" t="n"/>
      <c r="AQ446" s="44" t="n"/>
      <c r="AR446" s="44" t="n"/>
      <c r="AS446" s="44" t="n"/>
    </row>
    <row r="447">
      <c r="A447" s="44" t="n"/>
      <c r="B447" s="44" t="n"/>
      <c r="C447" s="44" t="n"/>
      <c r="D447" s="44" t="n"/>
      <c r="E447" s="44" t="n"/>
      <c r="F447" s="44" t="n"/>
      <c r="G447" s="45" t="n"/>
      <c r="H447" s="45" t="n"/>
      <c r="I447" s="85" t="n"/>
      <c r="J447" s="44" t="n"/>
      <c r="K447" s="44" t="n"/>
      <c r="L447" s="44" t="n"/>
      <c r="M447" s="45" t="n"/>
      <c r="N447" s="44" t="n"/>
      <c r="O447" s="86" t="n"/>
      <c r="P447" s="44" t="n"/>
      <c r="Q447" s="45" t="n"/>
      <c r="R447" s="85" t="n"/>
      <c r="S447" s="85" t="n"/>
      <c r="T447" s="85" t="n"/>
      <c r="U447" s="85" t="n"/>
      <c r="V447" s="85" t="n"/>
      <c r="W447" s="86" t="n"/>
      <c r="X447" s="44" t="n"/>
      <c r="Y447" s="44" t="n"/>
      <c r="Z447" s="44" t="n"/>
      <c r="AA447" s="85" t="n"/>
      <c r="AB447" s="45" t="n"/>
      <c r="AC447" s="86" t="n"/>
      <c r="AD447" s="44" t="n"/>
      <c r="AE447" s="87" t="n"/>
      <c r="AF447" s="44" t="n"/>
      <c r="AG447" s="44" t="n"/>
      <c r="AH447" s="87" t="n"/>
      <c r="AI447" s="44" t="n"/>
      <c r="AJ447" s="45" t="n"/>
      <c r="AK447" s="45" t="n"/>
      <c r="AL447" s="45" t="n"/>
      <c r="AM447" s="44" t="n"/>
      <c r="AN447" s="45" t="n"/>
      <c r="AO447" s="44" t="n"/>
      <c r="AP447" s="44" t="n"/>
      <c r="AQ447" s="44" t="n"/>
      <c r="AR447" s="44" t="n"/>
      <c r="AS447" s="44" t="n"/>
    </row>
    <row r="448">
      <c r="A448" s="44" t="n"/>
      <c r="B448" s="44" t="n"/>
      <c r="C448" s="44" t="n"/>
      <c r="D448" s="44" t="n"/>
      <c r="E448" s="44" t="n"/>
      <c r="F448" s="44" t="n"/>
      <c r="G448" s="45" t="n"/>
      <c r="H448" s="45" t="n"/>
      <c r="I448" s="85" t="n"/>
      <c r="J448" s="44" t="n"/>
      <c r="K448" s="44" t="n"/>
      <c r="L448" s="44" t="n"/>
      <c r="M448" s="45" t="n"/>
      <c r="N448" s="44" t="n"/>
      <c r="O448" s="86" t="n"/>
      <c r="P448" s="44" t="n"/>
      <c r="Q448" s="45" t="n"/>
      <c r="R448" s="85" t="n"/>
      <c r="S448" s="85" t="n"/>
      <c r="T448" s="85" t="n"/>
      <c r="U448" s="85" t="n"/>
      <c r="V448" s="85" t="n"/>
      <c r="W448" s="86" t="n"/>
      <c r="X448" s="44" t="n"/>
      <c r="Y448" s="44" t="n"/>
      <c r="Z448" s="44" t="n"/>
      <c r="AA448" s="85" t="n"/>
      <c r="AB448" s="45" t="n"/>
      <c r="AC448" s="86" t="n"/>
      <c r="AD448" s="44" t="n"/>
      <c r="AE448" s="87" t="n"/>
      <c r="AF448" s="44" t="n"/>
      <c r="AG448" s="44" t="n"/>
      <c r="AH448" s="87" t="n"/>
      <c r="AI448" s="44" t="n"/>
      <c r="AJ448" s="45" t="n"/>
      <c r="AK448" s="45" t="n"/>
      <c r="AL448" s="45" t="n"/>
      <c r="AM448" s="44" t="n"/>
      <c r="AN448" s="45" t="n"/>
      <c r="AO448" s="44" t="n"/>
      <c r="AP448" s="44" t="n"/>
      <c r="AQ448" s="44" t="n"/>
      <c r="AR448" s="44" t="n"/>
      <c r="AS448" s="44" t="n"/>
    </row>
    <row r="449">
      <c r="A449" s="44" t="n"/>
      <c r="B449" s="44" t="n"/>
      <c r="C449" s="44" t="n"/>
      <c r="D449" s="44" t="n"/>
      <c r="E449" s="44" t="n"/>
      <c r="F449" s="44" t="n"/>
      <c r="G449" s="45" t="n"/>
      <c r="H449" s="45" t="n"/>
      <c r="I449" s="85" t="n"/>
      <c r="J449" s="44" t="n"/>
      <c r="K449" s="44" t="n"/>
      <c r="L449" s="44" t="n"/>
      <c r="M449" s="45" t="n"/>
      <c r="N449" s="44" t="n"/>
      <c r="O449" s="86" t="n"/>
      <c r="P449" s="44" t="n"/>
      <c r="Q449" s="45" t="n"/>
      <c r="R449" s="85" t="n"/>
      <c r="S449" s="85" t="n"/>
      <c r="T449" s="85" t="n"/>
      <c r="U449" s="85" t="n"/>
      <c r="V449" s="85" t="n"/>
      <c r="W449" s="86" t="n"/>
      <c r="X449" s="44" t="n"/>
      <c r="Y449" s="44" t="n"/>
      <c r="Z449" s="44" t="n"/>
      <c r="AA449" s="85" t="n"/>
      <c r="AB449" s="45" t="n"/>
      <c r="AC449" s="86" t="n"/>
      <c r="AD449" s="44" t="n"/>
      <c r="AE449" s="87" t="n"/>
      <c r="AF449" s="44" t="n"/>
      <c r="AG449" s="44" t="n"/>
      <c r="AH449" s="87" t="n"/>
      <c r="AI449" s="44" t="n"/>
      <c r="AJ449" s="45" t="n"/>
      <c r="AK449" s="45" t="n"/>
      <c r="AL449" s="45" t="n"/>
      <c r="AM449" s="44" t="n"/>
      <c r="AN449" s="45" t="n"/>
      <c r="AO449" s="44" t="n"/>
      <c r="AP449" s="44" t="n"/>
      <c r="AQ449" s="44" t="n"/>
      <c r="AR449" s="44" t="n"/>
      <c r="AS449" s="44" t="n"/>
    </row>
    <row r="450">
      <c r="A450" s="44" t="n"/>
      <c r="B450" s="44" t="n"/>
      <c r="C450" s="44" t="n"/>
      <c r="D450" s="44" t="n"/>
      <c r="E450" s="44" t="n"/>
      <c r="F450" s="44" t="n"/>
      <c r="G450" s="45" t="n"/>
      <c r="H450" s="45" t="n"/>
      <c r="I450" s="85" t="n"/>
      <c r="J450" s="44" t="n"/>
      <c r="K450" s="44" t="n"/>
      <c r="L450" s="44" t="n"/>
      <c r="M450" s="45" t="n"/>
      <c r="N450" s="44" t="n"/>
      <c r="O450" s="86" t="n"/>
      <c r="P450" s="44" t="n"/>
      <c r="Q450" s="45" t="n"/>
      <c r="R450" s="85" t="n"/>
      <c r="S450" s="85" t="n"/>
      <c r="T450" s="85" t="n"/>
      <c r="U450" s="85" t="n"/>
      <c r="V450" s="85" t="n"/>
      <c r="W450" s="86" t="n"/>
      <c r="X450" s="44" t="n"/>
      <c r="Y450" s="44" t="n"/>
      <c r="Z450" s="44" t="n"/>
      <c r="AA450" s="85" t="n"/>
      <c r="AB450" s="45" t="n"/>
      <c r="AC450" s="86" t="n"/>
      <c r="AD450" s="44" t="n"/>
      <c r="AE450" s="87" t="n"/>
      <c r="AF450" s="44" t="n"/>
      <c r="AG450" s="44" t="n"/>
      <c r="AH450" s="87" t="n"/>
      <c r="AI450" s="44" t="n"/>
      <c r="AJ450" s="45" t="n"/>
      <c r="AK450" s="45" t="n"/>
      <c r="AL450" s="45" t="n"/>
      <c r="AM450" s="44" t="n"/>
      <c r="AN450" s="45" t="n"/>
      <c r="AO450" s="44" t="n"/>
      <c r="AP450" s="44" t="n"/>
      <c r="AQ450" s="44" t="n"/>
      <c r="AR450" s="44" t="n"/>
      <c r="AS450" s="44" t="n"/>
    </row>
    <row r="451">
      <c r="A451" s="44" t="n"/>
      <c r="B451" s="44" t="n"/>
      <c r="C451" s="44" t="n"/>
      <c r="D451" s="44" t="n"/>
      <c r="E451" s="44" t="n"/>
      <c r="F451" s="44" t="n"/>
      <c r="G451" s="45" t="n"/>
      <c r="H451" s="45" t="n"/>
      <c r="I451" s="85" t="n"/>
      <c r="J451" s="44" t="n"/>
      <c r="K451" s="44" t="n"/>
      <c r="L451" s="44" t="n"/>
      <c r="M451" s="45" t="n"/>
      <c r="N451" s="44" t="n"/>
      <c r="O451" s="86" t="n"/>
      <c r="P451" s="44" t="n"/>
      <c r="Q451" s="45" t="n"/>
      <c r="R451" s="85" t="n"/>
      <c r="S451" s="85" t="n"/>
      <c r="T451" s="85" t="n"/>
      <c r="U451" s="85" t="n"/>
      <c r="V451" s="85" t="n"/>
      <c r="W451" s="86" t="n"/>
      <c r="X451" s="44" t="n"/>
      <c r="Y451" s="44" t="n"/>
      <c r="Z451" s="44" t="n"/>
      <c r="AA451" s="85" t="n"/>
      <c r="AB451" s="45" t="n"/>
      <c r="AC451" s="86" t="n"/>
      <c r="AD451" s="44" t="n"/>
      <c r="AE451" s="87" t="n"/>
      <c r="AF451" s="44" t="n"/>
      <c r="AG451" s="44" t="n"/>
      <c r="AH451" s="87" t="n"/>
      <c r="AI451" s="44" t="n"/>
      <c r="AJ451" s="45" t="n"/>
      <c r="AK451" s="45" t="n"/>
      <c r="AL451" s="45" t="n"/>
      <c r="AM451" s="44" t="n"/>
      <c r="AN451" s="45" t="n"/>
      <c r="AO451" s="44" t="n"/>
      <c r="AP451" s="44" t="n"/>
      <c r="AQ451" s="44" t="n"/>
      <c r="AR451" s="44" t="n"/>
      <c r="AS451" s="44" t="n"/>
    </row>
    <row r="452">
      <c r="A452" s="44" t="n"/>
      <c r="B452" s="44" t="n"/>
      <c r="C452" s="44" t="n"/>
      <c r="D452" s="44" t="n"/>
      <c r="E452" s="44" t="n"/>
      <c r="F452" s="44" t="n"/>
      <c r="G452" s="45" t="n"/>
      <c r="H452" s="45" t="n"/>
      <c r="I452" s="85" t="n"/>
      <c r="J452" s="44" t="n"/>
      <c r="K452" s="44" t="n"/>
      <c r="L452" s="44" t="n"/>
      <c r="M452" s="45" t="n"/>
      <c r="N452" s="44" t="n"/>
      <c r="O452" s="86" t="n"/>
      <c r="P452" s="44" t="n"/>
      <c r="Q452" s="45" t="n"/>
      <c r="R452" s="85" t="n"/>
      <c r="S452" s="85" t="n"/>
      <c r="T452" s="85" t="n"/>
      <c r="U452" s="85" t="n"/>
      <c r="V452" s="85" t="n"/>
      <c r="W452" s="86" t="n"/>
      <c r="X452" s="44" t="n"/>
      <c r="Y452" s="44" t="n"/>
      <c r="Z452" s="44" t="n"/>
      <c r="AA452" s="85" t="n"/>
      <c r="AB452" s="45" t="n"/>
      <c r="AC452" s="86" t="n"/>
      <c r="AD452" s="44" t="n"/>
      <c r="AE452" s="87" t="n"/>
      <c r="AF452" s="44" t="n"/>
      <c r="AG452" s="44" t="n"/>
      <c r="AH452" s="87" t="n"/>
      <c r="AI452" s="44" t="n"/>
      <c r="AJ452" s="45" t="n"/>
      <c r="AK452" s="45" t="n"/>
      <c r="AL452" s="45" t="n"/>
      <c r="AM452" s="44" t="n"/>
      <c r="AN452" s="45" t="n"/>
      <c r="AO452" s="44" t="n"/>
      <c r="AP452" s="44" t="n"/>
      <c r="AQ452" s="44" t="n"/>
      <c r="AR452" s="44" t="n"/>
      <c r="AS452" s="44" t="n"/>
    </row>
    <row r="453">
      <c r="A453" s="44" t="n"/>
      <c r="B453" s="44" t="n"/>
      <c r="C453" s="44" t="n"/>
      <c r="D453" s="44" t="n"/>
      <c r="E453" s="44" t="n"/>
      <c r="F453" s="44" t="n"/>
      <c r="G453" s="45" t="n"/>
      <c r="H453" s="45" t="n"/>
      <c r="I453" s="85" t="n"/>
      <c r="J453" s="44" t="n"/>
      <c r="K453" s="44" t="n"/>
      <c r="L453" s="44" t="n"/>
      <c r="M453" s="45" t="n"/>
      <c r="N453" s="44" t="n"/>
      <c r="O453" s="86" t="n"/>
      <c r="P453" s="44" t="n"/>
      <c r="Q453" s="45" t="n"/>
      <c r="R453" s="85" t="n"/>
      <c r="S453" s="85" t="n"/>
      <c r="T453" s="85" t="n"/>
      <c r="U453" s="85" t="n"/>
      <c r="V453" s="85" t="n"/>
      <c r="W453" s="86" t="n"/>
      <c r="X453" s="44" t="n"/>
      <c r="Y453" s="44" t="n"/>
      <c r="Z453" s="44" t="n"/>
      <c r="AA453" s="85" t="n"/>
      <c r="AB453" s="45" t="n"/>
      <c r="AC453" s="86" t="n"/>
      <c r="AD453" s="44" t="n"/>
      <c r="AE453" s="87" t="n"/>
      <c r="AF453" s="44" t="n"/>
      <c r="AG453" s="44" t="n"/>
      <c r="AH453" s="87" t="n"/>
      <c r="AI453" s="44" t="n"/>
      <c r="AJ453" s="45" t="n"/>
      <c r="AK453" s="45" t="n"/>
      <c r="AL453" s="45" t="n"/>
      <c r="AM453" s="44" t="n"/>
      <c r="AN453" s="45" t="n"/>
      <c r="AO453" s="44" t="n"/>
      <c r="AP453" s="44" t="n"/>
      <c r="AQ453" s="44" t="n"/>
      <c r="AR453" s="44" t="n"/>
      <c r="AS453" s="44" t="n"/>
    </row>
    <row r="454">
      <c r="A454" s="44" t="n"/>
      <c r="B454" s="44" t="n"/>
      <c r="C454" s="44" t="n"/>
      <c r="D454" s="44" t="n"/>
      <c r="E454" s="44" t="n"/>
      <c r="F454" s="44" t="n"/>
      <c r="G454" s="45" t="n"/>
      <c r="H454" s="45" t="n"/>
      <c r="I454" s="85" t="n"/>
      <c r="J454" s="44" t="n"/>
      <c r="K454" s="44" t="n"/>
      <c r="L454" s="44" t="n"/>
      <c r="M454" s="45" t="n"/>
      <c r="N454" s="44" t="n"/>
      <c r="O454" s="86" t="n"/>
      <c r="P454" s="44" t="n"/>
      <c r="Q454" s="45" t="n"/>
      <c r="R454" s="85" t="n"/>
      <c r="S454" s="85" t="n"/>
      <c r="T454" s="85" t="n"/>
      <c r="U454" s="85" t="n"/>
      <c r="V454" s="85" t="n"/>
      <c r="W454" s="86" t="n"/>
      <c r="X454" s="44" t="n"/>
      <c r="Y454" s="44" t="n"/>
      <c r="Z454" s="44" t="n"/>
      <c r="AA454" s="85" t="n"/>
      <c r="AB454" s="45" t="n"/>
      <c r="AC454" s="86" t="n"/>
      <c r="AD454" s="44" t="n"/>
      <c r="AE454" s="87" t="n"/>
      <c r="AF454" s="44" t="n"/>
      <c r="AG454" s="44" t="n"/>
      <c r="AH454" s="87" t="n"/>
      <c r="AI454" s="44" t="n"/>
      <c r="AJ454" s="45" t="n"/>
      <c r="AK454" s="45" t="n"/>
      <c r="AL454" s="45" t="n"/>
      <c r="AM454" s="44" t="n"/>
      <c r="AN454" s="45" t="n"/>
      <c r="AO454" s="44" t="n"/>
      <c r="AP454" s="44" t="n"/>
      <c r="AQ454" s="44" t="n"/>
      <c r="AR454" s="44" t="n"/>
      <c r="AS454" s="44" t="n"/>
    </row>
    <row r="455">
      <c r="A455" s="44" t="n"/>
      <c r="B455" s="44" t="n"/>
      <c r="C455" s="44" t="n"/>
      <c r="D455" s="44" t="n"/>
      <c r="E455" s="44" t="n"/>
      <c r="F455" s="44" t="n"/>
      <c r="G455" s="45" t="n"/>
      <c r="H455" s="45" t="n"/>
      <c r="I455" s="85" t="n"/>
      <c r="J455" s="44" t="n"/>
      <c r="K455" s="44" t="n"/>
      <c r="L455" s="44" t="n"/>
      <c r="M455" s="45" t="n"/>
      <c r="N455" s="44" t="n"/>
      <c r="O455" s="86" t="n"/>
      <c r="P455" s="44" t="n"/>
      <c r="Q455" s="45" t="n"/>
      <c r="R455" s="85" t="n"/>
      <c r="S455" s="85" t="n"/>
      <c r="T455" s="85" t="n"/>
      <c r="U455" s="85" t="n"/>
      <c r="V455" s="85" t="n"/>
      <c r="W455" s="86" t="n"/>
      <c r="X455" s="44" t="n"/>
      <c r="Y455" s="44" t="n"/>
      <c r="Z455" s="44" t="n"/>
      <c r="AA455" s="85" t="n"/>
      <c r="AB455" s="45" t="n"/>
      <c r="AC455" s="86" t="n"/>
      <c r="AD455" s="44" t="n"/>
      <c r="AE455" s="87" t="n"/>
      <c r="AF455" s="44" t="n"/>
      <c r="AG455" s="44" t="n"/>
      <c r="AH455" s="87" t="n"/>
      <c r="AI455" s="44" t="n"/>
      <c r="AJ455" s="45" t="n"/>
      <c r="AK455" s="45" t="n"/>
      <c r="AL455" s="45" t="n"/>
      <c r="AM455" s="44" t="n"/>
      <c r="AN455" s="45" t="n"/>
      <c r="AO455" s="44" t="n"/>
      <c r="AP455" s="44" t="n"/>
      <c r="AQ455" s="44" t="n"/>
      <c r="AR455" s="44" t="n"/>
      <c r="AS455" s="44" t="n"/>
    </row>
    <row r="456">
      <c r="A456" s="44" t="n"/>
      <c r="B456" s="44" t="n"/>
      <c r="C456" s="44" t="n"/>
      <c r="D456" s="44" t="n"/>
      <c r="E456" s="44" t="n"/>
      <c r="F456" s="44" t="n"/>
      <c r="G456" s="45" t="n"/>
      <c r="H456" s="45" t="n"/>
      <c r="I456" s="85" t="n"/>
      <c r="J456" s="44" t="n"/>
      <c r="K456" s="44" t="n"/>
      <c r="L456" s="44" t="n"/>
      <c r="M456" s="45" t="n"/>
      <c r="N456" s="44" t="n"/>
      <c r="O456" s="86" t="n"/>
      <c r="P456" s="44" t="n"/>
      <c r="Q456" s="45" t="n"/>
      <c r="R456" s="85" t="n"/>
      <c r="S456" s="85" t="n"/>
      <c r="T456" s="85" t="n"/>
      <c r="U456" s="85" t="n"/>
      <c r="V456" s="85" t="n"/>
      <c r="W456" s="86" t="n"/>
      <c r="X456" s="44" t="n"/>
      <c r="Y456" s="44" t="n"/>
      <c r="Z456" s="44" t="n"/>
      <c r="AA456" s="85" t="n"/>
      <c r="AB456" s="45" t="n"/>
      <c r="AC456" s="86" t="n"/>
      <c r="AD456" s="44" t="n"/>
      <c r="AE456" s="87" t="n"/>
      <c r="AF456" s="44" t="n"/>
      <c r="AG456" s="44" t="n"/>
      <c r="AH456" s="87" t="n"/>
      <c r="AI456" s="44" t="n"/>
      <c r="AJ456" s="45" t="n"/>
      <c r="AK456" s="45" t="n"/>
      <c r="AL456" s="45" t="n"/>
      <c r="AM456" s="44" t="n"/>
      <c r="AN456" s="45" t="n"/>
      <c r="AO456" s="44" t="n"/>
      <c r="AP456" s="44" t="n"/>
      <c r="AQ456" s="44" t="n"/>
      <c r="AR456" s="44" t="n"/>
      <c r="AS456" s="44" t="n"/>
    </row>
    <row r="457">
      <c r="A457" s="44" t="n"/>
      <c r="B457" s="44" t="n"/>
      <c r="C457" s="44" t="n"/>
      <c r="D457" s="44" t="n"/>
      <c r="E457" s="44" t="n"/>
      <c r="F457" s="44" t="n"/>
      <c r="G457" s="45" t="n"/>
      <c r="H457" s="45" t="n"/>
      <c r="I457" s="85" t="n"/>
      <c r="J457" s="44" t="n"/>
      <c r="K457" s="44" t="n"/>
      <c r="L457" s="44" t="n"/>
      <c r="M457" s="45" t="n"/>
      <c r="N457" s="44" t="n"/>
      <c r="O457" s="86" t="n"/>
      <c r="P457" s="44" t="n"/>
      <c r="Q457" s="45" t="n"/>
      <c r="R457" s="85" t="n"/>
      <c r="S457" s="85" t="n"/>
      <c r="T457" s="85" t="n"/>
      <c r="U457" s="85" t="n"/>
      <c r="V457" s="85" t="n"/>
      <c r="W457" s="86" t="n"/>
      <c r="X457" s="44" t="n"/>
      <c r="Y457" s="44" t="n"/>
      <c r="Z457" s="44" t="n"/>
      <c r="AA457" s="85" t="n"/>
      <c r="AB457" s="45" t="n"/>
      <c r="AC457" s="86" t="n"/>
      <c r="AD457" s="44" t="n"/>
      <c r="AE457" s="87" t="n"/>
      <c r="AF457" s="44" t="n"/>
      <c r="AG457" s="44" t="n"/>
      <c r="AH457" s="87" t="n"/>
      <c r="AI457" s="44" t="n"/>
      <c r="AJ457" s="45" t="n"/>
      <c r="AK457" s="45" t="n"/>
      <c r="AL457" s="45" t="n"/>
      <c r="AM457" s="44" t="n"/>
      <c r="AN457" s="45" t="n"/>
      <c r="AO457" s="44" t="n"/>
      <c r="AP457" s="44" t="n"/>
      <c r="AQ457" s="44" t="n"/>
      <c r="AR457" s="44" t="n"/>
      <c r="AS457" s="44" t="n"/>
    </row>
    <row r="458">
      <c r="A458" s="44" t="n"/>
      <c r="B458" s="44" t="n"/>
      <c r="C458" s="44" t="n"/>
      <c r="D458" s="44" t="n"/>
      <c r="E458" s="44" t="n"/>
      <c r="F458" s="44" t="n"/>
      <c r="G458" s="45" t="n"/>
      <c r="H458" s="45" t="n"/>
      <c r="I458" s="85" t="n"/>
      <c r="J458" s="44" t="n"/>
      <c r="K458" s="44" t="n"/>
      <c r="L458" s="44" t="n"/>
      <c r="M458" s="45" t="n"/>
      <c r="N458" s="44" t="n"/>
      <c r="O458" s="86" t="n"/>
      <c r="P458" s="44" t="n"/>
      <c r="Q458" s="45" t="n"/>
      <c r="R458" s="85" t="n"/>
      <c r="S458" s="85" t="n"/>
      <c r="T458" s="85" t="n"/>
      <c r="U458" s="85" t="n"/>
      <c r="V458" s="85" t="n"/>
      <c r="W458" s="86" t="n"/>
      <c r="X458" s="44" t="n"/>
      <c r="Y458" s="44" t="n"/>
      <c r="Z458" s="44" t="n"/>
      <c r="AA458" s="85" t="n"/>
      <c r="AB458" s="45" t="n"/>
      <c r="AC458" s="86" t="n"/>
      <c r="AD458" s="44" t="n"/>
      <c r="AE458" s="87" t="n"/>
      <c r="AF458" s="44" t="n"/>
      <c r="AG458" s="44" t="n"/>
      <c r="AH458" s="87" t="n"/>
      <c r="AI458" s="44" t="n"/>
      <c r="AJ458" s="45" t="n"/>
      <c r="AK458" s="45" t="n"/>
      <c r="AL458" s="45" t="n"/>
      <c r="AM458" s="44" t="n"/>
      <c r="AN458" s="45" t="n"/>
      <c r="AO458" s="44" t="n"/>
      <c r="AP458" s="44" t="n"/>
      <c r="AQ458" s="44" t="n"/>
      <c r="AR458" s="44" t="n"/>
      <c r="AS458" s="44" t="n"/>
    </row>
    <row r="459">
      <c r="A459" s="44" t="n"/>
      <c r="B459" s="44" t="n"/>
      <c r="C459" s="44" t="n"/>
      <c r="D459" s="44" t="n"/>
      <c r="E459" s="44" t="n"/>
      <c r="F459" s="44" t="n"/>
      <c r="G459" s="45" t="n"/>
      <c r="H459" s="45" t="n"/>
      <c r="I459" s="85" t="n"/>
      <c r="J459" s="44" t="n"/>
      <c r="K459" s="44" t="n"/>
      <c r="L459" s="44" t="n"/>
      <c r="M459" s="45" t="n"/>
      <c r="N459" s="44" t="n"/>
      <c r="O459" s="86" t="n"/>
      <c r="P459" s="44" t="n"/>
      <c r="Q459" s="45" t="n"/>
      <c r="R459" s="85" t="n"/>
      <c r="S459" s="85" t="n"/>
      <c r="T459" s="85" t="n"/>
      <c r="U459" s="85" t="n"/>
      <c r="V459" s="85" t="n"/>
      <c r="W459" s="86" t="n"/>
      <c r="X459" s="44" t="n"/>
      <c r="Y459" s="44" t="n"/>
      <c r="Z459" s="44" t="n"/>
      <c r="AA459" s="85" t="n"/>
      <c r="AB459" s="45" t="n"/>
      <c r="AC459" s="86" t="n"/>
      <c r="AD459" s="44" t="n"/>
      <c r="AE459" s="87" t="n"/>
      <c r="AF459" s="44" t="n"/>
      <c r="AG459" s="44" t="n"/>
      <c r="AH459" s="87" t="n"/>
      <c r="AI459" s="44" t="n"/>
      <c r="AJ459" s="45" t="n"/>
      <c r="AK459" s="45" t="n"/>
      <c r="AL459" s="45" t="n"/>
      <c r="AM459" s="44" t="n"/>
      <c r="AN459" s="45" t="n"/>
      <c r="AO459" s="44" t="n"/>
      <c r="AP459" s="44" t="n"/>
      <c r="AQ459" s="44" t="n"/>
      <c r="AR459" s="44" t="n"/>
      <c r="AS459" s="44" t="n"/>
    </row>
    <row r="460">
      <c r="A460" s="44" t="n"/>
      <c r="B460" s="44" t="n"/>
      <c r="C460" s="44" t="n"/>
      <c r="D460" s="44" t="n"/>
      <c r="E460" s="44" t="n"/>
      <c r="F460" s="44" t="n"/>
      <c r="G460" s="45" t="n"/>
      <c r="H460" s="45" t="n"/>
      <c r="I460" s="85" t="n"/>
      <c r="J460" s="44" t="n"/>
      <c r="K460" s="44" t="n"/>
      <c r="L460" s="44" t="n"/>
      <c r="M460" s="45" t="n"/>
      <c r="N460" s="44" t="n"/>
      <c r="O460" s="86" t="n"/>
      <c r="P460" s="44" t="n"/>
      <c r="Q460" s="45" t="n"/>
      <c r="R460" s="85" t="n"/>
      <c r="S460" s="85" t="n"/>
      <c r="T460" s="85" t="n"/>
      <c r="U460" s="85" t="n"/>
      <c r="V460" s="85" t="n"/>
      <c r="W460" s="86" t="n"/>
      <c r="X460" s="44" t="n"/>
      <c r="Y460" s="44" t="n"/>
      <c r="Z460" s="44" t="n"/>
      <c r="AA460" s="85" t="n"/>
      <c r="AB460" s="45" t="n"/>
      <c r="AC460" s="86" t="n"/>
      <c r="AD460" s="44" t="n"/>
      <c r="AE460" s="87" t="n"/>
      <c r="AF460" s="44" t="n"/>
      <c r="AG460" s="44" t="n"/>
      <c r="AH460" s="87" t="n"/>
      <c r="AI460" s="44" t="n"/>
      <c r="AJ460" s="45" t="n"/>
      <c r="AK460" s="45" t="n"/>
      <c r="AL460" s="45" t="n"/>
      <c r="AM460" s="44" t="n"/>
      <c r="AN460" s="45" t="n"/>
      <c r="AO460" s="44" t="n"/>
      <c r="AP460" s="44" t="n"/>
      <c r="AQ460" s="44" t="n"/>
      <c r="AR460" s="44" t="n"/>
      <c r="AS460" s="44" t="n"/>
    </row>
    <row r="461">
      <c r="A461" s="44" t="n"/>
      <c r="B461" s="44" t="n"/>
      <c r="C461" s="44" t="n"/>
      <c r="D461" s="44" t="n"/>
      <c r="E461" s="44" t="n"/>
      <c r="F461" s="44" t="n"/>
      <c r="G461" s="45" t="n"/>
      <c r="H461" s="45" t="n"/>
      <c r="I461" s="85" t="n"/>
      <c r="J461" s="44" t="n"/>
      <c r="K461" s="44" t="n"/>
      <c r="L461" s="44" t="n"/>
      <c r="M461" s="45" t="n"/>
      <c r="N461" s="44" t="n"/>
      <c r="O461" s="86" t="n"/>
      <c r="P461" s="44" t="n"/>
      <c r="Q461" s="45" t="n"/>
      <c r="R461" s="85" t="n"/>
      <c r="S461" s="85" t="n"/>
      <c r="T461" s="85" t="n"/>
      <c r="U461" s="85" t="n"/>
      <c r="V461" s="85" t="n"/>
      <c r="W461" s="86" t="n"/>
      <c r="X461" s="44" t="n"/>
      <c r="Y461" s="44" t="n"/>
      <c r="Z461" s="44" t="n"/>
      <c r="AA461" s="85" t="n"/>
      <c r="AB461" s="45" t="n"/>
      <c r="AC461" s="86" t="n"/>
      <c r="AD461" s="44" t="n"/>
      <c r="AE461" s="87" t="n"/>
      <c r="AF461" s="44" t="n"/>
      <c r="AG461" s="44" t="n"/>
      <c r="AH461" s="87" t="n"/>
      <c r="AI461" s="44" t="n"/>
      <c r="AJ461" s="45" t="n"/>
      <c r="AK461" s="45" t="n"/>
      <c r="AL461" s="45" t="n"/>
      <c r="AM461" s="44" t="n"/>
      <c r="AN461" s="45" t="n"/>
      <c r="AO461" s="44" t="n"/>
      <c r="AP461" s="44" t="n"/>
      <c r="AQ461" s="44" t="n"/>
      <c r="AR461" s="44" t="n"/>
      <c r="AS461" s="44" t="n"/>
    </row>
    <row r="462">
      <c r="A462" s="44" t="n"/>
      <c r="B462" s="44" t="n"/>
      <c r="C462" s="44" t="n"/>
      <c r="D462" s="44" t="n"/>
      <c r="E462" s="44" t="n"/>
      <c r="F462" s="44" t="n"/>
      <c r="G462" s="45" t="n"/>
      <c r="H462" s="45" t="n"/>
      <c r="I462" s="85" t="n"/>
      <c r="J462" s="44" t="n"/>
      <c r="K462" s="44" t="n"/>
      <c r="L462" s="44" t="n"/>
      <c r="M462" s="45" t="n"/>
      <c r="N462" s="44" t="n"/>
      <c r="O462" s="86" t="n"/>
      <c r="P462" s="44" t="n"/>
      <c r="Q462" s="45" t="n"/>
      <c r="R462" s="85" t="n"/>
      <c r="S462" s="85" t="n"/>
      <c r="T462" s="85" t="n"/>
      <c r="U462" s="85" t="n"/>
      <c r="V462" s="85" t="n"/>
      <c r="W462" s="86" t="n"/>
      <c r="X462" s="44" t="n"/>
      <c r="Y462" s="44" t="n"/>
      <c r="Z462" s="44" t="n"/>
      <c r="AA462" s="85" t="n"/>
      <c r="AB462" s="45" t="n"/>
      <c r="AC462" s="86" t="n"/>
      <c r="AD462" s="44" t="n"/>
      <c r="AE462" s="87" t="n"/>
      <c r="AF462" s="44" t="n"/>
      <c r="AG462" s="44" t="n"/>
      <c r="AH462" s="87" t="n"/>
      <c r="AI462" s="44" t="n"/>
      <c r="AJ462" s="45" t="n"/>
      <c r="AK462" s="45" t="n"/>
      <c r="AL462" s="45" t="n"/>
      <c r="AM462" s="44" t="n"/>
      <c r="AN462" s="45" t="n"/>
      <c r="AO462" s="44" t="n"/>
      <c r="AP462" s="44" t="n"/>
      <c r="AQ462" s="44" t="n"/>
      <c r="AR462" s="44" t="n"/>
      <c r="AS462" s="44" t="n"/>
    </row>
    <row r="463">
      <c r="A463" s="44" t="n"/>
      <c r="B463" s="44" t="n"/>
      <c r="C463" s="44" t="n"/>
      <c r="D463" s="44" t="n"/>
      <c r="E463" s="44" t="n"/>
      <c r="F463" s="44" t="n"/>
      <c r="G463" s="45" t="n"/>
      <c r="H463" s="45" t="n"/>
      <c r="I463" s="85" t="n"/>
      <c r="J463" s="44" t="n"/>
      <c r="K463" s="44" t="n"/>
      <c r="L463" s="44" t="n"/>
      <c r="M463" s="45" t="n"/>
      <c r="N463" s="44" t="n"/>
      <c r="O463" s="86" t="n"/>
      <c r="P463" s="44" t="n"/>
      <c r="Q463" s="45" t="n"/>
      <c r="R463" s="85" t="n"/>
      <c r="S463" s="85" t="n"/>
      <c r="T463" s="85" t="n"/>
      <c r="U463" s="85" t="n"/>
      <c r="V463" s="85" t="n"/>
      <c r="W463" s="86" t="n"/>
      <c r="X463" s="44" t="n"/>
      <c r="Y463" s="44" t="n"/>
      <c r="Z463" s="44" t="n"/>
      <c r="AA463" s="85" t="n"/>
      <c r="AB463" s="45" t="n"/>
      <c r="AC463" s="86" t="n"/>
      <c r="AD463" s="44" t="n"/>
      <c r="AE463" s="87" t="n"/>
      <c r="AF463" s="44" t="n"/>
      <c r="AG463" s="44" t="n"/>
      <c r="AH463" s="87" t="n"/>
      <c r="AI463" s="44" t="n"/>
      <c r="AJ463" s="45" t="n"/>
      <c r="AK463" s="45" t="n"/>
      <c r="AL463" s="45" t="n"/>
      <c r="AM463" s="44" t="n"/>
      <c r="AN463" s="45" t="n"/>
      <c r="AO463" s="44" t="n"/>
      <c r="AP463" s="44" t="n"/>
      <c r="AQ463" s="44" t="n"/>
      <c r="AR463" s="44" t="n"/>
      <c r="AS463" s="44" t="n"/>
    </row>
    <row r="464">
      <c r="A464" s="44" t="n"/>
      <c r="B464" s="44" t="n"/>
      <c r="C464" s="44" t="n"/>
      <c r="D464" s="44" t="n"/>
      <c r="E464" s="44" t="n"/>
      <c r="F464" s="44" t="n"/>
      <c r="G464" s="45" t="n"/>
      <c r="H464" s="45" t="n"/>
      <c r="I464" s="85" t="n"/>
      <c r="J464" s="44" t="n"/>
      <c r="K464" s="44" t="n"/>
      <c r="L464" s="44" t="n"/>
      <c r="M464" s="45" t="n"/>
      <c r="N464" s="44" t="n"/>
      <c r="O464" s="86" t="n"/>
      <c r="P464" s="44" t="n"/>
      <c r="Q464" s="45" t="n"/>
      <c r="R464" s="85" t="n"/>
      <c r="S464" s="85" t="n"/>
      <c r="T464" s="85" t="n"/>
      <c r="U464" s="85" t="n"/>
      <c r="V464" s="85" t="n"/>
      <c r="W464" s="86" t="n"/>
      <c r="X464" s="44" t="n"/>
      <c r="Y464" s="44" t="n"/>
      <c r="Z464" s="44" t="n"/>
      <c r="AA464" s="85" t="n"/>
      <c r="AB464" s="45" t="n"/>
      <c r="AC464" s="86" t="n"/>
      <c r="AD464" s="44" t="n"/>
      <c r="AE464" s="87" t="n"/>
      <c r="AF464" s="44" t="n"/>
      <c r="AG464" s="44" t="n"/>
      <c r="AH464" s="87" t="n"/>
      <c r="AI464" s="44" t="n"/>
      <c r="AJ464" s="45" t="n"/>
      <c r="AK464" s="45" t="n"/>
      <c r="AL464" s="45" t="n"/>
      <c r="AM464" s="44" t="n"/>
      <c r="AN464" s="45" t="n"/>
      <c r="AO464" s="44" t="n"/>
      <c r="AP464" s="44" t="n"/>
      <c r="AQ464" s="44" t="n"/>
      <c r="AR464" s="44" t="n"/>
      <c r="AS464" s="44" t="n"/>
    </row>
    <row r="465">
      <c r="A465" s="44" t="n"/>
      <c r="B465" s="44" t="n"/>
      <c r="C465" s="44" t="n"/>
      <c r="D465" s="44" t="n"/>
      <c r="E465" s="44" t="n"/>
      <c r="F465" s="44" t="n"/>
      <c r="G465" s="45" t="n"/>
      <c r="H465" s="45" t="n"/>
      <c r="I465" s="85" t="n"/>
      <c r="J465" s="44" t="n"/>
      <c r="K465" s="44" t="n"/>
      <c r="L465" s="44" t="n"/>
      <c r="M465" s="45" t="n"/>
      <c r="N465" s="44" t="n"/>
      <c r="O465" s="86" t="n"/>
      <c r="P465" s="44" t="n"/>
      <c r="Q465" s="45" t="n"/>
      <c r="R465" s="85" t="n"/>
      <c r="S465" s="85" t="n"/>
      <c r="T465" s="85" t="n"/>
      <c r="U465" s="85" t="n"/>
      <c r="V465" s="85" t="n"/>
      <c r="W465" s="86" t="n"/>
      <c r="X465" s="44" t="n"/>
      <c r="Y465" s="44" t="n"/>
      <c r="Z465" s="44" t="n"/>
      <c r="AA465" s="85" t="n"/>
      <c r="AB465" s="45" t="n"/>
      <c r="AC465" s="86" t="n"/>
      <c r="AD465" s="44" t="n"/>
      <c r="AE465" s="87" t="n"/>
      <c r="AF465" s="44" t="n"/>
      <c r="AG465" s="44" t="n"/>
      <c r="AH465" s="87" t="n"/>
      <c r="AI465" s="44" t="n"/>
      <c r="AJ465" s="45" t="n"/>
      <c r="AK465" s="45" t="n"/>
      <c r="AL465" s="45" t="n"/>
      <c r="AM465" s="44" t="n"/>
      <c r="AN465" s="45" t="n"/>
      <c r="AO465" s="44" t="n"/>
      <c r="AP465" s="44" t="n"/>
      <c r="AQ465" s="44" t="n"/>
      <c r="AR465" s="44" t="n"/>
      <c r="AS465" s="44" t="n"/>
    </row>
    <row r="466">
      <c r="A466" s="44" t="n"/>
      <c r="B466" s="44" t="n"/>
      <c r="C466" s="44" t="n"/>
      <c r="D466" s="44" t="n"/>
      <c r="E466" s="44" t="n"/>
      <c r="F466" s="44" t="n"/>
      <c r="G466" s="45" t="n"/>
      <c r="H466" s="45" t="n"/>
      <c r="I466" s="85" t="n"/>
      <c r="J466" s="44" t="n"/>
      <c r="K466" s="44" t="n"/>
      <c r="L466" s="44" t="n"/>
      <c r="M466" s="45" t="n"/>
      <c r="N466" s="44" t="n"/>
      <c r="O466" s="86" t="n"/>
      <c r="P466" s="44" t="n"/>
      <c r="Q466" s="45" t="n"/>
      <c r="R466" s="85" t="n"/>
      <c r="S466" s="85" t="n"/>
      <c r="T466" s="85" t="n"/>
      <c r="U466" s="85" t="n"/>
      <c r="V466" s="85" t="n"/>
      <c r="W466" s="86" t="n"/>
      <c r="X466" s="44" t="n"/>
      <c r="Y466" s="44" t="n"/>
      <c r="Z466" s="44" t="n"/>
      <c r="AA466" s="85" t="n"/>
      <c r="AB466" s="45" t="n"/>
      <c r="AC466" s="86" t="n"/>
      <c r="AD466" s="44" t="n"/>
      <c r="AE466" s="87" t="n"/>
      <c r="AF466" s="44" t="n"/>
      <c r="AG466" s="44" t="n"/>
      <c r="AH466" s="87" t="n"/>
      <c r="AI466" s="44" t="n"/>
      <c r="AJ466" s="45" t="n"/>
      <c r="AK466" s="45" t="n"/>
      <c r="AL466" s="45" t="n"/>
      <c r="AM466" s="44" t="n"/>
      <c r="AN466" s="45" t="n"/>
      <c r="AO466" s="44" t="n"/>
      <c r="AP466" s="44" t="n"/>
      <c r="AQ466" s="44" t="n"/>
      <c r="AR466" s="44" t="n"/>
      <c r="AS466" s="44" t="n"/>
    </row>
    <row r="467">
      <c r="A467" s="44" t="n"/>
      <c r="B467" s="44" t="n"/>
      <c r="C467" s="44" t="n"/>
      <c r="D467" s="44" t="n"/>
      <c r="E467" s="44" t="n"/>
      <c r="F467" s="44" t="n"/>
      <c r="G467" s="45" t="n"/>
      <c r="H467" s="45" t="n"/>
      <c r="I467" s="85" t="n"/>
      <c r="J467" s="44" t="n"/>
      <c r="K467" s="44" t="n"/>
      <c r="L467" s="44" t="n"/>
      <c r="M467" s="45" t="n"/>
      <c r="N467" s="44" t="n"/>
      <c r="O467" s="86" t="n"/>
      <c r="P467" s="44" t="n"/>
      <c r="Q467" s="45" t="n"/>
      <c r="R467" s="85" t="n"/>
      <c r="S467" s="85" t="n"/>
      <c r="T467" s="85" t="n"/>
      <c r="U467" s="85" t="n"/>
      <c r="V467" s="85" t="n"/>
      <c r="W467" s="86" t="n"/>
      <c r="X467" s="44" t="n"/>
      <c r="Y467" s="44" t="n"/>
      <c r="Z467" s="44" t="n"/>
      <c r="AA467" s="85" t="n"/>
      <c r="AB467" s="45" t="n"/>
      <c r="AC467" s="86" t="n"/>
      <c r="AD467" s="44" t="n"/>
      <c r="AE467" s="87" t="n"/>
      <c r="AF467" s="44" t="n"/>
      <c r="AG467" s="44" t="n"/>
      <c r="AH467" s="87" t="n"/>
      <c r="AI467" s="44" t="n"/>
      <c r="AJ467" s="45" t="n"/>
      <c r="AK467" s="45" t="n"/>
      <c r="AL467" s="45" t="n"/>
      <c r="AM467" s="44" t="n"/>
      <c r="AN467" s="45" t="n"/>
      <c r="AO467" s="44" t="n"/>
      <c r="AP467" s="44" t="n"/>
      <c r="AQ467" s="44" t="n"/>
      <c r="AR467" s="44" t="n"/>
      <c r="AS467" s="44" t="n"/>
    </row>
    <row r="468">
      <c r="A468" s="44" t="n"/>
      <c r="B468" s="44" t="n"/>
      <c r="C468" s="44" t="n"/>
      <c r="D468" s="44" t="n"/>
      <c r="E468" s="44" t="n"/>
      <c r="F468" s="44" t="n"/>
      <c r="G468" s="45" t="n"/>
      <c r="H468" s="45" t="n"/>
      <c r="I468" s="85" t="n"/>
      <c r="J468" s="44" t="n"/>
      <c r="K468" s="44" t="n"/>
      <c r="L468" s="44" t="n"/>
      <c r="M468" s="45" t="n"/>
      <c r="N468" s="44" t="n"/>
      <c r="O468" s="86" t="n"/>
      <c r="P468" s="44" t="n"/>
      <c r="Q468" s="45" t="n"/>
      <c r="R468" s="85" t="n"/>
      <c r="S468" s="85" t="n"/>
      <c r="T468" s="85" t="n"/>
      <c r="U468" s="85" t="n"/>
      <c r="V468" s="85" t="n"/>
      <c r="W468" s="86" t="n"/>
      <c r="X468" s="44" t="n"/>
      <c r="Y468" s="44" t="n"/>
      <c r="Z468" s="44" t="n"/>
      <c r="AA468" s="85" t="n"/>
      <c r="AB468" s="45" t="n"/>
      <c r="AC468" s="86" t="n"/>
      <c r="AD468" s="44" t="n"/>
      <c r="AE468" s="87" t="n"/>
      <c r="AF468" s="44" t="n"/>
      <c r="AG468" s="44" t="n"/>
      <c r="AH468" s="87" t="n"/>
      <c r="AI468" s="44" t="n"/>
      <c r="AJ468" s="45" t="n"/>
      <c r="AK468" s="45" t="n"/>
      <c r="AL468" s="45" t="n"/>
      <c r="AM468" s="44" t="n"/>
      <c r="AN468" s="45" t="n"/>
      <c r="AO468" s="44" t="n"/>
      <c r="AP468" s="44" t="n"/>
      <c r="AQ468" s="44" t="n"/>
      <c r="AR468" s="44" t="n"/>
      <c r="AS468" s="44" t="n"/>
    </row>
    <row r="469">
      <c r="A469" s="44" t="n"/>
      <c r="B469" s="44" t="n"/>
      <c r="C469" s="44" t="n"/>
      <c r="D469" s="44" t="n"/>
      <c r="E469" s="44" t="n"/>
      <c r="F469" s="44" t="n"/>
      <c r="G469" s="45" t="n"/>
      <c r="H469" s="45" t="n"/>
      <c r="I469" s="85" t="n"/>
      <c r="J469" s="44" t="n"/>
      <c r="K469" s="44" t="n"/>
      <c r="L469" s="44" t="n"/>
      <c r="M469" s="45" t="n"/>
      <c r="N469" s="44" t="n"/>
      <c r="O469" s="86" t="n"/>
      <c r="P469" s="44" t="n"/>
      <c r="Q469" s="45" t="n"/>
      <c r="R469" s="85" t="n"/>
      <c r="S469" s="85" t="n"/>
      <c r="T469" s="85" t="n"/>
      <c r="U469" s="85" t="n"/>
      <c r="V469" s="85" t="n"/>
      <c r="W469" s="86" t="n"/>
      <c r="X469" s="44" t="n"/>
      <c r="Y469" s="44" t="n"/>
      <c r="Z469" s="44" t="n"/>
      <c r="AA469" s="85" t="n"/>
      <c r="AB469" s="45" t="n"/>
      <c r="AC469" s="86" t="n"/>
      <c r="AD469" s="44" t="n"/>
      <c r="AE469" s="87" t="n"/>
      <c r="AF469" s="44" t="n"/>
      <c r="AG469" s="44" t="n"/>
      <c r="AH469" s="87" t="n"/>
      <c r="AI469" s="44" t="n"/>
      <c r="AJ469" s="45" t="n"/>
      <c r="AK469" s="45" t="n"/>
      <c r="AL469" s="45" t="n"/>
      <c r="AM469" s="44" t="n"/>
      <c r="AN469" s="45" t="n"/>
      <c r="AO469" s="44" t="n"/>
      <c r="AP469" s="44" t="n"/>
      <c r="AQ469" s="44" t="n"/>
      <c r="AR469" s="44" t="n"/>
      <c r="AS469" s="44" t="n"/>
    </row>
    <row r="470">
      <c r="A470" s="44" t="n"/>
      <c r="B470" s="44" t="n"/>
      <c r="C470" s="44" t="n"/>
      <c r="D470" s="44" t="n"/>
      <c r="E470" s="44" t="n"/>
      <c r="F470" s="44" t="n"/>
      <c r="G470" s="45" t="n"/>
      <c r="H470" s="45" t="n"/>
      <c r="I470" s="85" t="n"/>
      <c r="J470" s="44" t="n"/>
      <c r="K470" s="44" t="n"/>
      <c r="L470" s="44" t="n"/>
      <c r="M470" s="45" t="n"/>
      <c r="N470" s="44" t="n"/>
      <c r="O470" s="86" t="n"/>
      <c r="P470" s="44" t="n"/>
      <c r="Q470" s="45" t="n"/>
      <c r="R470" s="85" t="n"/>
      <c r="S470" s="85" t="n"/>
      <c r="T470" s="85" t="n"/>
      <c r="U470" s="85" t="n"/>
      <c r="V470" s="85" t="n"/>
      <c r="W470" s="86" t="n"/>
      <c r="X470" s="44" t="n"/>
      <c r="Y470" s="44" t="n"/>
      <c r="Z470" s="44" t="n"/>
      <c r="AA470" s="85" t="n"/>
      <c r="AB470" s="45" t="n"/>
      <c r="AC470" s="86" t="n"/>
      <c r="AD470" s="44" t="n"/>
      <c r="AE470" s="87" t="n"/>
      <c r="AF470" s="44" t="n"/>
      <c r="AG470" s="44" t="n"/>
      <c r="AH470" s="87" t="n"/>
      <c r="AI470" s="44" t="n"/>
      <c r="AJ470" s="45" t="n"/>
      <c r="AK470" s="45" t="n"/>
      <c r="AL470" s="45" t="n"/>
      <c r="AM470" s="44" t="n"/>
      <c r="AN470" s="45" t="n"/>
      <c r="AO470" s="44" t="n"/>
      <c r="AP470" s="44" t="n"/>
      <c r="AQ470" s="44" t="n"/>
      <c r="AR470" s="44" t="n"/>
      <c r="AS470" s="44" t="n"/>
    </row>
    <row r="471">
      <c r="A471" s="44" t="n"/>
      <c r="B471" s="44" t="n"/>
      <c r="C471" s="44" t="n"/>
      <c r="D471" s="44" t="n"/>
      <c r="E471" s="44" t="n"/>
      <c r="F471" s="44" t="n"/>
      <c r="G471" s="45" t="n"/>
      <c r="H471" s="45" t="n"/>
      <c r="I471" s="85" t="n"/>
      <c r="J471" s="44" t="n"/>
      <c r="K471" s="44" t="n"/>
      <c r="L471" s="44" t="n"/>
      <c r="M471" s="45" t="n"/>
      <c r="N471" s="44" t="n"/>
      <c r="O471" s="86" t="n"/>
      <c r="P471" s="44" t="n"/>
      <c r="Q471" s="45" t="n"/>
      <c r="R471" s="85" t="n"/>
      <c r="S471" s="85" t="n"/>
      <c r="T471" s="85" t="n"/>
      <c r="U471" s="85" t="n"/>
      <c r="V471" s="85" t="n"/>
      <c r="W471" s="86" t="n"/>
      <c r="X471" s="44" t="n"/>
      <c r="Y471" s="44" t="n"/>
      <c r="Z471" s="44" t="n"/>
      <c r="AA471" s="85" t="n"/>
      <c r="AB471" s="45" t="n"/>
      <c r="AC471" s="86" t="n"/>
      <c r="AD471" s="44" t="n"/>
      <c r="AE471" s="87" t="n"/>
      <c r="AF471" s="44" t="n"/>
      <c r="AG471" s="44" t="n"/>
      <c r="AH471" s="87" t="n"/>
      <c r="AI471" s="44" t="n"/>
      <c r="AJ471" s="45" t="n"/>
      <c r="AK471" s="45" t="n"/>
      <c r="AL471" s="45" t="n"/>
      <c r="AM471" s="44" t="n"/>
      <c r="AN471" s="45" t="n"/>
      <c r="AO471" s="44" t="n"/>
      <c r="AP471" s="44" t="n"/>
      <c r="AQ471" s="44" t="n"/>
      <c r="AR471" s="44" t="n"/>
      <c r="AS471" s="44" t="n"/>
    </row>
    <row r="472">
      <c r="A472" s="44" t="n"/>
      <c r="B472" s="44" t="n"/>
      <c r="C472" s="44" t="n"/>
      <c r="D472" s="44" t="n"/>
      <c r="E472" s="44" t="n"/>
      <c r="F472" s="44" t="n"/>
      <c r="G472" s="45" t="n"/>
      <c r="H472" s="45" t="n"/>
      <c r="I472" s="85" t="n"/>
      <c r="J472" s="44" t="n"/>
      <c r="K472" s="44" t="n"/>
      <c r="L472" s="44" t="n"/>
      <c r="M472" s="45" t="n"/>
      <c r="N472" s="44" t="n"/>
      <c r="O472" s="86" t="n"/>
      <c r="P472" s="44" t="n"/>
      <c r="Q472" s="45" t="n"/>
      <c r="R472" s="85" t="n"/>
      <c r="S472" s="85" t="n"/>
      <c r="T472" s="85" t="n"/>
      <c r="U472" s="85" t="n"/>
      <c r="V472" s="85" t="n"/>
      <c r="W472" s="86" t="n"/>
      <c r="X472" s="44" t="n"/>
      <c r="Y472" s="44" t="n"/>
      <c r="Z472" s="44" t="n"/>
      <c r="AA472" s="85" t="n"/>
      <c r="AB472" s="45" t="n"/>
      <c r="AC472" s="86" t="n"/>
      <c r="AD472" s="44" t="n"/>
      <c r="AE472" s="87" t="n"/>
      <c r="AF472" s="44" t="n"/>
      <c r="AG472" s="44" t="n"/>
      <c r="AH472" s="87" t="n"/>
      <c r="AI472" s="44" t="n"/>
      <c r="AJ472" s="45" t="n"/>
      <c r="AK472" s="45" t="n"/>
      <c r="AL472" s="45" t="n"/>
      <c r="AM472" s="44" t="n"/>
      <c r="AN472" s="45" t="n"/>
      <c r="AO472" s="44" t="n"/>
      <c r="AP472" s="44" t="n"/>
      <c r="AQ472" s="44" t="n"/>
      <c r="AR472" s="44" t="n"/>
      <c r="AS472" s="44" t="n"/>
    </row>
    <row r="473">
      <c r="A473" s="44" t="n"/>
      <c r="B473" s="44" t="n"/>
      <c r="C473" s="44" t="n"/>
      <c r="D473" s="44" t="n"/>
      <c r="E473" s="44" t="n"/>
      <c r="F473" s="44" t="n"/>
      <c r="G473" s="45" t="n"/>
      <c r="H473" s="45" t="n"/>
      <c r="I473" s="85" t="n"/>
      <c r="J473" s="44" t="n"/>
      <c r="K473" s="44" t="n"/>
      <c r="L473" s="44" t="n"/>
      <c r="M473" s="45" t="n"/>
      <c r="N473" s="44" t="n"/>
      <c r="O473" s="86" t="n"/>
      <c r="P473" s="44" t="n"/>
      <c r="Q473" s="45" t="n"/>
      <c r="R473" s="85" t="n"/>
      <c r="S473" s="85" t="n"/>
      <c r="T473" s="85" t="n"/>
      <c r="U473" s="85" t="n"/>
      <c r="V473" s="85" t="n"/>
      <c r="W473" s="86" t="n"/>
      <c r="X473" s="44" t="n"/>
      <c r="Y473" s="44" t="n"/>
      <c r="Z473" s="44" t="n"/>
      <c r="AA473" s="85" t="n"/>
      <c r="AB473" s="45" t="n"/>
      <c r="AC473" s="86" t="n"/>
      <c r="AD473" s="44" t="n"/>
      <c r="AE473" s="87" t="n"/>
      <c r="AF473" s="44" t="n"/>
      <c r="AG473" s="44" t="n"/>
      <c r="AH473" s="87" t="n"/>
      <c r="AI473" s="44" t="n"/>
      <c r="AJ473" s="45" t="n"/>
      <c r="AK473" s="45" t="n"/>
      <c r="AL473" s="45" t="n"/>
      <c r="AM473" s="44" t="n"/>
      <c r="AN473" s="45" t="n"/>
      <c r="AO473" s="44" t="n"/>
      <c r="AP473" s="44" t="n"/>
      <c r="AQ473" s="44" t="n"/>
      <c r="AR473" s="44" t="n"/>
      <c r="AS473" s="44" t="n"/>
    </row>
    <row r="474">
      <c r="A474" s="44" t="n"/>
      <c r="B474" s="44" t="n"/>
      <c r="C474" s="44" t="n"/>
      <c r="D474" s="44" t="n"/>
      <c r="E474" s="44" t="n"/>
      <c r="F474" s="44" t="n"/>
      <c r="G474" s="45" t="n"/>
      <c r="H474" s="45" t="n"/>
      <c r="I474" s="85" t="n"/>
      <c r="J474" s="44" t="n"/>
      <c r="K474" s="44" t="n"/>
      <c r="L474" s="44" t="n"/>
      <c r="M474" s="45" t="n"/>
      <c r="N474" s="44" t="n"/>
      <c r="O474" s="86" t="n"/>
      <c r="P474" s="44" t="n"/>
      <c r="Q474" s="45" t="n"/>
      <c r="R474" s="85" t="n"/>
      <c r="S474" s="85" t="n"/>
      <c r="T474" s="85" t="n"/>
      <c r="U474" s="85" t="n"/>
      <c r="V474" s="85" t="n"/>
      <c r="W474" s="86" t="n"/>
      <c r="X474" s="44" t="n"/>
      <c r="Y474" s="44" t="n"/>
      <c r="Z474" s="44" t="n"/>
      <c r="AA474" s="85" t="n"/>
      <c r="AB474" s="45" t="n"/>
      <c r="AC474" s="86" t="n"/>
      <c r="AD474" s="44" t="n"/>
      <c r="AE474" s="87" t="n"/>
      <c r="AF474" s="44" t="n"/>
      <c r="AG474" s="44" t="n"/>
      <c r="AH474" s="87" t="n"/>
      <c r="AI474" s="44" t="n"/>
      <c r="AJ474" s="45" t="n"/>
      <c r="AK474" s="45" t="n"/>
      <c r="AL474" s="45" t="n"/>
      <c r="AM474" s="44" t="n"/>
      <c r="AN474" s="45" t="n"/>
      <c r="AO474" s="44" t="n"/>
      <c r="AP474" s="44" t="n"/>
      <c r="AQ474" s="44" t="n"/>
      <c r="AR474" s="44" t="n"/>
      <c r="AS474" s="44" t="n"/>
    </row>
    <row r="475">
      <c r="A475" s="44" t="n"/>
      <c r="B475" s="44" t="n"/>
      <c r="C475" s="44" t="n"/>
      <c r="D475" s="44" t="n"/>
      <c r="E475" s="44" t="n"/>
      <c r="F475" s="44" t="n"/>
      <c r="G475" s="45" t="n"/>
      <c r="H475" s="45" t="n"/>
      <c r="I475" s="85" t="n"/>
      <c r="J475" s="44" t="n"/>
      <c r="K475" s="44" t="n"/>
      <c r="L475" s="44" t="n"/>
      <c r="M475" s="45" t="n"/>
      <c r="N475" s="44" t="n"/>
      <c r="O475" s="86" t="n"/>
      <c r="P475" s="44" t="n"/>
      <c r="Q475" s="45" t="n"/>
      <c r="R475" s="85" t="n"/>
      <c r="S475" s="85" t="n"/>
      <c r="T475" s="85" t="n"/>
      <c r="U475" s="85" t="n"/>
      <c r="V475" s="85" t="n"/>
      <c r="W475" s="86" t="n"/>
      <c r="X475" s="44" t="n"/>
      <c r="Y475" s="44" t="n"/>
      <c r="Z475" s="44" t="n"/>
      <c r="AA475" s="85" t="n"/>
      <c r="AB475" s="45" t="n"/>
      <c r="AC475" s="86" t="n"/>
      <c r="AD475" s="44" t="n"/>
      <c r="AE475" s="87" t="n"/>
      <c r="AF475" s="44" t="n"/>
      <c r="AG475" s="44" t="n"/>
      <c r="AH475" s="87" t="n"/>
      <c r="AI475" s="44" t="n"/>
      <c r="AJ475" s="45" t="n"/>
      <c r="AK475" s="45" t="n"/>
      <c r="AL475" s="45" t="n"/>
      <c r="AM475" s="44" t="n"/>
      <c r="AN475" s="45" t="n"/>
      <c r="AO475" s="44" t="n"/>
      <c r="AP475" s="44" t="n"/>
      <c r="AQ475" s="44" t="n"/>
      <c r="AR475" s="44" t="n"/>
      <c r="AS475" s="44" t="n"/>
    </row>
    <row r="476">
      <c r="A476" s="44" t="n"/>
      <c r="B476" s="44" t="n"/>
      <c r="C476" s="44" t="n"/>
      <c r="D476" s="44" t="n"/>
      <c r="E476" s="44" t="n"/>
      <c r="F476" s="44" t="n"/>
      <c r="G476" s="45" t="n"/>
      <c r="H476" s="45" t="n"/>
      <c r="I476" s="85" t="n"/>
      <c r="J476" s="44" t="n"/>
      <c r="K476" s="44" t="n"/>
      <c r="L476" s="44" t="n"/>
      <c r="M476" s="45" t="n"/>
      <c r="N476" s="44" t="n"/>
      <c r="O476" s="86" t="n"/>
      <c r="P476" s="44" t="n"/>
      <c r="Q476" s="45" t="n"/>
      <c r="R476" s="85" t="n"/>
      <c r="S476" s="85" t="n"/>
      <c r="T476" s="85" t="n"/>
      <c r="U476" s="85" t="n"/>
      <c r="V476" s="85" t="n"/>
      <c r="W476" s="86" t="n"/>
      <c r="X476" s="44" t="n"/>
      <c r="Y476" s="44" t="n"/>
      <c r="Z476" s="44" t="n"/>
      <c r="AA476" s="85" t="n"/>
      <c r="AB476" s="45" t="n"/>
      <c r="AC476" s="86" t="n"/>
      <c r="AD476" s="44" t="n"/>
      <c r="AE476" s="87" t="n"/>
      <c r="AF476" s="44" t="n"/>
      <c r="AG476" s="44" t="n"/>
      <c r="AH476" s="87" t="n"/>
      <c r="AI476" s="44" t="n"/>
      <c r="AJ476" s="45" t="n"/>
      <c r="AK476" s="45" t="n"/>
      <c r="AL476" s="45" t="n"/>
      <c r="AM476" s="44" t="n"/>
      <c r="AN476" s="45" t="n"/>
      <c r="AO476" s="44" t="n"/>
      <c r="AP476" s="44" t="n"/>
      <c r="AQ476" s="44" t="n"/>
      <c r="AR476" s="44" t="n"/>
      <c r="AS476" s="44" t="n"/>
    </row>
    <row r="477">
      <c r="A477" s="44" t="n"/>
      <c r="B477" s="44" t="n"/>
      <c r="C477" s="44" t="n"/>
      <c r="D477" s="44" t="n"/>
      <c r="E477" s="44" t="n"/>
      <c r="F477" s="44" t="n"/>
      <c r="G477" s="45" t="n"/>
      <c r="H477" s="45" t="n"/>
      <c r="I477" s="85" t="n"/>
      <c r="J477" s="44" t="n"/>
      <c r="K477" s="44" t="n"/>
      <c r="L477" s="44" t="n"/>
      <c r="M477" s="45" t="n"/>
      <c r="N477" s="44" t="n"/>
      <c r="O477" s="86" t="n"/>
      <c r="P477" s="44" t="n"/>
      <c r="Q477" s="45" t="n"/>
      <c r="R477" s="85" t="n"/>
      <c r="S477" s="85" t="n"/>
      <c r="T477" s="85" t="n"/>
      <c r="U477" s="85" t="n"/>
      <c r="V477" s="85" t="n"/>
      <c r="W477" s="86" t="n"/>
      <c r="X477" s="44" t="n"/>
      <c r="Y477" s="44" t="n"/>
      <c r="Z477" s="44" t="n"/>
      <c r="AA477" s="85" t="n"/>
      <c r="AB477" s="45" t="n"/>
      <c r="AC477" s="86" t="n"/>
      <c r="AD477" s="44" t="n"/>
      <c r="AE477" s="87" t="n"/>
      <c r="AF477" s="44" t="n"/>
      <c r="AG477" s="44" t="n"/>
      <c r="AH477" s="87" t="n"/>
      <c r="AI477" s="44" t="n"/>
      <c r="AJ477" s="45" t="n"/>
      <c r="AK477" s="45" t="n"/>
      <c r="AL477" s="45" t="n"/>
      <c r="AM477" s="44" t="n"/>
      <c r="AN477" s="45" t="n"/>
      <c r="AO477" s="44" t="n"/>
      <c r="AP477" s="44" t="n"/>
      <c r="AQ477" s="44" t="n"/>
      <c r="AR477" s="44" t="n"/>
      <c r="AS477" s="44" t="n"/>
    </row>
    <row r="478">
      <c r="A478" s="44" t="n"/>
      <c r="B478" s="44" t="n"/>
      <c r="C478" s="44" t="n"/>
      <c r="D478" s="44" t="n"/>
      <c r="E478" s="44" t="n"/>
      <c r="F478" s="44" t="n"/>
      <c r="G478" s="45" t="n"/>
      <c r="H478" s="45" t="n"/>
      <c r="I478" s="85" t="n"/>
      <c r="J478" s="44" t="n"/>
      <c r="K478" s="44" t="n"/>
      <c r="L478" s="44" t="n"/>
      <c r="M478" s="45" t="n"/>
      <c r="N478" s="44" t="n"/>
      <c r="O478" s="86" t="n"/>
      <c r="P478" s="44" t="n"/>
      <c r="Q478" s="45" t="n"/>
      <c r="R478" s="85" t="n"/>
      <c r="S478" s="85" t="n"/>
      <c r="T478" s="85" t="n"/>
      <c r="U478" s="85" t="n"/>
      <c r="V478" s="85" t="n"/>
      <c r="W478" s="86" t="n"/>
      <c r="X478" s="44" t="n"/>
      <c r="Y478" s="44" t="n"/>
      <c r="Z478" s="44" t="n"/>
      <c r="AA478" s="85" t="n"/>
      <c r="AB478" s="45" t="n"/>
      <c r="AC478" s="86" t="n"/>
      <c r="AD478" s="44" t="n"/>
      <c r="AE478" s="87" t="n"/>
      <c r="AF478" s="44" t="n"/>
      <c r="AG478" s="44" t="n"/>
      <c r="AH478" s="87" t="n"/>
      <c r="AI478" s="44" t="n"/>
      <c r="AJ478" s="45" t="n"/>
      <c r="AK478" s="45" t="n"/>
      <c r="AL478" s="45" t="n"/>
      <c r="AM478" s="44" t="n"/>
      <c r="AN478" s="45" t="n"/>
      <c r="AO478" s="44" t="n"/>
      <c r="AP478" s="44" t="n"/>
      <c r="AQ478" s="44" t="n"/>
      <c r="AR478" s="44" t="n"/>
      <c r="AS478" s="44" t="n"/>
    </row>
    <row r="479">
      <c r="A479" s="44" t="n"/>
      <c r="B479" s="44" t="n"/>
      <c r="C479" s="44" t="n"/>
      <c r="D479" s="44" t="n"/>
      <c r="E479" s="44" t="n"/>
      <c r="F479" s="44" t="n"/>
      <c r="G479" s="45" t="n"/>
      <c r="H479" s="45" t="n"/>
      <c r="I479" s="85" t="n"/>
      <c r="J479" s="44" t="n"/>
      <c r="K479" s="44" t="n"/>
      <c r="L479" s="44" t="n"/>
      <c r="M479" s="45" t="n"/>
      <c r="N479" s="44" t="n"/>
      <c r="O479" s="86" t="n"/>
      <c r="P479" s="44" t="n"/>
      <c r="Q479" s="45" t="n"/>
      <c r="R479" s="85" t="n"/>
      <c r="S479" s="85" t="n"/>
      <c r="T479" s="85" t="n"/>
      <c r="U479" s="85" t="n"/>
      <c r="V479" s="85" t="n"/>
      <c r="W479" s="86" t="n"/>
      <c r="X479" s="44" t="n"/>
      <c r="Y479" s="44" t="n"/>
      <c r="Z479" s="44" t="n"/>
      <c r="AA479" s="85" t="n"/>
      <c r="AB479" s="45" t="n"/>
      <c r="AC479" s="86" t="n"/>
      <c r="AD479" s="44" t="n"/>
      <c r="AE479" s="87" t="n"/>
      <c r="AF479" s="44" t="n"/>
      <c r="AG479" s="44" t="n"/>
      <c r="AH479" s="87" t="n"/>
      <c r="AI479" s="44" t="n"/>
      <c r="AJ479" s="45" t="n"/>
      <c r="AK479" s="45" t="n"/>
      <c r="AL479" s="45" t="n"/>
      <c r="AM479" s="44" t="n"/>
      <c r="AN479" s="45" t="n"/>
      <c r="AO479" s="44" t="n"/>
      <c r="AP479" s="44" t="n"/>
      <c r="AQ479" s="44" t="n"/>
      <c r="AR479" s="44" t="n"/>
      <c r="AS479" s="44" t="n"/>
    </row>
    <row r="480">
      <c r="A480" s="44" t="n"/>
      <c r="B480" s="44" t="n"/>
      <c r="C480" s="44" t="n"/>
      <c r="D480" s="44" t="n"/>
      <c r="E480" s="44" t="n"/>
      <c r="F480" s="44" t="n"/>
      <c r="G480" s="45" t="n"/>
      <c r="H480" s="45" t="n"/>
      <c r="I480" s="85" t="n"/>
      <c r="J480" s="44" t="n"/>
      <c r="K480" s="44" t="n"/>
      <c r="L480" s="44" t="n"/>
      <c r="M480" s="45" t="n"/>
      <c r="N480" s="44" t="n"/>
      <c r="O480" s="86" t="n"/>
      <c r="P480" s="44" t="n"/>
      <c r="Q480" s="45" t="n"/>
      <c r="R480" s="85" t="n"/>
      <c r="S480" s="85" t="n"/>
      <c r="T480" s="85" t="n"/>
      <c r="U480" s="85" t="n"/>
      <c r="V480" s="85" t="n"/>
      <c r="W480" s="86" t="n"/>
      <c r="X480" s="44" t="n"/>
      <c r="Y480" s="44" t="n"/>
      <c r="Z480" s="44" t="n"/>
      <c r="AA480" s="85" t="n"/>
      <c r="AB480" s="45" t="n"/>
      <c r="AC480" s="86" t="n"/>
      <c r="AD480" s="44" t="n"/>
      <c r="AE480" s="87" t="n"/>
      <c r="AF480" s="44" t="n"/>
      <c r="AG480" s="44" t="n"/>
      <c r="AH480" s="87" t="n"/>
      <c r="AI480" s="44" t="n"/>
      <c r="AJ480" s="45" t="n"/>
      <c r="AK480" s="45" t="n"/>
      <c r="AL480" s="45" t="n"/>
      <c r="AM480" s="44" t="n"/>
      <c r="AN480" s="45" t="n"/>
      <c r="AO480" s="44" t="n"/>
      <c r="AP480" s="44" t="n"/>
      <c r="AQ480" s="44" t="n"/>
      <c r="AR480" s="44" t="n"/>
      <c r="AS480" s="44" t="n"/>
    </row>
    <row r="481">
      <c r="A481" s="44" t="n"/>
      <c r="B481" s="44" t="n"/>
      <c r="C481" s="44" t="n"/>
      <c r="D481" s="44" t="n"/>
      <c r="E481" s="44" t="n"/>
      <c r="F481" s="44" t="n"/>
      <c r="G481" s="45" t="n"/>
      <c r="H481" s="45" t="n"/>
      <c r="I481" s="85" t="n"/>
      <c r="J481" s="44" t="n"/>
      <c r="K481" s="44" t="n"/>
      <c r="L481" s="44" t="n"/>
      <c r="M481" s="45" t="n"/>
      <c r="N481" s="44" t="n"/>
      <c r="O481" s="86" t="n"/>
      <c r="P481" s="44" t="n"/>
      <c r="Q481" s="45" t="n"/>
      <c r="R481" s="85" t="n"/>
      <c r="S481" s="85" t="n"/>
      <c r="T481" s="85" t="n"/>
      <c r="U481" s="85" t="n"/>
      <c r="V481" s="85" t="n"/>
      <c r="W481" s="86" t="n"/>
      <c r="X481" s="44" t="n"/>
      <c r="Y481" s="44" t="n"/>
      <c r="Z481" s="44" t="n"/>
      <c r="AA481" s="85" t="n"/>
      <c r="AB481" s="45" t="n"/>
      <c r="AC481" s="86" t="n"/>
      <c r="AD481" s="44" t="n"/>
      <c r="AE481" s="87" t="n"/>
      <c r="AF481" s="44" t="n"/>
      <c r="AG481" s="44" t="n"/>
      <c r="AH481" s="87" t="n"/>
      <c r="AI481" s="44" t="n"/>
      <c r="AJ481" s="45" t="n"/>
      <c r="AK481" s="45" t="n"/>
      <c r="AL481" s="45" t="n"/>
      <c r="AM481" s="44" t="n"/>
      <c r="AN481" s="45" t="n"/>
      <c r="AO481" s="44" t="n"/>
      <c r="AP481" s="44" t="n"/>
      <c r="AQ481" s="44" t="n"/>
      <c r="AR481" s="44" t="n"/>
      <c r="AS481" s="44" t="n"/>
    </row>
    <row r="482">
      <c r="A482" s="44" t="n"/>
      <c r="B482" s="44" t="n"/>
      <c r="C482" s="44" t="n"/>
      <c r="D482" s="44" t="n"/>
      <c r="E482" s="44" t="n"/>
      <c r="F482" s="44" t="n"/>
      <c r="G482" s="45" t="n"/>
      <c r="H482" s="45" t="n"/>
      <c r="I482" s="85" t="n"/>
      <c r="J482" s="44" t="n"/>
      <c r="K482" s="44" t="n"/>
      <c r="L482" s="44" t="n"/>
      <c r="M482" s="45" t="n"/>
      <c r="N482" s="44" t="n"/>
      <c r="O482" s="86" t="n"/>
      <c r="P482" s="44" t="n"/>
      <c r="Q482" s="45" t="n"/>
      <c r="R482" s="85" t="n"/>
      <c r="S482" s="85" t="n"/>
      <c r="T482" s="85" t="n"/>
      <c r="U482" s="85" t="n"/>
      <c r="V482" s="85" t="n"/>
      <c r="W482" s="86" t="n"/>
      <c r="X482" s="44" t="n"/>
      <c r="Y482" s="44" t="n"/>
      <c r="Z482" s="44" t="n"/>
      <c r="AA482" s="85" t="n"/>
      <c r="AB482" s="45" t="n"/>
      <c r="AC482" s="86" t="n"/>
      <c r="AD482" s="44" t="n"/>
      <c r="AE482" s="87" t="n"/>
      <c r="AF482" s="44" t="n"/>
      <c r="AG482" s="44" t="n"/>
      <c r="AH482" s="87" t="n"/>
      <c r="AI482" s="44" t="n"/>
      <c r="AJ482" s="45" t="n"/>
      <c r="AK482" s="45" t="n"/>
      <c r="AL482" s="45" t="n"/>
      <c r="AM482" s="44" t="n"/>
      <c r="AN482" s="45" t="n"/>
      <c r="AO482" s="44" t="n"/>
      <c r="AP482" s="44" t="n"/>
      <c r="AQ482" s="44" t="n"/>
      <c r="AR482" s="44" t="n"/>
      <c r="AS482" s="44" t="n"/>
    </row>
    <row r="483">
      <c r="A483" s="44" t="n"/>
      <c r="B483" s="44" t="n"/>
      <c r="C483" s="44" t="n"/>
      <c r="D483" s="44" t="n"/>
      <c r="E483" s="44" t="n"/>
      <c r="F483" s="44" t="n"/>
      <c r="G483" s="45" t="n"/>
      <c r="H483" s="45" t="n"/>
      <c r="I483" s="85" t="n"/>
      <c r="J483" s="44" t="n"/>
      <c r="K483" s="44" t="n"/>
      <c r="L483" s="44" t="n"/>
      <c r="M483" s="45" t="n"/>
      <c r="N483" s="44" t="n"/>
      <c r="O483" s="86" t="n"/>
      <c r="P483" s="44" t="n"/>
      <c r="Q483" s="45" t="n"/>
      <c r="R483" s="85" t="n"/>
      <c r="S483" s="85" t="n"/>
      <c r="T483" s="85" t="n"/>
      <c r="U483" s="85" t="n"/>
      <c r="V483" s="85" t="n"/>
      <c r="W483" s="86" t="n"/>
      <c r="X483" s="44" t="n"/>
      <c r="Y483" s="44" t="n"/>
      <c r="Z483" s="44" t="n"/>
      <c r="AA483" s="85" t="n"/>
      <c r="AB483" s="45" t="n"/>
      <c r="AC483" s="86" t="n"/>
      <c r="AD483" s="44" t="n"/>
      <c r="AE483" s="87" t="n"/>
      <c r="AF483" s="44" t="n"/>
      <c r="AG483" s="44" t="n"/>
      <c r="AH483" s="87" t="n"/>
      <c r="AI483" s="44" t="n"/>
      <c r="AJ483" s="45" t="n"/>
      <c r="AK483" s="45" t="n"/>
      <c r="AL483" s="45" t="n"/>
      <c r="AM483" s="44" t="n"/>
      <c r="AN483" s="45" t="n"/>
      <c r="AO483" s="44" t="n"/>
      <c r="AP483" s="44" t="n"/>
      <c r="AQ483" s="44" t="n"/>
      <c r="AR483" s="44" t="n"/>
      <c r="AS483" s="44" t="n"/>
    </row>
    <row r="484">
      <c r="A484" s="44" t="n"/>
      <c r="B484" s="44" t="n"/>
      <c r="C484" s="44" t="n"/>
      <c r="D484" s="44" t="n"/>
      <c r="E484" s="44" t="n"/>
      <c r="F484" s="44" t="n"/>
      <c r="G484" s="45" t="n"/>
      <c r="H484" s="45" t="n"/>
      <c r="I484" s="85" t="n"/>
      <c r="J484" s="44" t="n"/>
      <c r="K484" s="44" t="n"/>
      <c r="L484" s="44" t="n"/>
      <c r="M484" s="45" t="n"/>
      <c r="N484" s="44" t="n"/>
      <c r="O484" s="86" t="n"/>
      <c r="P484" s="44" t="n"/>
      <c r="Q484" s="45" t="n"/>
      <c r="R484" s="85" t="n"/>
      <c r="S484" s="85" t="n"/>
      <c r="T484" s="85" t="n"/>
      <c r="U484" s="85" t="n"/>
      <c r="V484" s="85" t="n"/>
      <c r="W484" s="86" t="n"/>
      <c r="X484" s="44" t="n"/>
      <c r="Y484" s="44" t="n"/>
      <c r="Z484" s="44" t="n"/>
      <c r="AA484" s="85" t="n"/>
      <c r="AB484" s="45" t="n"/>
      <c r="AC484" s="86" t="n"/>
      <c r="AD484" s="44" t="n"/>
      <c r="AE484" s="87" t="n"/>
      <c r="AF484" s="44" t="n"/>
      <c r="AG484" s="44" t="n"/>
      <c r="AH484" s="87" t="n"/>
      <c r="AI484" s="44" t="n"/>
      <c r="AJ484" s="45" t="n"/>
      <c r="AK484" s="45" t="n"/>
      <c r="AL484" s="45" t="n"/>
      <c r="AM484" s="44" t="n"/>
      <c r="AN484" s="45" t="n"/>
      <c r="AO484" s="44" t="n"/>
      <c r="AP484" s="44" t="n"/>
      <c r="AQ484" s="44" t="n"/>
      <c r="AR484" s="44" t="n"/>
      <c r="AS484" s="44" t="n"/>
    </row>
    <row r="485">
      <c r="A485" s="44" t="n"/>
      <c r="B485" s="44" t="n"/>
      <c r="C485" s="44" t="n"/>
      <c r="D485" s="44" t="n"/>
      <c r="E485" s="44" t="n"/>
      <c r="F485" s="44" t="n"/>
      <c r="G485" s="45" t="n"/>
      <c r="H485" s="45" t="n"/>
      <c r="I485" s="85" t="n"/>
      <c r="J485" s="44" t="n"/>
      <c r="K485" s="44" t="n"/>
      <c r="L485" s="44" t="n"/>
      <c r="M485" s="45" t="n"/>
      <c r="N485" s="44" t="n"/>
      <c r="O485" s="86" t="n"/>
      <c r="P485" s="44" t="n"/>
      <c r="Q485" s="45" t="n"/>
      <c r="R485" s="85" t="n"/>
      <c r="S485" s="85" t="n"/>
      <c r="T485" s="85" t="n"/>
      <c r="U485" s="85" t="n"/>
      <c r="V485" s="85" t="n"/>
      <c r="W485" s="86" t="n"/>
      <c r="X485" s="44" t="n"/>
      <c r="Y485" s="44" t="n"/>
      <c r="Z485" s="44" t="n"/>
      <c r="AA485" s="85" t="n"/>
      <c r="AB485" s="45" t="n"/>
      <c r="AC485" s="86" t="n"/>
      <c r="AD485" s="44" t="n"/>
      <c r="AE485" s="87" t="n"/>
      <c r="AF485" s="44" t="n"/>
      <c r="AG485" s="44" t="n"/>
      <c r="AH485" s="87" t="n"/>
      <c r="AI485" s="44" t="n"/>
      <c r="AJ485" s="45" t="n"/>
      <c r="AK485" s="45" t="n"/>
      <c r="AL485" s="45" t="n"/>
      <c r="AM485" s="44" t="n"/>
      <c r="AN485" s="45" t="n"/>
      <c r="AO485" s="44" t="n"/>
      <c r="AP485" s="44" t="n"/>
      <c r="AQ485" s="44" t="n"/>
      <c r="AR485" s="44" t="n"/>
      <c r="AS485" s="44" t="n"/>
    </row>
    <row r="486">
      <c r="A486" s="44" t="n"/>
      <c r="B486" s="44" t="n"/>
      <c r="C486" s="44" t="n"/>
      <c r="D486" s="44" t="n"/>
      <c r="E486" s="44" t="n"/>
      <c r="F486" s="44" t="n"/>
      <c r="G486" s="45" t="n"/>
      <c r="H486" s="45" t="n"/>
      <c r="I486" s="85" t="n"/>
      <c r="J486" s="44" t="n"/>
      <c r="K486" s="44" t="n"/>
      <c r="L486" s="44" t="n"/>
      <c r="M486" s="45" t="n"/>
      <c r="N486" s="44" t="n"/>
      <c r="O486" s="86" t="n"/>
      <c r="P486" s="44" t="n"/>
      <c r="Q486" s="45" t="n"/>
      <c r="R486" s="85" t="n"/>
      <c r="S486" s="85" t="n"/>
      <c r="T486" s="85" t="n"/>
      <c r="U486" s="85" t="n"/>
      <c r="V486" s="85" t="n"/>
      <c r="W486" s="86" t="n"/>
      <c r="X486" s="44" t="n"/>
      <c r="Y486" s="44" t="n"/>
      <c r="Z486" s="44" t="n"/>
      <c r="AA486" s="85" t="n"/>
      <c r="AB486" s="45" t="n"/>
      <c r="AC486" s="86" t="n"/>
      <c r="AD486" s="44" t="n"/>
      <c r="AE486" s="87" t="n"/>
      <c r="AF486" s="44" t="n"/>
      <c r="AG486" s="44" t="n"/>
      <c r="AH486" s="87" t="n"/>
      <c r="AI486" s="44" t="n"/>
      <c r="AJ486" s="45" t="n"/>
      <c r="AK486" s="45" t="n"/>
      <c r="AL486" s="45" t="n"/>
      <c r="AM486" s="44" t="n"/>
      <c r="AN486" s="45" t="n"/>
      <c r="AO486" s="44" t="n"/>
      <c r="AP486" s="44" t="n"/>
      <c r="AQ486" s="44" t="n"/>
      <c r="AR486" s="44" t="n"/>
      <c r="AS486" s="44" t="n"/>
    </row>
    <row r="487">
      <c r="A487" s="44" t="n"/>
      <c r="B487" s="44" t="n"/>
      <c r="C487" s="44" t="n"/>
      <c r="D487" s="44" t="n"/>
      <c r="E487" s="44" t="n"/>
      <c r="F487" s="44" t="n"/>
      <c r="G487" s="45" t="n"/>
      <c r="H487" s="45" t="n"/>
      <c r="I487" s="85" t="n"/>
      <c r="J487" s="44" t="n"/>
      <c r="K487" s="44" t="n"/>
      <c r="L487" s="44" t="n"/>
      <c r="M487" s="45" t="n"/>
      <c r="N487" s="44" t="n"/>
      <c r="O487" s="86" t="n"/>
      <c r="P487" s="44" t="n"/>
      <c r="Q487" s="45" t="n"/>
      <c r="R487" s="85" t="n"/>
      <c r="S487" s="85" t="n"/>
      <c r="T487" s="85" t="n"/>
      <c r="U487" s="85" t="n"/>
      <c r="V487" s="85" t="n"/>
      <c r="W487" s="86" t="n"/>
      <c r="X487" s="44" t="n"/>
      <c r="Y487" s="44" t="n"/>
      <c r="Z487" s="44" t="n"/>
      <c r="AA487" s="85" t="n"/>
      <c r="AB487" s="45" t="n"/>
      <c r="AC487" s="86" t="n"/>
      <c r="AD487" s="44" t="n"/>
      <c r="AE487" s="87" t="n"/>
      <c r="AF487" s="44" t="n"/>
      <c r="AG487" s="44" t="n"/>
      <c r="AH487" s="87" t="n"/>
      <c r="AI487" s="44" t="n"/>
      <c r="AJ487" s="45" t="n"/>
      <c r="AK487" s="45" t="n"/>
      <c r="AL487" s="45" t="n"/>
      <c r="AM487" s="44" t="n"/>
      <c r="AN487" s="45" t="n"/>
      <c r="AO487" s="44" t="n"/>
      <c r="AP487" s="44" t="n"/>
      <c r="AQ487" s="44" t="n"/>
      <c r="AR487" s="44" t="n"/>
      <c r="AS487" s="44" t="n"/>
    </row>
    <row r="488">
      <c r="A488" s="44" t="n"/>
      <c r="B488" s="44" t="n"/>
      <c r="C488" s="44" t="n"/>
      <c r="D488" s="44" t="n"/>
      <c r="E488" s="44" t="n"/>
      <c r="F488" s="44" t="n"/>
      <c r="G488" s="45" t="n"/>
      <c r="H488" s="45" t="n"/>
      <c r="I488" s="85" t="n"/>
      <c r="J488" s="44" t="n"/>
      <c r="K488" s="44" t="n"/>
      <c r="L488" s="44" t="n"/>
      <c r="M488" s="45" t="n"/>
      <c r="N488" s="44" t="n"/>
      <c r="O488" s="86" t="n"/>
      <c r="P488" s="44" t="n"/>
      <c r="Q488" s="45" t="n"/>
      <c r="R488" s="85" t="n"/>
      <c r="S488" s="85" t="n"/>
      <c r="T488" s="85" t="n"/>
      <c r="U488" s="85" t="n"/>
      <c r="V488" s="85" t="n"/>
      <c r="W488" s="86" t="n"/>
      <c r="X488" s="44" t="n"/>
      <c r="Y488" s="44" t="n"/>
      <c r="Z488" s="44" t="n"/>
      <c r="AA488" s="85" t="n"/>
      <c r="AB488" s="45" t="n"/>
      <c r="AC488" s="86" t="n"/>
      <c r="AD488" s="44" t="n"/>
      <c r="AE488" s="87" t="n"/>
      <c r="AF488" s="44" t="n"/>
      <c r="AG488" s="44" t="n"/>
      <c r="AH488" s="87" t="n"/>
      <c r="AI488" s="44" t="n"/>
      <c r="AJ488" s="45" t="n"/>
      <c r="AK488" s="45" t="n"/>
      <c r="AL488" s="45" t="n"/>
      <c r="AM488" s="44" t="n"/>
      <c r="AN488" s="45" t="n"/>
      <c r="AO488" s="44" t="n"/>
      <c r="AP488" s="44" t="n"/>
      <c r="AQ488" s="44" t="n"/>
      <c r="AR488" s="44" t="n"/>
      <c r="AS488" s="44" t="n"/>
    </row>
    <row r="489">
      <c r="A489" s="44" t="n"/>
      <c r="B489" s="44" t="n"/>
      <c r="C489" s="44" t="n"/>
      <c r="D489" s="44" t="n"/>
      <c r="E489" s="44" t="n"/>
      <c r="F489" s="44" t="n"/>
      <c r="G489" s="45" t="n"/>
      <c r="H489" s="45" t="n"/>
      <c r="I489" s="85" t="n"/>
      <c r="J489" s="44" t="n"/>
      <c r="K489" s="44" t="n"/>
      <c r="L489" s="44" t="n"/>
      <c r="M489" s="45" t="n"/>
      <c r="N489" s="44" t="n"/>
      <c r="O489" s="86" t="n"/>
      <c r="P489" s="44" t="n"/>
      <c r="Q489" s="45" t="n"/>
      <c r="R489" s="85" t="n"/>
      <c r="S489" s="85" t="n"/>
      <c r="T489" s="85" t="n"/>
      <c r="U489" s="85" t="n"/>
      <c r="V489" s="85" t="n"/>
      <c r="W489" s="86" t="n"/>
      <c r="X489" s="44" t="n"/>
      <c r="Y489" s="44" t="n"/>
      <c r="Z489" s="44" t="n"/>
      <c r="AA489" s="85" t="n"/>
      <c r="AB489" s="45" t="n"/>
      <c r="AC489" s="86" t="n"/>
      <c r="AD489" s="44" t="n"/>
      <c r="AE489" s="87" t="n"/>
      <c r="AF489" s="44" t="n"/>
      <c r="AG489" s="44" t="n"/>
      <c r="AH489" s="87" t="n"/>
      <c r="AI489" s="44" t="n"/>
      <c r="AJ489" s="45" t="n"/>
      <c r="AK489" s="45" t="n"/>
      <c r="AL489" s="45" t="n"/>
      <c r="AM489" s="44" t="n"/>
      <c r="AN489" s="45" t="n"/>
      <c r="AO489" s="44" t="n"/>
      <c r="AP489" s="44" t="n"/>
      <c r="AQ489" s="44" t="n"/>
      <c r="AR489" s="44" t="n"/>
      <c r="AS489" s="44" t="n"/>
    </row>
    <row r="490">
      <c r="A490" s="44" t="n"/>
      <c r="B490" s="44" t="n"/>
      <c r="C490" s="44" t="n"/>
      <c r="D490" s="44" t="n"/>
      <c r="E490" s="44" t="n"/>
      <c r="F490" s="44" t="n"/>
      <c r="G490" s="45" t="n"/>
      <c r="H490" s="45" t="n"/>
      <c r="I490" s="85" t="n"/>
      <c r="J490" s="44" t="n"/>
      <c r="K490" s="44" t="n"/>
      <c r="L490" s="44" t="n"/>
      <c r="M490" s="45" t="n"/>
      <c r="N490" s="44" t="n"/>
      <c r="O490" s="86" t="n"/>
      <c r="P490" s="44" t="n"/>
      <c r="Q490" s="45" t="n"/>
      <c r="R490" s="85" t="n"/>
      <c r="S490" s="85" t="n"/>
      <c r="T490" s="85" t="n"/>
      <c r="U490" s="85" t="n"/>
      <c r="V490" s="85" t="n"/>
      <c r="W490" s="86" t="n"/>
      <c r="X490" s="44" t="n"/>
      <c r="Y490" s="44" t="n"/>
      <c r="Z490" s="44" t="n"/>
      <c r="AA490" s="85" t="n"/>
      <c r="AB490" s="45" t="n"/>
      <c r="AC490" s="86" t="n"/>
      <c r="AD490" s="44" t="n"/>
      <c r="AE490" s="87" t="n"/>
      <c r="AF490" s="44" t="n"/>
      <c r="AG490" s="44" t="n"/>
      <c r="AH490" s="87" t="n"/>
      <c r="AI490" s="44" t="n"/>
      <c r="AJ490" s="45" t="n"/>
      <c r="AK490" s="45" t="n"/>
      <c r="AL490" s="45" t="n"/>
      <c r="AM490" s="44" t="n"/>
      <c r="AN490" s="45" t="n"/>
      <c r="AO490" s="44" t="n"/>
      <c r="AP490" s="44" t="n"/>
      <c r="AQ490" s="44" t="n"/>
      <c r="AR490" s="44" t="n"/>
      <c r="AS490" s="44" t="n"/>
    </row>
    <row r="491">
      <c r="A491" s="44" t="n"/>
      <c r="B491" s="44" t="n"/>
      <c r="C491" s="44" t="n"/>
      <c r="D491" s="44" t="n"/>
      <c r="E491" s="44" t="n"/>
      <c r="F491" s="44" t="n"/>
      <c r="G491" s="45" t="n"/>
      <c r="H491" s="45" t="n"/>
      <c r="I491" s="85" t="n"/>
      <c r="J491" s="44" t="n"/>
      <c r="K491" s="44" t="n"/>
      <c r="L491" s="44" t="n"/>
      <c r="M491" s="45" t="n"/>
      <c r="N491" s="44" t="n"/>
      <c r="O491" s="86" t="n"/>
      <c r="P491" s="44" t="n"/>
      <c r="Q491" s="45" t="n"/>
      <c r="R491" s="85" t="n"/>
      <c r="S491" s="85" t="n"/>
      <c r="T491" s="85" t="n"/>
      <c r="U491" s="85" t="n"/>
      <c r="V491" s="85" t="n"/>
      <c r="W491" s="86" t="n"/>
      <c r="X491" s="44" t="n"/>
      <c r="Y491" s="44" t="n"/>
      <c r="Z491" s="44" t="n"/>
      <c r="AA491" s="85" t="n"/>
      <c r="AB491" s="45" t="n"/>
      <c r="AC491" s="86" t="n"/>
      <c r="AD491" s="44" t="n"/>
      <c r="AE491" s="87" t="n"/>
      <c r="AF491" s="44" t="n"/>
      <c r="AG491" s="44" t="n"/>
      <c r="AH491" s="87" t="n"/>
      <c r="AI491" s="44" t="n"/>
      <c r="AJ491" s="45" t="n"/>
      <c r="AK491" s="45" t="n"/>
      <c r="AL491" s="45" t="n"/>
      <c r="AM491" s="44" t="n"/>
      <c r="AN491" s="45" t="n"/>
      <c r="AO491" s="44" t="n"/>
      <c r="AP491" s="44" t="n"/>
      <c r="AQ491" s="44" t="n"/>
      <c r="AR491" s="44" t="n"/>
      <c r="AS491" s="44" t="n"/>
    </row>
    <row r="492">
      <c r="A492" s="44" t="n"/>
      <c r="B492" s="44" t="n"/>
      <c r="C492" s="44" t="n"/>
      <c r="D492" s="44" t="n"/>
      <c r="E492" s="44" t="n"/>
      <c r="F492" s="44" t="n"/>
      <c r="G492" s="45" t="n"/>
      <c r="H492" s="45" t="n"/>
      <c r="I492" s="85" t="n"/>
      <c r="J492" s="44" t="n"/>
      <c r="K492" s="44" t="n"/>
      <c r="L492" s="44" t="n"/>
      <c r="M492" s="45" t="n"/>
      <c r="N492" s="44" t="n"/>
      <c r="O492" s="86" t="n"/>
      <c r="P492" s="44" t="n"/>
      <c r="Q492" s="45" t="n"/>
      <c r="R492" s="85" t="n"/>
      <c r="S492" s="85" t="n"/>
      <c r="T492" s="85" t="n"/>
      <c r="U492" s="85" t="n"/>
      <c r="V492" s="85" t="n"/>
      <c r="W492" s="86" t="n"/>
      <c r="X492" s="44" t="n"/>
      <c r="Y492" s="44" t="n"/>
      <c r="Z492" s="44" t="n"/>
      <c r="AA492" s="85" t="n"/>
      <c r="AB492" s="45" t="n"/>
      <c r="AC492" s="86" t="n"/>
      <c r="AD492" s="44" t="n"/>
      <c r="AE492" s="87" t="n"/>
      <c r="AF492" s="44" t="n"/>
      <c r="AG492" s="44" t="n"/>
      <c r="AH492" s="87" t="n"/>
      <c r="AI492" s="44" t="n"/>
      <c r="AJ492" s="45" t="n"/>
      <c r="AK492" s="45" t="n"/>
      <c r="AL492" s="45" t="n"/>
      <c r="AM492" s="44" t="n"/>
      <c r="AN492" s="45" t="n"/>
      <c r="AO492" s="44" t="n"/>
      <c r="AP492" s="44" t="n"/>
      <c r="AQ492" s="44" t="n"/>
      <c r="AR492" s="44" t="n"/>
      <c r="AS492" s="44" t="n"/>
    </row>
    <row r="493">
      <c r="A493" s="44" t="n"/>
      <c r="B493" s="44" t="n"/>
      <c r="C493" s="44" t="n"/>
      <c r="D493" s="44" t="n"/>
      <c r="E493" s="44" t="n"/>
      <c r="F493" s="44" t="n"/>
      <c r="G493" s="45" t="n"/>
      <c r="H493" s="45" t="n"/>
      <c r="I493" s="85" t="n"/>
      <c r="J493" s="44" t="n"/>
      <c r="K493" s="44" t="n"/>
      <c r="L493" s="44" t="n"/>
      <c r="M493" s="45" t="n"/>
      <c r="N493" s="44" t="n"/>
      <c r="O493" s="86" t="n"/>
      <c r="P493" s="44" t="n"/>
      <c r="Q493" s="45" t="n"/>
      <c r="R493" s="85" t="n"/>
      <c r="S493" s="85" t="n"/>
      <c r="T493" s="85" t="n"/>
      <c r="U493" s="85" t="n"/>
      <c r="V493" s="85" t="n"/>
      <c r="W493" s="86" t="n"/>
      <c r="X493" s="44" t="n"/>
      <c r="Y493" s="44" t="n"/>
      <c r="Z493" s="44" t="n"/>
      <c r="AA493" s="85" t="n"/>
      <c r="AB493" s="45" t="n"/>
      <c r="AC493" s="86" t="n"/>
      <c r="AD493" s="44" t="n"/>
      <c r="AE493" s="87" t="n"/>
      <c r="AF493" s="44" t="n"/>
      <c r="AG493" s="44" t="n"/>
      <c r="AH493" s="87" t="n"/>
      <c r="AI493" s="44" t="n"/>
      <c r="AJ493" s="45" t="n"/>
      <c r="AK493" s="45" t="n"/>
      <c r="AL493" s="45" t="n"/>
      <c r="AM493" s="44" t="n"/>
      <c r="AN493" s="45" t="n"/>
      <c r="AO493" s="44" t="n"/>
      <c r="AP493" s="44" t="n"/>
      <c r="AQ493" s="44" t="n"/>
      <c r="AR493" s="44" t="n"/>
      <c r="AS493" s="44" t="n"/>
    </row>
    <row r="494">
      <c r="A494" s="44" t="n"/>
      <c r="B494" s="44" t="n"/>
      <c r="C494" s="44" t="n"/>
      <c r="D494" s="44" t="n"/>
      <c r="E494" s="44" t="n"/>
      <c r="F494" s="44" t="n"/>
      <c r="G494" s="45" t="n"/>
      <c r="H494" s="45" t="n"/>
      <c r="I494" s="85" t="n"/>
      <c r="J494" s="44" t="n"/>
      <c r="K494" s="44" t="n"/>
      <c r="L494" s="44" t="n"/>
      <c r="M494" s="45" t="n"/>
      <c r="N494" s="44" t="n"/>
      <c r="O494" s="86" t="n"/>
      <c r="P494" s="44" t="n"/>
      <c r="Q494" s="45" t="n"/>
      <c r="R494" s="85" t="n"/>
      <c r="S494" s="85" t="n"/>
      <c r="T494" s="85" t="n"/>
      <c r="U494" s="85" t="n"/>
      <c r="V494" s="85" t="n"/>
      <c r="W494" s="86" t="n"/>
      <c r="X494" s="44" t="n"/>
      <c r="Y494" s="44" t="n"/>
      <c r="Z494" s="44" t="n"/>
      <c r="AA494" s="85" t="n"/>
      <c r="AB494" s="45" t="n"/>
      <c r="AC494" s="86" t="n"/>
      <c r="AD494" s="44" t="n"/>
      <c r="AE494" s="87" t="n"/>
      <c r="AF494" s="44" t="n"/>
      <c r="AG494" s="44" t="n"/>
      <c r="AH494" s="87" t="n"/>
      <c r="AI494" s="44" t="n"/>
      <c r="AJ494" s="45" t="n"/>
      <c r="AK494" s="45" t="n"/>
      <c r="AL494" s="45" t="n"/>
      <c r="AM494" s="44" t="n"/>
      <c r="AN494" s="45" t="n"/>
      <c r="AO494" s="44" t="n"/>
      <c r="AP494" s="44" t="n"/>
      <c r="AQ494" s="44" t="n"/>
      <c r="AR494" s="44" t="n"/>
      <c r="AS494" s="44" t="n"/>
    </row>
    <row r="495">
      <c r="A495" s="44" t="n"/>
      <c r="B495" s="44" t="n"/>
      <c r="C495" s="44" t="n"/>
      <c r="D495" s="44" t="n"/>
      <c r="E495" s="44" t="n"/>
      <c r="F495" s="44" t="n"/>
      <c r="G495" s="45" t="n"/>
      <c r="H495" s="45" t="n"/>
      <c r="I495" s="85" t="n"/>
      <c r="J495" s="44" t="n"/>
      <c r="K495" s="44" t="n"/>
      <c r="L495" s="44" t="n"/>
      <c r="M495" s="45" t="n"/>
      <c r="N495" s="44" t="n"/>
      <c r="O495" s="86" t="n"/>
      <c r="P495" s="44" t="n"/>
      <c r="Q495" s="45" t="n"/>
      <c r="R495" s="85" t="n"/>
      <c r="S495" s="85" t="n"/>
      <c r="T495" s="85" t="n"/>
      <c r="U495" s="85" t="n"/>
      <c r="V495" s="85" t="n"/>
      <c r="W495" s="86" t="n"/>
      <c r="X495" s="44" t="n"/>
      <c r="Y495" s="44" t="n"/>
      <c r="Z495" s="44" t="n"/>
      <c r="AA495" s="85" t="n"/>
      <c r="AB495" s="45" t="n"/>
      <c r="AC495" s="86" t="n"/>
      <c r="AD495" s="44" t="n"/>
      <c r="AE495" s="87" t="n"/>
      <c r="AF495" s="44" t="n"/>
      <c r="AG495" s="44" t="n"/>
      <c r="AH495" s="87" t="n"/>
      <c r="AI495" s="44" t="n"/>
      <c r="AJ495" s="45" t="n"/>
      <c r="AK495" s="45" t="n"/>
      <c r="AL495" s="45" t="n"/>
      <c r="AM495" s="44" t="n"/>
      <c r="AN495" s="45" t="n"/>
      <c r="AO495" s="44" t="n"/>
      <c r="AP495" s="44" t="n"/>
      <c r="AQ495" s="44" t="n"/>
      <c r="AR495" s="44" t="n"/>
      <c r="AS495" s="44" t="n"/>
    </row>
    <row r="496">
      <c r="A496" s="44" t="n"/>
      <c r="B496" s="44" t="n"/>
      <c r="C496" s="44" t="n"/>
      <c r="D496" s="44" t="n"/>
      <c r="E496" s="44" t="n"/>
      <c r="F496" s="44" t="n"/>
      <c r="G496" s="45" t="n"/>
      <c r="H496" s="45" t="n"/>
      <c r="I496" s="85" t="n"/>
      <c r="J496" s="44" t="n"/>
      <c r="K496" s="44" t="n"/>
      <c r="L496" s="44" t="n"/>
      <c r="M496" s="45" t="n"/>
      <c r="N496" s="44" t="n"/>
      <c r="O496" s="86" t="n"/>
      <c r="P496" s="44" t="n"/>
      <c r="Q496" s="45" t="n"/>
      <c r="R496" s="85" t="n"/>
      <c r="S496" s="85" t="n"/>
      <c r="T496" s="85" t="n"/>
      <c r="U496" s="85" t="n"/>
      <c r="V496" s="85" t="n"/>
      <c r="W496" s="86" t="n"/>
      <c r="X496" s="44" t="n"/>
      <c r="Y496" s="44" t="n"/>
      <c r="Z496" s="44" t="n"/>
      <c r="AA496" s="85" t="n"/>
      <c r="AB496" s="45" t="n"/>
      <c r="AC496" s="86" t="n"/>
      <c r="AD496" s="44" t="n"/>
      <c r="AE496" s="87" t="n"/>
      <c r="AF496" s="44" t="n"/>
      <c r="AG496" s="44" t="n"/>
      <c r="AH496" s="87" t="n"/>
      <c r="AI496" s="44" t="n"/>
      <c r="AJ496" s="45" t="n"/>
      <c r="AK496" s="45" t="n"/>
      <c r="AL496" s="45" t="n"/>
      <c r="AM496" s="44" t="n"/>
      <c r="AN496" s="45" t="n"/>
      <c r="AO496" s="44" t="n"/>
      <c r="AP496" s="44" t="n"/>
      <c r="AQ496" s="44" t="n"/>
      <c r="AR496" s="44" t="n"/>
      <c r="AS496" s="44" t="n"/>
    </row>
    <row r="497">
      <c r="A497" s="44" t="n"/>
      <c r="B497" s="44" t="n"/>
      <c r="C497" s="44" t="n"/>
      <c r="D497" s="44" t="n"/>
      <c r="E497" s="44" t="n"/>
      <c r="F497" s="44" t="n"/>
      <c r="G497" s="45" t="n"/>
      <c r="H497" s="45" t="n"/>
      <c r="I497" s="85" t="n"/>
      <c r="J497" s="44" t="n"/>
      <c r="K497" s="44" t="n"/>
      <c r="L497" s="44" t="n"/>
      <c r="M497" s="45" t="n"/>
      <c r="N497" s="44" t="n"/>
      <c r="O497" s="86" t="n"/>
      <c r="P497" s="44" t="n"/>
      <c r="Q497" s="45" t="n"/>
      <c r="R497" s="85" t="n"/>
      <c r="S497" s="85" t="n"/>
      <c r="T497" s="85" t="n"/>
      <c r="U497" s="85" t="n"/>
      <c r="V497" s="85" t="n"/>
      <c r="W497" s="86" t="n"/>
      <c r="X497" s="44" t="n"/>
      <c r="Y497" s="44" t="n"/>
      <c r="Z497" s="44" t="n"/>
      <c r="AA497" s="85" t="n"/>
      <c r="AB497" s="45" t="n"/>
      <c r="AC497" s="86" t="n"/>
      <c r="AD497" s="44" t="n"/>
      <c r="AE497" s="87" t="n"/>
      <c r="AF497" s="44" t="n"/>
      <c r="AG497" s="44" t="n"/>
      <c r="AH497" s="87" t="n"/>
      <c r="AI497" s="44" t="n"/>
      <c r="AJ497" s="45" t="n"/>
      <c r="AK497" s="45" t="n"/>
      <c r="AL497" s="45" t="n"/>
      <c r="AM497" s="44" t="n"/>
      <c r="AN497" s="45" t="n"/>
      <c r="AO497" s="44" t="n"/>
      <c r="AP497" s="44" t="n"/>
      <c r="AQ497" s="44" t="n"/>
      <c r="AR497" s="44" t="n"/>
      <c r="AS497" s="44" t="n"/>
    </row>
    <row r="498">
      <c r="A498" s="44" t="n"/>
      <c r="B498" s="44" t="n"/>
      <c r="C498" s="44" t="n"/>
      <c r="D498" s="44" t="n"/>
      <c r="E498" s="44" t="n"/>
      <c r="F498" s="44" t="n"/>
      <c r="G498" s="45" t="n"/>
      <c r="H498" s="45" t="n"/>
      <c r="I498" s="85" t="n"/>
      <c r="J498" s="44" t="n"/>
      <c r="K498" s="44" t="n"/>
      <c r="L498" s="44" t="n"/>
      <c r="M498" s="45" t="n"/>
      <c r="N498" s="44" t="n"/>
      <c r="O498" s="86" t="n"/>
      <c r="P498" s="44" t="n"/>
      <c r="Q498" s="45" t="n"/>
      <c r="R498" s="85" t="n"/>
      <c r="S498" s="85" t="n"/>
      <c r="T498" s="85" t="n"/>
      <c r="U498" s="85" t="n"/>
      <c r="V498" s="85" t="n"/>
      <c r="W498" s="86" t="n"/>
      <c r="X498" s="44" t="n"/>
      <c r="Y498" s="44" t="n"/>
      <c r="Z498" s="44" t="n"/>
      <c r="AA498" s="85" t="n"/>
      <c r="AB498" s="45" t="n"/>
      <c r="AC498" s="86" t="n"/>
      <c r="AD498" s="44" t="n"/>
      <c r="AE498" s="87" t="n"/>
      <c r="AF498" s="44" t="n"/>
      <c r="AG498" s="44" t="n"/>
      <c r="AH498" s="87" t="n"/>
      <c r="AI498" s="44" t="n"/>
      <c r="AJ498" s="45" t="n"/>
      <c r="AK498" s="45" t="n"/>
      <c r="AL498" s="45" t="n"/>
      <c r="AM498" s="44" t="n"/>
      <c r="AN498" s="45" t="n"/>
      <c r="AO498" s="44" t="n"/>
      <c r="AP498" s="44" t="n"/>
      <c r="AQ498" s="44" t="n"/>
      <c r="AR498" s="44" t="n"/>
      <c r="AS498" s="44" t="n"/>
    </row>
    <row r="499">
      <c r="A499" s="44" t="n"/>
      <c r="B499" s="44" t="n"/>
      <c r="C499" s="44" t="n"/>
      <c r="D499" s="44" t="n"/>
      <c r="E499" s="44" t="n"/>
      <c r="F499" s="44" t="n"/>
      <c r="G499" s="45" t="n"/>
      <c r="H499" s="45" t="n"/>
      <c r="I499" s="85" t="n"/>
      <c r="J499" s="44" t="n"/>
      <c r="K499" s="44" t="n"/>
      <c r="L499" s="44" t="n"/>
      <c r="M499" s="45" t="n"/>
      <c r="N499" s="44" t="n"/>
      <c r="O499" s="86" t="n"/>
      <c r="P499" s="44" t="n"/>
      <c r="Q499" s="45" t="n"/>
      <c r="R499" s="85" t="n"/>
      <c r="S499" s="85" t="n"/>
      <c r="T499" s="85" t="n"/>
      <c r="U499" s="85" t="n"/>
      <c r="V499" s="85" t="n"/>
      <c r="W499" s="86" t="n"/>
      <c r="X499" s="44" t="n"/>
      <c r="Y499" s="44" t="n"/>
      <c r="Z499" s="44" t="n"/>
      <c r="AA499" s="85" t="n"/>
      <c r="AB499" s="45" t="n"/>
      <c r="AC499" s="86" t="n"/>
      <c r="AD499" s="44" t="n"/>
      <c r="AE499" s="87" t="n"/>
      <c r="AF499" s="44" t="n"/>
      <c r="AG499" s="44" t="n"/>
      <c r="AH499" s="87" t="n"/>
      <c r="AI499" s="44" t="n"/>
      <c r="AJ499" s="45" t="n"/>
      <c r="AK499" s="45" t="n"/>
      <c r="AL499" s="45" t="n"/>
      <c r="AM499" s="44" t="n"/>
      <c r="AN499" s="45" t="n"/>
      <c r="AO499" s="44" t="n"/>
      <c r="AP499" s="44" t="n"/>
      <c r="AQ499" s="44" t="n"/>
      <c r="AR499" s="44" t="n"/>
      <c r="AS499" s="44" t="n"/>
    </row>
    <row r="500">
      <c r="A500" s="44" t="n"/>
      <c r="B500" s="44" t="n"/>
      <c r="C500" s="44" t="n"/>
      <c r="D500" s="44" t="n"/>
      <c r="E500" s="44" t="n"/>
      <c r="F500" s="44" t="n"/>
      <c r="G500" s="45" t="n"/>
      <c r="H500" s="45" t="n"/>
      <c r="I500" s="85" t="n"/>
      <c r="J500" s="44" t="n"/>
      <c r="K500" s="44" t="n"/>
      <c r="L500" s="44" t="n"/>
      <c r="M500" s="45" t="n"/>
      <c r="N500" s="44" t="n"/>
      <c r="O500" s="86" t="n"/>
      <c r="P500" s="44" t="n"/>
      <c r="Q500" s="45" t="n"/>
      <c r="R500" s="85" t="n"/>
      <c r="S500" s="85" t="n"/>
      <c r="T500" s="85" t="n"/>
      <c r="U500" s="85" t="n"/>
      <c r="V500" s="85" t="n"/>
      <c r="W500" s="86" t="n"/>
      <c r="X500" s="44" t="n"/>
      <c r="Y500" s="44" t="n"/>
      <c r="Z500" s="44" t="n"/>
      <c r="AA500" s="85" t="n"/>
      <c r="AB500" s="45" t="n"/>
      <c r="AC500" s="86" t="n"/>
      <c r="AD500" s="44" t="n"/>
      <c r="AE500" s="87" t="n"/>
      <c r="AF500" s="44" t="n"/>
      <c r="AG500" s="44" t="n"/>
      <c r="AH500" s="87" t="n"/>
      <c r="AI500" s="44" t="n"/>
      <c r="AJ500" s="45" t="n"/>
      <c r="AK500" s="45" t="n"/>
      <c r="AL500" s="45" t="n"/>
      <c r="AM500" s="44" t="n"/>
      <c r="AN500" s="45" t="n"/>
      <c r="AO500" s="44" t="n"/>
      <c r="AP500" s="44" t="n"/>
      <c r="AQ500" s="44" t="n"/>
      <c r="AR500" s="44" t="n"/>
      <c r="AS500" s="44" t="n"/>
    </row>
    <row r="501">
      <c r="A501" s="44" t="n"/>
      <c r="B501" s="44" t="n"/>
      <c r="C501" s="44" t="n"/>
      <c r="D501" s="44" t="n"/>
      <c r="E501" s="44" t="n"/>
      <c r="F501" s="44" t="n"/>
      <c r="G501" s="45" t="n"/>
      <c r="H501" s="45" t="n"/>
      <c r="I501" s="85" t="n"/>
      <c r="J501" s="44" t="n"/>
      <c r="K501" s="44" t="n"/>
      <c r="L501" s="44" t="n"/>
      <c r="M501" s="45" t="n"/>
      <c r="N501" s="44" t="n"/>
      <c r="O501" s="86" t="n"/>
      <c r="P501" s="44" t="n"/>
      <c r="Q501" s="45" t="n"/>
      <c r="R501" s="85" t="n"/>
      <c r="S501" s="85" t="n"/>
      <c r="T501" s="85" t="n"/>
      <c r="U501" s="85" t="n"/>
      <c r="V501" s="85" t="n"/>
      <c r="W501" s="86" t="n"/>
      <c r="X501" s="44" t="n"/>
      <c r="Y501" s="44" t="n"/>
      <c r="Z501" s="44" t="n"/>
      <c r="AA501" s="85" t="n"/>
      <c r="AB501" s="45" t="n"/>
      <c r="AC501" s="86" t="n"/>
      <c r="AD501" s="44" t="n"/>
      <c r="AE501" s="87" t="n"/>
      <c r="AF501" s="44" t="n"/>
      <c r="AG501" s="44" t="n"/>
      <c r="AH501" s="87" t="n"/>
      <c r="AI501" s="44" t="n"/>
      <c r="AJ501" s="45" t="n"/>
      <c r="AK501" s="45" t="n"/>
      <c r="AL501" s="45" t="n"/>
      <c r="AM501" s="44" t="n"/>
      <c r="AN501" s="45" t="n"/>
      <c r="AO501" s="44" t="n"/>
      <c r="AP501" s="44" t="n"/>
      <c r="AQ501" s="44" t="n"/>
      <c r="AR501" s="44" t="n"/>
      <c r="AS501" s="44" t="n"/>
    </row>
  </sheetData>
  <autoFilter ref="A1:AS501"/>
  <dataValidations count="7">
    <dataValidation sqref="X2:X501" showDropDown="0" showInputMessage="0" showErrorMessage="0" allowBlank="1" type="list">
      <formula1>"Ja,Nein"</formula1>
    </dataValidation>
    <dataValidation sqref="Y2:Y501" showDropDown="0" showInputMessage="0" showErrorMessage="0" allowBlank="1" type="list">
      <formula1>"EUR,USD,CHF,GBP,Sonstige"</formula1>
    </dataValidation>
    <dataValidation sqref="AM2:AM501" showDropDown="0" showInputMessage="0" showErrorMessage="0" allowBlank="1" type="list">
      <formula1>"Ja,Nein"</formula1>
    </dataValidation>
    <dataValidation sqref="AP2:AP501" showDropDown="0" showInputMessage="0" showErrorMessage="0" allowBlank="1" type="list">
      <formula1>"Ja,Nein"</formula1>
    </dataValidation>
    <dataValidation sqref="AQ2:AQ501" showDropDown="0" showInputMessage="0" showErrorMessage="0" allowBlank="1" type="list">
      <formula1>"Bank,Bar"</formula1>
    </dataValidation>
    <dataValidation sqref="AR2:AR501" showDropDown="0" showInputMessage="0" showErrorMessage="0" allowBlank="1" type="list">
      <formula1>"Ja,Nein"</formula1>
    </dataValidation>
    <dataValidation sqref="AS2:AS501" showDropDown="0" showInputMessage="0" showErrorMessage="0" allowBlank="1" type="list">
      <formula1>"Ja,Nein"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hidden="1" width="16" customWidth="1" min="8" max="8"/>
    <col width="14" customWidth="1" min="9" max="9"/>
    <col width="10"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30" customWidth="1" min="22" max="22"/>
    <col width="16" customWidth="1" min="23" max="23"/>
    <col width="16" customWidth="1" min="24" max="24"/>
    <col width="16" customWidth="1" min="25" max="25"/>
    <col width="16" customWidth="1" min="26" max="26"/>
    <col hidden="1" width="16" customWidth="1" min="27" max="27"/>
    <col hidden="1" width="16" customWidth="1" min="28" max="28"/>
    <col hidden="1" width="16" customWidth="1" min="29" max="29"/>
    <col hidden="1" width="16" customWidth="1" min="30" max="30"/>
    <col hidden="1" width="16" customWidth="1" min="31" max="31"/>
    <col hidden="1" width="16" customWidth="1" min="32" max="32"/>
    <col hidden="1" width="16" customWidth="1" min="33" max="33"/>
    <col hidden="1" width="16" customWidth="1" min="34" max="34"/>
    <col hidden="1" width="13" customWidth="1" min="35" max="35"/>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39" t="inlineStr">
        <is>
          <t>Abgangsnummer</t>
        </is>
      </c>
      <c r="I1" s="40" t="inlineStr">
        <is>
          <t>Abgangsdatum</t>
        </is>
      </c>
      <c r="J1" s="40" t="inlineStr">
        <is>
          <t>Währung</t>
        </is>
      </c>
      <c r="K1" s="40" t="inlineStr">
        <is>
          <t>AHK zu GJ-Beginn</t>
        </is>
      </c>
      <c r="L1" s="40" t="inlineStr">
        <is>
          <t>Zugang im Geschäftsjahr</t>
        </is>
      </c>
      <c r="M1" s="40" t="inlineStr">
        <is>
          <t>Abgang AHK</t>
        </is>
      </c>
      <c r="N1" s="40" t="inlineStr">
        <is>
          <t>Aktuelle AHK</t>
        </is>
      </c>
      <c r="O1" s="40" t="inlineStr">
        <is>
          <t>AfA zu GJ-Beginn</t>
        </is>
      </c>
      <c r="P1" s="40" t="inlineStr">
        <is>
          <t>AfA des Jahres</t>
        </is>
      </c>
      <c r="Q1" s="40" t="inlineStr">
        <is>
          <t>AfA des Abgangs</t>
        </is>
      </c>
      <c r="R1" s="40" t="inlineStr">
        <is>
          <t>Buchwert zu GJ-Beginn</t>
        </is>
      </c>
      <c r="S1" s="40" t="inlineStr">
        <is>
          <t>Buchwert des Abgangs</t>
        </is>
      </c>
      <c r="T1" s="40" t="inlineStr">
        <is>
          <t>Laufender Buchwert</t>
        </is>
      </c>
      <c r="U1" s="40" t="inlineStr">
        <is>
          <t>Verkaufserlös</t>
        </is>
      </c>
      <c r="V1" s="42" t="inlineStr">
        <is>
          <t>Buchungstext</t>
        </is>
      </c>
      <c r="W1" s="49" t="inlineStr">
        <is>
          <t>Kontrolle Buchwert des Abgangs</t>
        </is>
      </c>
      <c r="X1" s="49" t="inlineStr">
        <is>
          <t>Kontrolle aktuelle AHK</t>
        </is>
      </c>
      <c r="Y1" s="49" t="inlineStr">
        <is>
          <t>Kontrolle Buchwert GJ-Beginn</t>
        </is>
      </c>
      <c r="Z1" s="49" t="inlineStr">
        <is>
          <t>Kontrolle laufender Buchwert</t>
        </is>
      </c>
      <c r="AA1" s="39" t="inlineStr">
        <is>
          <t>Abgangsart</t>
        </is>
      </c>
      <c r="AB1" s="39" t="inlineStr">
        <is>
          <t>Erwerber</t>
        </is>
      </c>
      <c r="AC1" s="39" t="inlineStr">
        <is>
          <t>Erwerbernummer</t>
        </is>
      </c>
      <c r="AD1" s="39" t="inlineStr">
        <is>
          <t>Nahestehende Person</t>
        </is>
      </c>
      <c r="AE1" s="39" t="inlineStr">
        <is>
          <t>Umsatzsteuer</t>
        </is>
      </c>
      <c r="AF1" s="39" t="inlineStr">
        <is>
          <t>Marktvergleichswert</t>
        </is>
      </c>
      <c r="AG1" s="39" t="inlineStr">
        <is>
          <t>Zahlungsnachweis</t>
        </is>
      </c>
      <c r="AH1" s="39" t="inlineStr">
        <is>
          <t>Genehmigt durch</t>
        </is>
      </c>
      <c r="AI1" s="43" t="inlineStr">
        <is>
          <t>Zeilen-ID</t>
        </is>
      </c>
    </row>
    <row r="2">
      <c r="A2" s="44" t="n"/>
      <c r="B2" s="44" t="n"/>
      <c r="C2" s="44" t="n"/>
      <c r="D2" s="44" t="n"/>
      <c r="E2" s="44" t="n"/>
      <c r="F2" s="44" t="n"/>
      <c r="G2" s="45" t="n"/>
      <c r="H2" s="44" t="n"/>
      <c r="I2" s="45" t="n"/>
      <c r="J2" s="44" t="n"/>
      <c r="K2" s="85" t="n"/>
      <c r="L2" s="85" t="n"/>
      <c r="M2" s="85" t="n"/>
      <c r="N2" s="85" t="n"/>
      <c r="O2" s="85" t="n"/>
      <c r="P2" s="85" t="n"/>
      <c r="Q2" s="85" t="n"/>
      <c r="R2" s="85" t="n"/>
      <c r="S2" s="85" t="n"/>
      <c r="T2" s="85" t="n"/>
      <c r="U2" s="85" t="n"/>
      <c r="V2" s="44" t="n"/>
      <c r="W2" s="50">
        <f>IF(OR(M2="",Q2="",S2=""),"",IF(ABS(ROUND(((ROUND(N(M2)*100,0))-(ROUND(N(Q2)*100,0))),0)-(ROUND(N(S2)*100,0)))&lt;=0,"OK","ABWEICHUNG"))</f>
        <v/>
      </c>
      <c r="X2" s="50">
        <f>IF(OR(K2="",M2="",N2=""),"",IF(ABS(ROUND(((ROUND(N(K2)*100,0)+ROUND(N(L2)*100,0))-(ROUND(N(M2)*100,0))),0)-(ROUND(N(N2)*100,0)))&lt;=0,"OK",IF(OR(L2=""),"UNVOLLSTÄNDIG","ABWEICHUNG")))</f>
        <v/>
      </c>
      <c r="Y2" s="50">
        <f>IF(OR(K2="",O2="",R2=""),"",IF(ABS(ROUND(((ROUND(N(K2)*100,0))-(ROUND(N(O2)*100,0))),0)-(ROUND(N(R2)*100,0)))&lt;=0,"OK","ABWEICHUNG"))</f>
        <v/>
      </c>
      <c r="Z2" s="50">
        <f>IF(OR(N2="",O2="",P2="",Q2="",T2=""),"",IF(ABS(ROUND(((ROUND(N(N2)*100,0)+ROUND(N(Q2)*100,0))-(ROUND(N(O2)*100,0)+ROUND(N(P2)*100,0))),0)-(ROUND(N(T2)*100,0)))&lt;=0,"OK","ABWEICHUNG"))</f>
        <v/>
      </c>
      <c r="AA2" s="44" t="n"/>
      <c r="AB2" s="44" t="n"/>
      <c r="AC2" s="44" t="n"/>
      <c r="AD2" s="44" t="n"/>
      <c r="AE2" s="85" t="n"/>
      <c r="AF2" s="85" t="n"/>
      <c r="AG2" s="44" t="n"/>
      <c r="AH2" s="44" t="n"/>
    </row>
    <row r="3">
      <c r="A3" s="44" t="n"/>
      <c r="B3" s="44" t="n"/>
      <c r="C3" s="44" t="n"/>
      <c r="D3" s="44" t="n"/>
      <c r="E3" s="44" t="n"/>
      <c r="F3" s="44" t="n"/>
      <c r="G3" s="45" t="n"/>
      <c r="H3" s="44" t="n"/>
      <c r="I3" s="45" t="n"/>
      <c r="J3" s="44" t="n"/>
      <c r="K3" s="85" t="n"/>
      <c r="L3" s="85" t="n"/>
      <c r="M3" s="85" t="n"/>
      <c r="N3" s="85" t="n"/>
      <c r="O3" s="85" t="n"/>
      <c r="P3" s="85" t="n"/>
      <c r="Q3" s="85" t="n"/>
      <c r="R3" s="85" t="n"/>
      <c r="S3" s="85" t="n"/>
      <c r="T3" s="85" t="n"/>
      <c r="U3" s="85" t="n"/>
      <c r="V3" s="44" t="n"/>
      <c r="W3" s="50">
        <f>IF(OR(M3="",Q3="",S3=""),"",IF(ABS(ROUND(((ROUND(N(M3)*100,0))-(ROUND(N(Q3)*100,0))),0)-(ROUND(N(S3)*100,0)))&lt;=0,"OK","ABWEICHUNG"))</f>
        <v/>
      </c>
      <c r="X3" s="50">
        <f>IF(OR(K3="",M3="",N3=""),"",IF(ABS(ROUND(((ROUND(N(K3)*100,0)+ROUND(N(L3)*100,0))-(ROUND(N(M3)*100,0))),0)-(ROUND(N(N3)*100,0)))&lt;=0,"OK",IF(OR(L3=""),"UNVOLLSTÄNDIG","ABWEICHUNG")))</f>
        <v/>
      </c>
      <c r="Y3" s="50">
        <f>IF(OR(K3="",O3="",R3=""),"",IF(ABS(ROUND(((ROUND(N(K3)*100,0))-(ROUND(N(O3)*100,0))),0)-(ROUND(N(R3)*100,0)))&lt;=0,"OK","ABWEICHUNG"))</f>
        <v/>
      </c>
      <c r="Z3" s="50">
        <f>IF(OR(N3="",O3="",P3="",Q3="",T3=""),"",IF(ABS(ROUND(((ROUND(N(N3)*100,0)+ROUND(N(Q3)*100,0))-(ROUND(N(O3)*100,0)+ROUND(N(P3)*100,0))),0)-(ROUND(N(T3)*100,0)))&lt;=0,"OK","ABWEICHUNG"))</f>
        <v/>
      </c>
      <c r="AA3" s="44" t="n"/>
      <c r="AB3" s="44" t="n"/>
      <c r="AC3" s="44" t="n"/>
      <c r="AD3" s="44" t="n"/>
      <c r="AE3" s="85" t="n"/>
      <c r="AF3" s="85" t="n"/>
      <c r="AG3" s="44" t="n"/>
      <c r="AH3" s="44" t="n"/>
    </row>
    <row r="4">
      <c r="A4" s="44" t="n"/>
      <c r="B4" s="44" t="n"/>
      <c r="C4" s="44" t="n"/>
      <c r="D4" s="44" t="n"/>
      <c r="E4" s="44" t="n"/>
      <c r="F4" s="44" t="n"/>
      <c r="G4" s="45" t="n"/>
      <c r="H4" s="44" t="n"/>
      <c r="I4" s="45" t="n"/>
      <c r="J4" s="44" t="n"/>
      <c r="K4" s="85" t="n"/>
      <c r="L4" s="85" t="n"/>
      <c r="M4" s="85" t="n"/>
      <c r="N4" s="85" t="n"/>
      <c r="O4" s="85" t="n"/>
      <c r="P4" s="85" t="n"/>
      <c r="Q4" s="85" t="n"/>
      <c r="R4" s="85" t="n"/>
      <c r="S4" s="85" t="n"/>
      <c r="T4" s="85" t="n"/>
      <c r="U4" s="85" t="n"/>
      <c r="V4" s="44" t="n"/>
      <c r="W4" s="50">
        <f>IF(OR(M4="",Q4="",S4=""),"",IF(ABS(ROUND(((ROUND(N(M4)*100,0))-(ROUND(N(Q4)*100,0))),0)-(ROUND(N(S4)*100,0)))&lt;=0,"OK","ABWEICHUNG"))</f>
        <v/>
      </c>
      <c r="X4" s="50">
        <f>IF(OR(K4="",M4="",N4=""),"",IF(ABS(ROUND(((ROUND(N(K4)*100,0)+ROUND(N(L4)*100,0))-(ROUND(N(M4)*100,0))),0)-(ROUND(N(N4)*100,0)))&lt;=0,"OK",IF(OR(L4=""),"UNVOLLSTÄNDIG","ABWEICHUNG")))</f>
        <v/>
      </c>
      <c r="Y4" s="50">
        <f>IF(OR(K4="",O4="",R4=""),"",IF(ABS(ROUND(((ROUND(N(K4)*100,0))-(ROUND(N(O4)*100,0))),0)-(ROUND(N(R4)*100,0)))&lt;=0,"OK","ABWEICHUNG"))</f>
        <v/>
      </c>
      <c r="Z4" s="50">
        <f>IF(OR(N4="",O4="",P4="",Q4="",T4=""),"",IF(ABS(ROUND(((ROUND(N(N4)*100,0)+ROUND(N(Q4)*100,0))-(ROUND(N(O4)*100,0)+ROUND(N(P4)*100,0))),0)-(ROUND(N(T4)*100,0)))&lt;=0,"OK","ABWEICHUNG"))</f>
        <v/>
      </c>
      <c r="AA4" s="44" t="n"/>
      <c r="AB4" s="44" t="n"/>
      <c r="AC4" s="44" t="n"/>
      <c r="AD4" s="44" t="n"/>
      <c r="AE4" s="85" t="n"/>
      <c r="AF4" s="85" t="n"/>
      <c r="AG4" s="44" t="n"/>
      <c r="AH4" s="44" t="n"/>
    </row>
    <row r="5">
      <c r="A5" s="44" t="n"/>
      <c r="B5" s="44" t="n"/>
      <c r="C5" s="44" t="n"/>
      <c r="D5" s="44" t="n"/>
      <c r="E5" s="44" t="n"/>
      <c r="F5" s="44" t="n"/>
      <c r="G5" s="45" t="n"/>
      <c r="H5" s="44" t="n"/>
      <c r="I5" s="45" t="n"/>
      <c r="J5" s="44" t="n"/>
      <c r="K5" s="85" t="n"/>
      <c r="L5" s="85" t="n"/>
      <c r="M5" s="85" t="n"/>
      <c r="N5" s="85" t="n"/>
      <c r="O5" s="85" t="n"/>
      <c r="P5" s="85" t="n"/>
      <c r="Q5" s="85" t="n"/>
      <c r="R5" s="85" t="n"/>
      <c r="S5" s="85" t="n"/>
      <c r="T5" s="85" t="n"/>
      <c r="U5" s="85" t="n"/>
      <c r="V5" s="44" t="n"/>
      <c r="W5" s="50">
        <f>IF(OR(M5="",Q5="",S5=""),"",IF(ABS(ROUND(((ROUND(N(M5)*100,0))-(ROUND(N(Q5)*100,0))),0)-(ROUND(N(S5)*100,0)))&lt;=0,"OK","ABWEICHUNG"))</f>
        <v/>
      </c>
      <c r="X5" s="50">
        <f>IF(OR(K5="",M5="",N5=""),"",IF(ABS(ROUND(((ROUND(N(K5)*100,0)+ROUND(N(L5)*100,0))-(ROUND(N(M5)*100,0))),0)-(ROUND(N(N5)*100,0)))&lt;=0,"OK",IF(OR(L5=""),"UNVOLLSTÄNDIG","ABWEICHUNG")))</f>
        <v/>
      </c>
      <c r="Y5" s="50">
        <f>IF(OR(K5="",O5="",R5=""),"",IF(ABS(ROUND(((ROUND(N(K5)*100,0))-(ROUND(N(O5)*100,0))),0)-(ROUND(N(R5)*100,0)))&lt;=0,"OK","ABWEICHUNG"))</f>
        <v/>
      </c>
      <c r="Z5" s="50">
        <f>IF(OR(N5="",O5="",P5="",Q5="",T5=""),"",IF(ABS(ROUND(((ROUND(N(N5)*100,0)+ROUND(N(Q5)*100,0))-(ROUND(N(O5)*100,0)+ROUND(N(P5)*100,0))),0)-(ROUND(N(T5)*100,0)))&lt;=0,"OK","ABWEICHUNG"))</f>
        <v/>
      </c>
      <c r="AA5" s="44" t="n"/>
      <c r="AB5" s="44" t="n"/>
      <c r="AC5" s="44" t="n"/>
      <c r="AD5" s="44" t="n"/>
      <c r="AE5" s="85" t="n"/>
      <c r="AF5" s="85" t="n"/>
      <c r="AG5" s="44" t="n"/>
      <c r="AH5" s="44" t="n"/>
    </row>
    <row r="6">
      <c r="A6" s="44" t="n"/>
      <c r="B6" s="44" t="n"/>
      <c r="C6" s="44" t="n"/>
      <c r="D6" s="44" t="n"/>
      <c r="E6" s="44" t="n"/>
      <c r="F6" s="44" t="n"/>
      <c r="G6" s="45" t="n"/>
      <c r="H6" s="44" t="n"/>
      <c r="I6" s="45" t="n"/>
      <c r="J6" s="44" t="n"/>
      <c r="K6" s="85" t="n"/>
      <c r="L6" s="85" t="n"/>
      <c r="M6" s="85" t="n"/>
      <c r="N6" s="85" t="n"/>
      <c r="O6" s="85" t="n"/>
      <c r="P6" s="85" t="n"/>
      <c r="Q6" s="85" t="n"/>
      <c r="R6" s="85" t="n"/>
      <c r="S6" s="85" t="n"/>
      <c r="T6" s="85" t="n"/>
      <c r="U6" s="85" t="n"/>
      <c r="V6" s="44" t="n"/>
      <c r="W6" s="50">
        <f>IF(OR(M6="",Q6="",S6=""),"",IF(ABS(ROUND(((ROUND(N(M6)*100,0))-(ROUND(N(Q6)*100,0))),0)-(ROUND(N(S6)*100,0)))&lt;=0,"OK","ABWEICHUNG"))</f>
        <v/>
      </c>
      <c r="X6" s="50">
        <f>IF(OR(K6="",M6="",N6=""),"",IF(ABS(ROUND(((ROUND(N(K6)*100,0)+ROUND(N(L6)*100,0))-(ROUND(N(M6)*100,0))),0)-(ROUND(N(N6)*100,0)))&lt;=0,"OK",IF(OR(L6=""),"UNVOLLSTÄNDIG","ABWEICHUNG")))</f>
        <v/>
      </c>
      <c r="Y6" s="50">
        <f>IF(OR(K6="",O6="",R6=""),"",IF(ABS(ROUND(((ROUND(N(K6)*100,0))-(ROUND(N(O6)*100,0))),0)-(ROUND(N(R6)*100,0)))&lt;=0,"OK","ABWEICHUNG"))</f>
        <v/>
      </c>
      <c r="Z6" s="50">
        <f>IF(OR(N6="",O6="",P6="",Q6="",T6=""),"",IF(ABS(ROUND(((ROUND(N(N6)*100,0)+ROUND(N(Q6)*100,0))-(ROUND(N(O6)*100,0)+ROUND(N(P6)*100,0))),0)-(ROUND(N(T6)*100,0)))&lt;=0,"OK","ABWEICHUNG"))</f>
        <v/>
      </c>
      <c r="AA6" s="44" t="n"/>
      <c r="AB6" s="44" t="n"/>
      <c r="AC6" s="44" t="n"/>
      <c r="AD6" s="44" t="n"/>
      <c r="AE6" s="85" t="n"/>
      <c r="AF6" s="85" t="n"/>
      <c r="AG6" s="44" t="n"/>
      <c r="AH6" s="44" t="n"/>
    </row>
    <row r="7">
      <c r="A7" s="44" t="n"/>
      <c r="B7" s="44" t="n"/>
      <c r="C7" s="44" t="n"/>
      <c r="D7" s="44" t="n"/>
      <c r="E7" s="44" t="n"/>
      <c r="F7" s="44" t="n"/>
      <c r="G7" s="45" t="n"/>
      <c r="H7" s="44" t="n"/>
      <c r="I7" s="45" t="n"/>
      <c r="J7" s="44" t="n"/>
      <c r="K7" s="85" t="n"/>
      <c r="L7" s="85" t="n"/>
      <c r="M7" s="85" t="n"/>
      <c r="N7" s="85" t="n"/>
      <c r="O7" s="85" t="n"/>
      <c r="P7" s="85" t="n"/>
      <c r="Q7" s="85" t="n"/>
      <c r="R7" s="85" t="n"/>
      <c r="S7" s="85" t="n"/>
      <c r="T7" s="85" t="n"/>
      <c r="U7" s="85" t="n"/>
      <c r="V7" s="44" t="n"/>
      <c r="W7" s="50">
        <f>IF(OR(M7="",Q7="",S7=""),"",IF(ABS(ROUND(((ROUND(N(M7)*100,0))-(ROUND(N(Q7)*100,0))),0)-(ROUND(N(S7)*100,0)))&lt;=0,"OK","ABWEICHUNG"))</f>
        <v/>
      </c>
      <c r="X7" s="50">
        <f>IF(OR(K7="",M7="",N7=""),"",IF(ABS(ROUND(((ROUND(N(K7)*100,0)+ROUND(N(L7)*100,0))-(ROUND(N(M7)*100,0))),0)-(ROUND(N(N7)*100,0)))&lt;=0,"OK",IF(OR(L7=""),"UNVOLLSTÄNDIG","ABWEICHUNG")))</f>
        <v/>
      </c>
      <c r="Y7" s="50">
        <f>IF(OR(K7="",O7="",R7=""),"",IF(ABS(ROUND(((ROUND(N(K7)*100,0))-(ROUND(N(O7)*100,0))),0)-(ROUND(N(R7)*100,0)))&lt;=0,"OK","ABWEICHUNG"))</f>
        <v/>
      </c>
      <c r="Z7" s="50">
        <f>IF(OR(N7="",O7="",P7="",Q7="",T7=""),"",IF(ABS(ROUND(((ROUND(N(N7)*100,0)+ROUND(N(Q7)*100,0))-(ROUND(N(O7)*100,0)+ROUND(N(P7)*100,0))),0)-(ROUND(N(T7)*100,0)))&lt;=0,"OK","ABWEICHUNG"))</f>
        <v/>
      </c>
      <c r="AA7" s="44" t="n"/>
      <c r="AB7" s="44" t="n"/>
      <c r="AC7" s="44" t="n"/>
      <c r="AD7" s="44" t="n"/>
      <c r="AE7" s="85" t="n"/>
      <c r="AF7" s="85" t="n"/>
      <c r="AG7" s="44" t="n"/>
      <c r="AH7" s="44" t="n"/>
    </row>
    <row r="8">
      <c r="A8" s="44" t="n"/>
      <c r="B8" s="44" t="n"/>
      <c r="C8" s="44" t="n"/>
      <c r="D8" s="44" t="n"/>
      <c r="E8" s="44" t="n"/>
      <c r="F8" s="44" t="n"/>
      <c r="G8" s="45" t="n"/>
      <c r="H8" s="44" t="n"/>
      <c r="I8" s="45" t="n"/>
      <c r="J8" s="44" t="n"/>
      <c r="K8" s="85" t="n"/>
      <c r="L8" s="85" t="n"/>
      <c r="M8" s="85" t="n"/>
      <c r="N8" s="85" t="n"/>
      <c r="O8" s="85" t="n"/>
      <c r="P8" s="85" t="n"/>
      <c r="Q8" s="85" t="n"/>
      <c r="R8" s="85" t="n"/>
      <c r="S8" s="85" t="n"/>
      <c r="T8" s="85" t="n"/>
      <c r="U8" s="85" t="n"/>
      <c r="V8" s="44" t="n"/>
      <c r="W8" s="50">
        <f>IF(OR(M8="",Q8="",S8=""),"",IF(ABS(ROUND(((ROUND(N(M8)*100,0))-(ROUND(N(Q8)*100,0))),0)-(ROUND(N(S8)*100,0)))&lt;=0,"OK","ABWEICHUNG"))</f>
        <v/>
      </c>
      <c r="X8" s="50">
        <f>IF(OR(K8="",M8="",N8=""),"",IF(ABS(ROUND(((ROUND(N(K8)*100,0)+ROUND(N(L8)*100,0))-(ROUND(N(M8)*100,0))),0)-(ROUND(N(N8)*100,0)))&lt;=0,"OK",IF(OR(L8=""),"UNVOLLSTÄNDIG","ABWEICHUNG")))</f>
        <v/>
      </c>
      <c r="Y8" s="50">
        <f>IF(OR(K8="",O8="",R8=""),"",IF(ABS(ROUND(((ROUND(N(K8)*100,0))-(ROUND(N(O8)*100,0))),0)-(ROUND(N(R8)*100,0)))&lt;=0,"OK","ABWEICHUNG"))</f>
        <v/>
      </c>
      <c r="Z8" s="50">
        <f>IF(OR(N8="",O8="",P8="",Q8="",T8=""),"",IF(ABS(ROUND(((ROUND(N(N8)*100,0)+ROUND(N(Q8)*100,0))-(ROUND(N(O8)*100,0)+ROUND(N(P8)*100,0))),0)-(ROUND(N(T8)*100,0)))&lt;=0,"OK","ABWEICHUNG"))</f>
        <v/>
      </c>
      <c r="AA8" s="44" t="n"/>
      <c r="AB8" s="44" t="n"/>
      <c r="AC8" s="44" t="n"/>
      <c r="AD8" s="44" t="n"/>
      <c r="AE8" s="85" t="n"/>
      <c r="AF8" s="85" t="n"/>
      <c r="AG8" s="44" t="n"/>
      <c r="AH8" s="44" t="n"/>
    </row>
    <row r="9">
      <c r="A9" s="44" t="n"/>
      <c r="B9" s="44" t="n"/>
      <c r="C9" s="44" t="n"/>
      <c r="D9" s="44" t="n"/>
      <c r="E9" s="44" t="n"/>
      <c r="F9" s="44" t="n"/>
      <c r="G9" s="45" t="n"/>
      <c r="H9" s="44" t="n"/>
      <c r="I9" s="45" t="n"/>
      <c r="J9" s="44" t="n"/>
      <c r="K9" s="85" t="n"/>
      <c r="L9" s="85" t="n"/>
      <c r="M9" s="85" t="n"/>
      <c r="N9" s="85" t="n"/>
      <c r="O9" s="85" t="n"/>
      <c r="P9" s="85" t="n"/>
      <c r="Q9" s="85" t="n"/>
      <c r="R9" s="85" t="n"/>
      <c r="S9" s="85" t="n"/>
      <c r="T9" s="85" t="n"/>
      <c r="U9" s="85" t="n"/>
      <c r="V9" s="44" t="n"/>
      <c r="W9" s="50">
        <f>IF(OR(M9="",Q9="",S9=""),"",IF(ABS(ROUND(((ROUND(N(M9)*100,0))-(ROUND(N(Q9)*100,0))),0)-(ROUND(N(S9)*100,0)))&lt;=0,"OK","ABWEICHUNG"))</f>
        <v/>
      </c>
      <c r="X9" s="50">
        <f>IF(OR(K9="",M9="",N9=""),"",IF(ABS(ROUND(((ROUND(N(K9)*100,0)+ROUND(N(L9)*100,0))-(ROUND(N(M9)*100,0))),0)-(ROUND(N(N9)*100,0)))&lt;=0,"OK",IF(OR(L9=""),"UNVOLLSTÄNDIG","ABWEICHUNG")))</f>
        <v/>
      </c>
      <c r="Y9" s="50">
        <f>IF(OR(K9="",O9="",R9=""),"",IF(ABS(ROUND(((ROUND(N(K9)*100,0))-(ROUND(N(O9)*100,0))),0)-(ROUND(N(R9)*100,0)))&lt;=0,"OK","ABWEICHUNG"))</f>
        <v/>
      </c>
      <c r="Z9" s="50">
        <f>IF(OR(N9="",O9="",P9="",Q9="",T9=""),"",IF(ABS(ROUND(((ROUND(N(N9)*100,0)+ROUND(N(Q9)*100,0))-(ROUND(N(O9)*100,0)+ROUND(N(P9)*100,0))),0)-(ROUND(N(T9)*100,0)))&lt;=0,"OK","ABWEICHUNG"))</f>
        <v/>
      </c>
      <c r="AA9" s="44" t="n"/>
      <c r="AB9" s="44" t="n"/>
      <c r="AC9" s="44" t="n"/>
      <c r="AD9" s="44" t="n"/>
      <c r="AE9" s="85" t="n"/>
      <c r="AF9" s="85" t="n"/>
      <c r="AG9" s="44" t="n"/>
      <c r="AH9" s="44" t="n"/>
    </row>
    <row r="10">
      <c r="A10" s="44" t="n"/>
      <c r="B10" s="44" t="n"/>
      <c r="C10" s="44" t="n"/>
      <c r="D10" s="44" t="n"/>
      <c r="E10" s="44" t="n"/>
      <c r="F10" s="44" t="n"/>
      <c r="G10" s="45" t="n"/>
      <c r="H10" s="44" t="n"/>
      <c r="I10" s="45" t="n"/>
      <c r="J10" s="44" t="n"/>
      <c r="K10" s="85" t="n"/>
      <c r="L10" s="85" t="n"/>
      <c r="M10" s="85" t="n"/>
      <c r="N10" s="85" t="n"/>
      <c r="O10" s="85" t="n"/>
      <c r="P10" s="85" t="n"/>
      <c r="Q10" s="85" t="n"/>
      <c r="R10" s="85" t="n"/>
      <c r="S10" s="85" t="n"/>
      <c r="T10" s="85" t="n"/>
      <c r="U10" s="85" t="n"/>
      <c r="V10" s="44" t="n"/>
      <c r="W10" s="50">
        <f>IF(OR(M10="",Q10="",S10=""),"",IF(ABS(ROUND(((ROUND(N(M10)*100,0))-(ROUND(N(Q10)*100,0))),0)-(ROUND(N(S10)*100,0)))&lt;=0,"OK","ABWEICHUNG"))</f>
        <v/>
      </c>
      <c r="X10" s="50">
        <f>IF(OR(K10="",M10="",N10=""),"",IF(ABS(ROUND(((ROUND(N(K10)*100,0)+ROUND(N(L10)*100,0))-(ROUND(N(M10)*100,0))),0)-(ROUND(N(N10)*100,0)))&lt;=0,"OK",IF(OR(L10=""),"UNVOLLSTÄNDIG","ABWEICHUNG")))</f>
        <v/>
      </c>
      <c r="Y10" s="50">
        <f>IF(OR(K10="",O10="",R10=""),"",IF(ABS(ROUND(((ROUND(N(K10)*100,0))-(ROUND(N(O10)*100,0))),0)-(ROUND(N(R10)*100,0)))&lt;=0,"OK","ABWEICHUNG"))</f>
        <v/>
      </c>
      <c r="Z10" s="50">
        <f>IF(OR(N10="",O10="",P10="",Q10="",T10=""),"",IF(ABS(ROUND(((ROUND(N(N10)*100,0)+ROUND(N(Q10)*100,0))-(ROUND(N(O10)*100,0)+ROUND(N(P10)*100,0))),0)-(ROUND(N(T10)*100,0)))&lt;=0,"OK","ABWEICHUNG"))</f>
        <v/>
      </c>
      <c r="AA10" s="44" t="n"/>
      <c r="AB10" s="44" t="n"/>
      <c r="AC10" s="44" t="n"/>
      <c r="AD10" s="44" t="n"/>
      <c r="AE10" s="85" t="n"/>
      <c r="AF10" s="85" t="n"/>
      <c r="AG10" s="44" t="n"/>
      <c r="AH10" s="44" t="n"/>
    </row>
    <row r="11">
      <c r="A11" s="44" t="n"/>
      <c r="B11" s="44" t="n"/>
      <c r="C11" s="44" t="n"/>
      <c r="D11" s="44" t="n"/>
      <c r="E11" s="44" t="n"/>
      <c r="F11" s="44" t="n"/>
      <c r="G11" s="45" t="n"/>
      <c r="H11" s="44" t="n"/>
      <c r="I11" s="45" t="n"/>
      <c r="J11" s="44" t="n"/>
      <c r="K11" s="85" t="n"/>
      <c r="L11" s="85" t="n"/>
      <c r="M11" s="85" t="n"/>
      <c r="N11" s="85" t="n"/>
      <c r="O11" s="85" t="n"/>
      <c r="P11" s="85" t="n"/>
      <c r="Q11" s="85" t="n"/>
      <c r="R11" s="85" t="n"/>
      <c r="S11" s="85" t="n"/>
      <c r="T11" s="85" t="n"/>
      <c r="U11" s="85" t="n"/>
      <c r="V11" s="44" t="n"/>
      <c r="W11" s="50">
        <f>IF(OR(M11="",Q11="",S11=""),"",IF(ABS(ROUND(((ROUND(N(M11)*100,0))-(ROUND(N(Q11)*100,0))),0)-(ROUND(N(S11)*100,0)))&lt;=0,"OK","ABWEICHUNG"))</f>
        <v/>
      </c>
      <c r="X11" s="50">
        <f>IF(OR(K11="",M11="",N11=""),"",IF(ABS(ROUND(((ROUND(N(K11)*100,0)+ROUND(N(L11)*100,0))-(ROUND(N(M11)*100,0))),0)-(ROUND(N(N11)*100,0)))&lt;=0,"OK",IF(OR(L11=""),"UNVOLLSTÄNDIG","ABWEICHUNG")))</f>
        <v/>
      </c>
      <c r="Y11" s="50">
        <f>IF(OR(K11="",O11="",R11=""),"",IF(ABS(ROUND(((ROUND(N(K11)*100,0))-(ROUND(N(O11)*100,0))),0)-(ROUND(N(R11)*100,0)))&lt;=0,"OK","ABWEICHUNG"))</f>
        <v/>
      </c>
      <c r="Z11" s="50">
        <f>IF(OR(N11="",O11="",P11="",Q11="",T11=""),"",IF(ABS(ROUND(((ROUND(N(N11)*100,0)+ROUND(N(Q11)*100,0))-(ROUND(N(O11)*100,0)+ROUND(N(P11)*100,0))),0)-(ROUND(N(T11)*100,0)))&lt;=0,"OK","ABWEICHUNG"))</f>
        <v/>
      </c>
      <c r="AA11" s="44" t="n"/>
      <c r="AB11" s="44" t="n"/>
      <c r="AC11" s="44" t="n"/>
      <c r="AD11" s="44" t="n"/>
      <c r="AE11" s="85" t="n"/>
      <c r="AF11" s="85" t="n"/>
      <c r="AG11" s="44" t="n"/>
      <c r="AH11" s="44" t="n"/>
    </row>
    <row r="12">
      <c r="A12" s="44" t="n"/>
      <c r="B12" s="44" t="n"/>
      <c r="C12" s="44" t="n"/>
      <c r="D12" s="44" t="n"/>
      <c r="E12" s="44" t="n"/>
      <c r="F12" s="44" t="n"/>
      <c r="G12" s="45" t="n"/>
      <c r="H12" s="44" t="n"/>
      <c r="I12" s="45" t="n"/>
      <c r="J12" s="44" t="n"/>
      <c r="K12" s="85" t="n"/>
      <c r="L12" s="85" t="n"/>
      <c r="M12" s="85" t="n"/>
      <c r="N12" s="85" t="n"/>
      <c r="O12" s="85" t="n"/>
      <c r="P12" s="85" t="n"/>
      <c r="Q12" s="85" t="n"/>
      <c r="R12" s="85" t="n"/>
      <c r="S12" s="85" t="n"/>
      <c r="T12" s="85" t="n"/>
      <c r="U12" s="85" t="n"/>
      <c r="V12" s="44" t="n"/>
      <c r="W12" s="50">
        <f>IF(OR(M12="",Q12="",S12=""),"",IF(ABS(ROUND(((ROUND(N(M12)*100,0))-(ROUND(N(Q12)*100,0))),0)-(ROUND(N(S12)*100,0)))&lt;=0,"OK","ABWEICHUNG"))</f>
        <v/>
      </c>
      <c r="X12" s="50">
        <f>IF(OR(K12="",M12="",N12=""),"",IF(ABS(ROUND(((ROUND(N(K12)*100,0)+ROUND(N(L12)*100,0))-(ROUND(N(M12)*100,0))),0)-(ROUND(N(N12)*100,0)))&lt;=0,"OK",IF(OR(L12=""),"UNVOLLSTÄNDIG","ABWEICHUNG")))</f>
        <v/>
      </c>
      <c r="Y12" s="50">
        <f>IF(OR(K12="",O12="",R12=""),"",IF(ABS(ROUND(((ROUND(N(K12)*100,0))-(ROUND(N(O12)*100,0))),0)-(ROUND(N(R12)*100,0)))&lt;=0,"OK","ABWEICHUNG"))</f>
        <v/>
      </c>
      <c r="Z12" s="50">
        <f>IF(OR(N12="",O12="",P12="",Q12="",T12=""),"",IF(ABS(ROUND(((ROUND(N(N12)*100,0)+ROUND(N(Q12)*100,0))-(ROUND(N(O12)*100,0)+ROUND(N(P12)*100,0))),0)-(ROUND(N(T12)*100,0)))&lt;=0,"OK","ABWEICHUNG"))</f>
        <v/>
      </c>
      <c r="AA12" s="44" t="n"/>
      <c r="AB12" s="44" t="n"/>
      <c r="AC12" s="44" t="n"/>
      <c r="AD12" s="44" t="n"/>
      <c r="AE12" s="85" t="n"/>
      <c r="AF12" s="85" t="n"/>
      <c r="AG12" s="44" t="n"/>
      <c r="AH12" s="44" t="n"/>
    </row>
    <row r="13">
      <c r="A13" s="44" t="n"/>
      <c r="B13" s="44" t="n"/>
      <c r="C13" s="44" t="n"/>
      <c r="D13" s="44" t="n"/>
      <c r="E13" s="44" t="n"/>
      <c r="F13" s="44" t="n"/>
      <c r="G13" s="45" t="n"/>
      <c r="H13" s="44" t="n"/>
      <c r="I13" s="45" t="n"/>
      <c r="J13" s="44" t="n"/>
      <c r="K13" s="85" t="n"/>
      <c r="L13" s="85" t="n"/>
      <c r="M13" s="85" t="n"/>
      <c r="N13" s="85" t="n"/>
      <c r="O13" s="85" t="n"/>
      <c r="P13" s="85" t="n"/>
      <c r="Q13" s="85" t="n"/>
      <c r="R13" s="85" t="n"/>
      <c r="S13" s="85" t="n"/>
      <c r="T13" s="85" t="n"/>
      <c r="U13" s="85" t="n"/>
      <c r="V13" s="44" t="n"/>
      <c r="W13" s="50">
        <f>IF(OR(M13="",Q13="",S13=""),"",IF(ABS(ROUND(((ROUND(N(M13)*100,0))-(ROUND(N(Q13)*100,0))),0)-(ROUND(N(S13)*100,0)))&lt;=0,"OK","ABWEICHUNG"))</f>
        <v/>
      </c>
      <c r="X13" s="50">
        <f>IF(OR(K13="",M13="",N13=""),"",IF(ABS(ROUND(((ROUND(N(K13)*100,0)+ROUND(N(L13)*100,0))-(ROUND(N(M13)*100,0))),0)-(ROUND(N(N13)*100,0)))&lt;=0,"OK",IF(OR(L13=""),"UNVOLLSTÄNDIG","ABWEICHUNG")))</f>
        <v/>
      </c>
      <c r="Y13" s="50">
        <f>IF(OR(K13="",O13="",R13=""),"",IF(ABS(ROUND(((ROUND(N(K13)*100,0))-(ROUND(N(O13)*100,0))),0)-(ROUND(N(R13)*100,0)))&lt;=0,"OK","ABWEICHUNG"))</f>
        <v/>
      </c>
      <c r="Z13" s="50">
        <f>IF(OR(N13="",O13="",P13="",Q13="",T13=""),"",IF(ABS(ROUND(((ROUND(N(N13)*100,0)+ROUND(N(Q13)*100,0))-(ROUND(N(O13)*100,0)+ROUND(N(P13)*100,0))),0)-(ROUND(N(T13)*100,0)))&lt;=0,"OK","ABWEICHUNG"))</f>
        <v/>
      </c>
      <c r="AA13" s="44" t="n"/>
      <c r="AB13" s="44" t="n"/>
      <c r="AC13" s="44" t="n"/>
      <c r="AD13" s="44" t="n"/>
      <c r="AE13" s="85" t="n"/>
      <c r="AF13" s="85" t="n"/>
      <c r="AG13" s="44" t="n"/>
      <c r="AH13" s="44" t="n"/>
    </row>
    <row r="14">
      <c r="A14" s="44" t="n"/>
      <c r="B14" s="44" t="n"/>
      <c r="C14" s="44" t="n"/>
      <c r="D14" s="44" t="n"/>
      <c r="E14" s="44" t="n"/>
      <c r="F14" s="44" t="n"/>
      <c r="G14" s="45" t="n"/>
      <c r="H14" s="44" t="n"/>
      <c r="I14" s="45" t="n"/>
      <c r="J14" s="44" t="n"/>
      <c r="K14" s="85" t="n"/>
      <c r="L14" s="85" t="n"/>
      <c r="M14" s="85" t="n"/>
      <c r="N14" s="85" t="n"/>
      <c r="O14" s="85" t="n"/>
      <c r="P14" s="85" t="n"/>
      <c r="Q14" s="85" t="n"/>
      <c r="R14" s="85" t="n"/>
      <c r="S14" s="85" t="n"/>
      <c r="T14" s="85" t="n"/>
      <c r="U14" s="85" t="n"/>
      <c r="V14" s="44" t="n"/>
      <c r="W14" s="50">
        <f>IF(OR(M14="",Q14="",S14=""),"",IF(ABS(ROUND(((ROUND(N(M14)*100,0))-(ROUND(N(Q14)*100,0))),0)-(ROUND(N(S14)*100,0)))&lt;=0,"OK","ABWEICHUNG"))</f>
        <v/>
      </c>
      <c r="X14" s="50">
        <f>IF(OR(K14="",M14="",N14=""),"",IF(ABS(ROUND(((ROUND(N(K14)*100,0)+ROUND(N(L14)*100,0))-(ROUND(N(M14)*100,0))),0)-(ROUND(N(N14)*100,0)))&lt;=0,"OK",IF(OR(L14=""),"UNVOLLSTÄNDIG","ABWEICHUNG")))</f>
        <v/>
      </c>
      <c r="Y14" s="50">
        <f>IF(OR(K14="",O14="",R14=""),"",IF(ABS(ROUND(((ROUND(N(K14)*100,0))-(ROUND(N(O14)*100,0))),0)-(ROUND(N(R14)*100,0)))&lt;=0,"OK","ABWEICHUNG"))</f>
        <v/>
      </c>
      <c r="Z14" s="50">
        <f>IF(OR(N14="",O14="",P14="",Q14="",T14=""),"",IF(ABS(ROUND(((ROUND(N(N14)*100,0)+ROUND(N(Q14)*100,0))-(ROUND(N(O14)*100,0)+ROUND(N(P14)*100,0))),0)-(ROUND(N(T14)*100,0)))&lt;=0,"OK","ABWEICHUNG"))</f>
        <v/>
      </c>
      <c r="AA14" s="44" t="n"/>
      <c r="AB14" s="44" t="n"/>
      <c r="AC14" s="44" t="n"/>
      <c r="AD14" s="44" t="n"/>
      <c r="AE14" s="85" t="n"/>
      <c r="AF14" s="85" t="n"/>
      <c r="AG14" s="44" t="n"/>
      <c r="AH14" s="44" t="n"/>
    </row>
    <row r="15">
      <c r="A15" s="44" t="n"/>
      <c r="B15" s="44" t="n"/>
      <c r="C15" s="44" t="n"/>
      <c r="D15" s="44" t="n"/>
      <c r="E15" s="44" t="n"/>
      <c r="F15" s="44" t="n"/>
      <c r="G15" s="45" t="n"/>
      <c r="H15" s="44" t="n"/>
      <c r="I15" s="45" t="n"/>
      <c r="J15" s="44" t="n"/>
      <c r="K15" s="85" t="n"/>
      <c r="L15" s="85" t="n"/>
      <c r="M15" s="85" t="n"/>
      <c r="N15" s="85" t="n"/>
      <c r="O15" s="85" t="n"/>
      <c r="P15" s="85" t="n"/>
      <c r="Q15" s="85" t="n"/>
      <c r="R15" s="85" t="n"/>
      <c r="S15" s="85" t="n"/>
      <c r="T15" s="85" t="n"/>
      <c r="U15" s="85" t="n"/>
      <c r="V15" s="44" t="n"/>
      <c r="W15" s="50">
        <f>IF(OR(M15="",Q15="",S15=""),"",IF(ABS(ROUND(((ROUND(N(M15)*100,0))-(ROUND(N(Q15)*100,0))),0)-(ROUND(N(S15)*100,0)))&lt;=0,"OK","ABWEICHUNG"))</f>
        <v/>
      </c>
      <c r="X15" s="50">
        <f>IF(OR(K15="",M15="",N15=""),"",IF(ABS(ROUND(((ROUND(N(K15)*100,0)+ROUND(N(L15)*100,0))-(ROUND(N(M15)*100,0))),0)-(ROUND(N(N15)*100,0)))&lt;=0,"OK",IF(OR(L15=""),"UNVOLLSTÄNDIG","ABWEICHUNG")))</f>
        <v/>
      </c>
      <c r="Y15" s="50">
        <f>IF(OR(K15="",O15="",R15=""),"",IF(ABS(ROUND(((ROUND(N(K15)*100,0))-(ROUND(N(O15)*100,0))),0)-(ROUND(N(R15)*100,0)))&lt;=0,"OK","ABWEICHUNG"))</f>
        <v/>
      </c>
      <c r="Z15" s="50">
        <f>IF(OR(N15="",O15="",P15="",Q15="",T15=""),"",IF(ABS(ROUND(((ROUND(N(N15)*100,0)+ROUND(N(Q15)*100,0))-(ROUND(N(O15)*100,0)+ROUND(N(P15)*100,0))),0)-(ROUND(N(T15)*100,0)))&lt;=0,"OK","ABWEICHUNG"))</f>
        <v/>
      </c>
      <c r="AA15" s="44" t="n"/>
      <c r="AB15" s="44" t="n"/>
      <c r="AC15" s="44" t="n"/>
      <c r="AD15" s="44" t="n"/>
      <c r="AE15" s="85" t="n"/>
      <c r="AF15" s="85" t="n"/>
      <c r="AG15" s="44" t="n"/>
      <c r="AH15" s="44" t="n"/>
    </row>
    <row r="16">
      <c r="A16" s="44" t="n"/>
      <c r="B16" s="44" t="n"/>
      <c r="C16" s="44" t="n"/>
      <c r="D16" s="44" t="n"/>
      <c r="E16" s="44" t="n"/>
      <c r="F16" s="44" t="n"/>
      <c r="G16" s="45" t="n"/>
      <c r="H16" s="44" t="n"/>
      <c r="I16" s="45" t="n"/>
      <c r="J16" s="44" t="n"/>
      <c r="K16" s="85" t="n"/>
      <c r="L16" s="85" t="n"/>
      <c r="M16" s="85" t="n"/>
      <c r="N16" s="85" t="n"/>
      <c r="O16" s="85" t="n"/>
      <c r="P16" s="85" t="n"/>
      <c r="Q16" s="85" t="n"/>
      <c r="R16" s="85" t="n"/>
      <c r="S16" s="85" t="n"/>
      <c r="T16" s="85" t="n"/>
      <c r="U16" s="85" t="n"/>
      <c r="V16" s="44" t="n"/>
      <c r="W16" s="50">
        <f>IF(OR(M16="",Q16="",S16=""),"",IF(ABS(ROUND(((ROUND(N(M16)*100,0))-(ROUND(N(Q16)*100,0))),0)-(ROUND(N(S16)*100,0)))&lt;=0,"OK","ABWEICHUNG"))</f>
        <v/>
      </c>
      <c r="X16" s="50">
        <f>IF(OR(K16="",M16="",N16=""),"",IF(ABS(ROUND(((ROUND(N(K16)*100,0)+ROUND(N(L16)*100,0))-(ROUND(N(M16)*100,0))),0)-(ROUND(N(N16)*100,0)))&lt;=0,"OK",IF(OR(L16=""),"UNVOLLSTÄNDIG","ABWEICHUNG")))</f>
        <v/>
      </c>
      <c r="Y16" s="50">
        <f>IF(OR(K16="",O16="",R16=""),"",IF(ABS(ROUND(((ROUND(N(K16)*100,0))-(ROUND(N(O16)*100,0))),0)-(ROUND(N(R16)*100,0)))&lt;=0,"OK","ABWEICHUNG"))</f>
        <v/>
      </c>
      <c r="Z16" s="50">
        <f>IF(OR(N16="",O16="",P16="",Q16="",T16=""),"",IF(ABS(ROUND(((ROUND(N(N16)*100,0)+ROUND(N(Q16)*100,0))-(ROUND(N(O16)*100,0)+ROUND(N(P16)*100,0))),0)-(ROUND(N(T16)*100,0)))&lt;=0,"OK","ABWEICHUNG"))</f>
        <v/>
      </c>
      <c r="AA16" s="44" t="n"/>
      <c r="AB16" s="44" t="n"/>
      <c r="AC16" s="44" t="n"/>
      <c r="AD16" s="44" t="n"/>
      <c r="AE16" s="85" t="n"/>
      <c r="AF16" s="85" t="n"/>
      <c r="AG16" s="44" t="n"/>
      <c r="AH16" s="44" t="n"/>
    </row>
    <row r="17">
      <c r="A17" s="44" t="n"/>
      <c r="B17" s="44" t="n"/>
      <c r="C17" s="44" t="n"/>
      <c r="D17" s="44" t="n"/>
      <c r="E17" s="44" t="n"/>
      <c r="F17" s="44" t="n"/>
      <c r="G17" s="45" t="n"/>
      <c r="H17" s="44" t="n"/>
      <c r="I17" s="45" t="n"/>
      <c r="J17" s="44" t="n"/>
      <c r="K17" s="85" t="n"/>
      <c r="L17" s="85" t="n"/>
      <c r="M17" s="85" t="n"/>
      <c r="N17" s="85" t="n"/>
      <c r="O17" s="85" t="n"/>
      <c r="P17" s="85" t="n"/>
      <c r="Q17" s="85" t="n"/>
      <c r="R17" s="85" t="n"/>
      <c r="S17" s="85" t="n"/>
      <c r="T17" s="85" t="n"/>
      <c r="U17" s="85" t="n"/>
      <c r="V17" s="44" t="n"/>
      <c r="W17" s="50">
        <f>IF(OR(M17="",Q17="",S17=""),"",IF(ABS(ROUND(((ROUND(N(M17)*100,0))-(ROUND(N(Q17)*100,0))),0)-(ROUND(N(S17)*100,0)))&lt;=0,"OK","ABWEICHUNG"))</f>
        <v/>
      </c>
      <c r="X17" s="50">
        <f>IF(OR(K17="",M17="",N17=""),"",IF(ABS(ROUND(((ROUND(N(K17)*100,0)+ROUND(N(L17)*100,0))-(ROUND(N(M17)*100,0))),0)-(ROUND(N(N17)*100,0)))&lt;=0,"OK",IF(OR(L17=""),"UNVOLLSTÄNDIG","ABWEICHUNG")))</f>
        <v/>
      </c>
      <c r="Y17" s="50">
        <f>IF(OR(K17="",O17="",R17=""),"",IF(ABS(ROUND(((ROUND(N(K17)*100,0))-(ROUND(N(O17)*100,0))),0)-(ROUND(N(R17)*100,0)))&lt;=0,"OK","ABWEICHUNG"))</f>
        <v/>
      </c>
      <c r="Z17" s="50">
        <f>IF(OR(N17="",O17="",P17="",Q17="",T17=""),"",IF(ABS(ROUND(((ROUND(N(N17)*100,0)+ROUND(N(Q17)*100,0))-(ROUND(N(O17)*100,0)+ROUND(N(P17)*100,0))),0)-(ROUND(N(T17)*100,0)))&lt;=0,"OK","ABWEICHUNG"))</f>
        <v/>
      </c>
      <c r="AA17" s="44" t="n"/>
      <c r="AB17" s="44" t="n"/>
      <c r="AC17" s="44" t="n"/>
      <c r="AD17" s="44" t="n"/>
      <c r="AE17" s="85" t="n"/>
      <c r="AF17" s="85" t="n"/>
      <c r="AG17" s="44" t="n"/>
      <c r="AH17" s="44" t="n"/>
    </row>
    <row r="18">
      <c r="A18" s="44" t="n"/>
      <c r="B18" s="44" t="n"/>
      <c r="C18" s="44" t="n"/>
      <c r="D18" s="44" t="n"/>
      <c r="E18" s="44" t="n"/>
      <c r="F18" s="44" t="n"/>
      <c r="G18" s="45" t="n"/>
      <c r="H18" s="44" t="n"/>
      <c r="I18" s="45" t="n"/>
      <c r="J18" s="44" t="n"/>
      <c r="K18" s="85" t="n"/>
      <c r="L18" s="85" t="n"/>
      <c r="M18" s="85" t="n"/>
      <c r="N18" s="85" t="n"/>
      <c r="O18" s="85" t="n"/>
      <c r="P18" s="85" t="n"/>
      <c r="Q18" s="85" t="n"/>
      <c r="R18" s="85" t="n"/>
      <c r="S18" s="85" t="n"/>
      <c r="T18" s="85" t="n"/>
      <c r="U18" s="85" t="n"/>
      <c r="V18" s="44" t="n"/>
      <c r="W18" s="50">
        <f>IF(OR(M18="",Q18="",S18=""),"",IF(ABS(ROUND(((ROUND(N(M18)*100,0))-(ROUND(N(Q18)*100,0))),0)-(ROUND(N(S18)*100,0)))&lt;=0,"OK","ABWEICHUNG"))</f>
        <v/>
      </c>
      <c r="X18" s="50">
        <f>IF(OR(K18="",M18="",N18=""),"",IF(ABS(ROUND(((ROUND(N(K18)*100,0)+ROUND(N(L18)*100,0))-(ROUND(N(M18)*100,0))),0)-(ROUND(N(N18)*100,0)))&lt;=0,"OK",IF(OR(L18=""),"UNVOLLSTÄNDIG","ABWEICHUNG")))</f>
        <v/>
      </c>
      <c r="Y18" s="50">
        <f>IF(OR(K18="",O18="",R18=""),"",IF(ABS(ROUND(((ROUND(N(K18)*100,0))-(ROUND(N(O18)*100,0))),0)-(ROUND(N(R18)*100,0)))&lt;=0,"OK","ABWEICHUNG"))</f>
        <v/>
      </c>
      <c r="Z18" s="50">
        <f>IF(OR(N18="",O18="",P18="",Q18="",T18=""),"",IF(ABS(ROUND(((ROUND(N(N18)*100,0)+ROUND(N(Q18)*100,0))-(ROUND(N(O18)*100,0)+ROUND(N(P18)*100,0))),0)-(ROUND(N(T18)*100,0)))&lt;=0,"OK","ABWEICHUNG"))</f>
        <v/>
      </c>
      <c r="AA18" s="44" t="n"/>
      <c r="AB18" s="44" t="n"/>
      <c r="AC18" s="44" t="n"/>
      <c r="AD18" s="44" t="n"/>
      <c r="AE18" s="85" t="n"/>
      <c r="AF18" s="85" t="n"/>
      <c r="AG18" s="44" t="n"/>
      <c r="AH18" s="44" t="n"/>
    </row>
    <row r="19">
      <c r="A19" s="44" t="n"/>
      <c r="B19" s="44" t="n"/>
      <c r="C19" s="44" t="n"/>
      <c r="D19" s="44" t="n"/>
      <c r="E19" s="44" t="n"/>
      <c r="F19" s="44" t="n"/>
      <c r="G19" s="45" t="n"/>
      <c r="H19" s="44" t="n"/>
      <c r="I19" s="45" t="n"/>
      <c r="J19" s="44" t="n"/>
      <c r="K19" s="85" t="n"/>
      <c r="L19" s="85" t="n"/>
      <c r="M19" s="85" t="n"/>
      <c r="N19" s="85" t="n"/>
      <c r="O19" s="85" t="n"/>
      <c r="P19" s="85" t="n"/>
      <c r="Q19" s="85" t="n"/>
      <c r="R19" s="85" t="n"/>
      <c r="S19" s="85" t="n"/>
      <c r="T19" s="85" t="n"/>
      <c r="U19" s="85" t="n"/>
      <c r="V19" s="44" t="n"/>
      <c r="W19" s="50">
        <f>IF(OR(M19="",Q19="",S19=""),"",IF(ABS(ROUND(((ROUND(N(M19)*100,0))-(ROUND(N(Q19)*100,0))),0)-(ROUND(N(S19)*100,0)))&lt;=0,"OK","ABWEICHUNG"))</f>
        <v/>
      </c>
      <c r="X19" s="50">
        <f>IF(OR(K19="",M19="",N19=""),"",IF(ABS(ROUND(((ROUND(N(K19)*100,0)+ROUND(N(L19)*100,0))-(ROUND(N(M19)*100,0))),0)-(ROUND(N(N19)*100,0)))&lt;=0,"OK",IF(OR(L19=""),"UNVOLLSTÄNDIG","ABWEICHUNG")))</f>
        <v/>
      </c>
      <c r="Y19" s="50">
        <f>IF(OR(K19="",O19="",R19=""),"",IF(ABS(ROUND(((ROUND(N(K19)*100,0))-(ROUND(N(O19)*100,0))),0)-(ROUND(N(R19)*100,0)))&lt;=0,"OK","ABWEICHUNG"))</f>
        <v/>
      </c>
      <c r="Z19" s="50">
        <f>IF(OR(N19="",O19="",P19="",Q19="",T19=""),"",IF(ABS(ROUND(((ROUND(N(N19)*100,0)+ROUND(N(Q19)*100,0))-(ROUND(N(O19)*100,0)+ROUND(N(P19)*100,0))),0)-(ROUND(N(T19)*100,0)))&lt;=0,"OK","ABWEICHUNG"))</f>
        <v/>
      </c>
      <c r="AA19" s="44" t="n"/>
      <c r="AB19" s="44" t="n"/>
      <c r="AC19" s="44" t="n"/>
      <c r="AD19" s="44" t="n"/>
      <c r="AE19" s="85" t="n"/>
      <c r="AF19" s="85" t="n"/>
      <c r="AG19" s="44" t="n"/>
      <c r="AH19" s="44" t="n"/>
    </row>
    <row r="20">
      <c r="A20" s="44" t="n"/>
      <c r="B20" s="44" t="n"/>
      <c r="C20" s="44" t="n"/>
      <c r="D20" s="44" t="n"/>
      <c r="E20" s="44" t="n"/>
      <c r="F20" s="44" t="n"/>
      <c r="G20" s="45" t="n"/>
      <c r="H20" s="44" t="n"/>
      <c r="I20" s="45" t="n"/>
      <c r="J20" s="44" t="n"/>
      <c r="K20" s="85" t="n"/>
      <c r="L20" s="85" t="n"/>
      <c r="M20" s="85" t="n"/>
      <c r="N20" s="85" t="n"/>
      <c r="O20" s="85" t="n"/>
      <c r="P20" s="85" t="n"/>
      <c r="Q20" s="85" t="n"/>
      <c r="R20" s="85" t="n"/>
      <c r="S20" s="85" t="n"/>
      <c r="T20" s="85" t="n"/>
      <c r="U20" s="85" t="n"/>
      <c r="V20" s="44" t="n"/>
      <c r="W20" s="50">
        <f>IF(OR(M20="",Q20="",S20=""),"",IF(ABS(ROUND(((ROUND(N(M20)*100,0))-(ROUND(N(Q20)*100,0))),0)-(ROUND(N(S20)*100,0)))&lt;=0,"OK","ABWEICHUNG"))</f>
        <v/>
      </c>
      <c r="X20" s="50">
        <f>IF(OR(K20="",M20="",N20=""),"",IF(ABS(ROUND(((ROUND(N(K20)*100,0)+ROUND(N(L20)*100,0))-(ROUND(N(M20)*100,0))),0)-(ROUND(N(N20)*100,0)))&lt;=0,"OK",IF(OR(L20=""),"UNVOLLSTÄNDIG","ABWEICHUNG")))</f>
        <v/>
      </c>
      <c r="Y20" s="50">
        <f>IF(OR(K20="",O20="",R20=""),"",IF(ABS(ROUND(((ROUND(N(K20)*100,0))-(ROUND(N(O20)*100,0))),0)-(ROUND(N(R20)*100,0)))&lt;=0,"OK","ABWEICHUNG"))</f>
        <v/>
      </c>
      <c r="Z20" s="50">
        <f>IF(OR(N20="",O20="",P20="",Q20="",T20=""),"",IF(ABS(ROUND(((ROUND(N(N20)*100,0)+ROUND(N(Q20)*100,0))-(ROUND(N(O20)*100,0)+ROUND(N(P20)*100,0))),0)-(ROUND(N(T20)*100,0)))&lt;=0,"OK","ABWEICHUNG"))</f>
        <v/>
      </c>
      <c r="AA20" s="44" t="n"/>
      <c r="AB20" s="44" t="n"/>
      <c r="AC20" s="44" t="n"/>
      <c r="AD20" s="44" t="n"/>
      <c r="AE20" s="85" t="n"/>
      <c r="AF20" s="85" t="n"/>
      <c r="AG20" s="44" t="n"/>
      <c r="AH20" s="44" t="n"/>
    </row>
    <row r="21">
      <c r="A21" s="44" t="n"/>
      <c r="B21" s="44" t="n"/>
      <c r="C21" s="44" t="n"/>
      <c r="D21" s="44" t="n"/>
      <c r="E21" s="44" t="n"/>
      <c r="F21" s="44" t="n"/>
      <c r="G21" s="45" t="n"/>
      <c r="H21" s="44" t="n"/>
      <c r="I21" s="45" t="n"/>
      <c r="J21" s="44" t="n"/>
      <c r="K21" s="85" t="n"/>
      <c r="L21" s="85" t="n"/>
      <c r="M21" s="85" t="n"/>
      <c r="N21" s="85" t="n"/>
      <c r="O21" s="85" t="n"/>
      <c r="P21" s="85" t="n"/>
      <c r="Q21" s="85" t="n"/>
      <c r="R21" s="85" t="n"/>
      <c r="S21" s="85" t="n"/>
      <c r="T21" s="85" t="n"/>
      <c r="U21" s="85" t="n"/>
      <c r="V21" s="44" t="n"/>
      <c r="W21" s="50">
        <f>IF(OR(M21="",Q21="",S21=""),"",IF(ABS(ROUND(((ROUND(N(M21)*100,0))-(ROUND(N(Q21)*100,0))),0)-(ROUND(N(S21)*100,0)))&lt;=0,"OK","ABWEICHUNG"))</f>
        <v/>
      </c>
      <c r="X21" s="50">
        <f>IF(OR(K21="",M21="",N21=""),"",IF(ABS(ROUND(((ROUND(N(K21)*100,0)+ROUND(N(L21)*100,0))-(ROUND(N(M21)*100,0))),0)-(ROUND(N(N21)*100,0)))&lt;=0,"OK",IF(OR(L21=""),"UNVOLLSTÄNDIG","ABWEICHUNG")))</f>
        <v/>
      </c>
      <c r="Y21" s="50">
        <f>IF(OR(K21="",O21="",R21=""),"",IF(ABS(ROUND(((ROUND(N(K21)*100,0))-(ROUND(N(O21)*100,0))),0)-(ROUND(N(R21)*100,0)))&lt;=0,"OK","ABWEICHUNG"))</f>
        <v/>
      </c>
      <c r="Z21" s="50">
        <f>IF(OR(N21="",O21="",P21="",Q21="",T21=""),"",IF(ABS(ROUND(((ROUND(N(N21)*100,0)+ROUND(N(Q21)*100,0))-(ROUND(N(O21)*100,0)+ROUND(N(P21)*100,0))),0)-(ROUND(N(T21)*100,0)))&lt;=0,"OK","ABWEICHUNG"))</f>
        <v/>
      </c>
      <c r="AA21" s="44" t="n"/>
      <c r="AB21" s="44" t="n"/>
      <c r="AC21" s="44" t="n"/>
      <c r="AD21" s="44" t="n"/>
      <c r="AE21" s="85" t="n"/>
      <c r="AF21" s="85" t="n"/>
      <c r="AG21" s="44" t="n"/>
      <c r="AH21" s="44" t="n"/>
    </row>
    <row r="22">
      <c r="A22" s="44" t="n"/>
      <c r="B22" s="44" t="n"/>
      <c r="C22" s="44" t="n"/>
      <c r="D22" s="44" t="n"/>
      <c r="E22" s="44" t="n"/>
      <c r="F22" s="44" t="n"/>
      <c r="G22" s="45" t="n"/>
      <c r="H22" s="44" t="n"/>
      <c r="I22" s="45" t="n"/>
      <c r="J22" s="44" t="n"/>
      <c r="K22" s="85" t="n"/>
      <c r="L22" s="85" t="n"/>
      <c r="M22" s="85" t="n"/>
      <c r="N22" s="85" t="n"/>
      <c r="O22" s="85" t="n"/>
      <c r="P22" s="85" t="n"/>
      <c r="Q22" s="85" t="n"/>
      <c r="R22" s="85" t="n"/>
      <c r="S22" s="85" t="n"/>
      <c r="T22" s="85" t="n"/>
      <c r="U22" s="85" t="n"/>
      <c r="V22" s="44" t="n"/>
      <c r="W22" s="50">
        <f>IF(OR(M22="",Q22="",S22=""),"",IF(ABS(ROUND(((ROUND(N(M22)*100,0))-(ROUND(N(Q22)*100,0))),0)-(ROUND(N(S22)*100,0)))&lt;=0,"OK","ABWEICHUNG"))</f>
        <v/>
      </c>
      <c r="X22" s="50">
        <f>IF(OR(K22="",M22="",N22=""),"",IF(ABS(ROUND(((ROUND(N(K22)*100,0)+ROUND(N(L22)*100,0))-(ROUND(N(M22)*100,0))),0)-(ROUND(N(N22)*100,0)))&lt;=0,"OK",IF(OR(L22=""),"UNVOLLSTÄNDIG","ABWEICHUNG")))</f>
        <v/>
      </c>
      <c r="Y22" s="50">
        <f>IF(OR(K22="",O22="",R22=""),"",IF(ABS(ROUND(((ROUND(N(K22)*100,0))-(ROUND(N(O22)*100,0))),0)-(ROUND(N(R22)*100,0)))&lt;=0,"OK","ABWEICHUNG"))</f>
        <v/>
      </c>
      <c r="Z22" s="50">
        <f>IF(OR(N22="",O22="",P22="",Q22="",T22=""),"",IF(ABS(ROUND(((ROUND(N(N22)*100,0)+ROUND(N(Q22)*100,0))-(ROUND(N(O22)*100,0)+ROUND(N(P22)*100,0))),0)-(ROUND(N(T22)*100,0)))&lt;=0,"OK","ABWEICHUNG"))</f>
        <v/>
      </c>
      <c r="AA22" s="44" t="n"/>
      <c r="AB22" s="44" t="n"/>
      <c r="AC22" s="44" t="n"/>
      <c r="AD22" s="44" t="n"/>
      <c r="AE22" s="85" t="n"/>
      <c r="AF22" s="85" t="n"/>
      <c r="AG22" s="44" t="n"/>
      <c r="AH22" s="44" t="n"/>
    </row>
    <row r="23">
      <c r="A23" s="44" t="n"/>
      <c r="B23" s="44" t="n"/>
      <c r="C23" s="44" t="n"/>
      <c r="D23" s="44" t="n"/>
      <c r="E23" s="44" t="n"/>
      <c r="F23" s="44" t="n"/>
      <c r="G23" s="45" t="n"/>
      <c r="H23" s="44" t="n"/>
      <c r="I23" s="45" t="n"/>
      <c r="J23" s="44" t="n"/>
      <c r="K23" s="85" t="n"/>
      <c r="L23" s="85" t="n"/>
      <c r="M23" s="85" t="n"/>
      <c r="N23" s="85" t="n"/>
      <c r="O23" s="85" t="n"/>
      <c r="P23" s="85" t="n"/>
      <c r="Q23" s="85" t="n"/>
      <c r="R23" s="85" t="n"/>
      <c r="S23" s="85" t="n"/>
      <c r="T23" s="85" t="n"/>
      <c r="U23" s="85" t="n"/>
      <c r="V23" s="44" t="n"/>
      <c r="W23" s="50">
        <f>IF(OR(M23="",Q23="",S23=""),"",IF(ABS(ROUND(((ROUND(N(M23)*100,0))-(ROUND(N(Q23)*100,0))),0)-(ROUND(N(S23)*100,0)))&lt;=0,"OK","ABWEICHUNG"))</f>
        <v/>
      </c>
      <c r="X23" s="50">
        <f>IF(OR(K23="",M23="",N23=""),"",IF(ABS(ROUND(((ROUND(N(K23)*100,0)+ROUND(N(L23)*100,0))-(ROUND(N(M23)*100,0))),0)-(ROUND(N(N23)*100,0)))&lt;=0,"OK",IF(OR(L23=""),"UNVOLLSTÄNDIG","ABWEICHUNG")))</f>
        <v/>
      </c>
      <c r="Y23" s="50">
        <f>IF(OR(K23="",O23="",R23=""),"",IF(ABS(ROUND(((ROUND(N(K23)*100,0))-(ROUND(N(O23)*100,0))),0)-(ROUND(N(R23)*100,0)))&lt;=0,"OK","ABWEICHUNG"))</f>
        <v/>
      </c>
      <c r="Z23" s="50">
        <f>IF(OR(N23="",O23="",P23="",Q23="",T23=""),"",IF(ABS(ROUND(((ROUND(N(N23)*100,0)+ROUND(N(Q23)*100,0))-(ROUND(N(O23)*100,0)+ROUND(N(P23)*100,0))),0)-(ROUND(N(T23)*100,0)))&lt;=0,"OK","ABWEICHUNG"))</f>
        <v/>
      </c>
      <c r="AA23" s="44" t="n"/>
      <c r="AB23" s="44" t="n"/>
      <c r="AC23" s="44" t="n"/>
      <c r="AD23" s="44" t="n"/>
      <c r="AE23" s="85" t="n"/>
      <c r="AF23" s="85" t="n"/>
      <c r="AG23" s="44" t="n"/>
      <c r="AH23" s="44" t="n"/>
    </row>
    <row r="24">
      <c r="A24" s="44" t="n"/>
      <c r="B24" s="44" t="n"/>
      <c r="C24" s="44" t="n"/>
      <c r="D24" s="44" t="n"/>
      <c r="E24" s="44" t="n"/>
      <c r="F24" s="44" t="n"/>
      <c r="G24" s="45" t="n"/>
      <c r="H24" s="44" t="n"/>
      <c r="I24" s="45" t="n"/>
      <c r="J24" s="44" t="n"/>
      <c r="K24" s="85" t="n"/>
      <c r="L24" s="85" t="n"/>
      <c r="M24" s="85" t="n"/>
      <c r="N24" s="85" t="n"/>
      <c r="O24" s="85" t="n"/>
      <c r="P24" s="85" t="n"/>
      <c r="Q24" s="85" t="n"/>
      <c r="R24" s="85" t="n"/>
      <c r="S24" s="85" t="n"/>
      <c r="T24" s="85" t="n"/>
      <c r="U24" s="85" t="n"/>
      <c r="V24" s="44" t="n"/>
      <c r="W24" s="50">
        <f>IF(OR(M24="",Q24="",S24=""),"",IF(ABS(ROUND(((ROUND(N(M24)*100,0))-(ROUND(N(Q24)*100,0))),0)-(ROUND(N(S24)*100,0)))&lt;=0,"OK","ABWEICHUNG"))</f>
        <v/>
      </c>
      <c r="X24" s="50">
        <f>IF(OR(K24="",M24="",N24=""),"",IF(ABS(ROUND(((ROUND(N(K24)*100,0)+ROUND(N(L24)*100,0))-(ROUND(N(M24)*100,0))),0)-(ROUND(N(N24)*100,0)))&lt;=0,"OK",IF(OR(L24=""),"UNVOLLSTÄNDIG","ABWEICHUNG")))</f>
        <v/>
      </c>
      <c r="Y24" s="50">
        <f>IF(OR(K24="",O24="",R24=""),"",IF(ABS(ROUND(((ROUND(N(K24)*100,0))-(ROUND(N(O24)*100,0))),0)-(ROUND(N(R24)*100,0)))&lt;=0,"OK","ABWEICHUNG"))</f>
        <v/>
      </c>
      <c r="Z24" s="50">
        <f>IF(OR(N24="",O24="",P24="",Q24="",T24=""),"",IF(ABS(ROUND(((ROUND(N(N24)*100,0)+ROUND(N(Q24)*100,0))-(ROUND(N(O24)*100,0)+ROUND(N(P24)*100,0))),0)-(ROUND(N(T24)*100,0)))&lt;=0,"OK","ABWEICHUNG"))</f>
        <v/>
      </c>
      <c r="AA24" s="44" t="n"/>
      <c r="AB24" s="44" t="n"/>
      <c r="AC24" s="44" t="n"/>
      <c r="AD24" s="44" t="n"/>
      <c r="AE24" s="85" t="n"/>
      <c r="AF24" s="85" t="n"/>
      <c r="AG24" s="44" t="n"/>
      <c r="AH24" s="44" t="n"/>
    </row>
    <row r="25">
      <c r="A25" s="44" t="n"/>
      <c r="B25" s="44" t="n"/>
      <c r="C25" s="44" t="n"/>
      <c r="D25" s="44" t="n"/>
      <c r="E25" s="44" t="n"/>
      <c r="F25" s="44" t="n"/>
      <c r="G25" s="45" t="n"/>
      <c r="H25" s="44" t="n"/>
      <c r="I25" s="45" t="n"/>
      <c r="J25" s="44" t="n"/>
      <c r="K25" s="85" t="n"/>
      <c r="L25" s="85" t="n"/>
      <c r="M25" s="85" t="n"/>
      <c r="N25" s="85" t="n"/>
      <c r="O25" s="85" t="n"/>
      <c r="P25" s="85" t="n"/>
      <c r="Q25" s="85" t="n"/>
      <c r="R25" s="85" t="n"/>
      <c r="S25" s="85" t="n"/>
      <c r="T25" s="85" t="n"/>
      <c r="U25" s="85" t="n"/>
      <c r="V25" s="44" t="n"/>
      <c r="W25" s="50">
        <f>IF(OR(M25="",Q25="",S25=""),"",IF(ABS(ROUND(((ROUND(N(M25)*100,0))-(ROUND(N(Q25)*100,0))),0)-(ROUND(N(S25)*100,0)))&lt;=0,"OK","ABWEICHUNG"))</f>
        <v/>
      </c>
      <c r="X25" s="50">
        <f>IF(OR(K25="",M25="",N25=""),"",IF(ABS(ROUND(((ROUND(N(K25)*100,0)+ROUND(N(L25)*100,0))-(ROUND(N(M25)*100,0))),0)-(ROUND(N(N25)*100,0)))&lt;=0,"OK",IF(OR(L25=""),"UNVOLLSTÄNDIG","ABWEICHUNG")))</f>
        <v/>
      </c>
      <c r="Y25" s="50">
        <f>IF(OR(K25="",O25="",R25=""),"",IF(ABS(ROUND(((ROUND(N(K25)*100,0))-(ROUND(N(O25)*100,0))),0)-(ROUND(N(R25)*100,0)))&lt;=0,"OK","ABWEICHUNG"))</f>
        <v/>
      </c>
      <c r="Z25" s="50">
        <f>IF(OR(N25="",O25="",P25="",Q25="",T25=""),"",IF(ABS(ROUND(((ROUND(N(N25)*100,0)+ROUND(N(Q25)*100,0))-(ROUND(N(O25)*100,0)+ROUND(N(P25)*100,0))),0)-(ROUND(N(T25)*100,0)))&lt;=0,"OK","ABWEICHUNG"))</f>
        <v/>
      </c>
      <c r="AA25" s="44" t="n"/>
      <c r="AB25" s="44" t="n"/>
      <c r="AC25" s="44" t="n"/>
      <c r="AD25" s="44" t="n"/>
      <c r="AE25" s="85" t="n"/>
      <c r="AF25" s="85" t="n"/>
      <c r="AG25" s="44" t="n"/>
      <c r="AH25" s="44" t="n"/>
    </row>
    <row r="26">
      <c r="A26" s="44" t="n"/>
      <c r="B26" s="44" t="n"/>
      <c r="C26" s="44" t="n"/>
      <c r="D26" s="44" t="n"/>
      <c r="E26" s="44" t="n"/>
      <c r="F26" s="44" t="n"/>
      <c r="G26" s="45" t="n"/>
      <c r="H26" s="44" t="n"/>
      <c r="I26" s="45" t="n"/>
      <c r="J26" s="44" t="n"/>
      <c r="K26" s="85" t="n"/>
      <c r="L26" s="85" t="n"/>
      <c r="M26" s="85" t="n"/>
      <c r="N26" s="85" t="n"/>
      <c r="O26" s="85" t="n"/>
      <c r="P26" s="85" t="n"/>
      <c r="Q26" s="85" t="n"/>
      <c r="R26" s="85" t="n"/>
      <c r="S26" s="85" t="n"/>
      <c r="T26" s="85" t="n"/>
      <c r="U26" s="85" t="n"/>
      <c r="V26" s="44" t="n"/>
      <c r="W26" s="50">
        <f>IF(OR(M26="",Q26="",S26=""),"",IF(ABS(ROUND(((ROUND(N(M26)*100,0))-(ROUND(N(Q26)*100,0))),0)-(ROUND(N(S26)*100,0)))&lt;=0,"OK","ABWEICHUNG"))</f>
        <v/>
      </c>
      <c r="X26" s="50">
        <f>IF(OR(K26="",M26="",N26=""),"",IF(ABS(ROUND(((ROUND(N(K26)*100,0)+ROUND(N(L26)*100,0))-(ROUND(N(M26)*100,0))),0)-(ROUND(N(N26)*100,0)))&lt;=0,"OK",IF(OR(L26=""),"UNVOLLSTÄNDIG","ABWEICHUNG")))</f>
        <v/>
      </c>
      <c r="Y26" s="50">
        <f>IF(OR(K26="",O26="",R26=""),"",IF(ABS(ROUND(((ROUND(N(K26)*100,0))-(ROUND(N(O26)*100,0))),0)-(ROUND(N(R26)*100,0)))&lt;=0,"OK","ABWEICHUNG"))</f>
        <v/>
      </c>
      <c r="Z26" s="50">
        <f>IF(OR(N26="",O26="",P26="",Q26="",T26=""),"",IF(ABS(ROUND(((ROUND(N(N26)*100,0)+ROUND(N(Q26)*100,0))-(ROUND(N(O26)*100,0)+ROUND(N(P26)*100,0))),0)-(ROUND(N(T26)*100,0)))&lt;=0,"OK","ABWEICHUNG"))</f>
        <v/>
      </c>
      <c r="AA26" s="44" t="n"/>
      <c r="AB26" s="44" t="n"/>
      <c r="AC26" s="44" t="n"/>
      <c r="AD26" s="44" t="n"/>
      <c r="AE26" s="85" t="n"/>
      <c r="AF26" s="85" t="n"/>
      <c r="AG26" s="44" t="n"/>
      <c r="AH26" s="44" t="n"/>
    </row>
    <row r="27">
      <c r="A27" s="44" t="n"/>
      <c r="B27" s="44" t="n"/>
      <c r="C27" s="44" t="n"/>
      <c r="D27" s="44" t="n"/>
      <c r="E27" s="44" t="n"/>
      <c r="F27" s="44" t="n"/>
      <c r="G27" s="45" t="n"/>
      <c r="H27" s="44" t="n"/>
      <c r="I27" s="45" t="n"/>
      <c r="J27" s="44" t="n"/>
      <c r="K27" s="85" t="n"/>
      <c r="L27" s="85" t="n"/>
      <c r="M27" s="85" t="n"/>
      <c r="N27" s="85" t="n"/>
      <c r="O27" s="85" t="n"/>
      <c r="P27" s="85" t="n"/>
      <c r="Q27" s="85" t="n"/>
      <c r="R27" s="85" t="n"/>
      <c r="S27" s="85" t="n"/>
      <c r="T27" s="85" t="n"/>
      <c r="U27" s="85" t="n"/>
      <c r="V27" s="44" t="n"/>
      <c r="W27" s="50">
        <f>IF(OR(M27="",Q27="",S27=""),"",IF(ABS(ROUND(((ROUND(N(M27)*100,0))-(ROUND(N(Q27)*100,0))),0)-(ROUND(N(S27)*100,0)))&lt;=0,"OK","ABWEICHUNG"))</f>
        <v/>
      </c>
      <c r="X27" s="50">
        <f>IF(OR(K27="",M27="",N27=""),"",IF(ABS(ROUND(((ROUND(N(K27)*100,0)+ROUND(N(L27)*100,0))-(ROUND(N(M27)*100,0))),0)-(ROUND(N(N27)*100,0)))&lt;=0,"OK",IF(OR(L27=""),"UNVOLLSTÄNDIG","ABWEICHUNG")))</f>
        <v/>
      </c>
      <c r="Y27" s="50">
        <f>IF(OR(K27="",O27="",R27=""),"",IF(ABS(ROUND(((ROUND(N(K27)*100,0))-(ROUND(N(O27)*100,0))),0)-(ROUND(N(R27)*100,0)))&lt;=0,"OK","ABWEICHUNG"))</f>
        <v/>
      </c>
      <c r="Z27" s="50">
        <f>IF(OR(N27="",O27="",P27="",Q27="",T27=""),"",IF(ABS(ROUND(((ROUND(N(N27)*100,0)+ROUND(N(Q27)*100,0))-(ROUND(N(O27)*100,0)+ROUND(N(P27)*100,0))),0)-(ROUND(N(T27)*100,0)))&lt;=0,"OK","ABWEICHUNG"))</f>
        <v/>
      </c>
      <c r="AA27" s="44" t="n"/>
      <c r="AB27" s="44" t="n"/>
      <c r="AC27" s="44" t="n"/>
      <c r="AD27" s="44" t="n"/>
      <c r="AE27" s="85" t="n"/>
      <c r="AF27" s="85" t="n"/>
      <c r="AG27" s="44" t="n"/>
      <c r="AH27" s="44" t="n"/>
    </row>
    <row r="28">
      <c r="A28" s="44" t="n"/>
      <c r="B28" s="44" t="n"/>
      <c r="C28" s="44" t="n"/>
      <c r="D28" s="44" t="n"/>
      <c r="E28" s="44" t="n"/>
      <c r="F28" s="44" t="n"/>
      <c r="G28" s="45" t="n"/>
      <c r="H28" s="44" t="n"/>
      <c r="I28" s="45" t="n"/>
      <c r="J28" s="44" t="n"/>
      <c r="K28" s="85" t="n"/>
      <c r="L28" s="85" t="n"/>
      <c r="M28" s="85" t="n"/>
      <c r="N28" s="85" t="n"/>
      <c r="O28" s="85" t="n"/>
      <c r="P28" s="85" t="n"/>
      <c r="Q28" s="85" t="n"/>
      <c r="R28" s="85" t="n"/>
      <c r="S28" s="85" t="n"/>
      <c r="T28" s="85" t="n"/>
      <c r="U28" s="85" t="n"/>
      <c r="V28" s="44" t="n"/>
      <c r="W28" s="50">
        <f>IF(OR(M28="",Q28="",S28=""),"",IF(ABS(ROUND(((ROUND(N(M28)*100,0))-(ROUND(N(Q28)*100,0))),0)-(ROUND(N(S28)*100,0)))&lt;=0,"OK","ABWEICHUNG"))</f>
        <v/>
      </c>
      <c r="X28" s="50">
        <f>IF(OR(K28="",M28="",N28=""),"",IF(ABS(ROUND(((ROUND(N(K28)*100,0)+ROUND(N(L28)*100,0))-(ROUND(N(M28)*100,0))),0)-(ROUND(N(N28)*100,0)))&lt;=0,"OK",IF(OR(L28=""),"UNVOLLSTÄNDIG","ABWEICHUNG")))</f>
        <v/>
      </c>
      <c r="Y28" s="50">
        <f>IF(OR(K28="",O28="",R28=""),"",IF(ABS(ROUND(((ROUND(N(K28)*100,0))-(ROUND(N(O28)*100,0))),0)-(ROUND(N(R28)*100,0)))&lt;=0,"OK","ABWEICHUNG"))</f>
        <v/>
      </c>
      <c r="Z28" s="50">
        <f>IF(OR(N28="",O28="",P28="",Q28="",T28=""),"",IF(ABS(ROUND(((ROUND(N(N28)*100,0)+ROUND(N(Q28)*100,0))-(ROUND(N(O28)*100,0)+ROUND(N(P28)*100,0))),0)-(ROUND(N(T28)*100,0)))&lt;=0,"OK","ABWEICHUNG"))</f>
        <v/>
      </c>
      <c r="AA28" s="44" t="n"/>
      <c r="AB28" s="44" t="n"/>
      <c r="AC28" s="44" t="n"/>
      <c r="AD28" s="44" t="n"/>
      <c r="AE28" s="85" t="n"/>
      <c r="AF28" s="85" t="n"/>
      <c r="AG28" s="44" t="n"/>
      <c r="AH28" s="44" t="n"/>
    </row>
    <row r="29">
      <c r="A29" s="44" t="n"/>
      <c r="B29" s="44" t="n"/>
      <c r="C29" s="44" t="n"/>
      <c r="D29" s="44" t="n"/>
      <c r="E29" s="44" t="n"/>
      <c r="F29" s="44" t="n"/>
      <c r="G29" s="45" t="n"/>
      <c r="H29" s="44" t="n"/>
      <c r="I29" s="45" t="n"/>
      <c r="J29" s="44" t="n"/>
      <c r="K29" s="85" t="n"/>
      <c r="L29" s="85" t="n"/>
      <c r="M29" s="85" t="n"/>
      <c r="N29" s="85" t="n"/>
      <c r="O29" s="85" t="n"/>
      <c r="P29" s="85" t="n"/>
      <c r="Q29" s="85" t="n"/>
      <c r="R29" s="85" t="n"/>
      <c r="S29" s="85" t="n"/>
      <c r="T29" s="85" t="n"/>
      <c r="U29" s="85" t="n"/>
      <c r="V29" s="44" t="n"/>
      <c r="W29" s="50">
        <f>IF(OR(M29="",Q29="",S29=""),"",IF(ABS(ROUND(((ROUND(N(M29)*100,0))-(ROUND(N(Q29)*100,0))),0)-(ROUND(N(S29)*100,0)))&lt;=0,"OK","ABWEICHUNG"))</f>
        <v/>
      </c>
      <c r="X29" s="50">
        <f>IF(OR(K29="",M29="",N29=""),"",IF(ABS(ROUND(((ROUND(N(K29)*100,0)+ROUND(N(L29)*100,0))-(ROUND(N(M29)*100,0))),0)-(ROUND(N(N29)*100,0)))&lt;=0,"OK",IF(OR(L29=""),"UNVOLLSTÄNDIG","ABWEICHUNG")))</f>
        <v/>
      </c>
      <c r="Y29" s="50">
        <f>IF(OR(K29="",O29="",R29=""),"",IF(ABS(ROUND(((ROUND(N(K29)*100,0))-(ROUND(N(O29)*100,0))),0)-(ROUND(N(R29)*100,0)))&lt;=0,"OK","ABWEICHUNG"))</f>
        <v/>
      </c>
      <c r="Z29" s="50">
        <f>IF(OR(N29="",O29="",P29="",Q29="",T29=""),"",IF(ABS(ROUND(((ROUND(N(N29)*100,0)+ROUND(N(Q29)*100,0))-(ROUND(N(O29)*100,0)+ROUND(N(P29)*100,0))),0)-(ROUND(N(T29)*100,0)))&lt;=0,"OK","ABWEICHUNG"))</f>
        <v/>
      </c>
      <c r="AA29" s="44" t="n"/>
      <c r="AB29" s="44" t="n"/>
      <c r="AC29" s="44" t="n"/>
      <c r="AD29" s="44" t="n"/>
      <c r="AE29" s="85" t="n"/>
      <c r="AF29" s="85" t="n"/>
      <c r="AG29" s="44" t="n"/>
      <c r="AH29" s="44" t="n"/>
    </row>
    <row r="30">
      <c r="A30" s="44" t="n"/>
      <c r="B30" s="44" t="n"/>
      <c r="C30" s="44" t="n"/>
      <c r="D30" s="44" t="n"/>
      <c r="E30" s="44" t="n"/>
      <c r="F30" s="44" t="n"/>
      <c r="G30" s="45" t="n"/>
      <c r="H30" s="44" t="n"/>
      <c r="I30" s="45" t="n"/>
      <c r="J30" s="44" t="n"/>
      <c r="K30" s="85" t="n"/>
      <c r="L30" s="85" t="n"/>
      <c r="M30" s="85" t="n"/>
      <c r="N30" s="85" t="n"/>
      <c r="O30" s="85" t="n"/>
      <c r="P30" s="85" t="n"/>
      <c r="Q30" s="85" t="n"/>
      <c r="R30" s="85" t="n"/>
      <c r="S30" s="85" t="n"/>
      <c r="T30" s="85" t="n"/>
      <c r="U30" s="85" t="n"/>
      <c r="V30" s="44" t="n"/>
      <c r="W30" s="50">
        <f>IF(OR(M30="",Q30="",S30=""),"",IF(ABS(ROUND(((ROUND(N(M30)*100,0))-(ROUND(N(Q30)*100,0))),0)-(ROUND(N(S30)*100,0)))&lt;=0,"OK","ABWEICHUNG"))</f>
        <v/>
      </c>
      <c r="X30" s="50">
        <f>IF(OR(K30="",M30="",N30=""),"",IF(ABS(ROUND(((ROUND(N(K30)*100,0)+ROUND(N(L30)*100,0))-(ROUND(N(M30)*100,0))),0)-(ROUND(N(N30)*100,0)))&lt;=0,"OK",IF(OR(L30=""),"UNVOLLSTÄNDIG","ABWEICHUNG")))</f>
        <v/>
      </c>
      <c r="Y30" s="50">
        <f>IF(OR(K30="",O30="",R30=""),"",IF(ABS(ROUND(((ROUND(N(K30)*100,0))-(ROUND(N(O30)*100,0))),0)-(ROUND(N(R30)*100,0)))&lt;=0,"OK","ABWEICHUNG"))</f>
        <v/>
      </c>
      <c r="Z30" s="50">
        <f>IF(OR(N30="",O30="",P30="",Q30="",T30=""),"",IF(ABS(ROUND(((ROUND(N(N30)*100,0)+ROUND(N(Q30)*100,0))-(ROUND(N(O30)*100,0)+ROUND(N(P30)*100,0))),0)-(ROUND(N(T30)*100,0)))&lt;=0,"OK","ABWEICHUNG"))</f>
        <v/>
      </c>
      <c r="AA30" s="44" t="n"/>
      <c r="AB30" s="44" t="n"/>
      <c r="AC30" s="44" t="n"/>
      <c r="AD30" s="44" t="n"/>
      <c r="AE30" s="85" t="n"/>
      <c r="AF30" s="85" t="n"/>
      <c r="AG30" s="44" t="n"/>
      <c r="AH30" s="44" t="n"/>
    </row>
    <row r="31">
      <c r="A31" s="44" t="n"/>
      <c r="B31" s="44" t="n"/>
      <c r="C31" s="44" t="n"/>
      <c r="D31" s="44" t="n"/>
      <c r="E31" s="44" t="n"/>
      <c r="F31" s="44" t="n"/>
      <c r="G31" s="45" t="n"/>
      <c r="H31" s="44" t="n"/>
      <c r="I31" s="45" t="n"/>
      <c r="J31" s="44" t="n"/>
      <c r="K31" s="85" t="n"/>
      <c r="L31" s="85" t="n"/>
      <c r="M31" s="85" t="n"/>
      <c r="N31" s="85" t="n"/>
      <c r="O31" s="85" t="n"/>
      <c r="P31" s="85" t="n"/>
      <c r="Q31" s="85" t="n"/>
      <c r="R31" s="85" t="n"/>
      <c r="S31" s="85" t="n"/>
      <c r="T31" s="85" t="n"/>
      <c r="U31" s="85" t="n"/>
      <c r="V31" s="44" t="n"/>
      <c r="W31" s="50">
        <f>IF(OR(M31="",Q31="",S31=""),"",IF(ABS(ROUND(((ROUND(N(M31)*100,0))-(ROUND(N(Q31)*100,0))),0)-(ROUND(N(S31)*100,0)))&lt;=0,"OK","ABWEICHUNG"))</f>
        <v/>
      </c>
      <c r="X31" s="50">
        <f>IF(OR(K31="",M31="",N31=""),"",IF(ABS(ROUND(((ROUND(N(K31)*100,0)+ROUND(N(L31)*100,0))-(ROUND(N(M31)*100,0))),0)-(ROUND(N(N31)*100,0)))&lt;=0,"OK",IF(OR(L31=""),"UNVOLLSTÄNDIG","ABWEICHUNG")))</f>
        <v/>
      </c>
      <c r="Y31" s="50">
        <f>IF(OR(K31="",O31="",R31=""),"",IF(ABS(ROUND(((ROUND(N(K31)*100,0))-(ROUND(N(O31)*100,0))),0)-(ROUND(N(R31)*100,0)))&lt;=0,"OK","ABWEICHUNG"))</f>
        <v/>
      </c>
      <c r="Z31" s="50">
        <f>IF(OR(N31="",O31="",P31="",Q31="",T31=""),"",IF(ABS(ROUND(((ROUND(N(N31)*100,0)+ROUND(N(Q31)*100,0))-(ROUND(N(O31)*100,0)+ROUND(N(P31)*100,0))),0)-(ROUND(N(T31)*100,0)))&lt;=0,"OK","ABWEICHUNG"))</f>
        <v/>
      </c>
      <c r="AA31" s="44" t="n"/>
      <c r="AB31" s="44" t="n"/>
      <c r="AC31" s="44" t="n"/>
      <c r="AD31" s="44" t="n"/>
      <c r="AE31" s="85" t="n"/>
      <c r="AF31" s="85" t="n"/>
      <c r="AG31" s="44" t="n"/>
      <c r="AH31" s="44" t="n"/>
    </row>
    <row r="32">
      <c r="A32" s="44" t="n"/>
      <c r="B32" s="44" t="n"/>
      <c r="C32" s="44" t="n"/>
      <c r="D32" s="44" t="n"/>
      <c r="E32" s="44" t="n"/>
      <c r="F32" s="44" t="n"/>
      <c r="G32" s="45" t="n"/>
      <c r="H32" s="44" t="n"/>
      <c r="I32" s="45" t="n"/>
      <c r="J32" s="44" t="n"/>
      <c r="K32" s="85" t="n"/>
      <c r="L32" s="85" t="n"/>
      <c r="M32" s="85" t="n"/>
      <c r="N32" s="85" t="n"/>
      <c r="O32" s="85" t="n"/>
      <c r="P32" s="85" t="n"/>
      <c r="Q32" s="85" t="n"/>
      <c r="R32" s="85" t="n"/>
      <c r="S32" s="85" t="n"/>
      <c r="T32" s="85" t="n"/>
      <c r="U32" s="85" t="n"/>
      <c r="V32" s="44" t="n"/>
      <c r="W32" s="50">
        <f>IF(OR(M32="",Q32="",S32=""),"",IF(ABS(ROUND(((ROUND(N(M32)*100,0))-(ROUND(N(Q32)*100,0))),0)-(ROUND(N(S32)*100,0)))&lt;=0,"OK","ABWEICHUNG"))</f>
        <v/>
      </c>
      <c r="X32" s="50">
        <f>IF(OR(K32="",M32="",N32=""),"",IF(ABS(ROUND(((ROUND(N(K32)*100,0)+ROUND(N(L32)*100,0))-(ROUND(N(M32)*100,0))),0)-(ROUND(N(N32)*100,0)))&lt;=0,"OK",IF(OR(L32=""),"UNVOLLSTÄNDIG","ABWEICHUNG")))</f>
        <v/>
      </c>
      <c r="Y32" s="50">
        <f>IF(OR(K32="",O32="",R32=""),"",IF(ABS(ROUND(((ROUND(N(K32)*100,0))-(ROUND(N(O32)*100,0))),0)-(ROUND(N(R32)*100,0)))&lt;=0,"OK","ABWEICHUNG"))</f>
        <v/>
      </c>
      <c r="Z32" s="50">
        <f>IF(OR(N32="",O32="",P32="",Q32="",T32=""),"",IF(ABS(ROUND(((ROUND(N(N32)*100,0)+ROUND(N(Q32)*100,0))-(ROUND(N(O32)*100,0)+ROUND(N(P32)*100,0))),0)-(ROUND(N(T32)*100,0)))&lt;=0,"OK","ABWEICHUNG"))</f>
        <v/>
      </c>
      <c r="AA32" s="44" t="n"/>
      <c r="AB32" s="44" t="n"/>
      <c r="AC32" s="44" t="n"/>
      <c r="AD32" s="44" t="n"/>
      <c r="AE32" s="85" t="n"/>
      <c r="AF32" s="85" t="n"/>
      <c r="AG32" s="44" t="n"/>
      <c r="AH32" s="44" t="n"/>
    </row>
    <row r="33">
      <c r="A33" s="44" t="n"/>
      <c r="B33" s="44" t="n"/>
      <c r="C33" s="44" t="n"/>
      <c r="D33" s="44" t="n"/>
      <c r="E33" s="44" t="n"/>
      <c r="F33" s="44" t="n"/>
      <c r="G33" s="45" t="n"/>
      <c r="H33" s="44" t="n"/>
      <c r="I33" s="45" t="n"/>
      <c r="J33" s="44" t="n"/>
      <c r="K33" s="85" t="n"/>
      <c r="L33" s="85" t="n"/>
      <c r="M33" s="85" t="n"/>
      <c r="N33" s="85" t="n"/>
      <c r="O33" s="85" t="n"/>
      <c r="P33" s="85" t="n"/>
      <c r="Q33" s="85" t="n"/>
      <c r="R33" s="85" t="n"/>
      <c r="S33" s="85" t="n"/>
      <c r="T33" s="85" t="n"/>
      <c r="U33" s="85" t="n"/>
      <c r="V33" s="44" t="n"/>
      <c r="W33" s="50">
        <f>IF(OR(M33="",Q33="",S33=""),"",IF(ABS(ROUND(((ROUND(N(M33)*100,0))-(ROUND(N(Q33)*100,0))),0)-(ROUND(N(S33)*100,0)))&lt;=0,"OK","ABWEICHUNG"))</f>
        <v/>
      </c>
      <c r="X33" s="50">
        <f>IF(OR(K33="",M33="",N33=""),"",IF(ABS(ROUND(((ROUND(N(K33)*100,0)+ROUND(N(L33)*100,0))-(ROUND(N(M33)*100,0))),0)-(ROUND(N(N33)*100,0)))&lt;=0,"OK",IF(OR(L33=""),"UNVOLLSTÄNDIG","ABWEICHUNG")))</f>
        <v/>
      </c>
      <c r="Y33" s="50">
        <f>IF(OR(K33="",O33="",R33=""),"",IF(ABS(ROUND(((ROUND(N(K33)*100,0))-(ROUND(N(O33)*100,0))),0)-(ROUND(N(R33)*100,0)))&lt;=0,"OK","ABWEICHUNG"))</f>
        <v/>
      </c>
      <c r="Z33" s="50">
        <f>IF(OR(N33="",O33="",P33="",Q33="",T33=""),"",IF(ABS(ROUND(((ROUND(N(N33)*100,0)+ROUND(N(Q33)*100,0))-(ROUND(N(O33)*100,0)+ROUND(N(P33)*100,0))),0)-(ROUND(N(T33)*100,0)))&lt;=0,"OK","ABWEICHUNG"))</f>
        <v/>
      </c>
      <c r="AA33" s="44" t="n"/>
      <c r="AB33" s="44" t="n"/>
      <c r="AC33" s="44" t="n"/>
      <c r="AD33" s="44" t="n"/>
      <c r="AE33" s="85" t="n"/>
      <c r="AF33" s="85" t="n"/>
      <c r="AG33" s="44" t="n"/>
      <c r="AH33" s="44" t="n"/>
    </row>
    <row r="34">
      <c r="A34" s="44" t="n"/>
      <c r="B34" s="44" t="n"/>
      <c r="C34" s="44" t="n"/>
      <c r="D34" s="44" t="n"/>
      <c r="E34" s="44" t="n"/>
      <c r="F34" s="44" t="n"/>
      <c r="G34" s="45" t="n"/>
      <c r="H34" s="44" t="n"/>
      <c r="I34" s="45" t="n"/>
      <c r="J34" s="44" t="n"/>
      <c r="K34" s="85" t="n"/>
      <c r="L34" s="85" t="n"/>
      <c r="M34" s="85" t="n"/>
      <c r="N34" s="85" t="n"/>
      <c r="O34" s="85" t="n"/>
      <c r="P34" s="85" t="n"/>
      <c r="Q34" s="85" t="n"/>
      <c r="R34" s="85" t="n"/>
      <c r="S34" s="85" t="n"/>
      <c r="T34" s="85" t="n"/>
      <c r="U34" s="85" t="n"/>
      <c r="V34" s="44" t="n"/>
      <c r="W34" s="50">
        <f>IF(OR(M34="",Q34="",S34=""),"",IF(ABS(ROUND(((ROUND(N(M34)*100,0))-(ROUND(N(Q34)*100,0))),0)-(ROUND(N(S34)*100,0)))&lt;=0,"OK","ABWEICHUNG"))</f>
        <v/>
      </c>
      <c r="X34" s="50">
        <f>IF(OR(K34="",M34="",N34=""),"",IF(ABS(ROUND(((ROUND(N(K34)*100,0)+ROUND(N(L34)*100,0))-(ROUND(N(M34)*100,0))),0)-(ROUND(N(N34)*100,0)))&lt;=0,"OK",IF(OR(L34=""),"UNVOLLSTÄNDIG","ABWEICHUNG")))</f>
        <v/>
      </c>
      <c r="Y34" s="50">
        <f>IF(OR(K34="",O34="",R34=""),"",IF(ABS(ROUND(((ROUND(N(K34)*100,0))-(ROUND(N(O34)*100,0))),0)-(ROUND(N(R34)*100,0)))&lt;=0,"OK","ABWEICHUNG"))</f>
        <v/>
      </c>
      <c r="Z34" s="50">
        <f>IF(OR(N34="",O34="",P34="",Q34="",T34=""),"",IF(ABS(ROUND(((ROUND(N(N34)*100,0)+ROUND(N(Q34)*100,0))-(ROUND(N(O34)*100,0)+ROUND(N(P34)*100,0))),0)-(ROUND(N(T34)*100,0)))&lt;=0,"OK","ABWEICHUNG"))</f>
        <v/>
      </c>
      <c r="AA34" s="44" t="n"/>
      <c r="AB34" s="44" t="n"/>
      <c r="AC34" s="44" t="n"/>
      <c r="AD34" s="44" t="n"/>
      <c r="AE34" s="85" t="n"/>
      <c r="AF34" s="85" t="n"/>
      <c r="AG34" s="44" t="n"/>
      <c r="AH34" s="44" t="n"/>
    </row>
    <row r="35">
      <c r="A35" s="44" t="n"/>
      <c r="B35" s="44" t="n"/>
      <c r="C35" s="44" t="n"/>
      <c r="D35" s="44" t="n"/>
      <c r="E35" s="44" t="n"/>
      <c r="F35" s="44" t="n"/>
      <c r="G35" s="45" t="n"/>
      <c r="H35" s="44" t="n"/>
      <c r="I35" s="45" t="n"/>
      <c r="J35" s="44" t="n"/>
      <c r="K35" s="85" t="n"/>
      <c r="L35" s="85" t="n"/>
      <c r="M35" s="85" t="n"/>
      <c r="N35" s="85" t="n"/>
      <c r="O35" s="85" t="n"/>
      <c r="P35" s="85" t="n"/>
      <c r="Q35" s="85" t="n"/>
      <c r="R35" s="85" t="n"/>
      <c r="S35" s="85" t="n"/>
      <c r="T35" s="85" t="n"/>
      <c r="U35" s="85" t="n"/>
      <c r="V35" s="44" t="n"/>
      <c r="W35" s="50">
        <f>IF(OR(M35="",Q35="",S35=""),"",IF(ABS(ROUND(((ROUND(N(M35)*100,0))-(ROUND(N(Q35)*100,0))),0)-(ROUND(N(S35)*100,0)))&lt;=0,"OK","ABWEICHUNG"))</f>
        <v/>
      </c>
      <c r="X35" s="50">
        <f>IF(OR(K35="",M35="",N35=""),"",IF(ABS(ROUND(((ROUND(N(K35)*100,0)+ROUND(N(L35)*100,0))-(ROUND(N(M35)*100,0))),0)-(ROUND(N(N35)*100,0)))&lt;=0,"OK",IF(OR(L35=""),"UNVOLLSTÄNDIG","ABWEICHUNG")))</f>
        <v/>
      </c>
      <c r="Y35" s="50">
        <f>IF(OR(K35="",O35="",R35=""),"",IF(ABS(ROUND(((ROUND(N(K35)*100,0))-(ROUND(N(O35)*100,0))),0)-(ROUND(N(R35)*100,0)))&lt;=0,"OK","ABWEICHUNG"))</f>
        <v/>
      </c>
      <c r="Z35" s="50">
        <f>IF(OR(N35="",O35="",P35="",Q35="",T35=""),"",IF(ABS(ROUND(((ROUND(N(N35)*100,0)+ROUND(N(Q35)*100,0))-(ROUND(N(O35)*100,0)+ROUND(N(P35)*100,0))),0)-(ROUND(N(T35)*100,0)))&lt;=0,"OK","ABWEICHUNG"))</f>
        <v/>
      </c>
      <c r="AA35" s="44" t="n"/>
      <c r="AB35" s="44" t="n"/>
      <c r="AC35" s="44" t="n"/>
      <c r="AD35" s="44" t="n"/>
      <c r="AE35" s="85" t="n"/>
      <c r="AF35" s="85" t="n"/>
      <c r="AG35" s="44" t="n"/>
      <c r="AH35" s="44" t="n"/>
    </row>
    <row r="36">
      <c r="A36" s="44" t="n"/>
      <c r="B36" s="44" t="n"/>
      <c r="C36" s="44" t="n"/>
      <c r="D36" s="44" t="n"/>
      <c r="E36" s="44" t="n"/>
      <c r="F36" s="44" t="n"/>
      <c r="G36" s="45" t="n"/>
      <c r="H36" s="44" t="n"/>
      <c r="I36" s="45" t="n"/>
      <c r="J36" s="44" t="n"/>
      <c r="K36" s="85" t="n"/>
      <c r="L36" s="85" t="n"/>
      <c r="M36" s="85" t="n"/>
      <c r="N36" s="85" t="n"/>
      <c r="O36" s="85" t="n"/>
      <c r="P36" s="85" t="n"/>
      <c r="Q36" s="85" t="n"/>
      <c r="R36" s="85" t="n"/>
      <c r="S36" s="85" t="n"/>
      <c r="T36" s="85" t="n"/>
      <c r="U36" s="85" t="n"/>
      <c r="V36" s="44" t="n"/>
      <c r="W36" s="50">
        <f>IF(OR(M36="",Q36="",S36=""),"",IF(ABS(ROUND(((ROUND(N(M36)*100,0))-(ROUND(N(Q36)*100,0))),0)-(ROUND(N(S36)*100,0)))&lt;=0,"OK","ABWEICHUNG"))</f>
        <v/>
      </c>
      <c r="X36" s="50">
        <f>IF(OR(K36="",M36="",N36=""),"",IF(ABS(ROUND(((ROUND(N(K36)*100,0)+ROUND(N(L36)*100,0))-(ROUND(N(M36)*100,0))),0)-(ROUND(N(N36)*100,0)))&lt;=0,"OK",IF(OR(L36=""),"UNVOLLSTÄNDIG","ABWEICHUNG")))</f>
        <v/>
      </c>
      <c r="Y36" s="50">
        <f>IF(OR(K36="",O36="",R36=""),"",IF(ABS(ROUND(((ROUND(N(K36)*100,0))-(ROUND(N(O36)*100,0))),0)-(ROUND(N(R36)*100,0)))&lt;=0,"OK","ABWEICHUNG"))</f>
        <v/>
      </c>
      <c r="Z36" s="50">
        <f>IF(OR(N36="",O36="",P36="",Q36="",T36=""),"",IF(ABS(ROUND(((ROUND(N(N36)*100,0)+ROUND(N(Q36)*100,0))-(ROUND(N(O36)*100,0)+ROUND(N(P36)*100,0))),0)-(ROUND(N(T36)*100,0)))&lt;=0,"OK","ABWEICHUNG"))</f>
        <v/>
      </c>
      <c r="AA36" s="44" t="n"/>
      <c r="AB36" s="44" t="n"/>
      <c r="AC36" s="44" t="n"/>
      <c r="AD36" s="44" t="n"/>
      <c r="AE36" s="85" t="n"/>
      <c r="AF36" s="85" t="n"/>
      <c r="AG36" s="44" t="n"/>
      <c r="AH36" s="44" t="n"/>
    </row>
    <row r="37">
      <c r="A37" s="44" t="n"/>
      <c r="B37" s="44" t="n"/>
      <c r="C37" s="44" t="n"/>
      <c r="D37" s="44" t="n"/>
      <c r="E37" s="44" t="n"/>
      <c r="F37" s="44" t="n"/>
      <c r="G37" s="45" t="n"/>
      <c r="H37" s="44" t="n"/>
      <c r="I37" s="45" t="n"/>
      <c r="J37" s="44" t="n"/>
      <c r="K37" s="85" t="n"/>
      <c r="L37" s="85" t="n"/>
      <c r="M37" s="85" t="n"/>
      <c r="N37" s="85" t="n"/>
      <c r="O37" s="85" t="n"/>
      <c r="P37" s="85" t="n"/>
      <c r="Q37" s="85" t="n"/>
      <c r="R37" s="85" t="n"/>
      <c r="S37" s="85" t="n"/>
      <c r="T37" s="85" t="n"/>
      <c r="U37" s="85" t="n"/>
      <c r="V37" s="44" t="n"/>
      <c r="W37" s="50">
        <f>IF(OR(M37="",Q37="",S37=""),"",IF(ABS(ROUND(((ROUND(N(M37)*100,0))-(ROUND(N(Q37)*100,0))),0)-(ROUND(N(S37)*100,0)))&lt;=0,"OK","ABWEICHUNG"))</f>
        <v/>
      </c>
      <c r="X37" s="50">
        <f>IF(OR(K37="",M37="",N37=""),"",IF(ABS(ROUND(((ROUND(N(K37)*100,0)+ROUND(N(L37)*100,0))-(ROUND(N(M37)*100,0))),0)-(ROUND(N(N37)*100,0)))&lt;=0,"OK",IF(OR(L37=""),"UNVOLLSTÄNDIG","ABWEICHUNG")))</f>
        <v/>
      </c>
      <c r="Y37" s="50">
        <f>IF(OR(K37="",O37="",R37=""),"",IF(ABS(ROUND(((ROUND(N(K37)*100,0))-(ROUND(N(O37)*100,0))),0)-(ROUND(N(R37)*100,0)))&lt;=0,"OK","ABWEICHUNG"))</f>
        <v/>
      </c>
      <c r="Z37" s="50">
        <f>IF(OR(N37="",O37="",P37="",Q37="",T37=""),"",IF(ABS(ROUND(((ROUND(N(N37)*100,0)+ROUND(N(Q37)*100,0))-(ROUND(N(O37)*100,0)+ROUND(N(P37)*100,0))),0)-(ROUND(N(T37)*100,0)))&lt;=0,"OK","ABWEICHUNG"))</f>
        <v/>
      </c>
      <c r="AA37" s="44" t="n"/>
      <c r="AB37" s="44" t="n"/>
      <c r="AC37" s="44" t="n"/>
      <c r="AD37" s="44" t="n"/>
      <c r="AE37" s="85" t="n"/>
      <c r="AF37" s="85" t="n"/>
      <c r="AG37" s="44" t="n"/>
      <c r="AH37" s="44" t="n"/>
    </row>
    <row r="38">
      <c r="A38" s="44" t="n"/>
      <c r="B38" s="44" t="n"/>
      <c r="C38" s="44" t="n"/>
      <c r="D38" s="44" t="n"/>
      <c r="E38" s="44" t="n"/>
      <c r="F38" s="44" t="n"/>
      <c r="G38" s="45" t="n"/>
      <c r="H38" s="44" t="n"/>
      <c r="I38" s="45" t="n"/>
      <c r="J38" s="44" t="n"/>
      <c r="K38" s="85" t="n"/>
      <c r="L38" s="85" t="n"/>
      <c r="M38" s="85" t="n"/>
      <c r="N38" s="85" t="n"/>
      <c r="O38" s="85" t="n"/>
      <c r="P38" s="85" t="n"/>
      <c r="Q38" s="85" t="n"/>
      <c r="R38" s="85" t="n"/>
      <c r="S38" s="85" t="n"/>
      <c r="T38" s="85" t="n"/>
      <c r="U38" s="85" t="n"/>
      <c r="V38" s="44" t="n"/>
      <c r="W38" s="50">
        <f>IF(OR(M38="",Q38="",S38=""),"",IF(ABS(ROUND(((ROUND(N(M38)*100,0))-(ROUND(N(Q38)*100,0))),0)-(ROUND(N(S38)*100,0)))&lt;=0,"OK","ABWEICHUNG"))</f>
        <v/>
      </c>
      <c r="X38" s="50">
        <f>IF(OR(K38="",M38="",N38=""),"",IF(ABS(ROUND(((ROUND(N(K38)*100,0)+ROUND(N(L38)*100,0))-(ROUND(N(M38)*100,0))),0)-(ROUND(N(N38)*100,0)))&lt;=0,"OK",IF(OR(L38=""),"UNVOLLSTÄNDIG","ABWEICHUNG")))</f>
        <v/>
      </c>
      <c r="Y38" s="50">
        <f>IF(OR(K38="",O38="",R38=""),"",IF(ABS(ROUND(((ROUND(N(K38)*100,0))-(ROUND(N(O38)*100,0))),0)-(ROUND(N(R38)*100,0)))&lt;=0,"OK","ABWEICHUNG"))</f>
        <v/>
      </c>
      <c r="Z38" s="50">
        <f>IF(OR(N38="",O38="",P38="",Q38="",T38=""),"",IF(ABS(ROUND(((ROUND(N(N38)*100,0)+ROUND(N(Q38)*100,0))-(ROUND(N(O38)*100,0)+ROUND(N(P38)*100,0))),0)-(ROUND(N(T38)*100,0)))&lt;=0,"OK","ABWEICHUNG"))</f>
        <v/>
      </c>
      <c r="AA38" s="44" t="n"/>
      <c r="AB38" s="44" t="n"/>
      <c r="AC38" s="44" t="n"/>
      <c r="AD38" s="44" t="n"/>
      <c r="AE38" s="85" t="n"/>
      <c r="AF38" s="85" t="n"/>
      <c r="AG38" s="44" t="n"/>
      <c r="AH38" s="44" t="n"/>
    </row>
    <row r="39">
      <c r="A39" s="44" t="n"/>
      <c r="B39" s="44" t="n"/>
      <c r="C39" s="44" t="n"/>
      <c r="D39" s="44" t="n"/>
      <c r="E39" s="44" t="n"/>
      <c r="F39" s="44" t="n"/>
      <c r="G39" s="45" t="n"/>
      <c r="H39" s="44" t="n"/>
      <c r="I39" s="45" t="n"/>
      <c r="J39" s="44" t="n"/>
      <c r="K39" s="85" t="n"/>
      <c r="L39" s="85" t="n"/>
      <c r="M39" s="85" t="n"/>
      <c r="N39" s="85" t="n"/>
      <c r="O39" s="85" t="n"/>
      <c r="P39" s="85" t="n"/>
      <c r="Q39" s="85" t="n"/>
      <c r="R39" s="85" t="n"/>
      <c r="S39" s="85" t="n"/>
      <c r="T39" s="85" t="n"/>
      <c r="U39" s="85" t="n"/>
      <c r="V39" s="44" t="n"/>
      <c r="W39" s="50">
        <f>IF(OR(M39="",Q39="",S39=""),"",IF(ABS(ROUND(((ROUND(N(M39)*100,0))-(ROUND(N(Q39)*100,0))),0)-(ROUND(N(S39)*100,0)))&lt;=0,"OK","ABWEICHUNG"))</f>
        <v/>
      </c>
      <c r="X39" s="50">
        <f>IF(OR(K39="",M39="",N39=""),"",IF(ABS(ROUND(((ROUND(N(K39)*100,0)+ROUND(N(L39)*100,0))-(ROUND(N(M39)*100,0))),0)-(ROUND(N(N39)*100,0)))&lt;=0,"OK",IF(OR(L39=""),"UNVOLLSTÄNDIG","ABWEICHUNG")))</f>
        <v/>
      </c>
      <c r="Y39" s="50">
        <f>IF(OR(K39="",O39="",R39=""),"",IF(ABS(ROUND(((ROUND(N(K39)*100,0))-(ROUND(N(O39)*100,0))),0)-(ROUND(N(R39)*100,0)))&lt;=0,"OK","ABWEICHUNG"))</f>
        <v/>
      </c>
      <c r="Z39" s="50">
        <f>IF(OR(N39="",O39="",P39="",Q39="",T39=""),"",IF(ABS(ROUND(((ROUND(N(N39)*100,0)+ROUND(N(Q39)*100,0))-(ROUND(N(O39)*100,0)+ROUND(N(P39)*100,0))),0)-(ROUND(N(T39)*100,0)))&lt;=0,"OK","ABWEICHUNG"))</f>
        <v/>
      </c>
      <c r="AA39" s="44" t="n"/>
      <c r="AB39" s="44" t="n"/>
      <c r="AC39" s="44" t="n"/>
      <c r="AD39" s="44" t="n"/>
      <c r="AE39" s="85" t="n"/>
      <c r="AF39" s="85" t="n"/>
      <c r="AG39" s="44" t="n"/>
      <c r="AH39" s="44" t="n"/>
    </row>
    <row r="40">
      <c r="A40" s="44" t="n"/>
      <c r="B40" s="44" t="n"/>
      <c r="C40" s="44" t="n"/>
      <c r="D40" s="44" t="n"/>
      <c r="E40" s="44" t="n"/>
      <c r="F40" s="44" t="n"/>
      <c r="G40" s="45" t="n"/>
      <c r="H40" s="44" t="n"/>
      <c r="I40" s="45" t="n"/>
      <c r="J40" s="44" t="n"/>
      <c r="K40" s="85" t="n"/>
      <c r="L40" s="85" t="n"/>
      <c r="M40" s="85" t="n"/>
      <c r="N40" s="85" t="n"/>
      <c r="O40" s="85" t="n"/>
      <c r="P40" s="85" t="n"/>
      <c r="Q40" s="85" t="n"/>
      <c r="R40" s="85" t="n"/>
      <c r="S40" s="85" t="n"/>
      <c r="T40" s="85" t="n"/>
      <c r="U40" s="85" t="n"/>
      <c r="V40" s="44" t="n"/>
      <c r="W40" s="50">
        <f>IF(OR(M40="",Q40="",S40=""),"",IF(ABS(ROUND(((ROUND(N(M40)*100,0))-(ROUND(N(Q40)*100,0))),0)-(ROUND(N(S40)*100,0)))&lt;=0,"OK","ABWEICHUNG"))</f>
        <v/>
      </c>
      <c r="X40" s="50">
        <f>IF(OR(K40="",M40="",N40=""),"",IF(ABS(ROUND(((ROUND(N(K40)*100,0)+ROUND(N(L40)*100,0))-(ROUND(N(M40)*100,0))),0)-(ROUND(N(N40)*100,0)))&lt;=0,"OK",IF(OR(L40=""),"UNVOLLSTÄNDIG","ABWEICHUNG")))</f>
        <v/>
      </c>
      <c r="Y40" s="50">
        <f>IF(OR(K40="",O40="",R40=""),"",IF(ABS(ROUND(((ROUND(N(K40)*100,0))-(ROUND(N(O40)*100,0))),0)-(ROUND(N(R40)*100,0)))&lt;=0,"OK","ABWEICHUNG"))</f>
        <v/>
      </c>
      <c r="Z40" s="50">
        <f>IF(OR(N40="",O40="",P40="",Q40="",T40=""),"",IF(ABS(ROUND(((ROUND(N(N40)*100,0)+ROUND(N(Q40)*100,0))-(ROUND(N(O40)*100,0)+ROUND(N(P40)*100,0))),0)-(ROUND(N(T40)*100,0)))&lt;=0,"OK","ABWEICHUNG"))</f>
        <v/>
      </c>
      <c r="AA40" s="44" t="n"/>
      <c r="AB40" s="44" t="n"/>
      <c r="AC40" s="44" t="n"/>
      <c r="AD40" s="44" t="n"/>
      <c r="AE40" s="85" t="n"/>
      <c r="AF40" s="85" t="n"/>
      <c r="AG40" s="44" t="n"/>
      <c r="AH40" s="44" t="n"/>
    </row>
    <row r="41">
      <c r="A41" s="44" t="n"/>
      <c r="B41" s="44" t="n"/>
      <c r="C41" s="44" t="n"/>
      <c r="D41" s="44" t="n"/>
      <c r="E41" s="44" t="n"/>
      <c r="F41" s="44" t="n"/>
      <c r="G41" s="45" t="n"/>
      <c r="H41" s="44" t="n"/>
      <c r="I41" s="45" t="n"/>
      <c r="J41" s="44" t="n"/>
      <c r="K41" s="85" t="n"/>
      <c r="L41" s="85" t="n"/>
      <c r="M41" s="85" t="n"/>
      <c r="N41" s="85" t="n"/>
      <c r="O41" s="85" t="n"/>
      <c r="P41" s="85" t="n"/>
      <c r="Q41" s="85" t="n"/>
      <c r="R41" s="85" t="n"/>
      <c r="S41" s="85" t="n"/>
      <c r="T41" s="85" t="n"/>
      <c r="U41" s="85" t="n"/>
      <c r="V41" s="44" t="n"/>
      <c r="W41" s="50">
        <f>IF(OR(M41="",Q41="",S41=""),"",IF(ABS(ROUND(((ROUND(N(M41)*100,0))-(ROUND(N(Q41)*100,0))),0)-(ROUND(N(S41)*100,0)))&lt;=0,"OK","ABWEICHUNG"))</f>
        <v/>
      </c>
      <c r="X41" s="50">
        <f>IF(OR(K41="",M41="",N41=""),"",IF(ABS(ROUND(((ROUND(N(K41)*100,0)+ROUND(N(L41)*100,0))-(ROUND(N(M41)*100,0))),0)-(ROUND(N(N41)*100,0)))&lt;=0,"OK",IF(OR(L41=""),"UNVOLLSTÄNDIG","ABWEICHUNG")))</f>
        <v/>
      </c>
      <c r="Y41" s="50">
        <f>IF(OR(K41="",O41="",R41=""),"",IF(ABS(ROUND(((ROUND(N(K41)*100,0))-(ROUND(N(O41)*100,0))),0)-(ROUND(N(R41)*100,0)))&lt;=0,"OK","ABWEICHUNG"))</f>
        <v/>
      </c>
      <c r="Z41" s="50">
        <f>IF(OR(N41="",O41="",P41="",Q41="",T41=""),"",IF(ABS(ROUND(((ROUND(N(N41)*100,0)+ROUND(N(Q41)*100,0))-(ROUND(N(O41)*100,0)+ROUND(N(P41)*100,0))),0)-(ROUND(N(T41)*100,0)))&lt;=0,"OK","ABWEICHUNG"))</f>
        <v/>
      </c>
      <c r="AA41" s="44" t="n"/>
      <c r="AB41" s="44" t="n"/>
      <c r="AC41" s="44" t="n"/>
      <c r="AD41" s="44" t="n"/>
      <c r="AE41" s="85" t="n"/>
      <c r="AF41" s="85" t="n"/>
      <c r="AG41" s="44" t="n"/>
      <c r="AH41" s="44" t="n"/>
    </row>
    <row r="42">
      <c r="A42" s="44" t="n"/>
      <c r="B42" s="44" t="n"/>
      <c r="C42" s="44" t="n"/>
      <c r="D42" s="44" t="n"/>
      <c r="E42" s="44" t="n"/>
      <c r="F42" s="44" t="n"/>
      <c r="G42" s="45" t="n"/>
      <c r="H42" s="44" t="n"/>
      <c r="I42" s="45" t="n"/>
      <c r="J42" s="44" t="n"/>
      <c r="K42" s="85" t="n"/>
      <c r="L42" s="85" t="n"/>
      <c r="M42" s="85" t="n"/>
      <c r="N42" s="85" t="n"/>
      <c r="O42" s="85" t="n"/>
      <c r="P42" s="85" t="n"/>
      <c r="Q42" s="85" t="n"/>
      <c r="R42" s="85" t="n"/>
      <c r="S42" s="85" t="n"/>
      <c r="T42" s="85" t="n"/>
      <c r="U42" s="85" t="n"/>
      <c r="V42" s="44" t="n"/>
      <c r="W42" s="50">
        <f>IF(OR(M42="",Q42="",S42=""),"",IF(ABS(ROUND(((ROUND(N(M42)*100,0))-(ROUND(N(Q42)*100,0))),0)-(ROUND(N(S42)*100,0)))&lt;=0,"OK","ABWEICHUNG"))</f>
        <v/>
      </c>
      <c r="X42" s="50">
        <f>IF(OR(K42="",M42="",N42=""),"",IF(ABS(ROUND(((ROUND(N(K42)*100,0)+ROUND(N(L42)*100,0))-(ROUND(N(M42)*100,0))),0)-(ROUND(N(N42)*100,0)))&lt;=0,"OK",IF(OR(L42=""),"UNVOLLSTÄNDIG","ABWEICHUNG")))</f>
        <v/>
      </c>
      <c r="Y42" s="50">
        <f>IF(OR(K42="",O42="",R42=""),"",IF(ABS(ROUND(((ROUND(N(K42)*100,0))-(ROUND(N(O42)*100,0))),0)-(ROUND(N(R42)*100,0)))&lt;=0,"OK","ABWEICHUNG"))</f>
        <v/>
      </c>
      <c r="Z42" s="50">
        <f>IF(OR(N42="",O42="",P42="",Q42="",T42=""),"",IF(ABS(ROUND(((ROUND(N(N42)*100,0)+ROUND(N(Q42)*100,0))-(ROUND(N(O42)*100,0)+ROUND(N(P42)*100,0))),0)-(ROUND(N(T42)*100,0)))&lt;=0,"OK","ABWEICHUNG"))</f>
        <v/>
      </c>
      <c r="AA42" s="44" t="n"/>
      <c r="AB42" s="44" t="n"/>
      <c r="AC42" s="44" t="n"/>
      <c r="AD42" s="44" t="n"/>
      <c r="AE42" s="85" t="n"/>
      <c r="AF42" s="85" t="n"/>
      <c r="AG42" s="44" t="n"/>
      <c r="AH42" s="44" t="n"/>
    </row>
    <row r="43">
      <c r="A43" s="44" t="n"/>
      <c r="B43" s="44" t="n"/>
      <c r="C43" s="44" t="n"/>
      <c r="D43" s="44" t="n"/>
      <c r="E43" s="44" t="n"/>
      <c r="F43" s="44" t="n"/>
      <c r="G43" s="45" t="n"/>
      <c r="H43" s="44" t="n"/>
      <c r="I43" s="45" t="n"/>
      <c r="J43" s="44" t="n"/>
      <c r="K43" s="85" t="n"/>
      <c r="L43" s="85" t="n"/>
      <c r="M43" s="85" t="n"/>
      <c r="N43" s="85" t="n"/>
      <c r="O43" s="85" t="n"/>
      <c r="P43" s="85" t="n"/>
      <c r="Q43" s="85" t="n"/>
      <c r="R43" s="85" t="n"/>
      <c r="S43" s="85" t="n"/>
      <c r="T43" s="85" t="n"/>
      <c r="U43" s="85" t="n"/>
      <c r="V43" s="44" t="n"/>
      <c r="W43" s="50">
        <f>IF(OR(M43="",Q43="",S43=""),"",IF(ABS(ROUND(((ROUND(N(M43)*100,0))-(ROUND(N(Q43)*100,0))),0)-(ROUND(N(S43)*100,0)))&lt;=0,"OK","ABWEICHUNG"))</f>
        <v/>
      </c>
      <c r="X43" s="50">
        <f>IF(OR(K43="",M43="",N43=""),"",IF(ABS(ROUND(((ROUND(N(K43)*100,0)+ROUND(N(L43)*100,0))-(ROUND(N(M43)*100,0))),0)-(ROUND(N(N43)*100,0)))&lt;=0,"OK",IF(OR(L43=""),"UNVOLLSTÄNDIG","ABWEICHUNG")))</f>
        <v/>
      </c>
      <c r="Y43" s="50">
        <f>IF(OR(K43="",O43="",R43=""),"",IF(ABS(ROUND(((ROUND(N(K43)*100,0))-(ROUND(N(O43)*100,0))),0)-(ROUND(N(R43)*100,0)))&lt;=0,"OK","ABWEICHUNG"))</f>
        <v/>
      </c>
      <c r="Z43" s="50">
        <f>IF(OR(N43="",O43="",P43="",Q43="",T43=""),"",IF(ABS(ROUND(((ROUND(N(N43)*100,0)+ROUND(N(Q43)*100,0))-(ROUND(N(O43)*100,0)+ROUND(N(P43)*100,0))),0)-(ROUND(N(T43)*100,0)))&lt;=0,"OK","ABWEICHUNG"))</f>
        <v/>
      </c>
      <c r="AA43" s="44" t="n"/>
      <c r="AB43" s="44" t="n"/>
      <c r="AC43" s="44" t="n"/>
      <c r="AD43" s="44" t="n"/>
      <c r="AE43" s="85" t="n"/>
      <c r="AF43" s="85" t="n"/>
      <c r="AG43" s="44" t="n"/>
      <c r="AH43" s="44" t="n"/>
    </row>
    <row r="44">
      <c r="A44" s="44" t="n"/>
      <c r="B44" s="44" t="n"/>
      <c r="C44" s="44" t="n"/>
      <c r="D44" s="44" t="n"/>
      <c r="E44" s="44" t="n"/>
      <c r="F44" s="44" t="n"/>
      <c r="G44" s="45" t="n"/>
      <c r="H44" s="44" t="n"/>
      <c r="I44" s="45" t="n"/>
      <c r="J44" s="44" t="n"/>
      <c r="K44" s="85" t="n"/>
      <c r="L44" s="85" t="n"/>
      <c r="M44" s="85" t="n"/>
      <c r="N44" s="85" t="n"/>
      <c r="O44" s="85" t="n"/>
      <c r="P44" s="85" t="n"/>
      <c r="Q44" s="85" t="n"/>
      <c r="R44" s="85" t="n"/>
      <c r="S44" s="85" t="n"/>
      <c r="T44" s="85" t="n"/>
      <c r="U44" s="85" t="n"/>
      <c r="V44" s="44" t="n"/>
      <c r="W44" s="50">
        <f>IF(OR(M44="",Q44="",S44=""),"",IF(ABS(ROUND(((ROUND(N(M44)*100,0))-(ROUND(N(Q44)*100,0))),0)-(ROUND(N(S44)*100,0)))&lt;=0,"OK","ABWEICHUNG"))</f>
        <v/>
      </c>
      <c r="X44" s="50">
        <f>IF(OR(K44="",M44="",N44=""),"",IF(ABS(ROUND(((ROUND(N(K44)*100,0)+ROUND(N(L44)*100,0))-(ROUND(N(M44)*100,0))),0)-(ROUND(N(N44)*100,0)))&lt;=0,"OK",IF(OR(L44=""),"UNVOLLSTÄNDIG","ABWEICHUNG")))</f>
        <v/>
      </c>
      <c r="Y44" s="50">
        <f>IF(OR(K44="",O44="",R44=""),"",IF(ABS(ROUND(((ROUND(N(K44)*100,0))-(ROUND(N(O44)*100,0))),0)-(ROUND(N(R44)*100,0)))&lt;=0,"OK","ABWEICHUNG"))</f>
        <v/>
      </c>
      <c r="Z44" s="50">
        <f>IF(OR(N44="",O44="",P44="",Q44="",T44=""),"",IF(ABS(ROUND(((ROUND(N(N44)*100,0)+ROUND(N(Q44)*100,0))-(ROUND(N(O44)*100,0)+ROUND(N(P44)*100,0))),0)-(ROUND(N(T44)*100,0)))&lt;=0,"OK","ABWEICHUNG"))</f>
        <v/>
      </c>
      <c r="AA44" s="44" t="n"/>
      <c r="AB44" s="44" t="n"/>
      <c r="AC44" s="44" t="n"/>
      <c r="AD44" s="44" t="n"/>
      <c r="AE44" s="85" t="n"/>
      <c r="AF44" s="85" t="n"/>
      <c r="AG44" s="44" t="n"/>
      <c r="AH44" s="44" t="n"/>
    </row>
    <row r="45">
      <c r="A45" s="44" t="n"/>
      <c r="B45" s="44" t="n"/>
      <c r="C45" s="44" t="n"/>
      <c r="D45" s="44" t="n"/>
      <c r="E45" s="44" t="n"/>
      <c r="F45" s="44" t="n"/>
      <c r="G45" s="45" t="n"/>
      <c r="H45" s="44" t="n"/>
      <c r="I45" s="45" t="n"/>
      <c r="J45" s="44" t="n"/>
      <c r="K45" s="85" t="n"/>
      <c r="L45" s="85" t="n"/>
      <c r="M45" s="85" t="n"/>
      <c r="N45" s="85" t="n"/>
      <c r="O45" s="85" t="n"/>
      <c r="P45" s="85" t="n"/>
      <c r="Q45" s="85" t="n"/>
      <c r="R45" s="85" t="n"/>
      <c r="S45" s="85" t="n"/>
      <c r="T45" s="85" t="n"/>
      <c r="U45" s="85" t="n"/>
      <c r="V45" s="44" t="n"/>
      <c r="W45" s="50">
        <f>IF(OR(M45="",Q45="",S45=""),"",IF(ABS(ROUND(((ROUND(N(M45)*100,0))-(ROUND(N(Q45)*100,0))),0)-(ROUND(N(S45)*100,0)))&lt;=0,"OK","ABWEICHUNG"))</f>
        <v/>
      </c>
      <c r="X45" s="50">
        <f>IF(OR(K45="",M45="",N45=""),"",IF(ABS(ROUND(((ROUND(N(K45)*100,0)+ROUND(N(L45)*100,0))-(ROUND(N(M45)*100,0))),0)-(ROUND(N(N45)*100,0)))&lt;=0,"OK",IF(OR(L45=""),"UNVOLLSTÄNDIG","ABWEICHUNG")))</f>
        <v/>
      </c>
      <c r="Y45" s="50">
        <f>IF(OR(K45="",O45="",R45=""),"",IF(ABS(ROUND(((ROUND(N(K45)*100,0))-(ROUND(N(O45)*100,0))),0)-(ROUND(N(R45)*100,0)))&lt;=0,"OK","ABWEICHUNG"))</f>
        <v/>
      </c>
      <c r="Z45" s="50">
        <f>IF(OR(N45="",O45="",P45="",Q45="",T45=""),"",IF(ABS(ROUND(((ROUND(N(N45)*100,0)+ROUND(N(Q45)*100,0))-(ROUND(N(O45)*100,0)+ROUND(N(P45)*100,0))),0)-(ROUND(N(T45)*100,0)))&lt;=0,"OK","ABWEICHUNG"))</f>
        <v/>
      </c>
      <c r="AA45" s="44" t="n"/>
      <c r="AB45" s="44" t="n"/>
      <c r="AC45" s="44" t="n"/>
      <c r="AD45" s="44" t="n"/>
      <c r="AE45" s="85" t="n"/>
      <c r="AF45" s="85" t="n"/>
      <c r="AG45" s="44" t="n"/>
      <c r="AH45" s="44" t="n"/>
    </row>
    <row r="46">
      <c r="A46" s="44" t="n"/>
      <c r="B46" s="44" t="n"/>
      <c r="C46" s="44" t="n"/>
      <c r="D46" s="44" t="n"/>
      <c r="E46" s="44" t="n"/>
      <c r="F46" s="44" t="n"/>
      <c r="G46" s="45" t="n"/>
      <c r="H46" s="44" t="n"/>
      <c r="I46" s="45" t="n"/>
      <c r="J46" s="44" t="n"/>
      <c r="K46" s="85" t="n"/>
      <c r="L46" s="85" t="n"/>
      <c r="M46" s="85" t="n"/>
      <c r="N46" s="85" t="n"/>
      <c r="O46" s="85" t="n"/>
      <c r="P46" s="85" t="n"/>
      <c r="Q46" s="85" t="n"/>
      <c r="R46" s="85" t="n"/>
      <c r="S46" s="85" t="n"/>
      <c r="T46" s="85" t="n"/>
      <c r="U46" s="85" t="n"/>
      <c r="V46" s="44" t="n"/>
      <c r="W46" s="50">
        <f>IF(OR(M46="",Q46="",S46=""),"",IF(ABS(ROUND(((ROUND(N(M46)*100,0))-(ROUND(N(Q46)*100,0))),0)-(ROUND(N(S46)*100,0)))&lt;=0,"OK","ABWEICHUNG"))</f>
        <v/>
      </c>
      <c r="X46" s="50">
        <f>IF(OR(K46="",M46="",N46=""),"",IF(ABS(ROUND(((ROUND(N(K46)*100,0)+ROUND(N(L46)*100,0))-(ROUND(N(M46)*100,0))),0)-(ROUND(N(N46)*100,0)))&lt;=0,"OK",IF(OR(L46=""),"UNVOLLSTÄNDIG","ABWEICHUNG")))</f>
        <v/>
      </c>
      <c r="Y46" s="50">
        <f>IF(OR(K46="",O46="",R46=""),"",IF(ABS(ROUND(((ROUND(N(K46)*100,0))-(ROUND(N(O46)*100,0))),0)-(ROUND(N(R46)*100,0)))&lt;=0,"OK","ABWEICHUNG"))</f>
        <v/>
      </c>
      <c r="Z46" s="50">
        <f>IF(OR(N46="",O46="",P46="",Q46="",T46=""),"",IF(ABS(ROUND(((ROUND(N(N46)*100,0)+ROUND(N(Q46)*100,0))-(ROUND(N(O46)*100,0)+ROUND(N(P46)*100,0))),0)-(ROUND(N(T46)*100,0)))&lt;=0,"OK","ABWEICHUNG"))</f>
        <v/>
      </c>
      <c r="AA46" s="44" t="n"/>
      <c r="AB46" s="44" t="n"/>
      <c r="AC46" s="44" t="n"/>
      <c r="AD46" s="44" t="n"/>
      <c r="AE46" s="85" t="n"/>
      <c r="AF46" s="85" t="n"/>
      <c r="AG46" s="44" t="n"/>
      <c r="AH46" s="44" t="n"/>
    </row>
    <row r="47">
      <c r="A47" s="44" t="n"/>
      <c r="B47" s="44" t="n"/>
      <c r="C47" s="44" t="n"/>
      <c r="D47" s="44" t="n"/>
      <c r="E47" s="44" t="n"/>
      <c r="F47" s="44" t="n"/>
      <c r="G47" s="45" t="n"/>
      <c r="H47" s="44" t="n"/>
      <c r="I47" s="45" t="n"/>
      <c r="J47" s="44" t="n"/>
      <c r="K47" s="85" t="n"/>
      <c r="L47" s="85" t="n"/>
      <c r="M47" s="85" t="n"/>
      <c r="N47" s="85" t="n"/>
      <c r="O47" s="85" t="n"/>
      <c r="P47" s="85" t="n"/>
      <c r="Q47" s="85" t="n"/>
      <c r="R47" s="85" t="n"/>
      <c r="S47" s="85" t="n"/>
      <c r="T47" s="85" t="n"/>
      <c r="U47" s="85" t="n"/>
      <c r="V47" s="44" t="n"/>
      <c r="W47" s="50">
        <f>IF(OR(M47="",Q47="",S47=""),"",IF(ABS(ROUND(((ROUND(N(M47)*100,0))-(ROUND(N(Q47)*100,0))),0)-(ROUND(N(S47)*100,0)))&lt;=0,"OK","ABWEICHUNG"))</f>
        <v/>
      </c>
      <c r="X47" s="50">
        <f>IF(OR(K47="",M47="",N47=""),"",IF(ABS(ROUND(((ROUND(N(K47)*100,0)+ROUND(N(L47)*100,0))-(ROUND(N(M47)*100,0))),0)-(ROUND(N(N47)*100,0)))&lt;=0,"OK",IF(OR(L47=""),"UNVOLLSTÄNDIG","ABWEICHUNG")))</f>
        <v/>
      </c>
      <c r="Y47" s="50">
        <f>IF(OR(K47="",O47="",R47=""),"",IF(ABS(ROUND(((ROUND(N(K47)*100,0))-(ROUND(N(O47)*100,0))),0)-(ROUND(N(R47)*100,0)))&lt;=0,"OK","ABWEICHUNG"))</f>
        <v/>
      </c>
      <c r="Z47" s="50">
        <f>IF(OR(N47="",O47="",P47="",Q47="",T47=""),"",IF(ABS(ROUND(((ROUND(N(N47)*100,0)+ROUND(N(Q47)*100,0))-(ROUND(N(O47)*100,0)+ROUND(N(P47)*100,0))),0)-(ROUND(N(T47)*100,0)))&lt;=0,"OK","ABWEICHUNG"))</f>
        <v/>
      </c>
      <c r="AA47" s="44" t="n"/>
      <c r="AB47" s="44" t="n"/>
      <c r="AC47" s="44" t="n"/>
      <c r="AD47" s="44" t="n"/>
      <c r="AE47" s="85" t="n"/>
      <c r="AF47" s="85" t="n"/>
      <c r="AG47" s="44" t="n"/>
      <c r="AH47" s="44" t="n"/>
    </row>
    <row r="48">
      <c r="A48" s="44" t="n"/>
      <c r="B48" s="44" t="n"/>
      <c r="C48" s="44" t="n"/>
      <c r="D48" s="44" t="n"/>
      <c r="E48" s="44" t="n"/>
      <c r="F48" s="44" t="n"/>
      <c r="G48" s="45" t="n"/>
      <c r="H48" s="44" t="n"/>
      <c r="I48" s="45" t="n"/>
      <c r="J48" s="44" t="n"/>
      <c r="K48" s="85" t="n"/>
      <c r="L48" s="85" t="n"/>
      <c r="M48" s="85" t="n"/>
      <c r="N48" s="85" t="n"/>
      <c r="O48" s="85" t="n"/>
      <c r="P48" s="85" t="n"/>
      <c r="Q48" s="85" t="n"/>
      <c r="R48" s="85" t="n"/>
      <c r="S48" s="85" t="n"/>
      <c r="T48" s="85" t="n"/>
      <c r="U48" s="85" t="n"/>
      <c r="V48" s="44" t="n"/>
      <c r="W48" s="50">
        <f>IF(OR(M48="",Q48="",S48=""),"",IF(ABS(ROUND(((ROUND(N(M48)*100,0))-(ROUND(N(Q48)*100,0))),0)-(ROUND(N(S48)*100,0)))&lt;=0,"OK","ABWEICHUNG"))</f>
        <v/>
      </c>
      <c r="X48" s="50">
        <f>IF(OR(K48="",M48="",N48=""),"",IF(ABS(ROUND(((ROUND(N(K48)*100,0)+ROUND(N(L48)*100,0))-(ROUND(N(M48)*100,0))),0)-(ROUND(N(N48)*100,0)))&lt;=0,"OK",IF(OR(L48=""),"UNVOLLSTÄNDIG","ABWEICHUNG")))</f>
        <v/>
      </c>
      <c r="Y48" s="50">
        <f>IF(OR(K48="",O48="",R48=""),"",IF(ABS(ROUND(((ROUND(N(K48)*100,0))-(ROUND(N(O48)*100,0))),0)-(ROUND(N(R48)*100,0)))&lt;=0,"OK","ABWEICHUNG"))</f>
        <v/>
      </c>
      <c r="Z48" s="50">
        <f>IF(OR(N48="",O48="",P48="",Q48="",T48=""),"",IF(ABS(ROUND(((ROUND(N(N48)*100,0)+ROUND(N(Q48)*100,0))-(ROUND(N(O48)*100,0)+ROUND(N(P48)*100,0))),0)-(ROUND(N(T48)*100,0)))&lt;=0,"OK","ABWEICHUNG"))</f>
        <v/>
      </c>
      <c r="AA48" s="44" t="n"/>
      <c r="AB48" s="44" t="n"/>
      <c r="AC48" s="44" t="n"/>
      <c r="AD48" s="44" t="n"/>
      <c r="AE48" s="85" t="n"/>
      <c r="AF48" s="85" t="n"/>
      <c r="AG48" s="44" t="n"/>
      <c r="AH48" s="44" t="n"/>
    </row>
    <row r="49">
      <c r="A49" s="44" t="n"/>
      <c r="B49" s="44" t="n"/>
      <c r="C49" s="44" t="n"/>
      <c r="D49" s="44" t="n"/>
      <c r="E49" s="44" t="n"/>
      <c r="F49" s="44" t="n"/>
      <c r="G49" s="45" t="n"/>
      <c r="H49" s="44" t="n"/>
      <c r="I49" s="45" t="n"/>
      <c r="J49" s="44" t="n"/>
      <c r="K49" s="85" t="n"/>
      <c r="L49" s="85" t="n"/>
      <c r="M49" s="85" t="n"/>
      <c r="N49" s="85" t="n"/>
      <c r="O49" s="85" t="n"/>
      <c r="P49" s="85" t="n"/>
      <c r="Q49" s="85" t="n"/>
      <c r="R49" s="85" t="n"/>
      <c r="S49" s="85" t="n"/>
      <c r="T49" s="85" t="n"/>
      <c r="U49" s="85" t="n"/>
      <c r="V49" s="44" t="n"/>
      <c r="W49" s="50">
        <f>IF(OR(M49="",Q49="",S49=""),"",IF(ABS(ROUND(((ROUND(N(M49)*100,0))-(ROUND(N(Q49)*100,0))),0)-(ROUND(N(S49)*100,0)))&lt;=0,"OK","ABWEICHUNG"))</f>
        <v/>
      </c>
      <c r="X49" s="50">
        <f>IF(OR(K49="",M49="",N49=""),"",IF(ABS(ROUND(((ROUND(N(K49)*100,0)+ROUND(N(L49)*100,0))-(ROUND(N(M49)*100,0))),0)-(ROUND(N(N49)*100,0)))&lt;=0,"OK",IF(OR(L49=""),"UNVOLLSTÄNDIG","ABWEICHUNG")))</f>
        <v/>
      </c>
      <c r="Y49" s="50">
        <f>IF(OR(K49="",O49="",R49=""),"",IF(ABS(ROUND(((ROUND(N(K49)*100,0))-(ROUND(N(O49)*100,0))),0)-(ROUND(N(R49)*100,0)))&lt;=0,"OK","ABWEICHUNG"))</f>
        <v/>
      </c>
      <c r="Z49" s="50">
        <f>IF(OR(N49="",O49="",P49="",Q49="",T49=""),"",IF(ABS(ROUND(((ROUND(N(N49)*100,0)+ROUND(N(Q49)*100,0))-(ROUND(N(O49)*100,0)+ROUND(N(P49)*100,0))),0)-(ROUND(N(T49)*100,0)))&lt;=0,"OK","ABWEICHUNG"))</f>
        <v/>
      </c>
      <c r="AA49" s="44" t="n"/>
      <c r="AB49" s="44" t="n"/>
      <c r="AC49" s="44" t="n"/>
      <c r="AD49" s="44" t="n"/>
      <c r="AE49" s="85" t="n"/>
      <c r="AF49" s="85" t="n"/>
      <c r="AG49" s="44" t="n"/>
      <c r="AH49" s="44" t="n"/>
    </row>
    <row r="50">
      <c r="A50" s="44" t="n"/>
      <c r="B50" s="44" t="n"/>
      <c r="C50" s="44" t="n"/>
      <c r="D50" s="44" t="n"/>
      <c r="E50" s="44" t="n"/>
      <c r="F50" s="44" t="n"/>
      <c r="G50" s="45" t="n"/>
      <c r="H50" s="44" t="n"/>
      <c r="I50" s="45" t="n"/>
      <c r="J50" s="44" t="n"/>
      <c r="K50" s="85" t="n"/>
      <c r="L50" s="85" t="n"/>
      <c r="M50" s="85" t="n"/>
      <c r="N50" s="85" t="n"/>
      <c r="O50" s="85" t="n"/>
      <c r="P50" s="85" t="n"/>
      <c r="Q50" s="85" t="n"/>
      <c r="R50" s="85" t="n"/>
      <c r="S50" s="85" t="n"/>
      <c r="T50" s="85" t="n"/>
      <c r="U50" s="85" t="n"/>
      <c r="V50" s="44" t="n"/>
      <c r="W50" s="50">
        <f>IF(OR(M50="",Q50="",S50=""),"",IF(ABS(ROUND(((ROUND(N(M50)*100,0))-(ROUND(N(Q50)*100,0))),0)-(ROUND(N(S50)*100,0)))&lt;=0,"OK","ABWEICHUNG"))</f>
        <v/>
      </c>
      <c r="X50" s="50">
        <f>IF(OR(K50="",M50="",N50=""),"",IF(ABS(ROUND(((ROUND(N(K50)*100,0)+ROUND(N(L50)*100,0))-(ROUND(N(M50)*100,0))),0)-(ROUND(N(N50)*100,0)))&lt;=0,"OK",IF(OR(L50=""),"UNVOLLSTÄNDIG","ABWEICHUNG")))</f>
        <v/>
      </c>
      <c r="Y50" s="50">
        <f>IF(OR(K50="",O50="",R50=""),"",IF(ABS(ROUND(((ROUND(N(K50)*100,0))-(ROUND(N(O50)*100,0))),0)-(ROUND(N(R50)*100,0)))&lt;=0,"OK","ABWEICHUNG"))</f>
        <v/>
      </c>
      <c r="Z50" s="50">
        <f>IF(OR(N50="",O50="",P50="",Q50="",T50=""),"",IF(ABS(ROUND(((ROUND(N(N50)*100,0)+ROUND(N(Q50)*100,0))-(ROUND(N(O50)*100,0)+ROUND(N(P50)*100,0))),0)-(ROUND(N(T50)*100,0)))&lt;=0,"OK","ABWEICHUNG"))</f>
        <v/>
      </c>
      <c r="AA50" s="44" t="n"/>
      <c r="AB50" s="44" t="n"/>
      <c r="AC50" s="44" t="n"/>
      <c r="AD50" s="44" t="n"/>
      <c r="AE50" s="85" t="n"/>
      <c r="AF50" s="85" t="n"/>
      <c r="AG50" s="44" t="n"/>
      <c r="AH50" s="44" t="n"/>
    </row>
    <row r="51">
      <c r="A51" s="44" t="n"/>
      <c r="B51" s="44" t="n"/>
      <c r="C51" s="44" t="n"/>
      <c r="D51" s="44" t="n"/>
      <c r="E51" s="44" t="n"/>
      <c r="F51" s="44" t="n"/>
      <c r="G51" s="45" t="n"/>
      <c r="H51" s="44" t="n"/>
      <c r="I51" s="45" t="n"/>
      <c r="J51" s="44" t="n"/>
      <c r="K51" s="85" t="n"/>
      <c r="L51" s="85" t="n"/>
      <c r="M51" s="85" t="n"/>
      <c r="N51" s="85" t="n"/>
      <c r="O51" s="85" t="n"/>
      <c r="P51" s="85" t="n"/>
      <c r="Q51" s="85" t="n"/>
      <c r="R51" s="85" t="n"/>
      <c r="S51" s="85" t="n"/>
      <c r="T51" s="85" t="n"/>
      <c r="U51" s="85" t="n"/>
      <c r="V51" s="44" t="n"/>
      <c r="W51" s="50">
        <f>IF(OR(M51="",Q51="",S51=""),"",IF(ABS(ROUND(((ROUND(N(M51)*100,0))-(ROUND(N(Q51)*100,0))),0)-(ROUND(N(S51)*100,0)))&lt;=0,"OK","ABWEICHUNG"))</f>
        <v/>
      </c>
      <c r="X51" s="50">
        <f>IF(OR(K51="",M51="",N51=""),"",IF(ABS(ROUND(((ROUND(N(K51)*100,0)+ROUND(N(L51)*100,0))-(ROUND(N(M51)*100,0))),0)-(ROUND(N(N51)*100,0)))&lt;=0,"OK",IF(OR(L51=""),"UNVOLLSTÄNDIG","ABWEICHUNG")))</f>
        <v/>
      </c>
      <c r="Y51" s="50">
        <f>IF(OR(K51="",O51="",R51=""),"",IF(ABS(ROUND(((ROUND(N(K51)*100,0))-(ROUND(N(O51)*100,0))),0)-(ROUND(N(R51)*100,0)))&lt;=0,"OK","ABWEICHUNG"))</f>
        <v/>
      </c>
      <c r="Z51" s="50">
        <f>IF(OR(N51="",O51="",P51="",Q51="",T51=""),"",IF(ABS(ROUND(((ROUND(N(N51)*100,0)+ROUND(N(Q51)*100,0))-(ROUND(N(O51)*100,0)+ROUND(N(P51)*100,0))),0)-(ROUND(N(T51)*100,0)))&lt;=0,"OK","ABWEICHUNG"))</f>
        <v/>
      </c>
      <c r="AA51" s="44" t="n"/>
      <c r="AB51" s="44" t="n"/>
      <c r="AC51" s="44" t="n"/>
      <c r="AD51" s="44" t="n"/>
      <c r="AE51" s="85" t="n"/>
      <c r="AF51" s="85" t="n"/>
      <c r="AG51" s="44" t="n"/>
      <c r="AH51" s="44" t="n"/>
    </row>
    <row r="52">
      <c r="A52" s="44" t="n"/>
      <c r="B52" s="44" t="n"/>
      <c r="C52" s="44" t="n"/>
      <c r="D52" s="44" t="n"/>
      <c r="E52" s="44" t="n"/>
      <c r="F52" s="44" t="n"/>
      <c r="G52" s="45" t="n"/>
      <c r="H52" s="44" t="n"/>
      <c r="I52" s="45" t="n"/>
      <c r="J52" s="44" t="n"/>
      <c r="K52" s="85" t="n"/>
      <c r="L52" s="85" t="n"/>
      <c r="M52" s="85" t="n"/>
      <c r="N52" s="85" t="n"/>
      <c r="O52" s="85" t="n"/>
      <c r="P52" s="85" t="n"/>
      <c r="Q52" s="85" t="n"/>
      <c r="R52" s="85" t="n"/>
      <c r="S52" s="85" t="n"/>
      <c r="T52" s="85" t="n"/>
      <c r="U52" s="85" t="n"/>
      <c r="V52" s="44" t="n"/>
      <c r="W52" s="50">
        <f>IF(OR(M52="",Q52="",S52=""),"",IF(ABS(ROUND(((ROUND(N(M52)*100,0))-(ROUND(N(Q52)*100,0))),0)-(ROUND(N(S52)*100,0)))&lt;=0,"OK","ABWEICHUNG"))</f>
        <v/>
      </c>
      <c r="X52" s="50">
        <f>IF(OR(K52="",M52="",N52=""),"",IF(ABS(ROUND(((ROUND(N(K52)*100,0)+ROUND(N(L52)*100,0))-(ROUND(N(M52)*100,0))),0)-(ROUND(N(N52)*100,0)))&lt;=0,"OK",IF(OR(L52=""),"UNVOLLSTÄNDIG","ABWEICHUNG")))</f>
        <v/>
      </c>
      <c r="Y52" s="50">
        <f>IF(OR(K52="",O52="",R52=""),"",IF(ABS(ROUND(((ROUND(N(K52)*100,0))-(ROUND(N(O52)*100,0))),0)-(ROUND(N(R52)*100,0)))&lt;=0,"OK","ABWEICHUNG"))</f>
        <v/>
      </c>
      <c r="Z52" s="50">
        <f>IF(OR(N52="",O52="",P52="",Q52="",T52=""),"",IF(ABS(ROUND(((ROUND(N(N52)*100,0)+ROUND(N(Q52)*100,0))-(ROUND(N(O52)*100,0)+ROUND(N(P52)*100,0))),0)-(ROUND(N(T52)*100,0)))&lt;=0,"OK","ABWEICHUNG"))</f>
        <v/>
      </c>
      <c r="AA52" s="44" t="n"/>
      <c r="AB52" s="44" t="n"/>
      <c r="AC52" s="44" t="n"/>
      <c r="AD52" s="44" t="n"/>
      <c r="AE52" s="85" t="n"/>
      <c r="AF52" s="85" t="n"/>
      <c r="AG52" s="44" t="n"/>
      <c r="AH52" s="44" t="n"/>
    </row>
    <row r="53">
      <c r="A53" s="44" t="n"/>
      <c r="B53" s="44" t="n"/>
      <c r="C53" s="44" t="n"/>
      <c r="D53" s="44" t="n"/>
      <c r="E53" s="44" t="n"/>
      <c r="F53" s="44" t="n"/>
      <c r="G53" s="45" t="n"/>
      <c r="H53" s="44" t="n"/>
      <c r="I53" s="45" t="n"/>
      <c r="J53" s="44" t="n"/>
      <c r="K53" s="85" t="n"/>
      <c r="L53" s="85" t="n"/>
      <c r="M53" s="85" t="n"/>
      <c r="N53" s="85" t="n"/>
      <c r="O53" s="85" t="n"/>
      <c r="P53" s="85" t="n"/>
      <c r="Q53" s="85" t="n"/>
      <c r="R53" s="85" t="n"/>
      <c r="S53" s="85" t="n"/>
      <c r="T53" s="85" t="n"/>
      <c r="U53" s="85" t="n"/>
      <c r="V53" s="44" t="n"/>
      <c r="W53" s="50">
        <f>IF(OR(M53="",Q53="",S53=""),"",IF(ABS(ROUND(((ROUND(N(M53)*100,0))-(ROUND(N(Q53)*100,0))),0)-(ROUND(N(S53)*100,0)))&lt;=0,"OK","ABWEICHUNG"))</f>
        <v/>
      </c>
      <c r="X53" s="50">
        <f>IF(OR(K53="",M53="",N53=""),"",IF(ABS(ROUND(((ROUND(N(K53)*100,0)+ROUND(N(L53)*100,0))-(ROUND(N(M53)*100,0))),0)-(ROUND(N(N53)*100,0)))&lt;=0,"OK",IF(OR(L53=""),"UNVOLLSTÄNDIG","ABWEICHUNG")))</f>
        <v/>
      </c>
      <c r="Y53" s="50">
        <f>IF(OR(K53="",O53="",R53=""),"",IF(ABS(ROUND(((ROUND(N(K53)*100,0))-(ROUND(N(O53)*100,0))),0)-(ROUND(N(R53)*100,0)))&lt;=0,"OK","ABWEICHUNG"))</f>
        <v/>
      </c>
      <c r="Z53" s="50">
        <f>IF(OR(N53="",O53="",P53="",Q53="",T53=""),"",IF(ABS(ROUND(((ROUND(N(N53)*100,0)+ROUND(N(Q53)*100,0))-(ROUND(N(O53)*100,0)+ROUND(N(P53)*100,0))),0)-(ROUND(N(T53)*100,0)))&lt;=0,"OK","ABWEICHUNG"))</f>
        <v/>
      </c>
      <c r="AA53" s="44" t="n"/>
      <c r="AB53" s="44" t="n"/>
      <c r="AC53" s="44" t="n"/>
      <c r="AD53" s="44" t="n"/>
      <c r="AE53" s="85" t="n"/>
      <c r="AF53" s="85" t="n"/>
      <c r="AG53" s="44" t="n"/>
      <c r="AH53" s="44" t="n"/>
    </row>
    <row r="54">
      <c r="A54" s="44" t="n"/>
      <c r="B54" s="44" t="n"/>
      <c r="C54" s="44" t="n"/>
      <c r="D54" s="44" t="n"/>
      <c r="E54" s="44" t="n"/>
      <c r="F54" s="44" t="n"/>
      <c r="G54" s="45" t="n"/>
      <c r="H54" s="44" t="n"/>
      <c r="I54" s="45" t="n"/>
      <c r="J54" s="44" t="n"/>
      <c r="K54" s="85" t="n"/>
      <c r="L54" s="85" t="n"/>
      <c r="M54" s="85" t="n"/>
      <c r="N54" s="85" t="n"/>
      <c r="O54" s="85" t="n"/>
      <c r="P54" s="85" t="n"/>
      <c r="Q54" s="85" t="n"/>
      <c r="R54" s="85" t="n"/>
      <c r="S54" s="85" t="n"/>
      <c r="T54" s="85" t="n"/>
      <c r="U54" s="85" t="n"/>
      <c r="V54" s="44" t="n"/>
      <c r="W54" s="50">
        <f>IF(OR(M54="",Q54="",S54=""),"",IF(ABS(ROUND(((ROUND(N(M54)*100,0))-(ROUND(N(Q54)*100,0))),0)-(ROUND(N(S54)*100,0)))&lt;=0,"OK","ABWEICHUNG"))</f>
        <v/>
      </c>
      <c r="X54" s="50">
        <f>IF(OR(K54="",M54="",N54=""),"",IF(ABS(ROUND(((ROUND(N(K54)*100,0)+ROUND(N(L54)*100,0))-(ROUND(N(M54)*100,0))),0)-(ROUND(N(N54)*100,0)))&lt;=0,"OK",IF(OR(L54=""),"UNVOLLSTÄNDIG","ABWEICHUNG")))</f>
        <v/>
      </c>
      <c r="Y54" s="50">
        <f>IF(OR(K54="",O54="",R54=""),"",IF(ABS(ROUND(((ROUND(N(K54)*100,0))-(ROUND(N(O54)*100,0))),0)-(ROUND(N(R54)*100,0)))&lt;=0,"OK","ABWEICHUNG"))</f>
        <v/>
      </c>
      <c r="Z54" s="50">
        <f>IF(OR(N54="",O54="",P54="",Q54="",T54=""),"",IF(ABS(ROUND(((ROUND(N(N54)*100,0)+ROUND(N(Q54)*100,0))-(ROUND(N(O54)*100,0)+ROUND(N(P54)*100,0))),0)-(ROUND(N(T54)*100,0)))&lt;=0,"OK","ABWEICHUNG"))</f>
        <v/>
      </c>
      <c r="AA54" s="44" t="n"/>
      <c r="AB54" s="44" t="n"/>
      <c r="AC54" s="44" t="n"/>
      <c r="AD54" s="44" t="n"/>
      <c r="AE54" s="85" t="n"/>
      <c r="AF54" s="85" t="n"/>
      <c r="AG54" s="44" t="n"/>
      <c r="AH54" s="44" t="n"/>
    </row>
    <row r="55">
      <c r="A55" s="44" t="n"/>
      <c r="B55" s="44" t="n"/>
      <c r="C55" s="44" t="n"/>
      <c r="D55" s="44" t="n"/>
      <c r="E55" s="44" t="n"/>
      <c r="F55" s="44" t="n"/>
      <c r="G55" s="45" t="n"/>
      <c r="H55" s="44" t="n"/>
      <c r="I55" s="45" t="n"/>
      <c r="J55" s="44" t="n"/>
      <c r="K55" s="85" t="n"/>
      <c r="L55" s="85" t="n"/>
      <c r="M55" s="85" t="n"/>
      <c r="N55" s="85" t="n"/>
      <c r="O55" s="85" t="n"/>
      <c r="P55" s="85" t="n"/>
      <c r="Q55" s="85" t="n"/>
      <c r="R55" s="85" t="n"/>
      <c r="S55" s="85" t="n"/>
      <c r="T55" s="85" t="n"/>
      <c r="U55" s="85" t="n"/>
      <c r="V55" s="44" t="n"/>
      <c r="W55" s="50">
        <f>IF(OR(M55="",Q55="",S55=""),"",IF(ABS(ROUND(((ROUND(N(M55)*100,0))-(ROUND(N(Q55)*100,0))),0)-(ROUND(N(S55)*100,0)))&lt;=0,"OK","ABWEICHUNG"))</f>
        <v/>
      </c>
      <c r="X55" s="50">
        <f>IF(OR(K55="",M55="",N55=""),"",IF(ABS(ROUND(((ROUND(N(K55)*100,0)+ROUND(N(L55)*100,0))-(ROUND(N(M55)*100,0))),0)-(ROUND(N(N55)*100,0)))&lt;=0,"OK",IF(OR(L55=""),"UNVOLLSTÄNDIG","ABWEICHUNG")))</f>
        <v/>
      </c>
      <c r="Y55" s="50">
        <f>IF(OR(K55="",O55="",R55=""),"",IF(ABS(ROUND(((ROUND(N(K55)*100,0))-(ROUND(N(O55)*100,0))),0)-(ROUND(N(R55)*100,0)))&lt;=0,"OK","ABWEICHUNG"))</f>
        <v/>
      </c>
      <c r="Z55" s="50">
        <f>IF(OR(N55="",O55="",P55="",Q55="",T55=""),"",IF(ABS(ROUND(((ROUND(N(N55)*100,0)+ROUND(N(Q55)*100,0))-(ROUND(N(O55)*100,0)+ROUND(N(P55)*100,0))),0)-(ROUND(N(T55)*100,0)))&lt;=0,"OK","ABWEICHUNG"))</f>
        <v/>
      </c>
      <c r="AA55" s="44" t="n"/>
      <c r="AB55" s="44" t="n"/>
      <c r="AC55" s="44" t="n"/>
      <c r="AD55" s="44" t="n"/>
      <c r="AE55" s="85" t="n"/>
      <c r="AF55" s="85" t="n"/>
      <c r="AG55" s="44" t="n"/>
      <c r="AH55" s="44" t="n"/>
    </row>
    <row r="56">
      <c r="A56" s="44" t="n"/>
      <c r="B56" s="44" t="n"/>
      <c r="C56" s="44" t="n"/>
      <c r="D56" s="44" t="n"/>
      <c r="E56" s="44" t="n"/>
      <c r="F56" s="44" t="n"/>
      <c r="G56" s="45" t="n"/>
      <c r="H56" s="44" t="n"/>
      <c r="I56" s="45" t="n"/>
      <c r="J56" s="44" t="n"/>
      <c r="K56" s="85" t="n"/>
      <c r="L56" s="85" t="n"/>
      <c r="M56" s="85" t="n"/>
      <c r="N56" s="85" t="n"/>
      <c r="O56" s="85" t="n"/>
      <c r="P56" s="85" t="n"/>
      <c r="Q56" s="85" t="n"/>
      <c r="R56" s="85" t="n"/>
      <c r="S56" s="85" t="n"/>
      <c r="T56" s="85" t="n"/>
      <c r="U56" s="85" t="n"/>
      <c r="V56" s="44" t="n"/>
      <c r="W56" s="50">
        <f>IF(OR(M56="",Q56="",S56=""),"",IF(ABS(ROUND(((ROUND(N(M56)*100,0))-(ROUND(N(Q56)*100,0))),0)-(ROUND(N(S56)*100,0)))&lt;=0,"OK","ABWEICHUNG"))</f>
        <v/>
      </c>
      <c r="X56" s="50">
        <f>IF(OR(K56="",M56="",N56=""),"",IF(ABS(ROUND(((ROUND(N(K56)*100,0)+ROUND(N(L56)*100,0))-(ROUND(N(M56)*100,0))),0)-(ROUND(N(N56)*100,0)))&lt;=0,"OK",IF(OR(L56=""),"UNVOLLSTÄNDIG","ABWEICHUNG")))</f>
        <v/>
      </c>
      <c r="Y56" s="50">
        <f>IF(OR(K56="",O56="",R56=""),"",IF(ABS(ROUND(((ROUND(N(K56)*100,0))-(ROUND(N(O56)*100,0))),0)-(ROUND(N(R56)*100,0)))&lt;=0,"OK","ABWEICHUNG"))</f>
        <v/>
      </c>
      <c r="Z56" s="50">
        <f>IF(OR(N56="",O56="",P56="",Q56="",T56=""),"",IF(ABS(ROUND(((ROUND(N(N56)*100,0)+ROUND(N(Q56)*100,0))-(ROUND(N(O56)*100,0)+ROUND(N(P56)*100,0))),0)-(ROUND(N(T56)*100,0)))&lt;=0,"OK","ABWEICHUNG"))</f>
        <v/>
      </c>
      <c r="AA56" s="44" t="n"/>
      <c r="AB56" s="44" t="n"/>
      <c r="AC56" s="44" t="n"/>
      <c r="AD56" s="44" t="n"/>
      <c r="AE56" s="85" t="n"/>
      <c r="AF56" s="85" t="n"/>
      <c r="AG56" s="44" t="n"/>
      <c r="AH56" s="44" t="n"/>
    </row>
    <row r="57">
      <c r="A57" s="44" t="n"/>
      <c r="B57" s="44" t="n"/>
      <c r="C57" s="44" t="n"/>
      <c r="D57" s="44" t="n"/>
      <c r="E57" s="44" t="n"/>
      <c r="F57" s="44" t="n"/>
      <c r="G57" s="45" t="n"/>
      <c r="H57" s="44" t="n"/>
      <c r="I57" s="45" t="n"/>
      <c r="J57" s="44" t="n"/>
      <c r="K57" s="85" t="n"/>
      <c r="L57" s="85" t="n"/>
      <c r="M57" s="85" t="n"/>
      <c r="N57" s="85" t="n"/>
      <c r="O57" s="85" t="n"/>
      <c r="P57" s="85" t="n"/>
      <c r="Q57" s="85" t="n"/>
      <c r="R57" s="85" t="n"/>
      <c r="S57" s="85" t="n"/>
      <c r="T57" s="85" t="n"/>
      <c r="U57" s="85" t="n"/>
      <c r="V57" s="44" t="n"/>
      <c r="W57" s="50">
        <f>IF(OR(M57="",Q57="",S57=""),"",IF(ABS(ROUND(((ROUND(N(M57)*100,0))-(ROUND(N(Q57)*100,0))),0)-(ROUND(N(S57)*100,0)))&lt;=0,"OK","ABWEICHUNG"))</f>
        <v/>
      </c>
      <c r="X57" s="50">
        <f>IF(OR(K57="",M57="",N57=""),"",IF(ABS(ROUND(((ROUND(N(K57)*100,0)+ROUND(N(L57)*100,0))-(ROUND(N(M57)*100,0))),0)-(ROUND(N(N57)*100,0)))&lt;=0,"OK",IF(OR(L57=""),"UNVOLLSTÄNDIG","ABWEICHUNG")))</f>
        <v/>
      </c>
      <c r="Y57" s="50">
        <f>IF(OR(K57="",O57="",R57=""),"",IF(ABS(ROUND(((ROUND(N(K57)*100,0))-(ROUND(N(O57)*100,0))),0)-(ROUND(N(R57)*100,0)))&lt;=0,"OK","ABWEICHUNG"))</f>
        <v/>
      </c>
      <c r="Z57" s="50">
        <f>IF(OR(N57="",O57="",P57="",Q57="",T57=""),"",IF(ABS(ROUND(((ROUND(N(N57)*100,0)+ROUND(N(Q57)*100,0))-(ROUND(N(O57)*100,0)+ROUND(N(P57)*100,0))),0)-(ROUND(N(T57)*100,0)))&lt;=0,"OK","ABWEICHUNG"))</f>
        <v/>
      </c>
      <c r="AA57" s="44" t="n"/>
      <c r="AB57" s="44" t="n"/>
      <c r="AC57" s="44" t="n"/>
      <c r="AD57" s="44" t="n"/>
      <c r="AE57" s="85" t="n"/>
      <c r="AF57" s="85" t="n"/>
      <c r="AG57" s="44" t="n"/>
      <c r="AH57" s="44" t="n"/>
    </row>
    <row r="58">
      <c r="A58" s="44" t="n"/>
      <c r="B58" s="44" t="n"/>
      <c r="C58" s="44" t="n"/>
      <c r="D58" s="44" t="n"/>
      <c r="E58" s="44" t="n"/>
      <c r="F58" s="44" t="n"/>
      <c r="G58" s="45" t="n"/>
      <c r="H58" s="44" t="n"/>
      <c r="I58" s="45" t="n"/>
      <c r="J58" s="44" t="n"/>
      <c r="K58" s="85" t="n"/>
      <c r="L58" s="85" t="n"/>
      <c r="M58" s="85" t="n"/>
      <c r="N58" s="85" t="n"/>
      <c r="O58" s="85" t="n"/>
      <c r="P58" s="85" t="n"/>
      <c r="Q58" s="85" t="n"/>
      <c r="R58" s="85" t="n"/>
      <c r="S58" s="85" t="n"/>
      <c r="T58" s="85" t="n"/>
      <c r="U58" s="85" t="n"/>
      <c r="V58" s="44" t="n"/>
      <c r="W58" s="50">
        <f>IF(OR(M58="",Q58="",S58=""),"",IF(ABS(ROUND(((ROUND(N(M58)*100,0))-(ROUND(N(Q58)*100,0))),0)-(ROUND(N(S58)*100,0)))&lt;=0,"OK","ABWEICHUNG"))</f>
        <v/>
      </c>
      <c r="X58" s="50">
        <f>IF(OR(K58="",M58="",N58=""),"",IF(ABS(ROUND(((ROUND(N(K58)*100,0)+ROUND(N(L58)*100,0))-(ROUND(N(M58)*100,0))),0)-(ROUND(N(N58)*100,0)))&lt;=0,"OK",IF(OR(L58=""),"UNVOLLSTÄNDIG","ABWEICHUNG")))</f>
        <v/>
      </c>
      <c r="Y58" s="50">
        <f>IF(OR(K58="",O58="",R58=""),"",IF(ABS(ROUND(((ROUND(N(K58)*100,0))-(ROUND(N(O58)*100,0))),0)-(ROUND(N(R58)*100,0)))&lt;=0,"OK","ABWEICHUNG"))</f>
        <v/>
      </c>
      <c r="Z58" s="50">
        <f>IF(OR(N58="",O58="",P58="",Q58="",T58=""),"",IF(ABS(ROUND(((ROUND(N(N58)*100,0)+ROUND(N(Q58)*100,0))-(ROUND(N(O58)*100,0)+ROUND(N(P58)*100,0))),0)-(ROUND(N(T58)*100,0)))&lt;=0,"OK","ABWEICHUNG"))</f>
        <v/>
      </c>
      <c r="AA58" s="44" t="n"/>
      <c r="AB58" s="44" t="n"/>
      <c r="AC58" s="44" t="n"/>
      <c r="AD58" s="44" t="n"/>
      <c r="AE58" s="85" t="n"/>
      <c r="AF58" s="85" t="n"/>
      <c r="AG58" s="44" t="n"/>
      <c r="AH58" s="44" t="n"/>
    </row>
    <row r="59">
      <c r="A59" s="44" t="n"/>
      <c r="B59" s="44" t="n"/>
      <c r="C59" s="44" t="n"/>
      <c r="D59" s="44" t="n"/>
      <c r="E59" s="44" t="n"/>
      <c r="F59" s="44" t="n"/>
      <c r="G59" s="45" t="n"/>
      <c r="H59" s="44" t="n"/>
      <c r="I59" s="45" t="n"/>
      <c r="J59" s="44" t="n"/>
      <c r="K59" s="85" t="n"/>
      <c r="L59" s="85" t="n"/>
      <c r="M59" s="85" t="n"/>
      <c r="N59" s="85" t="n"/>
      <c r="O59" s="85" t="n"/>
      <c r="P59" s="85" t="n"/>
      <c r="Q59" s="85" t="n"/>
      <c r="R59" s="85" t="n"/>
      <c r="S59" s="85" t="n"/>
      <c r="T59" s="85" t="n"/>
      <c r="U59" s="85" t="n"/>
      <c r="V59" s="44" t="n"/>
      <c r="W59" s="50">
        <f>IF(OR(M59="",Q59="",S59=""),"",IF(ABS(ROUND(((ROUND(N(M59)*100,0))-(ROUND(N(Q59)*100,0))),0)-(ROUND(N(S59)*100,0)))&lt;=0,"OK","ABWEICHUNG"))</f>
        <v/>
      </c>
      <c r="X59" s="50">
        <f>IF(OR(K59="",M59="",N59=""),"",IF(ABS(ROUND(((ROUND(N(K59)*100,0)+ROUND(N(L59)*100,0))-(ROUND(N(M59)*100,0))),0)-(ROUND(N(N59)*100,0)))&lt;=0,"OK",IF(OR(L59=""),"UNVOLLSTÄNDIG","ABWEICHUNG")))</f>
        <v/>
      </c>
      <c r="Y59" s="50">
        <f>IF(OR(K59="",O59="",R59=""),"",IF(ABS(ROUND(((ROUND(N(K59)*100,0))-(ROUND(N(O59)*100,0))),0)-(ROUND(N(R59)*100,0)))&lt;=0,"OK","ABWEICHUNG"))</f>
        <v/>
      </c>
      <c r="Z59" s="50">
        <f>IF(OR(N59="",O59="",P59="",Q59="",T59=""),"",IF(ABS(ROUND(((ROUND(N(N59)*100,0)+ROUND(N(Q59)*100,0))-(ROUND(N(O59)*100,0)+ROUND(N(P59)*100,0))),0)-(ROUND(N(T59)*100,0)))&lt;=0,"OK","ABWEICHUNG"))</f>
        <v/>
      </c>
      <c r="AA59" s="44" t="n"/>
      <c r="AB59" s="44" t="n"/>
      <c r="AC59" s="44" t="n"/>
      <c r="AD59" s="44" t="n"/>
      <c r="AE59" s="85" t="n"/>
      <c r="AF59" s="85" t="n"/>
      <c r="AG59" s="44" t="n"/>
      <c r="AH59" s="44" t="n"/>
    </row>
    <row r="60">
      <c r="A60" s="44" t="n"/>
      <c r="B60" s="44" t="n"/>
      <c r="C60" s="44" t="n"/>
      <c r="D60" s="44" t="n"/>
      <c r="E60" s="44" t="n"/>
      <c r="F60" s="44" t="n"/>
      <c r="G60" s="45" t="n"/>
      <c r="H60" s="44" t="n"/>
      <c r="I60" s="45" t="n"/>
      <c r="J60" s="44" t="n"/>
      <c r="K60" s="85" t="n"/>
      <c r="L60" s="85" t="n"/>
      <c r="M60" s="85" t="n"/>
      <c r="N60" s="85" t="n"/>
      <c r="O60" s="85" t="n"/>
      <c r="P60" s="85" t="n"/>
      <c r="Q60" s="85" t="n"/>
      <c r="R60" s="85" t="n"/>
      <c r="S60" s="85" t="n"/>
      <c r="T60" s="85" t="n"/>
      <c r="U60" s="85" t="n"/>
      <c r="V60" s="44" t="n"/>
      <c r="W60" s="50">
        <f>IF(OR(M60="",Q60="",S60=""),"",IF(ABS(ROUND(((ROUND(N(M60)*100,0))-(ROUND(N(Q60)*100,0))),0)-(ROUND(N(S60)*100,0)))&lt;=0,"OK","ABWEICHUNG"))</f>
        <v/>
      </c>
      <c r="X60" s="50">
        <f>IF(OR(K60="",M60="",N60=""),"",IF(ABS(ROUND(((ROUND(N(K60)*100,0)+ROUND(N(L60)*100,0))-(ROUND(N(M60)*100,0))),0)-(ROUND(N(N60)*100,0)))&lt;=0,"OK",IF(OR(L60=""),"UNVOLLSTÄNDIG","ABWEICHUNG")))</f>
        <v/>
      </c>
      <c r="Y60" s="50">
        <f>IF(OR(K60="",O60="",R60=""),"",IF(ABS(ROUND(((ROUND(N(K60)*100,0))-(ROUND(N(O60)*100,0))),0)-(ROUND(N(R60)*100,0)))&lt;=0,"OK","ABWEICHUNG"))</f>
        <v/>
      </c>
      <c r="Z60" s="50">
        <f>IF(OR(N60="",O60="",P60="",Q60="",T60=""),"",IF(ABS(ROUND(((ROUND(N(N60)*100,0)+ROUND(N(Q60)*100,0))-(ROUND(N(O60)*100,0)+ROUND(N(P60)*100,0))),0)-(ROUND(N(T60)*100,0)))&lt;=0,"OK","ABWEICHUNG"))</f>
        <v/>
      </c>
      <c r="AA60" s="44" t="n"/>
      <c r="AB60" s="44" t="n"/>
      <c r="AC60" s="44" t="n"/>
      <c r="AD60" s="44" t="n"/>
      <c r="AE60" s="85" t="n"/>
      <c r="AF60" s="85" t="n"/>
      <c r="AG60" s="44" t="n"/>
      <c r="AH60" s="44" t="n"/>
    </row>
    <row r="61">
      <c r="A61" s="44" t="n"/>
      <c r="B61" s="44" t="n"/>
      <c r="C61" s="44" t="n"/>
      <c r="D61" s="44" t="n"/>
      <c r="E61" s="44" t="n"/>
      <c r="F61" s="44" t="n"/>
      <c r="G61" s="45" t="n"/>
      <c r="H61" s="44" t="n"/>
      <c r="I61" s="45" t="n"/>
      <c r="J61" s="44" t="n"/>
      <c r="K61" s="85" t="n"/>
      <c r="L61" s="85" t="n"/>
      <c r="M61" s="85" t="n"/>
      <c r="N61" s="85" t="n"/>
      <c r="O61" s="85" t="n"/>
      <c r="P61" s="85" t="n"/>
      <c r="Q61" s="85" t="n"/>
      <c r="R61" s="85" t="n"/>
      <c r="S61" s="85" t="n"/>
      <c r="T61" s="85" t="n"/>
      <c r="U61" s="85" t="n"/>
      <c r="V61" s="44" t="n"/>
      <c r="W61" s="50">
        <f>IF(OR(M61="",Q61="",S61=""),"",IF(ABS(ROUND(((ROUND(N(M61)*100,0))-(ROUND(N(Q61)*100,0))),0)-(ROUND(N(S61)*100,0)))&lt;=0,"OK","ABWEICHUNG"))</f>
        <v/>
      </c>
      <c r="X61" s="50">
        <f>IF(OR(K61="",M61="",N61=""),"",IF(ABS(ROUND(((ROUND(N(K61)*100,0)+ROUND(N(L61)*100,0))-(ROUND(N(M61)*100,0))),0)-(ROUND(N(N61)*100,0)))&lt;=0,"OK",IF(OR(L61=""),"UNVOLLSTÄNDIG","ABWEICHUNG")))</f>
        <v/>
      </c>
      <c r="Y61" s="50">
        <f>IF(OR(K61="",O61="",R61=""),"",IF(ABS(ROUND(((ROUND(N(K61)*100,0))-(ROUND(N(O61)*100,0))),0)-(ROUND(N(R61)*100,0)))&lt;=0,"OK","ABWEICHUNG"))</f>
        <v/>
      </c>
      <c r="Z61" s="50">
        <f>IF(OR(N61="",O61="",P61="",Q61="",T61=""),"",IF(ABS(ROUND(((ROUND(N(N61)*100,0)+ROUND(N(Q61)*100,0))-(ROUND(N(O61)*100,0)+ROUND(N(P61)*100,0))),0)-(ROUND(N(T61)*100,0)))&lt;=0,"OK","ABWEICHUNG"))</f>
        <v/>
      </c>
      <c r="AA61" s="44" t="n"/>
      <c r="AB61" s="44" t="n"/>
      <c r="AC61" s="44" t="n"/>
      <c r="AD61" s="44" t="n"/>
      <c r="AE61" s="85" t="n"/>
      <c r="AF61" s="85" t="n"/>
      <c r="AG61" s="44" t="n"/>
      <c r="AH61" s="44" t="n"/>
    </row>
    <row r="62">
      <c r="A62" s="44" t="n"/>
      <c r="B62" s="44" t="n"/>
      <c r="C62" s="44" t="n"/>
      <c r="D62" s="44" t="n"/>
      <c r="E62" s="44" t="n"/>
      <c r="F62" s="44" t="n"/>
      <c r="G62" s="45" t="n"/>
      <c r="H62" s="44" t="n"/>
      <c r="I62" s="45" t="n"/>
      <c r="J62" s="44" t="n"/>
      <c r="K62" s="85" t="n"/>
      <c r="L62" s="85" t="n"/>
      <c r="M62" s="85" t="n"/>
      <c r="N62" s="85" t="n"/>
      <c r="O62" s="85" t="n"/>
      <c r="P62" s="85" t="n"/>
      <c r="Q62" s="85" t="n"/>
      <c r="R62" s="85" t="n"/>
      <c r="S62" s="85" t="n"/>
      <c r="T62" s="85" t="n"/>
      <c r="U62" s="85" t="n"/>
      <c r="V62" s="44" t="n"/>
      <c r="W62" s="50">
        <f>IF(OR(M62="",Q62="",S62=""),"",IF(ABS(ROUND(((ROUND(N(M62)*100,0))-(ROUND(N(Q62)*100,0))),0)-(ROUND(N(S62)*100,0)))&lt;=0,"OK","ABWEICHUNG"))</f>
        <v/>
      </c>
      <c r="X62" s="50">
        <f>IF(OR(K62="",M62="",N62=""),"",IF(ABS(ROUND(((ROUND(N(K62)*100,0)+ROUND(N(L62)*100,0))-(ROUND(N(M62)*100,0))),0)-(ROUND(N(N62)*100,0)))&lt;=0,"OK",IF(OR(L62=""),"UNVOLLSTÄNDIG","ABWEICHUNG")))</f>
        <v/>
      </c>
      <c r="Y62" s="50">
        <f>IF(OR(K62="",O62="",R62=""),"",IF(ABS(ROUND(((ROUND(N(K62)*100,0))-(ROUND(N(O62)*100,0))),0)-(ROUND(N(R62)*100,0)))&lt;=0,"OK","ABWEICHUNG"))</f>
        <v/>
      </c>
      <c r="Z62" s="50">
        <f>IF(OR(N62="",O62="",P62="",Q62="",T62=""),"",IF(ABS(ROUND(((ROUND(N(N62)*100,0)+ROUND(N(Q62)*100,0))-(ROUND(N(O62)*100,0)+ROUND(N(P62)*100,0))),0)-(ROUND(N(T62)*100,0)))&lt;=0,"OK","ABWEICHUNG"))</f>
        <v/>
      </c>
      <c r="AA62" s="44" t="n"/>
      <c r="AB62" s="44" t="n"/>
      <c r="AC62" s="44" t="n"/>
      <c r="AD62" s="44" t="n"/>
      <c r="AE62" s="85" t="n"/>
      <c r="AF62" s="85" t="n"/>
      <c r="AG62" s="44" t="n"/>
      <c r="AH62" s="44" t="n"/>
    </row>
    <row r="63">
      <c r="A63" s="44" t="n"/>
      <c r="B63" s="44" t="n"/>
      <c r="C63" s="44" t="n"/>
      <c r="D63" s="44" t="n"/>
      <c r="E63" s="44" t="n"/>
      <c r="F63" s="44" t="n"/>
      <c r="G63" s="45" t="n"/>
      <c r="H63" s="44" t="n"/>
      <c r="I63" s="45" t="n"/>
      <c r="J63" s="44" t="n"/>
      <c r="K63" s="85" t="n"/>
      <c r="L63" s="85" t="n"/>
      <c r="M63" s="85" t="n"/>
      <c r="N63" s="85" t="n"/>
      <c r="O63" s="85" t="n"/>
      <c r="P63" s="85" t="n"/>
      <c r="Q63" s="85" t="n"/>
      <c r="R63" s="85" t="n"/>
      <c r="S63" s="85" t="n"/>
      <c r="T63" s="85" t="n"/>
      <c r="U63" s="85" t="n"/>
      <c r="V63" s="44" t="n"/>
      <c r="W63" s="50">
        <f>IF(OR(M63="",Q63="",S63=""),"",IF(ABS(ROUND(((ROUND(N(M63)*100,0))-(ROUND(N(Q63)*100,0))),0)-(ROUND(N(S63)*100,0)))&lt;=0,"OK","ABWEICHUNG"))</f>
        <v/>
      </c>
      <c r="X63" s="50">
        <f>IF(OR(K63="",M63="",N63=""),"",IF(ABS(ROUND(((ROUND(N(K63)*100,0)+ROUND(N(L63)*100,0))-(ROUND(N(M63)*100,0))),0)-(ROUND(N(N63)*100,0)))&lt;=0,"OK",IF(OR(L63=""),"UNVOLLSTÄNDIG","ABWEICHUNG")))</f>
        <v/>
      </c>
      <c r="Y63" s="50">
        <f>IF(OR(K63="",O63="",R63=""),"",IF(ABS(ROUND(((ROUND(N(K63)*100,0))-(ROUND(N(O63)*100,0))),0)-(ROUND(N(R63)*100,0)))&lt;=0,"OK","ABWEICHUNG"))</f>
        <v/>
      </c>
      <c r="Z63" s="50">
        <f>IF(OR(N63="",O63="",P63="",Q63="",T63=""),"",IF(ABS(ROUND(((ROUND(N(N63)*100,0)+ROUND(N(Q63)*100,0))-(ROUND(N(O63)*100,0)+ROUND(N(P63)*100,0))),0)-(ROUND(N(T63)*100,0)))&lt;=0,"OK","ABWEICHUNG"))</f>
        <v/>
      </c>
      <c r="AA63" s="44" t="n"/>
      <c r="AB63" s="44" t="n"/>
      <c r="AC63" s="44" t="n"/>
      <c r="AD63" s="44" t="n"/>
      <c r="AE63" s="85" t="n"/>
      <c r="AF63" s="85" t="n"/>
      <c r="AG63" s="44" t="n"/>
      <c r="AH63" s="44" t="n"/>
    </row>
    <row r="64">
      <c r="A64" s="44" t="n"/>
      <c r="B64" s="44" t="n"/>
      <c r="C64" s="44" t="n"/>
      <c r="D64" s="44" t="n"/>
      <c r="E64" s="44" t="n"/>
      <c r="F64" s="44" t="n"/>
      <c r="G64" s="45" t="n"/>
      <c r="H64" s="44" t="n"/>
      <c r="I64" s="45" t="n"/>
      <c r="J64" s="44" t="n"/>
      <c r="K64" s="85" t="n"/>
      <c r="L64" s="85" t="n"/>
      <c r="M64" s="85" t="n"/>
      <c r="N64" s="85" t="n"/>
      <c r="O64" s="85" t="n"/>
      <c r="P64" s="85" t="n"/>
      <c r="Q64" s="85" t="n"/>
      <c r="R64" s="85" t="n"/>
      <c r="S64" s="85" t="n"/>
      <c r="T64" s="85" t="n"/>
      <c r="U64" s="85" t="n"/>
      <c r="V64" s="44" t="n"/>
      <c r="W64" s="50">
        <f>IF(OR(M64="",Q64="",S64=""),"",IF(ABS(ROUND(((ROUND(N(M64)*100,0))-(ROUND(N(Q64)*100,0))),0)-(ROUND(N(S64)*100,0)))&lt;=0,"OK","ABWEICHUNG"))</f>
        <v/>
      </c>
      <c r="X64" s="50">
        <f>IF(OR(K64="",M64="",N64=""),"",IF(ABS(ROUND(((ROUND(N(K64)*100,0)+ROUND(N(L64)*100,0))-(ROUND(N(M64)*100,0))),0)-(ROUND(N(N64)*100,0)))&lt;=0,"OK",IF(OR(L64=""),"UNVOLLSTÄNDIG","ABWEICHUNG")))</f>
        <v/>
      </c>
      <c r="Y64" s="50">
        <f>IF(OR(K64="",O64="",R64=""),"",IF(ABS(ROUND(((ROUND(N(K64)*100,0))-(ROUND(N(O64)*100,0))),0)-(ROUND(N(R64)*100,0)))&lt;=0,"OK","ABWEICHUNG"))</f>
        <v/>
      </c>
      <c r="Z64" s="50">
        <f>IF(OR(N64="",O64="",P64="",Q64="",T64=""),"",IF(ABS(ROUND(((ROUND(N(N64)*100,0)+ROUND(N(Q64)*100,0))-(ROUND(N(O64)*100,0)+ROUND(N(P64)*100,0))),0)-(ROUND(N(T64)*100,0)))&lt;=0,"OK","ABWEICHUNG"))</f>
        <v/>
      </c>
      <c r="AA64" s="44" t="n"/>
      <c r="AB64" s="44" t="n"/>
      <c r="AC64" s="44" t="n"/>
      <c r="AD64" s="44" t="n"/>
      <c r="AE64" s="85" t="n"/>
      <c r="AF64" s="85" t="n"/>
      <c r="AG64" s="44" t="n"/>
      <c r="AH64" s="44" t="n"/>
    </row>
    <row r="65">
      <c r="A65" s="44" t="n"/>
      <c r="B65" s="44" t="n"/>
      <c r="C65" s="44" t="n"/>
      <c r="D65" s="44" t="n"/>
      <c r="E65" s="44" t="n"/>
      <c r="F65" s="44" t="n"/>
      <c r="G65" s="45" t="n"/>
      <c r="H65" s="44" t="n"/>
      <c r="I65" s="45" t="n"/>
      <c r="J65" s="44" t="n"/>
      <c r="K65" s="85" t="n"/>
      <c r="L65" s="85" t="n"/>
      <c r="M65" s="85" t="n"/>
      <c r="N65" s="85" t="n"/>
      <c r="O65" s="85" t="n"/>
      <c r="P65" s="85" t="n"/>
      <c r="Q65" s="85" t="n"/>
      <c r="R65" s="85" t="n"/>
      <c r="S65" s="85" t="n"/>
      <c r="T65" s="85" t="n"/>
      <c r="U65" s="85" t="n"/>
      <c r="V65" s="44" t="n"/>
      <c r="W65" s="50">
        <f>IF(OR(M65="",Q65="",S65=""),"",IF(ABS(ROUND(((ROUND(N(M65)*100,0))-(ROUND(N(Q65)*100,0))),0)-(ROUND(N(S65)*100,0)))&lt;=0,"OK","ABWEICHUNG"))</f>
        <v/>
      </c>
      <c r="X65" s="50">
        <f>IF(OR(K65="",M65="",N65=""),"",IF(ABS(ROUND(((ROUND(N(K65)*100,0)+ROUND(N(L65)*100,0))-(ROUND(N(M65)*100,0))),0)-(ROUND(N(N65)*100,0)))&lt;=0,"OK",IF(OR(L65=""),"UNVOLLSTÄNDIG","ABWEICHUNG")))</f>
        <v/>
      </c>
      <c r="Y65" s="50">
        <f>IF(OR(K65="",O65="",R65=""),"",IF(ABS(ROUND(((ROUND(N(K65)*100,0))-(ROUND(N(O65)*100,0))),0)-(ROUND(N(R65)*100,0)))&lt;=0,"OK","ABWEICHUNG"))</f>
        <v/>
      </c>
      <c r="Z65" s="50">
        <f>IF(OR(N65="",O65="",P65="",Q65="",T65=""),"",IF(ABS(ROUND(((ROUND(N(N65)*100,0)+ROUND(N(Q65)*100,0))-(ROUND(N(O65)*100,0)+ROUND(N(P65)*100,0))),0)-(ROUND(N(T65)*100,0)))&lt;=0,"OK","ABWEICHUNG"))</f>
        <v/>
      </c>
      <c r="AA65" s="44" t="n"/>
      <c r="AB65" s="44" t="n"/>
      <c r="AC65" s="44" t="n"/>
      <c r="AD65" s="44" t="n"/>
      <c r="AE65" s="85" t="n"/>
      <c r="AF65" s="85" t="n"/>
      <c r="AG65" s="44" t="n"/>
      <c r="AH65" s="44" t="n"/>
    </row>
    <row r="66">
      <c r="A66" s="44" t="n"/>
      <c r="B66" s="44" t="n"/>
      <c r="C66" s="44" t="n"/>
      <c r="D66" s="44" t="n"/>
      <c r="E66" s="44" t="n"/>
      <c r="F66" s="44" t="n"/>
      <c r="G66" s="45" t="n"/>
      <c r="H66" s="44" t="n"/>
      <c r="I66" s="45" t="n"/>
      <c r="J66" s="44" t="n"/>
      <c r="K66" s="85" t="n"/>
      <c r="L66" s="85" t="n"/>
      <c r="M66" s="85" t="n"/>
      <c r="N66" s="85" t="n"/>
      <c r="O66" s="85" t="n"/>
      <c r="P66" s="85" t="n"/>
      <c r="Q66" s="85" t="n"/>
      <c r="R66" s="85" t="n"/>
      <c r="S66" s="85" t="n"/>
      <c r="T66" s="85" t="n"/>
      <c r="U66" s="85" t="n"/>
      <c r="V66" s="44" t="n"/>
      <c r="W66" s="50">
        <f>IF(OR(M66="",Q66="",S66=""),"",IF(ABS(ROUND(((ROUND(N(M66)*100,0))-(ROUND(N(Q66)*100,0))),0)-(ROUND(N(S66)*100,0)))&lt;=0,"OK","ABWEICHUNG"))</f>
        <v/>
      </c>
      <c r="X66" s="50">
        <f>IF(OR(K66="",M66="",N66=""),"",IF(ABS(ROUND(((ROUND(N(K66)*100,0)+ROUND(N(L66)*100,0))-(ROUND(N(M66)*100,0))),0)-(ROUND(N(N66)*100,0)))&lt;=0,"OK",IF(OR(L66=""),"UNVOLLSTÄNDIG","ABWEICHUNG")))</f>
        <v/>
      </c>
      <c r="Y66" s="50">
        <f>IF(OR(K66="",O66="",R66=""),"",IF(ABS(ROUND(((ROUND(N(K66)*100,0))-(ROUND(N(O66)*100,0))),0)-(ROUND(N(R66)*100,0)))&lt;=0,"OK","ABWEICHUNG"))</f>
        <v/>
      </c>
      <c r="Z66" s="50">
        <f>IF(OR(N66="",O66="",P66="",Q66="",T66=""),"",IF(ABS(ROUND(((ROUND(N(N66)*100,0)+ROUND(N(Q66)*100,0))-(ROUND(N(O66)*100,0)+ROUND(N(P66)*100,0))),0)-(ROUND(N(T66)*100,0)))&lt;=0,"OK","ABWEICHUNG"))</f>
        <v/>
      </c>
      <c r="AA66" s="44" t="n"/>
      <c r="AB66" s="44" t="n"/>
      <c r="AC66" s="44" t="n"/>
      <c r="AD66" s="44" t="n"/>
      <c r="AE66" s="85" t="n"/>
      <c r="AF66" s="85" t="n"/>
      <c r="AG66" s="44" t="n"/>
      <c r="AH66" s="44" t="n"/>
    </row>
    <row r="67">
      <c r="A67" s="44" t="n"/>
      <c r="B67" s="44" t="n"/>
      <c r="C67" s="44" t="n"/>
      <c r="D67" s="44" t="n"/>
      <c r="E67" s="44" t="n"/>
      <c r="F67" s="44" t="n"/>
      <c r="G67" s="45" t="n"/>
      <c r="H67" s="44" t="n"/>
      <c r="I67" s="45" t="n"/>
      <c r="J67" s="44" t="n"/>
      <c r="K67" s="85" t="n"/>
      <c r="L67" s="85" t="n"/>
      <c r="M67" s="85" t="n"/>
      <c r="N67" s="85" t="n"/>
      <c r="O67" s="85" t="n"/>
      <c r="P67" s="85" t="n"/>
      <c r="Q67" s="85" t="n"/>
      <c r="R67" s="85" t="n"/>
      <c r="S67" s="85" t="n"/>
      <c r="T67" s="85" t="n"/>
      <c r="U67" s="85" t="n"/>
      <c r="V67" s="44" t="n"/>
      <c r="W67" s="50">
        <f>IF(OR(M67="",Q67="",S67=""),"",IF(ABS(ROUND(((ROUND(N(M67)*100,0))-(ROUND(N(Q67)*100,0))),0)-(ROUND(N(S67)*100,0)))&lt;=0,"OK","ABWEICHUNG"))</f>
        <v/>
      </c>
      <c r="X67" s="50">
        <f>IF(OR(K67="",M67="",N67=""),"",IF(ABS(ROUND(((ROUND(N(K67)*100,0)+ROUND(N(L67)*100,0))-(ROUND(N(M67)*100,0))),0)-(ROUND(N(N67)*100,0)))&lt;=0,"OK",IF(OR(L67=""),"UNVOLLSTÄNDIG","ABWEICHUNG")))</f>
        <v/>
      </c>
      <c r="Y67" s="50">
        <f>IF(OR(K67="",O67="",R67=""),"",IF(ABS(ROUND(((ROUND(N(K67)*100,0))-(ROUND(N(O67)*100,0))),0)-(ROUND(N(R67)*100,0)))&lt;=0,"OK","ABWEICHUNG"))</f>
        <v/>
      </c>
      <c r="Z67" s="50">
        <f>IF(OR(N67="",O67="",P67="",Q67="",T67=""),"",IF(ABS(ROUND(((ROUND(N(N67)*100,0)+ROUND(N(Q67)*100,0))-(ROUND(N(O67)*100,0)+ROUND(N(P67)*100,0))),0)-(ROUND(N(T67)*100,0)))&lt;=0,"OK","ABWEICHUNG"))</f>
        <v/>
      </c>
      <c r="AA67" s="44" t="n"/>
      <c r="AB67" s="44" t="n"/>
      <c r="AC67" s="44" t="n"/>
      <c r="AD67" s="44" t="n"/>
      <c r="AE67" s="85" t="n"/>
      <c r="AF67" s="85" t="n"/>
      <c r="AG67" s="44" t="n"/>
      <c r="AH67" s="44" t="n"/>
    </row>
    <row r="68">
      <c r="A68" s="44" t="n"/>
      <c r="B68" s="44" t="n"/>
      <c r="C68" s="44" t="n"/>
      <c r="D68" s="44" t="n"/>
      <c r="E68" s="44" t="n"/>
      <c r="F68" s="44" t="n"/>
      <c r="G68" s="45" t="n"/>
      <c r="H68" s="44" t="n"/>
      <c r="I68" s="45" t="n"/>
      <c r="J68" s="44" t="n"/>
      <c r="K68" s="85" t="n"/>
      <c r="L68" s="85" t="n"/>
      <c r="M68" s="85" t="n"/>
      <c r="N68" s="85" t="n"/>
      <c r="O68" s="85" t="n"/>
      <c r="P68" s="85" t="n"/>
      <c r="Q68" s="85" t="n"/>
      <c r="R68" s="85" t="n"/>
      <c r="S68" s="85" t="n"/>
      <c r="T68" s="85" t="n"/>
      <c r="U68" s="85" t="n"/>
      <c r="V68" s="44" t="n"/>
      <c r="W68" s="50">
        <f>IF(OR(M68="",Q68="",S68=""),"",IF(ABS(ROUND(((ROUND(N(M68)*100,0))-(ROUND(N(Q68)*100,0))),0)-(ROUND(N(S68)*100,0)))&lt;=0,"OK","ABWEICHUNG"))</f>
        <v/>
      </c>
      <c r="X68" s="50">
        <f>IF(OR(K68="",M68="",N68=""),"",IF(ABS(ROUND(((ROUND(N(K68)*100,0)+ROUND(N(L68)*100,0))-(ROUND(N(M68)*100,0))),0)-(ROUND(N(N68)*100,0)))&lt;=0,"OK",IF(OR(L68=""),"UNVOLLSTÄNDIG","ABWEICHUNG")))</f>
        <v/>
      </c>
      <c r="Y68" s="50">
        <f>IF(OR(K68="",O68="",R68=""),"",IF(ABS(ROUND(((ROUND(N(K68)*100,0))-(ROUND(N(O68)*100,0))),0)-(ROUND(N(R68)*100,0)))&lt;=0,"OK","ABWEICHUNG"))</f>
        <v/>
      </c>
      <c r="Z68" s="50">
        <f>IF(OR(N68="",O68="",P68="",Q68="",T68=""),"",IF(ABS(ROUND(((ROUND(N(N68)*100,0)+ROUND(N(Q68)*100,0))-(ROUND(N(O68)*100,0)+ROUND(N(P68)*100,0))),0)-(ROUND(N(T68)*100,0)))&lt;=0,"OK","ABWEICHUNG"))</f>
        <v/>
      </c>
      <c r="AA68" s="44" t="n"/>
      <c r="AB68" s="44" t="n"/>
      <c r="AC68" s="44" t="n"/>
      <c r="AD68" s="44" t="n"/>
      <c r="AE68" s="85" t="n"/>
      <c r="AF68" s="85" t="n"/>
      <c r="AG68" s="44" t="n"/>
      <c r="AH68" s="44" t="n"/>
    </row>
    <row r="69">
      <c r="A69" s="44" t="n"/>
      <c r="B69" s="44" t="n"/>
      <c r="C69" s="44" t="n"/>
      <c r="D69" s="44" t="n"/>
      <c r="E69" s="44" t="n"/>
      <c r="F69" s="44" t="n"/>
      <c r="G69" s="45" t="n"/>
      <c r="H69" s="44" t="n"/>
      <c r="I69" s="45" t="n"/>
      <c r="J69" s="44" t="n"/>
      <c r="K69" s="85" t="n"/>
      <c r="L69" s="85" t="n"/>
      <c r="M69" s="85" t="n"/>
      <c r="N69" s="85" t="n"/>
      <c r="O69" s="85" t="n"/>
      <c r="P69" s="85" t="n"/>
      <c r="Q69" s="85" t="n"/>
      <c r="R69" s="85" t="n"/>
      <c r="S69" s="85" t="n"/>
      <c r="T69" s="85" t="n"/>
      <c r="U69" s="85" t="n"/>
      <c r="V69" s="44" t="n"/>
      <c r="W69" s="50">
        <f>IF(OR(M69="",Q69="",S69=""),"",IF(ABS(ROUND(((ROUND(N(M69)*100,0))-(ROUND(N(Q69)*100,0))),0)-(ROUND(N(S69)*100,0)))&lt;=0,"OK","ABWEICHUNG"))</f>
        <v/>
      </c>
      <c r="X69" s="50">
        <f>IF(OR(K69="",M69="",N69=""),"",IF(ABS(ROUND(((ROUND(N(K69)*100,0)+ROUND(N(L69)*100,0))-(ROUND(N(M69)*100,0))),0)-(ROUND(N(N69)*100,0)))&lt;=0,"OK",IF(OR(L69=""),"UNVOLLSTÄNDIG","ABWEICHUNG")))</f>
        <v/>
      </c>
      <c r="Y69" s="50">
        <f>IF(OR(K69="",O69="",R69=""),"",IF(ABS(ROUND(((ROUND(N(K69)*100,0))-(ROUND(N(O69)*100,0))),0)-(ROUND(N(R69)*100,0)))&lt;=0,"OK","ABWEICHUNG"))</f>
        <v/>
      </c>
      <c r="Z69" s="50">
        <f>IF(OR(N69="",O69="",P69="",Q69="",T69=""),"",IF(ABS(ROUND(((ROUND(N(N69)*100,0)+ROUND(N(Q69)*100,0))-(ROUND(N(O69)*100,0)+ROUND(N(P69)*100,0))),0)-(ROUND(N(T69)*100,0)))&lt;=0,"OK","ABWEICHUNG"))</f>
        <v/>
      </c>
      <c r="AA69" s="44" t="n"/>
      <c r="AB69" s="44" t="n"/>
      <c r="AC69" s="44" t="n"/>
      <c r="AD69" s="44" t="n"/>
      <c r="AE69" s="85" t="n"/>
      <c r="AF69" s="85" t="n"/>
      <c r="AG69" s="44" t="n"/>
      <c r="AH69" s="44" t="n"/>
    </row>
    <row r="70">
      <c r="A70" s="44" t="n"/>
      <c r="B70" s="44" t="n"/>
      <c r="C70" s="44" t="n"/>
      <c r="D70" s="44" t="n"/>
      <c r="E70" s="44" t="n"/>
      <c r="F70" s="44" t="n"/>
      <c r="G70" s="45" t="n"/>
      <c r="H70" s="44" t="n"/>
      <c r="I70" s="45" t="n"/>
      <c r="J70" s="44" t="n"/>
      <c r="K70" s="85" t="n"/>
      <c r="L70" s="85" t="n"/>
      <c r="M70" s="85" t="n"/>
      <c r="N70" s="85" t="n"/>
      <c r="O70" s="85" t="n"/>
      <c r="P70" s="85" t="n"/>
      <c r="Q70" s="85" t="n"/>
      <c r="R70" s="85" t="n"/>
      <c r="S70" s="85" t="n"/>
      <c r="T70" s="85" t="n"/>
      <c r="U70" s="85" t="n"/>
      <c r="V70" s="44" t="n"/>
      <c r="W70" s="50">
        <f>IF(OR(M70="",Q70="",S70=""),"",IF(ABS(ROUND(((ROUND(N(M70)*100,0))-(ROUND(N(Q70)*100,0))),0)-(ROUND(N(S70)*100,0)))&lt;=0,"OK","ABWEICHUNG"))</f>
        <v/>
      </c>
      <c r="X70" s="50">
        <f>IF(OR(K70="",M70="",N70=""),"",IF(ABS(ROUND(((ROUND(N(K70)*100,0)+ROUND(N(L70)*100,0))-(ROUND(N(M70)*100,0))),0)-(ROUND(N(N70)*100,0)))&lt;=0,"OK",IF(OR(L70=""),"UNVOLLSTÄNDIG","ABWEICHUNG")))</f>
        <v/>
      </c>
      <c r="Y70" s="50">
        <f>IF(OR(K70="",O70="",R70=""),"",IF(ABS(ROUND(((ROUND(N(K70)*100,0))-(ROUND(N(O70)*100,0))),0)-(ROUND(N(R70)*100,0)))&lt;=0,"OK","ABWEICHUNG"))</f>
        <v/>
      </c>
      <c r="Z70" s="50">
        <f>IF(OR(N70="",O70="",P70="",Q70="",T70=""),"",IF(ABS(ROUND(((ROUND(N(N70)*100,0)+ROUND(N(Q70)*100,0))-(ROUND(N(O70)*100,0)+ROUND(N(P70)*100,0))),0)-(ROUND(N(T70)*100,0)))&lt;=0,"OK","ABWEICHUNG"))</f>
        <v/>
      </c>
      <c r="AA70" s="44" t="n"/>
      <c r="AB70" s="44" t="n"/>
      <c r="AC70" s="44" t="n"/>
      <c r="AD70" s="44" t="n"/>
      <c r="AE70" s="85" t="n"/>
      <c r="AF70" s="85" t="n"/>
      <c r="AG70" s="44" t="n"/>
      <c r="AH70" s="44" t="n"/>
    </row>
    <row r="71">
      <c r="A71" s="44" t="n"/>
      <c r="B71" s="44" t="n"/>
      <c r="C71" s="44" t="n"/>
      <c r="D71" s="44" t="n"/>
      <c r="E71" s="44" t="n"/>
      <c r="F71" s="44" t="n"/>
      <c r="G71" s="45" t="n"/>
      <c r="H71" s="44" t="n"/>
      <c r="I71" s="45" t="n"/>
      <c r="J71" s="44" t="n"/>
      <c r="K71" s="85" t="n"/>
      <c r="L71" s="85" t="n"/>
      <c r="M71" s="85" t="n"/>
      <c r="N71" s="85" t="n"/>
      <c r="O71" s="85" t="n"/>
      <c r="P71" s="85" t="n"/>
      <c r="Q71" s="85" t="n"/>
      <c r="R71" s="85" t="n"/>
      <c r="S71" s="85" t="n"/>
      <c r="T71" s="85" t="n"/>
      <c r="U71" s="85" t="n"/>
      <c r="V71" s="44" t="n"/>
      <c r="W71" s="50">
        <f>IF(OR(M71="",Q71="",S71=""),"",IF(ABS(ROUND(((ROUND(N(M71)*100,0))-(ROUND(N(Q71)*100,0))),0)-(ROUND(N(S71)*100,0)))&lt;=0,"OK","ABWEICHUNG"))</f>
        <v/>
      </c>
      <c r="X71" s="50">
        <f>IF(OR(K71="",M71="",N71=""),"",IF(ABS(ROUND(((ROUND(N(K71)*100,0)+ROUND(N(L71)*100,0))-(ROUND(N(M71)*100,0))),0)-(ROUND(N(N71)*100,0)))&lt;=0,"OK",IF(OR(L71=""),"UNVOLLSTÄNDIG","ABWEICHUNG")))</f>
        <v/>
      </c>
      <c r="Y71" s="50">
        <f>IF(OR(K71="",O71="",R71=""),"",IF(ABS(ROUND(((ROUND(N(K71)*100,0))-(ROUND(N(O71)*100,0))),0)-(ROUND(N(R71)*100,0)))&lt;=0,"OK","ABWEICHUNG"))</f>
        <v/>
      </c>
      <c r="Z71" s="50">
        <f>IF(OR(N71="",O71="",P71="",Q71="",T71=""),"",IF(ABS(ROUND(((ROUND(N(N71)*100,0)+ROUND(N(Q71)*100,0))-(ROUND(N(O71)*100,0)+ROUND(N(P71)*100,0))),0)-(ROUND(N(T71)*100,0)))&lt;=0,"OK","ABWEICHUNG"))</f>
        <v/>
      </c>
      <c r="AA71" s="44" t="n"/>
      <c r="AB71" s="44" t="n"/>
      <c r="AC71" s="44" t="n"/>
      <c r="AD71" s="44" t="n"/>
      <c r="AE71" s="85" t="n"/>
      <c r="AF71" s="85" t="n"/>
      <c r="AG71" s="44" t="n"/>
      <c r="AH71" s="44" t="n"/>
    </row>
    <row r="72">
      <c r="A72" s="44" t="n"/>
      <c r="B72" s="44" t="n"/>
      <c r="C72" s="44" t="n"/>
      <c r="D72" s="44" t="n"/>
      <c r="E72" s="44" t="n"/>
      <c r="F72" s="44" t="n"/>
      <c r="G72" s="45" t="n"/>
      <c r="H72" s="44" t="n"/>
      <c r="I72" s="45" t="n"/>
      <c r="J72" s="44" t="n"/>
      <c r="K72" s="85" t="n"/>
      <c r="L72" s="85" t="n"/>
      <c r="M72" s="85" t="n"/>
      <c r="N72" s="85" t="n"/>
      <c r="O72" s="85" t="n"/>
      <c r="P72" s="85" t="n"/>
      <c r="Q72" s="85" t="n"/>
      <c r="R72" s="85" t="n"/>
      <c r="S72" s="85" t="n"/>
      <c r="T72" s="85" t="n"/>
      <c r="U72" s="85" t="n"/>
      <c r="V72" s="44" t="n"/>
      <c r="W72" s="50">
        <f>IF(OR(M72="",Q72="",S72=""),"",IF(ABS(ROUND(((ROUND(N(M72)*100,0))-(ROUND(N(Q72)*100,0))),0)-(ROUND(N(S72)*100,0)))&lt;=0,"OK","ABWEICHUNG"))</f>
        <v/>
      </c>
      <c r="X72" s="50">
        <f>IF(OR(K72="",M72="",N72=""),"",IF(ABS(ROUND(((ROUND(N(K72)*100,0)+ROUND(N(L72)*100,0))-(ROUND(N(M72)*100,0))),0)-(ROUND(N(N72)*100,0)))&lt;=0,"OK",IF(OR(L72=""),"UNVOLLSTÄNDIG","ABWEICHUNG")))</f>
        <v/>
      </c>
      <c r="Y72" s="50">
        <f>IF(OR(K72="",O72="",R72=""),"",IF(ABS(ROUND(((ROUND(N(K72)*100,0))-(ROUND(N(O72)*100,0))),0)-(ROUND(N(R72)*100,0)))&lt;=0,"OK","ABWEICHUNG"))</f>
        <v/>
      </c>
      <c r="Z72" s="50">
        <f>IF(OR(N72="",O72="",P72="",Q72="",T72=""),"",IF(ABS(ROUND(((ROUND(N(N72)*100,0)+ROUND(N(Q72)*100,0))-(ROUND(N(O72)*100,0)+ROUND(N(P72)*100,0))),0)-(ROUND(N(T72)*100,0)))&lt;=0,"OK","ABWEICHUNG"))</f>
        <v/>
      </c>
      <c r="AA72" s="44" t="n"/>
      <c r="AB72" s="44" t="n"/>
      <c r="AC72" s="44" t="n"/>
      <c r="AD72" s="44" t="n"/>
      <c r="AE72" s="85" t="n"/>
      <c r="AF72" s="85" t="n"/>
      <c r="AG72" s="44" t="n"/>
      <c r="AH72" s="44" t="n"/>
    </row>
    <row r="73">
      <c r="A73" s="44" t="n"/>
      <c r="B73" s="44" t="n"/>
      <c r="C73" s="44" t="n"/>
      <c r="D73" s="44" t="n"/>
      <c r="E73" s="44" t="n"/>
      <c r="F73" s="44" t="n"/>
      <c r="G73" s="45" t="n"/>
      <c r="H73" s="44" t="n"/>
      <c r="I73" s="45" t="n"/>
      <c r="J73" s="44" t="n"/>
      <c r="K73" s="85" t="n"/>
      <c r="L73" s="85" t="n"/>
      <c r="M73" s="85" t="n"/>
      <c r="N73" s="85" t="n"/>
      <c r="O73" s="85" t="n"/>
      <c r="P73" s="85" t="n"/>
      <c r="Q73" s="85" t="n"/>
      <c r="R73" s="85" t="n"/>
      <c r="S73" s="85" t="n"/>
      <c r="T73" s="85" t="n"/>
      <c r="U73" s="85" t="n"/>
      <c r="V73" s="44" t="n"/>
      <c r="W73" s="50">
        <f>IF(OR(M73="",Q73="",S73=""),"",IF(ABS(ROUND(((ROUND(N(M73)*100,0))-(ROUND(N(Q73)*100,0))),0)-(ROUND(N(S73)*100,0)))&lt;=0,"OK","ABWEICHUNG"))</f>
        <v/>
      </c>
      <c r="X73" s="50">
        <f>IF(OR(K73="",M73="",N73=""),"",IF(ABS(ROUND(((ROUND(N(K73)*100,0)+ROUND(N(L73)*100,0))-(ROUND(N(M73)*100,0))),0)-(ROUND(N(N73)*100,0)))&lt;=0,"OK",IF(OR(L73=""),"UNVOLLSTÄNDIG","ABWEICHUNG")))</f>
        <v/>
      </c>
      <c r="Y73" s="50">
        <f>IF(OR(K73="",O73="",R73=""),"",IF(ABS(ROUND(((ROUND(N(K73)*100,0))-(ROUND(N(O73)*100,0))),0)-(ROUND(N(R73)*100,0)))&lt;=0,"OK","ABWEICHUNG"))</f>
        <v/>
      </c>
      <c r="Z73" s="50">
        <f>IF(OR(N73="",O73="",P73="",Q73="",T73=""),"",IF(ABS(ROUND(((ROUND(N(N73)*100,0)+ROUND(N(Q73)*100,0))-(ROUND(N(O73)*100,0)+ROUND(N(P73)*100,0))),0)-(ROUND(N(T73)*100,0)))&lt;=0,"OK","ABWEICHUNG"))</f>
        <v/>
      </c>
      <c r="AA73" s="44" t="n"/>
      <c r="AB73" s="44" t="n"/>
      <c r="AC73" s="44" t="n"/>
      <c r="AD73" s="44" t="n"/>
      <c r="AE73" s="85" t="n"/>
      <c r="AF73" s="85" t="n"/>
      <c r="AG73" s="44" t="n"/>
      <c r="AH73" s="44" t="n"/>
    </row>
    <row r="74">
      <c r="A74" s="44" t="n"/>
      <c r="B74" s="44" t="n"/>
      <c r="C74" s="44" t="n"/>
      <c r="D74" s="44" t="n"/>
      <c r="E74" s="44" t="n"/>
      <c r="F74" s="44" t="n"/>
      <c r="G74" s="45" t="n"/>
      <c r="H74" s="44" t="n"/>
      <c r="I74" s="45" t="n"/>
      <c r="J74" s="44" t="n"/>
      <c r="K74" s="85" t="n"/>
      <c r="L74" s="85" t="n"/>
      <c r="M74" s="85" t="n"/>
      <c r="N74" s="85" t="n"/>
      <c r="O74" s="85" t="n"/>
      <c r="P74" s="85" t="n"/>
      <c r="Q74" s="85" t="n"/>
      <c r="R74" s="85" t="n"/>
      <c r="S74" s="85" t="n"/>
      <c r="T74" s="85" t="n"/>
      <c r="U74" s="85" t="n"/>
      <c r="V74" s="44" t="n"/>
      <c r="W74" s="50">
        <f>IF(OR(M74="",Q74="",S74=""),"",IF(ABS(ROUND(((ROUND(N(M74)*100,0))-(ROUND(N(Q74)*100,0))),0)-(ROUND(N(S74)*100,0)))&lt;=0,"OK","ABWEICHUNG"))</f>
        <v/>
      </c>
      <c r="X74" s="50">
        <f>IF(OR(K74="",M74="",N74=""),"",IF(ABS(ROUND(((ROUND(N(K74)*100,0)+ROUND(N(L74)*100,0))-(ROUND(N(M74)*100,0))),0)-(ROUND(N(N74)*100,0)))&lt;=0,"OK",IF(OR(L74=""),"UNVOLLSTÄNDIG","ABWEICHUNG")))</f>
        <v/>
      </c>
      <c r="Y74" s="50">
        <f>IF(OR(K74="",O74="",R74=""),"",IF(ABS(ROUND(((ROUND(N(K74)*100,0))-(ROUND(N(O74)*100,0))),0)-(ROUND(N(R74)*100,0)))&lt;=0,"OK","ABWEICHUNG"))</f>
        <v/>
      </c>
      <c r="Z74" s="50">
        <f>IF(OR(N74="",O74="",P74="",Q74="",T74=""),"",IF(ABS(ROUND(((ROUND(N(N74)*100,0)+ROUND(N(Q74)*100,0))-(ROUND(N(O74)*100,0)+ROUND(N(P74)*100,0))),0)-(ROUND(N(T74)*100,0)))&lt;=0,"OK","ABWEICHUNG"))</f>
        <v/>
      </c>
      <c r="AA74" s="44" t="n"/>
      <c r="AB74" s="44" t="n"/>
      <c r="AC74" s="44" t="n"/>
      <c r="AD74" s="44" t="n"/>
      <c r="AE74" s="85" t="n"/>
      <c r="AF74" s="85" t="n"/>
      <c r="AG74" s="44" t="n"/>
      <c r="AH74" s="44" t="n"/>
    </row>
    <row r="75">
      <c r="A75" s="44" t="n"/>
      <c r="B75" s="44" t="n"/>
      <c r="C75" s="44" t="n"/>
      <c r="D75" s="44" t="n"/>
      <c r="E75" s="44" t="n"/>
      <c r="F75" s="44" t="n"/>
      <c r="G75" s="45" t="n"/>
      <c r="H75" s="44" t="n"/>
      <c r="I75" s="45" t="n"/>
      <c r="J75" s="44" t="n"/>
      <c r="K75" s="85" t="n"/>
      <c r="L75" s="85" t="n"/>
      <c r="M75" s="85" t="n"/>
      <c r="N75" s="85" t="n"/>
      <c r="O75" s="85" t="n"/>
      <c r="P75" s="85" t="n"/>
      <c r="Q75" s="85" t="n"/>
      <c r="R75" s="85" t="n"/>
      <c r="S75" s="85" t="n"/>
      <c r="T75" s="85" t="n"/>
      <c r="U75" s="85" t="n"/>
      <c r="V75" s="44" t="n"/>
      <c r="W75" s="50">
        <f>IF(OR(M75="",Q75="",S75=""),"",IF(ABS(ROUND(((ROUND(N(M75)*100,0))-(ROUND(N(Q75)*100,0))),0)-(ROUND(N(S75)*100,0)))&lt;=0,"OK","ABWEICHUNG"))</f>
        <v/>
      </c>
      <c r="X75" s="50">
        <f>IF(OR(K75="",M75="",N75=""),"",IF(ABS(ROUND(((ROUND(N(K75)*100,0)+ROUND(N(L75)*100,0))-(ROUND(N(M75)*100,0))),0)-(ROUND(N(N75)*100,0)))&lt;=0,"OK",IF(OR(L75=""),"UNVOLLSTÄNDIG","ABWEICHUNG")))</f>
        <v/>
      </c>
      <c r="Y75" s="50">
        <f>IF(OR(K75="",O75="",R75=""),"",IF(ABS(ROUND(((ROUND(N(K75)*100,0))-(ROUND(N(O75)*100,0))),0)-(ROUND(N(R75)*100,0)))&lt;=0,"OK","ABWEICHUNG"))</f>
        <v/>
      </c>
      <c r="Z75" s="50">
        <f>IF(OR(N75="",O75="",P75="",Q75="",T75=""),"",IF(ABS(ROUND(((ROUND(N(N75)*100,0)+ROUND(N(Q75)*100,0))-(ROUND(N(O75)*100,0)+ROUND(N(P75)*100,0))),0)-(ROUND(N(T75)*100,0)))&lt;=0,"OK","ABWEICHUNG"))</f>
        <v/>
      </c>
      <c r="AA75" s="44" t="n"/>
      <c r="AB75" s="44" t="n"/>
      <c r="AC75" s="44" t="n"/>
      <c r="AD75" s="44" t="n"/>
      <c r="AE75" s="85" t="n"/>
      <c r="AF75" s="85" t="n"/>
      <c r="AG75" s="44" t="n"/>
      <c r="AH75" s="44" t="n"/>
    </row>
    <row r="76">
      <c r="A76" s="44" t="n"/>
      <c r="B76" s="44" t="n"/>
      <c r="C76" s="44" t="n"/>
      <c r="D76" s="44" t="n"/>
      <c r="E76" s="44" t="n"/>
      <c r="F76" s="44" t="n"/>
      <c r="G76" s="45" t="n"/>
      <c r="H76" s="44" t="n"/>
      <c r="I76" s="45" t="n"/>
      <c r="J76" s="44" t="n"/>
      <c r="K76" s="85" t="n"/>
      <c r="L76" s="85" t="n"/>
      <c r="M76" s="85" t="n"/>
      <c r="N76" s="85" t="n"/>
      <c r="O76" s="85" t="n"/>
      <c r="P76" s="85" t="n"/>
      <c r="Q76" s="85" t="n"/>
      <c r="R76" s="85" t="n"/>
      <c r="S76" s="85" t="n"/>
      <c r="T76" s="85" t="n"/>
      <c r="U76" s="85" t="n"/>
      <c r="V76" s="44" t="n"/>
      <c r="W76" s="50">
        <f>IF(OR(M76="",Q76="",S76=""),"",IF(ABS(ROUND(((ROUND(N(M76)*100,0))-(ROUND(N(Q76)*100,0))),0)-(ROUND(N(S76)*100,0)))&lt;=0,"OK","ABWEICHUNG"))</f>
        <v/>
      </c>
      <c r="X76" s="50">
        <f>IF(OR(K76="",M76="",N76=""),"",IF(ABS(ROUND(((ROUND(N(K76)*100,0)+ROUND(N(L76)*100,0))-(ROUND(N(M76)*100,0))),0)-(ROUND(N(N76)*100,0)))&lt;=0,"OK",IF(OR(L76=""),"UNVOLLSTÄNDIG","ABWEICHUNG")))</f>
        <v/>
      </c>
      <c r="Y76" s="50">
        <f>IF(OR(K76="",O76="",R76=""),"",IF(ABS(ROUND(((ROUND(N(K76)*100,0))-(ROUND(N(O76)*100,0))),0)-(ROUND(N(R76)*100,0)))&lt;=0,"OK","ABWEICHUNG"))</f>
        <v/>
      </c>
      <c r="Z76" s="50">
        <f>IF(OR(N76="",O76="",P76="",Q76="",T76=""),"",IF(ABS(ROUND(((ROUND(N(N76)*100,0)+ROUND(N(Q76)*100,0))-(ROUND(N(O76)*100,0)+ROUND(N(P76)*100,0))),0)-(ROUND(N(T76)*100,0)))&lt;=0,"OK","ABWEICHUNG"))</f>
        <v/>
      </c>
      <c r="AA76" s="44" t="n"/>
      <c r="AB76" s="44" t="n"/>
      <c r="AC76" s="44" t="n"/>
      <c r="AD76" s="44" t="n"/>
      <c r="AE76" s="85" t="n"/>
      <c r="AF76" s="85" t="n"/>
      <c r="AG76" s="44" t="n"/>
      <c r="AH76" s="44" t="n"/>
    </row>
    <row r="77">
      <c r="A77" s="44" t="n"/>
      <c r="B77" s="44" t="n"/>
      <c r="C77" s="44" t="n"/>
      <c r="D77" s="44" t="n"/>
      <c r="E77" s="44" t="n"/>
      <c r="F77" s="44" t="n"/>
      <c r="G77" s="45" t="n"/>
      <c r="H77" s="44" t="n"/>
      <c r="I77" s="45" t="n"/>
      <c r="J77" s="44" t="n"/>
      <c r="K77" s="85" t="n"/>
      <c r="L77" s="85" t="n"/>
      <c r="M77" s="85" t="n"/>
      <c r="N77" s="85" t="n"/>
      <c r="O77" s="85" t="n"/>
      <c r="P77" s="85" t="n"/>
      <c r="Q77" s="85" t="n"/>
      <c r="R77" s="85" t="n"/>
      <c r="S77" s="85" t="n"/>
      <c r="T77" s="85" t="n"/>
      <c r="U77" s="85" t="n"/>
      <c r="V77" s="44" t="n"/>
      <c r="W77" s="50">
        <f>IF(OR(M77="",Q77="",S77=""),"",IF(ABS(ROUND(((ROUND(N(M77)*100,0))-(ROUND(N(Q77)*100,0))),0)-(ROUND(N(S77)*100,0)))&lt;=0,"OK","ABWEICHUNG"))</f>
        <v/>
      </c>
      <c r="X77" s="50">
        <f>IF(OR(K77="",M77="",N77=""),"",IF(ABS(ROUND(((ROUND(N(K77)*100,0)+ROUND(N(L77)*100,0))-(ROUND(N(M77)*100,0))),0)-(ROUND(N(N77)*100,0)))&lt;=0,"OK",IF(OR(L77=""),"UNVOLLSTÄNDIG","ABWEICHUNG")))</f>
        <v/>
      </c>
      <c r="Y77" s="50">
        <f>IF(OR(K77="",O77="",R77=""),"",IF(ABS(ROUND(((ROUND(N(K77)*100,0))-(ROUND(N(O77)*100,0))),0)-(ROUND(N(R77)*100,0)))&lt;=0,"OK","ABWEICHUNG"))</f>
        <v/>
      </c>
      <c r="Z77" s="50">
        <f>IF(OR(N77="",O77="",P77="",Q77="",T77=""),"",IF(ABS(ROUND(((ROUND(N(N77)*100,0)+ROUND(N(Q77)*100,0))-(ROUND(N(O77)*100,0)+ROUND(N(P77)*100,0))),0)-(ROUND(N(T77)*100,0)))&lt;=0,"OK","ABWEICHUNG"))</f>
        <v/>
      </c>
      <c r="AA77" s="44" t="n"/>
      <c r="AB77" s="44" t="n"/>
      <c r="AC77" s="44" t="n"/>
      <c r="AD77" s="44" t="n"/>
      <c r="AE77" s="85" t="n"/>
      <c r="AF77" s="85" t="n"/>
      <c r="AG77" s="44" t="n"/>
      <c r="AH77" s="44" t="n"/>
    </row>
    <row r="78">
      <c r="A78" s="44" t="n"/>
      <c r="B78" s="44" t="n"/>
      <c r="C78" s="44" t="n"/>
      <c r="D78" s="44" t="n"/>
      <c r="E78" s="44" t="n"/>
      <c r="F78" s="44" t="n"/>
      <c r="G78" s="45" t="n"/>
      <c r="H78" s="44" t="n"/>
      <c r="I78" s="45" t="n"/>
      <c r="J78" s="44" t="n"/>
      <c r="K78" s="85" t="n"/>
      <c r="L78" s="85" t="n"/>
      <c r="M78" s="85" t="n"/>
      <c r="N78" s="85" t="n"/>
      <c r="O78" s="85" t="n"/>
      <c r="P78" s="85" t="n"/>
      <c r="Q78" s="85" t="n"/>
      <c r="R78" s="85" t="n"/>
      <c r="S78" s="85" t="n"/>
      <c r="T78" s="85" t="n"/>
      <c r="U78" s="85" t="n"/>
      <c r="V78" s="44" t="n"/>
      <c r="W78" s="50">
        <f>IF(OR(M78="",Q78="",S78=""),"",IF(ABS(ROUND(((ROUND(N(M78)*100,0))-(ROUND(N(Q78)*100,0))),0)-(ROUND(N(S78)*100,0)))&lt;=0,"OK","ABWEICHUNG"))</f>
        <v/>
      </c>
      <c r="X78" s="50">
        <f>IF(OR(K78="",M78="",N78=""),"",IF(ABS(ROUND(((ROUND(N(K78)*100,0)+ROUND(N(L78)*100,0))-(ROUND(N(M78)*100,0))),0)-(ROUND(N(N78)*100,0)))&lt;=0,"OK",IF(OR(L78=""),"UNVOLLSTÄNDIG","ABWEICHUNG")))</f>
        <v/>
      </c>
      <c r="Y78" s="50">
        <f>IF(OR(K78="",O78="",R78=""),"",IF(ABS(ROUND(((ROUND(N(K78)*100,0))-(ROUND(N(O78)*100,0))),0)-(ROUND(N(R78)*100,0)))&lt;=0,"OK","ABWEICHUNG"))</f>
        <v/>
      </c>
      <c r="Z78" s="50">
        <f>IF(OR(N78="",O78="",P78="",Q78="",T78=""),"",IF(ABS(ROUND(((ROUND(N(N78)*100,0)+ROUND(N(Q78)*100,0))-(ROUND(N(O78)*100,0)+ROUND(N(P78)*100,0))),0)-(ROUND(N(T78)*100,0)))&lt;=0,"OK","ABWEICHUNG"))</f>
        <v/>
      </c>
      <c r="AA78" s="44" t="n"/>
      <c r="AB78" s="44" t="n"/>
      <c r="AC78" s="44" t="n"/>
      <c r="AD78" s="44" t="n"/>
      <c r="AE78" s="85" t="n"/>
      <c r="AF78" s="85" t="n"/>
      <c r="AG78" s="44" t="n"/>
      <c r="AH78" s="44" t="n"/>
    </row>
    <row r="79">
      <c r="A79" s="44" t="n"/>
      <c r="B79" s="44" t="n"/>
      <c r="C79" s="44" t="n"/>
      <c r="D79" s="44" t="n"/>
      <c r="E79" s="44" t="n"/>
      <c r="F79" s="44" t="n"/>
      <c r="G79" s="45" t="n"/>
      <c r="H79" s="44" t="n"/>
      <c r="I79" s="45" t="n"/>
      <c r="J79" s="44" t="n"/>
      <c r="K79" s="85" t="n"/>
      <c r="L79" s="85" t="n"/>
      <c r="M79" s="85" t="n"/>
      <c r="N79" s="85" t="n"/>
      <c r="O79" s="85" t="n"/>
      <c r="P79" s="85" t="n"/>
      <c r="Q79" s="85" t="n"/>
      <c r="R79" s="85" t="n"/>
      <c r="S79" s="85" t="n"/>
      <c r="T79" s="85" t="n"/>
      <c r="U79" s="85" t="n"/>
      <c r="V79" s="44" t="n"/>
      <c r="W79" s="50">
        <f>IF(OR(M79="",Q79="",S79=""),"",IF(ABS(ROUND(((ROUND(N(M79)*100,0))-(ROUND(N(Q79)*100,0))),0)-(ROUND(N(S79)*100,0)))&lt;=0,"OK","ABWEICHUNG"))</f>
        <v/>
      </c>
      <c r="X79" s="50">
        <f>IF(OR(K79="",M79="",N79=""),"",IF(ABS(ROUND(((ROUND(N(K79)*100,0)+ROUND(N(L79)*100,0))-(ROUND(N(M79)*100,0))),0)-(ROUND(N(N79)*100,0)))&lt;=0,"OK",IF(OR(L79=""),"UNVOLLSTÄNDIG","ABWEICHUNG")))</f>
        <v/>
      </c>
      <c r="Y79" s="50">
        <f>IF(OR(K79="",O79="",R79=""),"",IF(ABS(ROUND(((ROUND(N(K79)*100,0))-(ROUND(N(O79)*100,0))),0)-(ROUND(N(R79)*100,0)))&lt;=0,"OK","ABWEICHUNG"))</f>
        <v/>
      </c>
      <c r="Z79" s="50">
        <f>IF(OR(N79="",O79="",P79="",Q79="",T79=""),"",IF(ABS(ROUND(((ROUND(N(N79)*100,0)+ROUND(N(Q79)*100,0))-(ROUND(N(O79)*100,0)+ROUND(N(P79)*100,0))),0)-(ROUND(N(T79)*100,0)))&lt;=0,"OK","ABWEICHUNG"))</f>
        <v/>
      </c>
      <c r="AA79" s="44" t="n"/>
      <c r="AB79" s="44" t="n"/>
      <c r="AC79" s="44" t="n"/>
      <c r="AD79" s="44" t="n"/>
      <c r="AE79" s="85" t="n"/>
      <c r="AF79" s="85" t="n"/>
      <c r="AG79" s="44" t="n"/>
      <c r="AH79" s="44" t="n"/>
    </row>
    <row r="80">
      <c r="A80" s="44" t="n"/>
      <c r="B80" s="44" t="n"/>
      <c r="C80" s="44" t="n"/>
      <c r="D80" s="44" t="n"/>
      <c r="E80" s="44" t="n"/>
      <c r="F80" s="44" t="n"/>
      <c r="G80" s="45" t="n"/>
      <c r="H80" s="44" t="n"/>
      <c r="I80" s="45" t="n"/>
      <c r="J80" s="44" t="n"/>
      <c r="K80" s="85" t="n"/>
      <c r="L80" s="85" t="n"/>
      <c r="M80" s="85" t="n"/>
      <c r="N80" s="85" t="n"/>
      <c r="O80" s="85" t="n"/>
      <c r="P80" s="85" t="n"/>
      <c r="Q80" s="85" t="n"/>
      <c r="R80" s="85" t="n"/>
      <c r="S80" s="85" t="n"/>
      <c r="T80" s="85" t="n"/>
      <c r="U80" s="85" t="n"/>
      <c r="V80" s="44" t="n"/>
      <c r="W80" s="50">
        <f>IF(OR(M80="",Q80="",S80=""),"",IF(ABS(ROUND(((ROUND(N(M80)*100,0))-(ROUND(N(Q80)*100,0))),0)-(ROUND(N(S80)*100,0)))&lt;=0,"OK","ABWEICHUNG"))</f>
        <v/>
      </c>
      <c r="X80" s="50">
        <f>IF(OR(K80="",M80="",N80=""),"",IF(ABS(ROUND(((ROUND(N(K80)*100,0)+ROUND(N(L80)*100,0))-(ROUND(N(M80)*100,0))),0)-(ROUND(N(N80)*100,0)))&lt;=0,"OK",IF(OR(L80=""),"UNVOLLSTÄNDIG","ABWEICHUNG")))</f>
        <v/>
      </c>
      <c r="Y80" s="50">
        <f>IF(OR(K80="",O80="",R80=""),"",IF(ABS(ROUND(((ROUND(N(K80)*100,0))-(ROUND(N(O80)*100,0))),0)-(ROUND(N(R80)*100,0)))&lt;=0,"OK","ABWEICHUNG"))</f>
        <v/>
      </c>
      <c r="Z80" s="50">
        <f>IF(OR(N80="",O80="",P80="",Q80="",T80=""),"",IF(ABS(ROUND(((ROUND(N(N80)*100,0)+ROUND(N(Q80)*100,0))-(ROUND(N(O80)*100,0)+ROUND(N(P80)*100,0))),0)-(ROUND(N(T80)*100,0)))&lt;=0,"OK","ABWEICHUNG"))</f>
        <v/>
      </c>
      <c r="AA80" s="44" t="n"/>
      <c r="AB80" s="44" t="n"/>
      <c r="AC80" s="44" t="n"/>
      <c r="AD80" s="44" t="n"/>
      <c r="AE80" s="85" t="n"/>
      <c r="AF80" s="85" t="n"/>
      <c r="AG80" s="44" t="n"/>
      <c r="AH80" s="44" t="n"/>
    </row>
    <row r="81">
      <c r="A81" s="44" t="n"/>
      <c r="B81" s="44" t="n"/>
      <c r="C81" s="44" t="n"/>
      <c r="D81" s="44" t="n"/>
      <c r="E81" s="44" t="n"/>
      <c r="F81" s="44" t="n"/>
      <c r="G81" s="45" t="n"/>
      <c r="H81" s="44" t="n"/>
      <c r="I81" s="45" t="n"/>
      <c r="J81" s="44" t="n"/>
      <c r="K81" s="85" t="n"/>
      <c r="L81" s="85" t="n"/>
      <c r="M81" s="85" t="n"/>
      <c r="N81" s="85" t="n"/>
      <c r="O81" s="85" t="n"/>
      <c r="P81" s="85" t="n"/>
      <c r="Q81" s="85" t="n"/>
      <c r="R81" s="85" t="n"/>
      <c r="S81" s="85" t="n"/>
      <c r="T81" s="85" t="n"/>
      <c r="U81" s="85" t="n"/>
      <c r="V81" s="44" t="n"/>
      <c r="W81" s="50">
        <f>IF(OR(M81="",Q81="",S81=""),"",IF(ABS(ROUND(((ROUND(N(M81)*100,0))-(ROUND(N(Q81)*100,0))),0)-(ROUND(N(S81)*100,0)))&lt;=0,"OK","ABWEICHUNG"))</f>
        <v/>
      </c>
      <c r="X81" s="50">
        <f>IF(OR(K81="",M81="",N81=""),"",IF(ABS(ROUND(((ROUND(N(K81)*100,0)+ROUND(N(L81)*100,0))-(ROUND(N(M81)*100,0))),0)-(ROUND(N(N81)*100,0)))&lt;=0,"OK",IF(OR(L81=""),"UNVOLLSTÄNDIG","ABWEICHUNG")))</f>
        <v/>
      </c>
      <c r="Y81" s="50">
        <f>IF(OR(K81="",O81="",R81=""),"",IF(ABS(ROUND(((ROUND(N(K81)*100,0))-(ROUND(N(O81)*100,0))),0)-(ROUND(N(R81)*100,0)))&lt;=0,"OK","ABWEICHUNG"))</f>
        <v/>
      </c>
      <c r="Z81" s="50">
        <f>IF(OR(N81="",O81="",P81="",Q81="",T81=""),"",IF(ABS(ROUND(((ROUND(N(N81)*100,0)+ROUND(N(Q81)*100,0))-(ROUND(N(O81)*100,0)+ROUND(N(P81)*100,0))),0)-(ROUND(N(T81)*100,0)))&lt;=0,"OK","ABWEICHUNG"))</f>
        <v/>
      </c>
      <c r="AA81" s="44" t="n"/>
      <c r="AB81" s="44" t="n"/>
      <c r="AC81" s="44" t="n"/>
      <c r="AD81" s="44" t="n"/>
      <c r="AE81" s="85" t="n"/>
      <c r="AF81" s="85" t="n"/>
      <c r="AG81" s="44" t="n"/>
      <c r="AH81" s="44" t="n"/>
    </row>
    <row r="82">
      <c r="A82" s="44" t="n"/>
      <c r="B82" s="44" t="n"/>
      <c r="C82" s="44" t="n"/>
      <c r="D82" s="44" t="n"/>
      <c r="E82" s="44" t="n"/>
      <c r="F82" s="44" t="n"/>
      <c r="G82" s="45" t="n"/>
      <c r="H82" s="44" t="n"/>
      <c r="I82" s="45" t="n"/>
      <c r="J82" s="44" t="n"/>
      <c r="K82" s="85" t="n"/>
      <c r="L82" s="85" t="n"/>
      <c r="M82" s="85" t="n"/>
      <c r="N82" s="85" t="n"/>
      <c r="O82" s="85" t="n"/>
      <c r="P82" s="85" t="n"/>
      <c r="Q82" s="85" t="n"/>
      <c r="R82" s="85" t="n"/>
      <c r="S82" s="85" t="n"/>
      <c r="T82" s="85" t="n"/>
      <c r="U82" s="85" t="n"/>
      <c r="V82" s="44" t="n"/>
      <c r="W82" s="50">
        <f>IF(OR(M82="",Q82="",S82=""),"",IF(ABS(ROUND(((ROUND(N(M82)*100,0))-(ROUND(N(Q82)*100,0))),0)-(ROUND(N(S82)*100,0)))&lt;=0,"OK","ABWEICHUNG"))</f>
        <v/>
      </c>
      <c r="X82" s="50">
        <f>IF(OR(K82="",M82="",N82=""),"",IF(ABS(ROUND(((ROUND(N(K82)*100,0)+ROUND(N(L82)*100,0))-(ROUND(N(M82)*100,0))),0)-(ROUND(N(N82)*100,0)))&lt;=0,"OK",IF(OR(L82=""),"UNVOLLSTÄNDIG","ABWEICHUNG")))</f>
        <v/>
      </c>
      <c r="Y82" s="50">
        <f>IF(OR(K82="",O82="",R82=""),"",IF(ABS(ROUND(((ROUND(N(K82)*100,0))-(ROUND(N(O82)*100,0))),0)-(ROUND(N(R82)*100,0)))&lt;=0,"OK","ABWEICHUNG"))</f>
        <v/>
      </c>
      <c r="Z82" s="50">
        <f>IF(OR(N82="",O82="",P82="",Q82="",T82=""),"",IF(ABS(ROUND(((ROUND(N(N82)*100,0)+ROUND(N(Q82)*100,0))-(ROUND(N(O82)*100,0)+ROUND(N(P82)*100,0))),0)-(ROUND(N(T82)*100,0)))&lt;=0,"OK","ABWEICHUNG"))</f>
        <v/>
      </c>
      <c r="AA82" s="44" t="n"/>
      <c r="AB82" s="44" t="n"/>
      <c r="AC82" s="44" t="n"/>
      <c r="AD82" s="44" t="n"/>
      <c r="AE82" s="85" t="n"/>
      <c r="AF82" s="85" t="n"/>
      <c r="AG82" s="44" t="n"/>
      <c r="AH82" s="44" t="n"/>
    </row>
    <row r="83">
      <c r="A83" s="44" t="n"/>
      <c r="B83" s="44" t="n"/>
      <c r="C83" s="44" t="n"/>
      <c r="D83" s="44" t="n"/>
      <c r="E83" s="44" t="n"/>
      <c r="F83" s="44" t="n"/>
      <c r="G83" s="45" t="n"/>
      <c r="H83" s="44" t="n"/>
      <c r="I83" s="45" t="n"/>
      <c r="J83" s="44" t="n"/>
      <c r="K83" s="85" t="n"/>
      <c r="L83" s="85" t="n"/>
      <c r="M83" s="85" t="n"/>
      <c r="N83" s="85" t="n"/>
      <c r="O83" s="85" t="n"/>
      <c r="P83" s="85" t="n"/>
      <c r="Q83" s="85" t="n"/>
      <c r="R83" s="85" t="n"/>
      <c r="S83" s="85" t="n"/>
      <c r="T83" s="85" t="n"/>
      <c r="U83" s="85" t="n"/>
      <c r="V83" s="44" t="n"/>
      <c r="W83" s="50">
        <f>IF(OR(M83="",Q83="",S83=""),"",IF(ABS(ROUND(((ROUND(N(M83)*100,0))-(ROUND(N(Q83)*100,0))),0)-(ROUND(N(S83)*100,0)))&lt;=0,"OK","ABWEICHUNG"))</f>
        <v/>
      </c>
      <c r="X83" s="50">
        <f>IF(OR(K83="",M83="",N83=""),"",IF(ABS(ROUND(((ROUND(N(K83)*100,0)+ROUND(N(L83)*100,0))-(ROUND(N(M83)*100,0))),0)-(ROUND(N(N83)*100,0)))&lt;=0,"OK",IF(OR(L83=""),"UNVOLLSTÄNDIG","ABWEICHUNG")))</f>
        <v/>
      </c>
      <c r="Y83" s="50">
        <f>IF(OR(K83="",O83="",R83=""),"",IF(ABS(ROUND(((ROUND(N(K83)*100,0))-(ROUND(N(O83)*100,0))),0)-(ROUND(N(R83)*100,0)))&lt;=0,"OK","ABWEICHUNG"))</f>
        <v/>
      </c>
      <c r="Z83" s="50">
        <f>IF(OR(N83="",O83="",P83="",Q83="",T83=""),"",IF(ABS(ROUND(((ROUND(N(N83)*100,0)+ROUND(N(Q83)*100,0))-(ROUND(N(O83)*100,0)+ROUND(N(P83)*100,0))),0)-(ROUND(N(T83)*100,0)))&lt;=0,"OK","ABWEICHUNG"))</f>
        <v/>
      </c>
      <c r="AA83" s="44" t="n"/>
      <c r="AB83" s="44" t="n"/>
      <c r="AC83" s="44" t="n"/>
      <c r="AD83" s="44" t="n"/>
      <c r="AE83" s="85" t="n"/>
      <c r="AF83" s="85" t="n"/>
      <c r="AG83" s="44" t="n"/>
      <c r="AH83" s="44" t="n"/>
    </row>
    <row r="84">
      <c r="A84" s="44" t="n"/>
      <c r="B84" s="44" t="n"/>
      <c r="C84" s="44" t="n"/>
      <c r="D84" s="44" t="n"/>
      <c r="E84" s="44" t="n"/>
      <c r="F84" s="44" t="n"/>
      <c r="G84" s="45" t="n"/>
      <c r="H84" s="44" t="n"/>
      <c r="I84" s="45" t="n"/>
      <c r="J84" s="44" t="n"/>
      <c r="K84" s="85" t="n"/>
      <c r="L84" s="85" t="n"/>
      <c r="M84" s="85" t="n"/>
      <c r="N84" s="85" t="n"/>
      <c r="O84" s="85" t="n"/>
      <c r="P84" s="85" t="n"/>
      <c r="Q84" s="85" t="n"/>
      <c r="R84" s="85" t="n"/>
      <c r="S84" s="85" t="n"/>
      <c r="T84" s="85" t="n"/>
      <c r="U84" s="85" t="n"/>
      <c r="V84" s="44" t="n"/>
      <c r="W84" s="50">
        <f>IF(OR(M84="",Q84="",S84=""),"",IF(ABS(ROUND(((ROUND(N(M84)*100,0))-(ROUND(N(Q84)*100,0))),0)-(ROUND(N(S84)*100,0)))&lt;=0,"OK","ABWEICHUNG"))</f>
        <v/>
      </c>
      <c r="X84" s="50">
        <f>IF(OR(K84="",M84="",N84=""),"",IF(ABS(ROUND(((ROUND(N(K84)*100,0)+ROUND(N(L84)*100,0))-(ROUND(N(M84)*100,0))),0)-(ROUND(N(N84)*100,0)))&lt;=0,"OK",IF(OR(L84=""),"UNVOLLSTÄNDIG","ABWEICHUNG")))</f>
        <v/>
      </c>
      <c r="Y84" s="50">
        <f>IF(OR(K84="",O84="",R84=""),"",IF(ABS(ROUND(((ROUND(N(K84)*100,0))-(ROUND(N(O84)*100,0))),0)-(ROUND(N(R84)*100,0)))&lt;=0,"OK","ABWEICHUNG"))</f>
        <v/>
      </c>
      <c r="Z84" s="50">
        <f>IF(OR(N84="",O84="",P84="",Q84="",T84=""),"",IF(ABS(ROUND(((ROUND(N(N84)*100,0)+ROUND(N(Q84)*100,0))-(ROUND(N(O84)*100,0)+ROUND(N(P84)*100,0))),0)-(ROUND(N(T84)*100,0)))&lt;=0,"OK","ABWEICHUNG"))</f>
        <v/>
      </c>
      <c r="AA84" s="44" t="n"/>
      <c r="AB84" s="44" t="n"/>
      <c r="AC84" s="44" t="n"/>
      <c r="AD84" s="44" t="n"/>
      <c r="AE84" s="85" t="n"/>
      <c r="AF84" s="85" t="n"/>
      <c r="AG84" s="44" t="n"/>
      <c r="AH84" s="44" t="n"/>
    </row>
    <row r="85">
      <c r="A85" s="44" t="n"/>
      <c r="B85" s="44" t="n"/>
      <c r="C85" s="44" t="n"/>
      <c r="D85" s="44" t="n"/>
      <c r="E85" s="44" t="n"/>
      <c r="F85" s="44" t="n"/>
      <c r="G85" s="45" t="n"/>
      <c r="H85" s="44" t="n"/>
      <c r="I85" s="45" t="n"/>
      <c r="J85" s="44" t="n"/>
      <c r="K85" s="85" t="n"/>
      <c r="L85" s="85" t="n"/>
      <c r="M85" s="85" t="n"/>
      <c r="N85" s="85" t="n"/>
      <c r="O85" s="85" t="n"/>
      <c r="P85" s="85" t="n"/>
      <c r="Q85" s="85" t="n"/>
      <c r="R85" s="85" t="n"/>
      <c r="S85" s="85" t="n"/>
      <c r="T85" s="85" t="n"/>
      <c r="U85" s="85" t="n"/>
      <c r="V85" s="44" t="n"/>
      <c r="W85" s="50">
        <f>IF(OR(M85="",Q85="",S85=""),"",IF(ABS(ROUND(((ROUND(N(M85)*100,0))-(ROUND(N(Q85)*100,0))),0)-(ROUND(N(S85)*100,0)))&lt;=0,"OK","ABWEICHUNG"))</f>
        <v/>
      </c>
      <c r="X85" s="50">
        <f>IF(OR(K85="",M85="",N85=""),"",IF(ABS(ROUND(((ROUND(N(K85)*100,0)+ROUND(N(L85)*100,0))-(ROUND(N(M85)*100,0))),0)-(ROUND(N(N85)*100,0)))&lt;=0,"OK",IF(OR(L85=""),"UNVOLLSTÄNDIG","ABWEICHUNG")))</f>
        <v/>
      </c>
      <c r="Y85" s="50">
        <f>IF(OR(K85="",O85="",R85=""),"",IF(ABS(ROUND(((ROUND(N(K85)*100,0))-(ROUND(N(O85)*100,0))),0)-(ROUND(N(R85)*100,0)))&lt;=0,"OK","ABWEICHUNG"))</f>
        <v/>
      </c>
      <c r="Z85" s="50">
        <f>IF(OR(N85="",O85="",P85="",Q85="",T85=""),"",IF(ABS(ROUND(((ROUND(N(N85)*100,0)+ROUND(N(Q85)*100,0))-(ROUND(N(O85)*100,0)+ROUND(N(P85)*100,0))),0)-(ROUND(N(T85)*100,0)))&lt;=0,"OK","ABWEICHUNG"))</f>
        <v/>
      </c>
      <c r="AA85" s="44" t="n"/>
      <c r="AB85" s="44" t="n"/>
      <c r="AC85" s="44" t="n"/>
      <c r="AD85" s="44" t="n"/>
      <c r="AE85" s="85" t="n"/>
      <c r="AF85" s="85" t="n"/>
      <c r="AG85" s="44" t="n"/>
      <c r="AH85" s="44" t="n"/>
    </row>
    <row r="86">
      <c r="A86" s="44" t="n"/>
      <c r="B86" s="44" t="n"/>
      <c r="C86" s="44" t="n"/>
      <c r="D86" s="44" t="n"/>
      <c r="E86" s="44" t="n"/>
      <c r="F86" s="44" t="n"/>
      <c r="G86" s="45" t="n"/>
      <c r="H86" s="44" t="n"/>
      <c r="I86" s="45" t="n"/>
      <c r="J86" s="44" t="n"/>
      <c r="K86" s="85" t="n"/>
      <c r="L86" s="85" t="n"/>
      <c r="M86" s="85" t="n"/>
      <c r="N86" s="85" t="n"/>
      <c r="O86" s="85" t="n"/>
      <c r="P86" s="85" t="n"/>
      <c r="Q86" s="85" t="n"/>
      <c r="R86" s="85" t="n"/>
      <c r="S86" s="85" t="n"/>
      <c r="T86" s="85" t="n"/>
      <c r="U86" s="85" t="n"/>
      <c r="V86" s="44" t="n"/>
      <c r="W86" s="50">
        <f>IF(OR(M86="",Q86="",S86=""),"",IF(ABS(ROUND(((ROUND(N(M86)*100,0))-(ROUND(N(Q86)*100,0))),0)-(ROUND(N(S86)*100,0)))&lt;=0,"OK","ABWEICHUNG"))</f>
        <v/>
      </c>
      <c r="X86" s="50">
        <f>IF(OR(K86="",M86="",N86=""),"",IF(ABS(ROUND(((ROUND(N(K86)*100,0)+ROUND(N(L86)*100,0))-(ROUND(N(M86)*100,0))),0)-(ROUND(N(N86)*100,0)))&lt;=0,"OK",IF(OR(L86=""),"UNVOLLSTÄNDIG","ABWEICHUNG")))</f>
        <v/>
      </c>
      <c r="Y86" s="50">
        <f>IF(OR(K86="",O86="",R86=""),"",IF(ABS(ROUND(((ROUND(N(K86)*100,0))-(ROUND(N(O86)*100,0))),0)-(ROUND(N(R86)*100,0)))&lt;=0,"OK","ABWEICHUNG"))</f>
        <v/>
      </c>
      <c r="Z86" s="50">
        <f>IF(OR(N86="",O86="",P86="",Q86="",T86=""),"",IF(ABS(ROUND(((ROUND(N(N86)*100,0)+ROUND(N(Q86)*100,0))-(ROUND(N(O86)*100,0)+ROUND(N(P86)*100,0))),0)-(ROUND(N(T86)*100,0)))&lt;=0,"OK","ABWEICHUNG"))</f>
        <v/>
      </c>
      <c r="AA86" s="44" t="n"/>
      <c r="AB86" s="44" t="n"/>
      <c r="AC86" s="44" t="n"/>
      <c r="AD86" s="44" t="n"/>
      <c r="AE86" s="85" t="n"/>
      <c r="AF86" s="85" t="n"/>
      <c r="AG86" s="44" t="n"/>
      <c r="AH86" s="44" t="n"/>
    </row>
    <row r="87">
      <c r="A87" s="44" t="n"/>
      <c r="B87" s="44" t="n"/>
      <c r="C87" s="44" t="n"/>
      <c r="D87" s="44" t="n"/>
      <c r="E87" s="44" t="n"/>
      <c r="F87" s="44" t="n"/>
      <c r="G87" s="45" t="n"/>
      <c r="H87" s="44" t="n"/>
      <c r="I87" s="45" t="n"/>
      <c r="J87" s="44" t="n"/>
      <c r="K87" s="85" t="n"/>
      <c r="L87" s="85" t="n"/>
      <c r="M87" s="85" t="n"/>
      <c r="N87" s="85" t="n"/>
      <c r="O87" s="85" t="n"/>
      <c r="P87" s="85" t="n"/>
      <c r="Q87" s="85" t="n"/>
      <c r="R87" s="85" t="n"/>
      <c r="S87" s="85" t="n"/>
      <c r="T87" s="85" t="n"/>
      <c r="U87" s="85" t="n"/>
      <c r="V87" s="44" t="n"/>
      <c r="W87" s="50">
        <f>IF(OR(M87="",Q87="",S87=""),"",IF(ABS(ROUND(((ROUND(N(M87)*100,0))-(ROUND(N(Q87)*100,0))),0)-(ROUND(N(S87)*100,0)))&lt;=0,"OK","ABWEICHUNG"))</f>
        <v/>
      </c>
      <c r="X87" s="50">
        <f>IF(OR(K87="",M87="",N87=""),"",IF(ABS(ROUND(((ROUND(N(K87)*100,0)+ROUND(N(L87)*100,0))-(ROUND(N(M87)*100,0))),0)-(ROUND(N(N87)*100,0)))&lt;=0,"OK",IF(OR(L87=""),"UNVOLLSTÄNDIG","ABWEICHUNG")))</f>
        <v/>
      </c>
      <c r="Y87" s="50">
        <f>IF(OR(K87="",O87="",R87=""),"",IF(ABS(ROUND(((ROUND(N(K87)*100,0))-(ROUND(N(O87)*100,0))),0)-(ROUND(N(R87)*100,0)))&lt;=0,"OK","ABWEICHUNG"))</f>
        <v/>
      </c>
      <c r="Z87" s="50">
        <f>IF(OR(N87="",O87="",P87="",Q87="",T87=""),"",IF(ABS(ROUND(((ROUND(N(N87)*100,0)+ROUND(N(Q87)*100,0))-(ROUND(N(O87)*100,0)+ROUND(N(P87)*100,0))),0)-(ROUND(N(T87)*100,0)))&lt;=0,"OK","ABWEICHUNG"))</f>
        <v/>
      </c>
      <c r="AA87" s="44" t="n"/>
      <c r="AB87" s="44" t="n"/>
      <c r="AC87" s="44" t="n"/>
      <c r="AD87" s="44" t="n"/>
      <c r="AE87" s="85" t="n"/>
      <c r="AF87" s="85" t="n"/>
      <c r="AG87" s="44" t="n"/>
      <c r="AH87" s="44" t="n"/>
    </row>
    <row r="88">
      <c r="A88" s="44" t="n"/>
      <c r="B88" s="44" t="n"/>
      <c r="C88" s="44" t="n"/>
      <c r="D88" s="44" t="n"/>
      <c r="E88" s="44" t="n"/>
      <c r="F88" s="44" t="n"/>
      <c r="G88" s="45" t="n"/>
      <c r="H88" s="44" t="n"/>
      <c r="I88" s="45" t="n"/>
      <c r="J88" s="44" t="n"/>
      <c r="K88" s="85" t="n"/>
      <c r="L88" s="85" t="n"/>
      <c r="M88" s="85" t="n"/>
      <c r="N88" s="85" t="n"/>
      <c r="O88" s="85" t="n"/>
      <c r="P88" s="85" t="n"/>
      <c r="Q88" s="85" t="n"/>
      <c r="R88" s="85" t="n"/>
      <c r="S88" s="85" t="n"/>
      <c r="T88" s="85" t="n"/>
      <c r="U88" s="85" t="n"/>
      <c r="V88" s="44" t="n"/>
      <c r="W88" s="50">
        <f>IF(OR(M88="",Q88="",S88=""),"",IF(ABS(ROUND(((ROUND(N(M88)*100,0))-(ROUND(N(Q88)*100,0))),0)-(ROUND(N(S88)*100,0)))&lt;=0,"OK","ABWEICHUNG"))</f>
        <v/>
      </c>
      <c r="X88" s="50">
        <f>IF(OR(K88="",M88="",N88=""),"",IF(ABS(ROUND(((ROUND(N(K88)*100,0)+ROUND(N(L88)*100,0))-(ROUND(N(M88)*100,0))),0)-(ROUND(N(N88)*100,0)))&lt;=0,"OK",IF(OR(L88=""),"UNVOLLSTÄNDIG","ABWEICHUNG")))</f>
        <v/>
      </c>
      <c r="Y88" s="50">
        <f>IF(OR(K88="",O88="",R88=""),"",IF(ABS(ROUND(((ROUND(N(K88)*100,0))-(ROUND(N(O88)*100,0))),0)-(ROUND(N(R88)*100,0)))&lt;=0,"OK","ABWEICHUNG"))</f>
        <v/>
      </c>
      <c r="Z88" s="50">
        <f>IF(OR(N88="",O88="",P88="",Q88="",T88=""),"",IF(ABS(ROUND(((ROUND(N(N88)*100,0)+ROUND(N(Q88)*100,0))-(ROUND(N(O88)*100,0)+ROUND(N(P88)*100,0))),0)-(ROUND(N(T88)*100,0)))&lt;=0,"OK","ABWEICHUNG"))</f>
        <v/>
      </c>
      <c r="AA88" s="44" t="n"/>
      <c r="AB88" s="44" t="n"/>
      <c r="AC88" s="44" t="n"/>
      <c r="AD88" s="44" t="n"/>
      <c r="AE88" s="85" t="n"/>
      <c r="AF88" s="85" t="n"/>
      <c r="AG88" s="44" t="n"/>
      <c r="AH88" s="44" t="n"/>
    </row>
    <row r="89">
      <c r="A89" s="44" t="n"/>
      <c r="B89" s="44" t="n"/>
      <c r="C89" s="44" t="n"/>
      <c r="D89" s="44" t="n"/>
      <c r="E89" s="44" t="n"/>
      <c r="F89" s="44" t="n"/>
      <c r="G89" s="45" t="n"/>
      <c r="H89" s="44" t="n"/>
      <c r="I89" s="45" t="n"/>
      <c r="J89" s="44" t="n"/>
      <c r="K89" s="85" t="n"/>
      <c r="L89" s="85" t="n"/>
      <c r="M89" s="85" t="n"/>
      <c r="N89" s="85" t="n"/>
      <c r="O89" s="85" t="n"/>
      <c r="P89" s="85" t="n"/>
      <c r="Q89" s="85" t="n"/>
      <c r="R89" s="85" t="n"/>
      <c r="S89" s="85" t="n"/>
      <c r="T89" s="85" t="n"/>
      <c r="U89" s="85" t="n"/>
      <c r="V89" s="44" t="n"/>
      <c r="W89" s="50">
        <f>IF(OR(M89="",Q89="",S89=""),"",IF(ABS(ROUND(((ROUND(N(M89)*100,0))-(ROUND(N(Q89)*100,0))),0)-(ROUND(N(S89)*100,0)))&lt;=0,"OK","ABWEICHUNG"))</f>
        <v/>
      </c>
      <c r="X89" s="50">
        <f>IF(OR(K89="",M89="",N89=""),"",IF(ABS(ROUND(((ROUND(N(K89)*100,0)+ROUND(N(L89)*100,0))-(ROUND(N(M89)*100,0))),0)-(ROUND(N(N89)*100,0)))&lt;=0,"OK",IF(OR(L89=""),"UNVOLLSTÄNDIG","ABWEICHUNG")))</f>
        <v/>
      </c>
      <c r="Y89" s="50">
        <f>IF(OR(K89="",O89="",R89=""),"",IF(ABS(ROUND(((ROUND(N(K89)*100,0))-(ROUND(N(O89)*100,0))),0)-(ROUND(N(R89)*100,0)))&lt;=0,"OK","ABWEICHUNG"))</f>
        <v/>
      </c>
      <c r="Z89" s="50">
        <f>IF(OR(N89="",O89="",P89="",Q89="",T89=""),"",IF(ABS(ROUND(((ROUND(N(N89)*100,0)+ROUND(N(Q89)*100,0))-(ROUND(N(O89)*100,0)+ROUND(N(P89)*100,0))),0)-(ROUND(N(T89)*100,0)))&lt;=0,"OK","ABWEICHUNG"))</f>
        <v/>
      </c>
      <c r="AA89" s="44" t="n"/>
      <c r="AB89" s="44" t="n"/>
      <c r="AC89" s="44" t="n"/>
      <c r="AD89" s="44" t="n"/>
      <c r="AE89" s="85" t="n"/>
      <c r="AF89" s="85" t="n"/>
      <c r="AG89" s="44" t="n"/>
      <c r="AH89" s="44" t="n"/>
    </row>
    <row r="90">
      <c r="A90" s="44" t="n"/>
      <c r="B90" s="44" t="n"/>
      <c r="C90" s="44" t="n"/>
      <c r="D90" s="44" t="n"/>
      <c r="E90" s="44" t="n"/>
      <c r="F90" s="44" t="n"/>
      <c r="G90" s="45" t="n"/>
      <c r="H90" s="44" t="n"/>
      <c r="I90" s="45" t="n"/>
      <c r="J90" s="44" t="n"/>
      <c r="K90" s="85" t="n"/>
      <c r="L90" s="85" t="n"/>
      <c r="M90" s="85" t="n"/>
      <c r="N90" s="85" t="n"/>
      <c r="O90" s="85" t="n"/>
      <c r="P90" s="85" t="n"/>
      <c r="Q90" s="85" t="n"/>
      <c r="R90" s="85" t="n"/>
      <c r="S90" s="85" t="n"/>
      <c r="T90" s="85" t="n"/>
      <c r="U90" s="85" t="n"/>
      <c r="V90" s="44" t="n"/>
      <c r="W90" s="50">
        <f>IF(OR(M90="",Q90="",S90=""),"",IF(ABS(ROUND(((ROUND(N(M90)*100,0))-(ROUND(N(Q90)*100,0))),0)-(ROUND(N(S90)*100,0)))&lt;=0,"OK","ABWEICHUNG"))</f>
        <v/>
      </c>
      <c r="X90" s="50">
        <f>IF(OR(K90="",M90="",N90=""),"",IF(ABS(ROUND(((ROUND(N(K90)*100,0)+ROUND(N(L90)*100,0))-(ROUND(N(M90)*100,0))),0)-(ROUND(N(N90)*100,0)))&lt;=0,"OK",IF(OR(L90=""),"UNVOLLSTÄNDIG","ABWEICHUNG")))</f>
        <v/>
      </c>
      <c r="Y90" s="50">
        <f>IF(OR(K90="",O90="",R90=""),"",IF(ABS(ROUND(((ROUND(N(K90)*100,0))-(ROUND(N(O90)*100,0))),0)-(ROUND(N(R90)*100,0)))&lt;=0,"OK","ABWEICHUNG"))</f>
        <v/>
      </c>
      <c r="Z90" s="50">
        <f>IF(OR(N90="",O90="",P90="",Q90="",T90=""),"",IF(ABS(ROUND(((ROUND(N(N90)*100,0)+ROUND(N(Q90)*100,0))-(ROUND(N(O90)*100,0)+ROUND(N(P90)*100,0))),0)-(ROUND(N(T90)*100,0)))&lt;=0,"OK","ABWEICHUNG"))</f>
        <v/>
      </c>
      <c r="AA90" s="44" t="n"/>
      <c r="AB90" s="44" t="n"/>
      <c r="AC90" s="44" t="n"/>
      <c r="AD90" s="44" t="n"/>
      <c r="AE90" s="85" t="n"/>
      <c r="AF90" s="85" t="n"/>
      <c r="AG90" s="44" t="n"/>
      <c r="AH90" s="44" t="n"/>
    </row>
    <row r="91">
      <c r="A91" s="44" t="n"/>
      <c r="B91" s="44" t="n"/>
      <c r="C91" s="44" t="n"/>
      <c r="D91" s="44" t="n"/>
      <c r="E91" s="44" t="n"/>
      <c r="F91" s="44" t="n"/>
      <c r="G91" s="45" t="n"/>
      <c r="H91" s="44" t="n"/>
      <c r="I91" s="45" t="n"/>
      <c r="J91" s="44" t="n"/>
      <c r="K91" s="85" t="n"/>
      <c r="L91" s="85" t="n"/>
      <c r="M91" s="85" t="n"/>
      <c r="N91" s="85" t="n"/>
      <c r="O91" s="85" t="n"/>
      <c r="P91" s="85" t="n"/>
      <c r="Q91" s="85" t="n"/>
      <c r="R91" s="85" t="n"/>
      <c r="S91" s="85" t="n"/>
      <c r="T91" s="85" t="n"/>
      <c r="U91" s="85" t="n"/>
      <c r="V91" s="44" t="n"/>
      <c r="W91" s="50">
        <f>IF(OR(M91="",Q91="",S91=""),"",IF(ABS(ROUND(((ROUND(N(M91)*100,0))-(ROUND(N(Q91)*100,0))),0)-(ROUND(N(S91)*100,0)))&lt;=0,"OK","ABWEICHUNG"))</f>
        <v/>
      </c>
      <c r="X91" s="50">
        <f>IF(OR(K91="",M91="",N91=""),"",IF(ABS(ROUND(((ROUND(N(K91)*100,0)+ROUND(N(L91)*100,0))-(ROUND(N(M91)*100,0))),0)-(ROUND(N(N91)*100,0)))&lt;=0,"OK",IF(OR(L91=""),"UNVOLLSTÄNDIG","ABWEICHUNG")))</f>
        <v/>
      </c>
      <c r="Y91" s="50">
        <f>IF(OR(K91="",O91="",R91=""),"",IF(ABS(ROUND(((ROUND(N(K91)*100,0))-(ROUND(N(O91)*100,0))),0)-(ROUND(N(R91)*100,0)))&lt;=0,"OK","ABWEICHUNG"))</f>
        <v/>
      </c>
      <c r="Z91" s="50">
        <f>IF(OR(N91="",O91="",P91="",Q91="",T91=""),"",IF(ABS(ROUND(((ROUND(N(N91)*100,0)+ROUND(N(Q91)*100,0))-(ROUND(N(O91)*100,0)+ROUND(N(P91)*100,0))),0)-(ROUND(N(T91)*100,0)))&lt;=0,"OK","ABWEICHUNG"))</f>
        <v/>
      </c>
      <c r="AA91" s="44" t="n"/>
      <c r="AB91" s="44" t="n"/>
      <c r="AC91" s="44" t="n"/>
      <c r="AD91" s="44" t="n"/>
      <c r="AE91" s="85" t="n"/>
      <c r="AF91" s="85" t="n"/>
      <c r="AG91" s="44" t="n"/>
      <c r="AH91" s="44" t="n"/>
    </row>
    <row r="92">
      <c r="A92" s="44" t="n"/>
      <c r="B92" s="44" t="n"/>
      <c r="C92" s="44" t="n"/>
      <c r="D92" s="44" t="n"/>
      <c r="E92" s="44" t="n"/>
      <c r="F92" s="44" t="n"/>
      <c r="G92" s="45" t="n"/>
      <c r="H92" s="44" t="n"/>
      <c r="I92" s="45" t="n"/>
      <c r="J92" s="44" t="n"/>
      <c r="K92" s="85" t="n"/>
      <c r="L92" s="85" t="n"/>
      <c r="M92" s="85" t="n"/>
      <c r="N92" s="85" t="n"/>
      <c r="O92" s="85" t="n"/>
      <c r="P92" s="85" t="n"/>
      <c r="Q92" s="85" t="n"/>
      <c r="R92" s="85" t="n"/>
      <c r="S92" s="85" t="n"/>
      <c r="T92" s="85" t="n"/>
      <c r="U92" s="85" t="n"/>
      <c r="V92" s="44" t="n"/>
      <c r="W92" s="50">
        <f>IF(OR(M92="",Q92="",S92=""),"",IF(ABS(ROUND(((ROUND(N(M92)*100,0))-(ROUND(N(Q92)*100,0))),0)-(ROUND(N(S92)*100,0)))&lt;=0,"OK","ABWEICHUNG"))</f>
        <v/>
      </c>
      <c r="X92" s="50">
        <f>IF(OR(K92="",M92="",N92=""),"",IF(ABS(ROUND(((ROUND(N(K92)*100,0)+ROUND(N(L92)*100,0))-(ROUND(N(M92)*100,0))),0)-(ROUND(N(N92)*100,0)))&lt;=0,"OK",IF(OR(L92=""),"UNVOLLSTÄNDIG","ABWEICHUNG")))</f>
        <v/>
      </c>
      <c r="Y92" s="50">
        <f>IF(OR(K92="",O92="",R92=""),"",IF(ABS(ROUND(((ROUND(N(K92)*100,0))-(ROUND(N(O92)*100,0))),0)-(ROUND(N(R92)*100,0)))&lt;=0,"OK","ABWEICHUNG"))</f>
        <v/>
      </c>
      <c r="Z92" s="50">
        <f>IF(OR(N92="",O92="",P92="",Q92="",T92=""),"",IF(ABS(ROUND(((ROUND(N(N92)*100,0)+ROUND(N(Q92)*100,0))-(ROUND(N(O92)*100,0)+ROUND(N(P92)*100,0))),0)-(ROUND(N(T92)*100,0)))&lt;=0,"OK","ABWEICHUNG"))</f>
        <v/>
      </c>
      <c r="AA92" s="44" t="n"/>
      <c r="AB92" s="44" t="n"/>
      <c r="AC92" s="44" t="n"/>
      <c r="AD92" s="44" t="n"/>
      <c r="AE92" s="85" t="n"/>
      <c r="AF92" s="85" t="n"/>
      <c r="AG92" s="44" t="n"/>
      <c r="AH92" s="44" t="n"/>
    </row>
    <row r="93">
      <c r="A93" s="44" t="n"/>
      <c r="B93" s="44" t="n"/>
      <c r="C93" s="44" t="n"/>
      <c r="D93" s="44" t="n"/>
      <c r="E93" s="44" t="n"/>
      <c r="F93" s="44" t="n"/>
      <c r="G93" s="45" t="n"/>
      <c r="H93" s="44" t="n"/>
      <c r="I93" s="45" t="n"/>
      <c r="J93" s="44" t="n"/>
      <c r="K93" s="85" t="n"/>
      <c r="L93" s="85" t="n"/>
      <c r="M93" s="85" t="n"/>
      <c r="N93" s="85" t="n"/>
      <c r="O93" s="85" t="n"/>
      <c r="P93" s="85" t="n"/>
      <c r="Q93" s="85" t="n"/>
      <c r="R93" s="85" t="n"/>
      <c r="S93" s="85" t="n"/>
      <c r="T93" s="85" t="n"/>
      <c r="U93" s="85" t="n"/>
      <c r="V93" s="44" t="n"/>
      <c r="W93" s="50">
        <f>IF(OR(M93="",Q93="",S93=""),"",IF(ABS(ROUND(((ROUND(N(M93)*100,0))-(ROUND(N(Q93)*100,0))),0)-(ROUND(N(S93)*100,0)))&lt;=0,"OK","ABWEICHUNG"))</f>
        <v/>
      </c>
      <c r="X93" s="50">
        <f>IF(OR(K93="",M93="",N93=""),"",IF(ABS(ROUND(((ROUND(N(K93)*100,0)+ROUND(N(L93)*100,0))-(ROUND(N(M93)*100,0))),0)-(ROUND(N(N93)*100,0)))&lt;=0,"OK",IF(OR(L93=""),"UNVOLLSTÄNDIG","ABWEICHUNG")))</f>
        <v/>
      </c>
      <c r="Y93" s="50">
        <f>IF(OR(K93="",O93="",R93=""),"",IF(ABS(ROUND(((ROUND(N(K93)*100,0))-(ROUND(N(O93)*100,0))),0)-(ROUND(N(R93)*100,0)))&lt;=0,"OK","ABWEICHUNG"))</f>
        <v/>
      </c>
      <c r="Z93" s="50">
        <f>IF(OR(N93="",O93="",P93="",Q93="",T93=""),"",IF(ABS(ROUND(((ROUND(N(N93)*100,0)+ROUND(N(Q93)*100,0))-(ROUND(N(O93)*100,0)+ROUND(N(P93)*100,0))),0)-(ROUND(N(T93)*100,0)))&lt;=0,"OK","ABWEICHUNG"))</f>
        <v/>
      </c>
      <c r="AA93" s="44" t="n"/>
      <c r="AB93" s="44" t="n"/>
      <c r="AC93" s="44" t="n"/>
      <c r="AD93" s="44" t="n"/>
      <c r="AE93" s="85" t="n"/>
      <c r="AF93" s="85" t="n"/>
      <c r="AG93" s="44" t="n"/>
      <c r="AH93" s="44" t="n"/>
    </row>
    <row r="94">
      <c r="A94" s="44" t="n"/>
      <c r="B94" s="44" t="n"/>
      <c r="C94" s="44" t="n"/>
      <c r="D94" s="44" t="n"/>
      <c r="E94" s="44" t="n"/>
      <c r="F94" s="44" t="n"/>
      <c r="G94" s="45" t="n"/>
      <c r="H94" s="44" t="n"/>
      <c r="I94" s="45" t="n"/>
      <c r="J94" s="44" t="n"/>
      <c r="K94" s="85" t="n"/>
      <c r="L94" s="85" t="n"/>
      <c r="M94" s="85" t="n"/>
      <c r="N94" s="85" t="n"/>
      <c r="O94" s="85" t="n"/>
      <c r="P94" s="85" t="n"/>
      <c r="Q94" s="85" t="n"/>
      <c r="R94" s="85" t="n"/>
      <c r="S94" s="85" t="n"/>
      <c r="T94" s="85" t="n"/>
      <c r="U94" s="85" t="n"/>
      <c r="V94" s="44" t="n"/>
      <c r="W94" s="50">
        <f>IF(OR(M94="",Q94="",S94=""),"",IF(ABS(ROUND(((ROUND(N(M94)*100,0))-(ROUND(N(Q94)*100,0))),0)-(ROUND(N(S94)*100,0)))&lt;=0,"OK","ABWEICHUNG"))</f>
        <v/>
      </c>
      <c r="X94" s="50">
        <f>IF(OR(K94="",M94="",N94=""),"",IF(ABS(ROUND(((ROUND(N(K94)*100,0)+ROUND(N(L94)*100,0))-(ROUND(N(M94)*100,0))),0)-(ROUND(N(N94)*100,0)))&lt;=0,"OK",IF(OR(L94=""),"UNVOLLSTÄNDIG","ABWEICHUNG")))</f>
        <v/>
      </c>
      <c r="Y94" s="50">
        <f>IF(OR(K94="",O94="",R94=""),"",IF(ABS(ROUND(((ROUND(N(K94)*100,0))-(ROUND(N(O94)*100,0))),0)-(ROUND(N(R94)*100,0)))&lt;=0,"OK","ABWEICHUNG"))</f>
        <v/>
      </c>
      <c r="Z94" s="50">
        <f>IF(OR(N94="",O94="",P94="",Q94="",T94=""),"",IF(ABS(ROUND(((ROUND(N(N94)*100,0)+ROUND(N(Q94)*100,0))-(ROUND(N(O94)*100,0)+ROUND(N(P94)*100,0))),0)-(ROUND(N(T94)*100,0)))&lt;=0,"OK","ABWEICHUNG"))</f>
        <v/>
      </c>
      <c r="AA94" s="44" t="n"/>
      <c r="AB94" s="44" t="n"/>
      <c r="AC94" s="44" t="n"/>
      <c r="AD94" s="44" t="n"/>
      <c r="AE94" s="85" t="n"/>
      <c r="AF94" s="85" t="n"/>
      <c r="AG94" s="44" t="n"/>
      <c r="AH94" s="44" t="n"/>
    </row>
    <row r="95">
      <c r="A95" s="44" t="n"/>
      <c r="B95" s="44" t="n"/>
      <c r="C95" s="44" t="n"/>
      <c r="D95" s="44" t="n"/>
      <c r="E95" s="44" t="n"/>
      <c r="F95" s="44" t="n"/>
      <c r="G95" s="45" t="n"/>
      <c r="H95" s="44" t="n"/>
      <c r="I95" s="45" t="n"/>
      <c r="J95" s="44" t="n"/>
      <c r="K95" s="85" t="n"/>
      <c r="L95" s="85" t="n"/>
      <c r="M95" s="85" t="n"/>
      <c r="N95" s="85" t="n"/>
      <c r="O95" s="85" t="n"/>
      <c r="P95" s="85" t="n"/>
      <c r="Q95" s="85" t="n"/>
      <c r="R95" s="85" t="n"/>
      <c r="S95" s="85" t="n"/>
      <c r="T95" s="85" t="n"/>
      <c r="U95" s="85" t="n"/>
      <c r="V95" s="44" t="n"/>
      <c r="W95" s="50">
        <f>IF(OR(M95="",Q95="",S95=""),"",IF(ABS(ROUND(((ROUND(N(M95)*100,0))-(ROUND(N(Q95)*100,0))),0)-(ROUND(N(S95)*100,0)))&lt;=0,"OK","ABWEICHUNG"))</f>
        <v/>
      </c>
      <c r="X95" s="50">
        <f>IF(OR(K95="",M95="",N95=""),"",IF(ABS(ROUND(((ROUND(N(K95)*100,0)+ROUND(N(L95)*100,0))-(ROUND(N(M95)*100,0))),0)-(ROUND(N(N95)*100,0)))&lt;=0,"OK",IF(OR(L95=""),"UNVOLLSTÄNDIG","ABWEICHUNG")))</f>
        <v/>
      </c>
      <c r="Y95" s="50">
        <f>IF(OR(K95="",O95="",R95=""),"",IF(ABS(ROUND(((ROUND(N(K95)*100,0))-(ROUND(N(O95)*100,0))),0)-(ROUND(N(R95)*100,0)))&lt;=0,"OK","ABWEICHUNG"))</f>
        <v/>
      </c>
      <c r="Z95" s="50">
        <f>IF(OR(N95="",O95="",P95="",Q95="",T95=""),"",IF(ABS(ROUND(((ROUND(N(N95)*100,0)+ROUND(N(Q95)*100,0))-(ROUND(N(O95)*100,0)+ROUND(N(P95)*100,0))),0)-(ROUND(N(T95)*100,0)))&lt;=0,"OK","ABWEICHUNG"))</f>
        <v/>
      </c>
      <c r="AA95" s="44" t="n"/>
      <c r="AB95" s="44" t="n"/>
      <c r="AC95" s="44" t="n"/>
      <c r="AD95" s="44" t="n"/>
      <c r="AE95" s="85" t="n"/>
      <c r="AF95" s="85" t="n"/>
      <c r="AG95" s="44" t="n"/>
      <c r="AH95" s="44" t="n"/>
    </row>
    <row r="96">
      <c r="A96" s="44" t="n"/>
      <c r="B96" s="44" t="n"/>
      <c r="C96" s="44" t="n"/>
      <c r="D96" s="44" t="n"/>
      <c r="E96" s="44" t="n"/>
      <c r="F96" s="44" t="n"/>
      <c r="G96" s="45" t="n"/>
      <c r="H96" s="44" t="n"/>
      <c r="I96" s="45" t="n"/>
      <c r="J96" s="44" t="n"/>
      <c r="K96" s="85" t="n"/>
      <c r="L96" s="85" t="n"/>
      <c r="M96" s="85" t="n"/>
      <c r="N96" s="85" t="n"/>
      <c r="O96" s="85" t="n"/>
      <c r="P96" s="85" t="n"/>
      <c r="Q96" s="85" t="n"/>
      <c r="R96" s="85" t="n"/>
      <c r="S96" s="85" t="n"/>
      <c r="T96" s="85" t="n"/>
      <c r="U96" s="85" t="n"/>
      <c r="V96" s="44" t="n"/>
      <c r="W96" s="50">
        <f>IF(OR(M96="",Q96="",S96=""),"",IF(ABS(ROUND(((ROUND(N(M96)*100,0))-(ROUND(N(Q96)*100,0))),0)-(ROUND(N(S96)*100,0)))&lt;=0,"OK","ABWEICHUNG"))</f>
        <v/>
      </c>
      <c r="X96" s="50">
        <f>IF(OR(K96="",M96="",N96=""),"",IF(ABS(ROUND(((ROUND(N(K96)*100,0)+ROUND(N(L96)*100,0))-(ROUND(N(M96)*100,0))),0)-(ROUND(N(N96)*100,0)))&lt;=0,"OK",IF(OR(L96=""),"UNVOLLSTÄNDIG","ABWEICHUNG")))</f>
        <v/>
      </c>
      <c r="Y96" s="50">
        <f>IF(OR(K96="",O96="",R96=""),"",IF(ABS(ROUND(((ROUND(N(K96)*100,0))-(ROUND(N(O96)*100,0))),0)-(ROUND(N(R96)*100,0)))&lt;=0,"OK","ABWEICHUNG"))</f>
        <v/>
      </c>
      <c r="Z96" s="50">
        <f>IF(OR(N96="",O96="",P96="",Q96="",T96=""),"",IF(ABS(ROUND(((ROUND(N(N96)*100,0)+ROUND(N(Q96)*100,0))-(ROUND(N(O96)*100,0)+ROUND(N(P96)*100,0))),0)-(ROUND(N(T96)*100,0)))&lt;=0,"OK","ABWEICHUNG"))</f>
        <v/>
      </c>
      <c r="AA96" s="44" t="n"/>
      <c r="AB96" s="44" t="n"/>
      <c r="AC96" s="44" t="n"/>
      <c r="AD96" s="44" t="n"/>
      <c r="AE96" s="85" t="n"/>
      <c r="AF96" s="85" t="n"/>
      <c r="AG96" s="44" t="n"/>
      <c r="AH96" s="44" t="n"/>
    </row>
    <row r="97">
      <c r="A97" s="44" t="n"/>
      <c r="B97" s="44" t="n"/>
      <c r="C97" s="44" t="n"/>
      <c r="D97" s="44" t="n"/>
      <c r="E97" s="44" t="n"/>
      <c r="F97" s="44" t="n"/>
      <c r="G97" s="45" t="n"/>
      <c r="H97" s="44" t="n"/>
      <c r="I97" s="45" t="n"/>
      <c r="J97" s="44" t="n"/>
      <c r="K97" s="85" t="n"/>
      <c r="L97" s="85" t="n"/>
      <c r="M97" s="85" t="n"/>
      <c r="N97" s="85" t="n"/>
      <c r="O97" s="85" t="n"/>
      <c r="P97" s="85" t="n"/>
      <c r="Q97" s="85" t="n"/>
      <c r="R97" s="85" t="n"/>
      <c r="S97" s="85" t="n"/>
      <c r="T97" s="85" t="n"/>
      <c r="U97" s="85" t="n"/>
      <c r="V97" s="44" t="n"/>
      <c r="W97" s="50">
        <f>IF(OR(M97="",Q97="",S97=""),"",IF(ABS(ROUND(((ROUND(N(M97)*100,0))-(ROUND(N(Q97)*100,0))),0)-(ROUND(N(S97)*100,0)))&lt;=0,"OK","ABWEICHUNG"))</f>
        <v/>
      </c>
      <c r="X97" s="50">
        <f>IF(OR(K97="",M97="",N97=""),"",IF(ABS(ROUND(((ROUND(N(K97)*100,0)+ROUND(N(L97)*100,0))-(ROUND(N(M97)*100,0))),0)-(ROUND(N(N97)*100,0)))&lt;=0,"OK",IF(OR(L97=""),"UNVOLLSTÄNDIG","ABWEICHUNG")))</f>
        <v/>
      </c>
      <c r="Y97" s="50">
        <f>IF(OR(K97="",O97="",R97=""),"",IF(ABS(ROUND(((ROUND(N(K97)*100,0))-(ROUND(N(O97)*100,0))),0)-(ROUND(N(R97)*100,0)))&lt;=0,"OK","ABWEICHUNG"))</f>
        <v/>
      </c>
      <c r="Z97" s="50">
        <f>IF(OR(N97="",O97="",P97="",Q97="",T97=""),"",IF(ABS(ROUND(((ROUND(N(N97)*100,0)+ROUND(N(Q97)*100,0))-(ROUND(N(O97)*100,0)+ROUND(N(P97)*100,0))),0)-(ROUND(N(T97)*100,0)))&lt;=0,"OK","ABWEICHUNG"))</f>
        <v/>
      </c>
      <c r="AA97" s="44" t="n"/>
      <c r="AB97" s="44" t="n"/>
      <c r="AC97" s="44" t="n"/>
      <c r="AD97" s="44" t="n"/>
      <c r="AE97" s="85" t="n"/>
      <c r="AF97" s="85" t="n"/>
      <c r="AG97" s="44" t="n"/>
      <c r="AH97" s="44" t="n"/>
    </row>
    <row r="98">
      <c r="A98" s="44" t="n"/>
      <c r="B98" s="44" t="n"/>
      <c r="C98" s="44" t="n"/>
      <c r="D98" s="44" t="n"/>
      <c r="E98" s="44" t="n"/>
      <c r="F98" s="44" t="n"/>
      <c r="G98" s="45" t="n"/>
      <c r="H98" s="44" t="n"/>
      <c r="I98" s="45" t="n"/>
      <c r="J98" s="44" t="n"/>
      <c r="K98" s="85" t="n"/>
      <c r="L98" s="85" t="n"/>
      <c r="M98" s="85" t="n"/>
      <c r="N98" s="85" t="n"/>
      <c r="O98" s="85" t="n"/>
      <c r="P98" s="85" t="n"/>
      <c r="Q98" s="85" t="n"/>
      <c r="R98" s="85" t="n"/>
      <c r="S98" s="85" t="n"/>
      <c r="T98" s="85" t="n"/>
      <c r="U98" s="85" t="n"/>
      <c r="V98" s="44" t="n"/>
      <c r="W98" s="50">
        <f>IF(OR(M98="",Q98="",S98=""),"",IF(ABS(ROUND(((ROUND(N(M98)*100,0))-(ROUND(N(Q98)*100,0))),0)-(ROUND(N(S98)*100,0)))&lt;=0,"OK","ABWEICHUNG"))</f>
        <v/>
      </c>
      <c r="X98" s="50">
        <f>IF(OR(K98="",M98="",N98=""),"",IF(ABS(ROUND(((ROUND(N(K98)*100,0)+ROUND(N(L98)*100,0))-(ROUND(N(M98)*100,0))),0)-(ROUND(N(N98)*100,0)))&lt;=0,"OK",IF(OR(L98=""),"UNVOLLSTÄNDIG","ABWEICHUNG")))</f>
        <v/>
      </c>
      <c r="Y98" s="50">
        <f>IF(OR(K98="",O98="",R98=""),"",IF(ABS(ROUND(((ROUND(N(K98)*100,0))-(ROUND(N(O98)*100,0))),0)-(ROUND(N(R98)*100,0)))&lt;=0,"OK","ABWEICHUNG"))</f>
        <v/>
      </c>
      <c r="Z98" s="50">
        <f>IF(OR(N98="",O98="",P98="",Q98="",T98=""),"",IF(ABS(ROUND(((ROUND(N(N98)*100,0)+ROUND(N(Q98)*100,0))-(ROUND(N(O98)*100,0)+ROUND(N(P98)*100,0))),0)-(ROUND(N(T98)*100,0)))&lt;=0,"OK","ABWEICHUNG"))</f>
        <v/>
      </c>
      <c r="AA98" s="44" t="n"/>
      <c r="AB98" s="44" t="n"/>
      <c r="AC98" s="44" t="n"/>
      <c r="AD98" s="44" t="n"/>
      <c r="AE98" s="85" t="n"/>
      <c r="AF98" s="85" t="n"/>
      <c r="AG98" s="44" t="n"/>
      <c r="AH98" s="44" t="n"/>
    </row>
    <row r="99">
      <c r="A99" s="44" t="n"/>
      <c r="B99" s="44" t="n"/>
      <c r="C99" s="44" t="n"/>
      <c r="D99" s="44" t="n"/>
      <c r="E99" s="44" t="n"/>
      <c r="F99" s="44" t="n"/>
      <c r="G99" s="45" t="n"/>
      <c r="H99" s="44" t="n"/>
      <c r="I99" s="45" t="n"/>
      <c r="J99" s="44" t="n"/>
      <c r="K99" s="85" t="n"/>
      <c r="L99" s="85" t="n"/>
      <c r="M99" s="85" t="n"/>
      <c r="N99" s="85" t="n"/>
      <c r="O99" s="85" t="n"/>
      <c r="P99" s="85" t="n"/>
      <c r="Q99" s="85" t="n"/>
      <c r="R99" s="85" t="n"/>
      <c r="S99" s="85" t="n"/>
      <c r="T99" s="85" t="n"/>
      <c r="U99" s="85" t="n"/>
      <c r="V99" s="44" t="n"/>
      <c r="W99" s="50">
        <f>IF(OR(M99="",Q99="",S99=""),"",IF(ABS(ROUND(((ROUND(N(M99)*100,0))-(ROUND(N(Q99)*100,0))),0)-(ROUND(N(S99)*100,0)))&lt;=0,"OK","ABWEICHUNG"))</f>
        <v/>
      </c>
      <c r="X99" s="50">
        <f>IF(OR(K99="",M99="",N99=""),"",IF(ABS(ROUND(((ROUND(N(K99)*100,0)+ROUND(N(L99)*100,0))-(ROUND(N(M99)*100,0))),0)-(ROUND(N(N99)*100,0)))&lt;=0,"OK",IF(OR(L99=""),"UNVOLLSTÄNDIG","ABWEICHUNG")))</f>
        <v/>
      </c>
      <c r="Y99" s="50">
        <f>IF(OR(K99="",O99="",R99=""),"",IF(ABS(ROUND(((ROUND(N(K99)*100,0))-(ROUND(N(O99)*100,0))),0)-(ROUND(N(R99)*100,0)))&lt;=0,"OK","ABWEICHUNG"))</f>
        <v/>
      </c>
      <c r="Z99" s="50">
        <f>IF(OR(N99="",O99="",P99="",Q99="",T99=""),"",IF(ABS(ROUND(((ROUND(N(N99)*100,0)+ROUND(N(Q99)*100,0))-(ROUND(N(O99)*100,0)+ROUND(N(P99)*100,0))),0)-(ROUND(N(T99)*100,0)))&lt;=0,"OK","ABWEICHUNG"))</f>
        <v/>
      </c>
      <c r="AA99" s="44" t="n"/>
      <c r="AB99" s="44" t="n"/>
      <c r="AC99" s="44" t="n"/>
      <c r="AD99" s="44" t="n"/>
      <c r="AE99" s="85" t="n"/>
      <c r="AF99" s="85" t="n"/>
      <c r="AG99" s="44" t="n"/>
      <c r="AH99" s="44" t="n"/>
    </row>
    <row r="100">
      <c r="A100" s="44" t="n"/>
      <c r="B100" s="44" t="n"/>
      <c r="C100" s="44" t="n"/>
      <c r="D100" s="44" t="n"/>
      <c r="E100" s="44" t="n"/>
      <c r="F100" s="44" t="n"/>
      <c r="G100" s="45" t="n"/>
      <c r="H100" s="44" t="n"/>
      <c r="I100" s="45" t="n"/>
      <c r="J100" s="44" t="n"/>
      <c r="K100" s="85" t="n"/>
      <c r="L100" s="85" t="n"/>
      <c r="M100" s="85" t="n"/>
      <c r="N100" s="85" t="n"/>
      <c r="O100" s="85" t="n"/>
      <c r="P100" s="85" t="n"/>
      <c r="Q100" s="85" t="n"/>
      <c r="R100" s="85" t="n"/>
      <c r="S100" s="85" t="n"/>
      <c r="T100" s="85" t="n"/>
      <c r="U100" s="85" t="n"/>
      <c r="V100" s="44" t="n"/>
      <c r="W100" s="50">
        <f>IF(OR(M100="",Q100="",S100=""),"",IF(ABS(ROUND(((ROUND(N(M100)*100,0))-(ROUND(N(Q100)*100,0))),0)-(ROUND(N(S100)*100,0)))&lt;=0,"OK","ABWEICHUNG"))</f>
        <v/>
      </c>
      <c r="X100" s="50">
        <f>IF(OR(K100="",M100="",N100=""),"",IF(ABS(ROUND(((ROUND(N(K100)*100,0)+ROUND(N(L100)*100,0))-(ROUND(N(M100)*100,0))),0)-(ROUND(N(N100)*100,0)))&lt;=0,"OK",IF(OR(L100=""),"UNVOLLSTÄNDIG","ABWEICHUNG")))</f>
        <v/>
      </c>
      <c r="Y100" s="50">
        <f>IF(OR(K100="",O100="",R100=""),"",IF(ABS(ROUND(((ROUND(N(K100)*100,0))-(ROUND(N(O100)*100,0))),0)-(ROUND(N(R100)*100,0)))&lt;=0,"OK","ABWEICHUNG"))</f>
        <v/>
      </c>
      <c r="Z100" s="50">
        <f>IF(OR(N100="",O100="",P100="",Q100="",T100=""),"",IF(ABS(ROUND(((ROUND(N(N100)*100,0)+ROUND(N(Q100)*100,0))-(ROUND(N(O100)*100,0)+ROUND(N(P100)*100,0))),0)-(ROUND(N(T100)*100,0)))&lt;=0,"OK","ABWEICHUNG"))</f>
        <v/>
      </c>
      <c r="AA100" s="44" t="n"/>
      <c r="AB100" s="44" t="n"/>
      <c r="AC100" s="44" t="n"/>
      <c r="AD100" s="44" t="n"/>
      <c r="AE100" s="85" t="n"/>
      <c r="AF100" s="85" t="n"/>
      <c r="AG100" s="44" t="n"/>
      <c r="AH100" s="44" t="n"/>
    </row>
    <row r="101">
      <c r="A101" s="44" t="n"/>
      <c r="B101" s="44" t="n"/>
      <c r="C101" s="44" t="n"/>
      <c r="D101" s="44" t="n"/>
      <c r="E101" s="44" t="n"/>
      <c r="F101" s="44" t="n"/>
      <c r="G101" s="45" t="n"/>
      <c r="H101" s="44" t="n"/>
      <c r="I101" s="45" t="n"/>
      <c r="J101" s="44" t="n"/>
      <c r="K101" s="85" t="n"/>
      <c r="L101" s="85" t="n"/>
      <c r="M101" s="85" t="n"/>
      <c r="N101" s="85" t="n"/>
      <c r="O101" s="85" t="n"/>
      <c r="P101" s="85" t="n"/>
      <c r="Q101" s="85" t="n"/>
      <c r="R101" s="85" t="n"/>
      <c r="S101" s="85" t="n"/>
      <c r="T101" s="85" t="n"/>
      <c r="U101" s="85" t="n"/>
      <c r="V101" s="44" t="n"/>
      <c r="W101" s="50">
        <f>IF(OR(M101="",Q101="",S101=""),"",IF(ABS(ROUND(((ROUND(N(M101)*100,0))-(ROUND(N(Q101)*100,0))),0)-(ROUND(N(S101)*100,0)))&lt;=0,"OK","ABWEICHUNG"))</f>
        <v/>
      </c>
      <c r="X101" s="50">
        <f>IF(OR(K101="",M101="",N101=""),"",IF(ABS(ROUND(((ROUND(N(K101)*100,0)+ROUND(N(L101)*100,0))-(ROUND(N(M101)*100,0))),0)-(ROUND(N(N101)*100,0)))&lt;=0,"OK",IF(OR(L101=""),"UNVOLLSTÄNDIG","ABWEICHUNG")))</f>
        <v/>
      </c>
      <c r="Y101" s="50">
        <f>IF(OR(K101="",O101="",R101=""),"",IF(ABS(ROUND(((ROUND(N(K101)*100,0))-(ROUND(N(O101)*100,0))),0)-(ROUND(N(R101)*100,0)))&lt;=0,"OK","ABWEICHUNG"))</f>
        <v/>
      </c>
      <c r="Z101" s="50">
        <f>IF(OR(N101="",O101="",P101="",Q101="",T101=""),"",IF(ABS(ROUND(((ROUND(N(N101)*100,0)+ROUND(N(Q101)*100,0))-(ROUND(N(O101)*100,0)+ROUND(N(P101)*100,0))),0)-(ROUND(N(T101)*100,0)))&lt;=0,"OK","ABWEICHUNG"))</f>
        <v/>
      </c>
      <c r="AA101" s="44" t="n"/>
      <c r="AB101" s="44" t="n"/>
      <c r="AC101" s="44" t="n"/>
      <c r="AD101" s="44" t="n"/>
      <c r="AE101" s="85" t="n"/>
      <c r="AF101" s="85" t="n"/>
      <c r="AG101" s="44" t="n"/>
      <c r="AH101" s="44" t="n"/>
    </row>
    <row r="102">
      <c r="A102" s="44" t="n"/>
      <c r="B102" s="44" t="n"/>
      <c r="C102" s="44" t="n"/>
      <c r="D102" s="44" t="n"/>
      <c r="E102" s="44" t="n"/>
      <c r="F102" s="44" t="n"/>
      <c r="G102" s="45" t="n"/>
      <c r="H102" s="44" t="n"/>
      <c r="I102" s="45" t="n"/>
      <c r="J102" s="44" t="n"/>
      <c r="K102" s="85" t="n"/>
      <c r="L102" s="85" t="n"/>
      <c r="M102" s="85" t="n"/>
      <c r="N102" s="85" t="n"/>
      <c r="O102" s="85" t="n"/>
      <c r="P102" s="85" t="n"/>
      <c r="Q102" s="85" t="n"/>
      <c r="R102" s="85" t="n"/>
      <c r="S102" s="85" t="n"/>
      <c r="T102" s="85" t="n"/>
      <c r="U102" s="85" t="n"/>
      <c r="V102" s="44" t="n"/>
      <c r="W102" s="50">
        <f>IF(OR(M102="",Q102="",S102=""),"",IF(ABS(ROUND(((ROUND(N(M102)*100,0))-(ROUND(N(Q102)*100,0))),0)-(ROUND(N(S102)*100,0)))&lt;=0,"OK","ABWEICHUNG"))</f>
        <v/>
      </c>
      <c r="X102" s="50">
        <f>IF(OR(K102="",M102="",N102=""),"",IF(ABS(ROUND(((ROUND(N(K102)*100,0)+ROUND(N(L102)*100,0))-(ROUND(N(M102)*100,0))),0)-(ROUND(N(N102)*100,0)))&lt;=0,"OK",IF(OR(L102=""),"UNVOLLSTÄNDIG","ABWEICHUNG")))</f>
        <v/>
      </c>
      <c r="Y102" s="50">
        <f>IF(OR(K102="",O102="",R102=""),"",IF(ABS(ROUND(((ROUND(N(K102)*100,0))-(ROUND(N(O102)*100,0))),0)-(ROUND(N(R102)*100,0)))&lt;=0,"OK","ABWEICHUNG"))</f>
        <v/>
      </c>
      <c r="Z102" s="50">
        <f>IF(OR(N102="",O102="",P102="",Q102="",T102=""),"",IF(ABS(ROUND(((ROUND(N(N102)*100,0)+ROUND(N(Q102)*100,0))-(ROUND(N(O102)*100,0)+ROUND(N(P102)*100,0))),0)-(ROUND(N(T102)*100,0)))&lt;=0,"OK","ABWEICHUNG"))</f>
        <v/>
      </c>
      <c r="AA102" s="44" t="n"/>
      <c r="AB102" s="44" t="n"/>
      <c r="AC102" s="44" t="n"/>
      <c r="AD102" s="44" t="n"/>
      <c r="AE102" s="85" t="n"/>
      <c r="AF102" s="85" t="n"/>
      <c r="AG102" s="44" t="n"/>
      <c r="AH102" s="44" t="n"/>
    </row>
    <row r="103">
      <c r="A103" s="44" t="n"/>
      <c r="B103" s="44" t="n"/>
      <c r="C103" s="44" t="n"/>
      <c r="D103" s="44" t="n"/>
      <c r="E103" s="44" t="n"/>
      <c r="F103" s="44" t="n"/>
      <c r="G103" s="45" t="n"/>
      <c r="H103" s="44" t="n"/>
      <c r="I103" s="45" t="n"/>
      <c r="J103" s="44" t="n"/>
      <c r="K103" s="85" t="n"/>
      <c r="L103" s="85" t="n"/>
      <c r="M103" s="85" t="n"/>
      <c r="N103" s="85" t="n"/>
      <c r="O103" s="85" t="n"/>
      <c r="P103" s="85" t="n"/>
      <c r="Q103" s="85" t="n"/>
      <c r="R103" s="85" t="n"/>
      <c r="S103" s="85" t="n"/>
      <c r="T103" s="85" t="n"/>
      <c r="U103" s="85" t="n"/>
      <c r="V103" s="44" t="n"/>
      <c r="W103" s="50">
        <f>IF(OR(M103="",Q103="",S103=""),"",IF(ABS(ROUND(((ROUND(N(M103)*100,0))-(ROUND(N(Q103)*100,0))),0)-(ROUND(N(S103)*100,0)))&lt;=0,"OK","ABWEICHUNG"))</f>
        <v/>
      </c>
      <c r="X103" s="50">
        <f>IF(OR(K103="",M103="",N103=""),"",IF(ABS(ROUND(((ROUND(N(K103)*100,0)+ROUND(N(L103)*100,0))-(ROUND(N(M103)*100,0))),0)-(ROUND(N(N103)*100,0)))&lt;=0,"OK",IF(OR(L103=""),"UNVOLLSTÄNDIG","ABWEICHUNG")))</f>
        <v/>
      </c>
      <c r="Y103" s="50">
        <f>IF(OR(K103="",O103="",R103=""),"",IF(ABS(ROUND(((ROUND(N(K103)*100,0))-(ROUND(N(O103)*100,0))),0)-(ROUND(N(R103)*100,0)))&lt;=0,"OK","ABWEICHUNG"))</f>
        <v/>
      </c>
      <c r="Z103" s="50">
        <f>IF(OR(N103="",O103="",P103="",Q103="",T103=""),"",IF(ABS(ROUND(((ROUND(N(N103)*100,0)+ROUND(N(Q103)*100,0))-(ROUND(N(O103)*100,0)+ROUND(N(P103)*100,0))),0)-(ROUND(N(T103)*100,0)))&lt;=0,"OK","ABWEICHUNG"))</f>
        <v/>
      </c>
      <c r="AA103" s="44" t="n"/>
      <c r="AB103" s="44" t="n"/>
      <c r="AC103" s="44" t="n"/>
      <c r="AD103" s="44" t="n"/>
      <c r="AE103" s="85" t="n"/>
      <c r="AF103" s="85" t="n"/>
      <c r="AG103" s="44" t="n"/>
      <c r="AH103" s="44" t="n"/>
    </row>
    <row r="104">
      <c r="A104" s="44" t="n"/>
      <c r="B104" s="44" t="n"/>
      <c r="C104" s="44" t="n"/>
      <c r="D104" s="44" t="n"/>
      <c r="E104" s="44" t="n"/>
      <c r="F104" s="44" t="n"/>
      <c r="G104" s="45" t="n"/>
      <c r="H104" s="44" t="n"/>
      <c r="I104" s="45" t="n"/>
      <c r="J104" s="44" t="n"/>
      <c r="K104" s="85" t="n"/>
      <c r="L104" s="85" t="n"/>
      <c r="M104" s="85" t="n"/>
      <c r="N104" s="85" t="n"/>
      <c r="O104" s="85" t="n"/>
      <c r="P104" s="85" t="n"/>
      <c r="Q104" s="85" t="n"/>
      <c r="R104" s="85" t="n"/>
      <c r="S104" s="85" t="n"/>
      <c r="T104" s="85" t="n"/>
      <c r="U104" s="85" t="n"/>
      <c r="V104" s="44" t="n"/>
      <c r="W104" s="50">
        <f>IF(OR(M104="",Q104="",S104=""),"",IF(ABS(ROUND(((ROUND(N(M104)*100,0))-(ROUND(N(Q104)*100,0))),0)-(ROUND(N(S104)*100,0)))&lt;=0,"OK","ABWEICHUNG"))</f>
        <v/>
      </c>
      <c r="X104" s="50">
        <f>IF(OR(K104="",M104="",N104=""),"",IF(ABS(ROUND(((ROUND(N(K104)*100,0)+ROUND(N(L104)*100,0))-(ROUND(N(M104)*100,0))),0)-(ROUND(N(N104)*100,0)))&lt;=0,"OK",IF(OR(L104=""),"UNVOLLSTÄNDIG","ABWEICHUNG")))</f>
        <v/>
      </c>
      <c r="Y104" s="50">
        <f>IF(OR(K104="",O104="",R104=""),"",IF(ABS(ROUND(((ROUND(N(K104)*100,0))-(ROUND(N(O104)*100,0))),0)-(ROUND(N(R104)*100,0)))&lt;=0,"OK","ABWEICHUNG"))</f>
        <v/>
      </c>
      <c r="Z104" s="50">
        <f>IF(OR(N104="",O104="",P104="",Q104="",T104=""),"",IF(ABS(ROUND(((ROUND(N(N104)*100,0)+ROUND(N(Q104)*100,0))-(ROUND(N(O104)*100,0)+ROUND(N(P104)*100,0))),0)-(ROUND(N(T104)*100,0)))&lt;=0,"OK","ABWEICHUNG"))</f>
        <v/>
      </c>
      <c r="AA104" s="44" t="n"/>
      <c r="AB104" s="44" t="n"/>
      <c r="AC104" s="44" t="n"/>
      <c r="AD104" s="44" t="n"/>
      <c r="AE104" s="85" t="n"/>
      <c r="AF104" s="85" t="n"/>
      <c r="AG104" s="44" t="n"/>
      <c r="AH104" s="44" t="n"/>
    </row>
    <row r="105">
      <c r="A105" s="44" t="n"/>
      <c r="B105" s="44" t="n"/>
      <c r="C105" s="44" t="n"/>
      <c r="D105" s="44" t="n"/>
      <c r="E105" s="44" t="n"/>
      <c r="F105" s="44" t="n"/>
      <c r="G105" s="45" t="n"/>
      <c r="H105" s="44" t="n"/>
      <c r="I105" s="45" t="n"/>
      <c r="J105" s="44" t="n"/>
      <c r="K105" s="85" t="n"/>
      <c r="L105" s="85" t="n"/>
      <c r="M105" s="85" t="n"/>
      <c r="N105" s="85" t="n"/>
      <c r="O105" s="85" t="n"/>
      <c r="P105" s="85" t="n"/>
      <c r="Q105" s="85" t="n"/>
      <c r="R105" s="85" t="n"/>
      <c r="S105" s="85" t="n"/>
      <c r="T105" s="85" t="n"/>
      <c r="U105" s="85" t="n"/>
      <c r="V105" s="44" t="n"/>
      <c r="W105" s="50">
        <f>IF(OR(M105="",Q105="",S105=""),"",IF(ABS(ROUND(((ROUND(N(M105)*100,0))-(ROUND(N(Q105)*100,0))),0)-(ROUND(N(S105)*100,0)))&lt;=0,"OK","ABWEICHUNG"))</f>
        <v/>
      </c>
      <c r="X105" s="50">
        <f>IF(OR(K105="",M105="",N105=""),"",IF(ABS(ROUND(((ROUND(N(K105)*100,0)+ROUND(N(L105)*100,0))-(ROUND(N(M105)*100,0))),0)-(ROUND(N(N105)*100,0)))&lt;=0,"OK",IF(OR(L105=""),"UNVOLLSTÄNDIG","ABWEICHUNG")))</f>
        <v/>
      </c>
      <c r="Y105" s="50">
        <f>IF(OR(K105="",O105="",R105=""),"",IF(ABS(ROUND(((ROUND(N(K105)*100,0))-(ROUND(N(O105)*100,0))),0)-(ROUND(N(R105)*100,0)))&lt;=0,"OK","ABWEICHUNG"))</f>
        <v/>
      </c>
      <c r="Z105" s="50">
        <f>IF(OR(N105="",O105="",P105="",Q105="",T105=""),"",IF(ABS(ROUND(((ROUND(N(N105)*100,0)+ROUND(N(Q105)*100,0))-(ROUND(N(O105)*100,0)+ROUND(N(P105)*100,0))),0)-(ROUND(N(T105)*100,0)))&lt;=0,"OK","ABWEICHUNG"))</f>
        <v/>
      </c>
      <c r="AA105" s="44" t="n"/>
      <c r="AB105" s="44" t="n"/>
      <c r="AC105" s="44" t="n"/>
      <c r="AD105" s="44" t="n"/>
      <c r="AE105" s="85" t="n"/>
      <c r="AF105" s="85" t="n"/>
      <c r="AG105" s="44" t="n"/>
      <c r="AH105" s="44" t="n"/>
    </row>
    <row r="106">
      <c r="A106" s="44" t="n"/>
      <c r="B106" s="44" t="n"/>
      <c r="C106" s="44" t="n"/>
      <c r="D106" s="44" t="n"/>
      <c r="E106" s="44" t="n"/>
      <c r="F106" s="44" t="n"/>
      <c r="G106" s="45" t="n"/>
      <c r="H106" s="44" t="n"/>
      <c r="I106" s="45" t="n"/>
      <c r="J106" s="44" t="n"/>
      <c r="K106" s="85" t="n"/>
      <c r="L106" s="85" t="n"/>
      <c r="M106" s="85" t="n"/>
      <c r="N106" s="85" t="n"/>
      <c r="O106" s="85" t="n"/>
      <c r="P106" s="85" t="n"/>
      <c r="Q106" s="85" t="n"/>
      <c r="R106" s="85" t="n"/>
      <c r="S106" s="85" t="n"/>
      <c r="T106" s="85" t="n"/>
      <c r="U106" s="85" t="n"/>
      <c r="V106" s="44" t="n"/>
      <c r="W106" s="50">
        <f>IF(OR(M106="",Q106="",S106=""),"",IF(ABS(ROUND(((ROUND(N(M106)*100,0))-(ROUND(N(Q106)*100,0))),0)-(ROUND(N(S106)*100,0)))&lt;=0,"OK","ABWEICHUNG"))</f>
        <v/>
      </c>
      <c r="X106" s="50">
        <f>IF(OR(K106="",M106="",N106=""),"",IF(ABS(ROUND(((ROUND(N(K106)*100,0)+ROUND(N(L106)*100,0))-(ROUND(N(M106)*100,0))),0)-(ROUND(N(N106)*100,0)))&lt;=0,"OK",IF(OR(L106=""),"UNVOLLSTÄNDIG","ABWEICHUNG")))</f>
        <v/>
      </c>
      <c r="Y106" s="50">
        <f>IF(OR(K106="",O106="",R106=""),"",IF(ABS(ROUND(((ROUND(N(K106)*100,0))-(ROUND(N(O106)*100,0))),0)-(ROUND(N(R106)*100,0)))&lt;=0,"OK","ABWEICHUNG"))</f>
        <v/>
      </c>
      <c r="Z106" s="50">
        <f>IF(OR(N106="",O106="",P106="",Q106="",T106=""),"",IF(ABS(ROUND(((ROUND(N(N106)*100,0)+ROUND(N(Q106)*100,0))-(ROUND(N(O106)*100,0)+ROUND(N(P106)*100,0))),0)-(ROUND(N(T106)*100,0)))&lt;=0,"OK","ABWEICHUNG"))</f>
        <v/>
      </c>
      <c r="AA106" s="44" t="n"/>
      <c r="AB106" s="44" t="n"/>
      <c r="AC106" s="44" t="n"/>
      <c r="AD106" s="44" t="n"/>
      <c r="AE106" s="85" t="n"/>
      <c r="AF106" s="85" t="n"/>
      <c r="AG106" s="44" t="n"/>
      <c r="AH106" s="44" t="n"/>
    </row>
    <row r="107">
      <c r="A107" s="44" t="n"/>
      <c r="B107" s="44" t="n"/>
      <c r="C107" s="44" t="n"/>
      <c r="D107" s="44" t="n"/>
      <c r="E107" s="44" t="n"/>
      <c r="F107" s="44" t="n"/>
      <c r="G107" s="45" t="n"/>
      <c r="H107" s="44" t="n"/>
      <c r="I107" s="45" t="n"/>
      <c r="J107" s="44" t="n"/>
      <c r="K107" s="85" t="n"/>
      <c r="L107" s="85" t="n"/>
      <c r="M107" s="85" t="n"/>
      <c r="N107" s="85" t="n"/>
      <c r="O107" s="85" t="n"/>
      <c r="P107" s="85" t="n"/>
      <c r="Q107" s="85" t="n"/>
      <c r="R107" s="85" t="n"/>
      <c r="S107" s="85" t="n"/>
      <c r="T107" s="85" t="n"/>
      <c r="U107" s="85" t="n"/>
      <c r="V107" s="44" t="n"/>
      <c r="W107" s="50">
        <f>IF(OR(M107="",Q107="",S107=""),"",IF(ABS(ROUND(((ROUND(N(M107)*100,0))-(ROUND(N(Q107)*100,0))),0)-(ROUND(N(S107)*100,0)))&lt;=0,"OK","ABWEICHUNG"))</f>
        <v/>
      </c>
      <c r="X107" s="50">
        <f>IF(OR(K107="",M107="",N107=""),"",IF(ABS(ROUND(((ROUND(N(K107)*100,0)+ROUND(N(L107)*100,0))-(ROUND(N(M107)*100,0))),0)-(ROUND(N(N107)*100,0)))&lt;=0,"OK",IF(OR(L107=""),"UNVOLLSTÄNDIG","ABWEICHUNG")))</f>
        <v/>
      </c>
      <c r="Y107" s="50">
        <f>IF(OR(K107="",O107="",R107=""),"",IF(ABS(ROUND(((ROUND(N(K107)*100,0))-(ROUND(N(O107)*100,0))),0)-(ROUND(N(R107)*100,0)))&lt;=0,"OK","ABWEICHUNG"))</f>
        <v/>
      </c>
      <c r="Z107" s="50">
        <f>IF(OR(N107="",O107="",P107="",Q107="",T107=""),"",IF(ABS(ROUND(((ROUND(N(N107)*100,0)+ROUND(N(Q107)*100,0))-(ROUND(N(O107)*100,0)+ROUND(N(P107)*100,0))),0)-(ROUND(N(T107)*100,0)))&lt;=0,"OK","ABWEICHUNG"))</f>
        <v/>
      </c>
      <c r="AA107" s="44" t="n"/>
      <c r="AB107" s="44" t="n"/>
      <c r="AC107" s="44" t="n"/>
      <c r="AD107" s="44" t="n"/>
      <c r="AE107" s="85" t="n"/>
      <c r="AF107" s="85" t="n"/>
      <c r="AG107" s="44" t="n"/>
      <c r="AH107" s="44" t="n"/>
    </row>
    <row r="108">
      <c r="A108" s="44" t="n"/>
      <c r="B108" s="44" t="n"/>
      <c r="C108" s="44" t="n"/>
      <c r="D108" s="44" t="n"/>
      <c r="E108" s="44" t="n"/>
      <c r="F108" s="44" t="n"/>
      <c r="G108" s="45" t="n"/>
      <c r="H108" s="44" t="n"/>
      <c r="I108" s="45" t="n"/>
      <c r="J108" s="44" t="n"/>
      <c r="K108" s="85" t="n"/>
      <c r="L108" s="85" t="n"/>
      <c r="M108" s="85" t="n"/>
      <c r="N108" s="85" t="n"/>
      <c r="O108" s="85" t="n"/>
      <c r="P108" s="85" t="n"/>
      <c r="Q108" s="85" t="n"/>
      <c r="R108" s="85" t="n"/>
      <c r="S108" s="85" t="n"/>
      <c r="T108" s="85" t="n"/>
      <c r="U108" s="85" t="n"/>
      <c r="V108" s="44" t="n"/>
      <c r="W108" s="50">
        <f>IF(OR(M108="",Q108="",S108=""),"",IF(ABS(ROUND(((ROUND(N(M108)*100,0))-(ROUND(N(Q108)*100,0))),0)-(ROUND(N(S108)*100,0)))&lt;=0,"OK","ABWEICHUNG"))</f>
        <v/>
      </c>
      <c r="X108" s="50">
        <f>IF(OR(K108="",M108="",N108=""),"",IF(ABS(ROUND(((ROUND(N(K108)*100,0)+ROUND(N(L108)*100,0))-(ROUND(N(M108)*100,0))),0)-(ROUND(N(N108)*100,0)))&lt;=0,"OK",IF(OR(L108=""),"UNVOLLSTÄNDIG","ABWEICHUNG")))</f>
        <v/>
      </c>
      <c r="Y108" s="50">
        <f>IF(OR(K108="",O108="",R108=""),"",IF(ABS(ROUND(((ROUND(N(K108)*100,0))-(ROUND(N(O108)*100,0))),0)-(ROUND(N(R108)*100,0)))&lt;=0,"OK","ABWEICHUNG"))</f>
        <v/>
      </c>
      <c r="Z108" s="50">
        <f>IF(OR(N108="",O108="",P108="",Q108="",T108=""),"",IF(ABS(ROUND(((ROUND(N(N108)*100,0)+ROUND(N(Q108)*100,0))-(ROUND(N(O108)*100,0)+ROUND(N(P108)*100,0))),0)-(ROUND(N(T108)*100,0)))&lt;=0,"OK","ABWEICHUNG"))</f>
        <v/>
      </c>
      <c r="AA108" s="44" t="n"/>
      <c r="AB108" s="44" t="n"/>
      <c r="AC108" s="44" t="n"/>
      <c r="AD108" s="44" t="n"/>
      <c r="AE108" s="85" t="n"/>
      <c r="AF108" s="85" t="n"/>
      <c r="AG108" s="44" t="n"/>
      <c r="AH108" s="44" t="n"/>
    </row>
    <row r="109">
      <c r="A109" s="44" t="n"/>
      <c r="B109" s="44" t="n"/>
      <c r="C109" s="44" t="n"/>
      <c r="D109" s="44" t="n"/>
      <c r="E109" s="44" t="n"/>
      <c r="F109" s="44" t="n"/>
      <c r="G109" s="45" t="n"/>
      <c r="H109" s="44" t="n"/>
      <c r="I109" s="45" t="n"/>
      <c r="J109" s="44" t="n"/>
      <c r="K109" s="85" t="n"/>
      <c r="L109" s="85" t="n"/>
      <c r="M109" s="85" t="n"/>
      <c r="N109" s="85" t="n"/>
      <c r="O109" s="85" t="n"/>
      <c r="P109" s="85" t="n"/>
      <c r="Q109" s="85" t="n"/>
      <c r="R109" s="85" t="n"/>
      <c r="S109" s="85" t="n"/>
      <c r="T109" s="85" t="n"/>
      <c r="U109" s="85" t="n"/>
      <c r="V109" s="44" t="n"/>
      <c r="W109" s="50">
        <f>IF(OR(M109="",Q109="",S109=""),"",IF(ABS(ROUND(((ROUND(N(M109)*100,0))-(ROUND(N(Q109)*100,0))),0)-(ROUND(N(S109)*100,0)))&lt;=0,"OK","ABWEICHUNG"))</f>
        <v/>
      </c>
      <c r="X109" s="50">
        <f>IF(OR(K109="",M109="",N109=""),"",IF(ABS(ROUND(((ROUND(N(K109)*100,0)+ROUND(N(L109)*100,0))-(ROUND(N(M109)*100,0))),0)-(ROUND(N(N109)*100,0)))&lt;=0,"OK",IF(OR(L109=""),"UNVOLLSTÄNDIG","ABWEICHUNG")))</f>
        <v/>
      </c>
      <c r="Y109" s="50">
        <f>IF(OR(K109="",O109="",R109=""),"",IF(ABS(ROUND(((ROUND(N(K109)*100,0))-(ROUND(N(O109)*100,0))),0)-(ROUND(N(R109)*100,0)))&lt;=0,"OK","ABWEICHUNG"))</f>
        <v/>
      </c>
      <c r="Z109" s="50">
        <f>IF(OR(N109="",O109="",P109="",Q109="",T109=""),"",IF(ABS(ROUND(((ROUND(N(N109)*100,0)+ROUND(N(Q109)*100,0))-(ROUND(N(O109)*100,0)+ROUND(N(P109)*100,0))),0)-(ROUND(N(T109)*100,0)))&lt;=0,"OK","ABWEICHUNG"))</f>
        <v/>
      </c>
      <c r="AA109" s="44" t="n"/>
      <c r="AB109" s="44" t="n"/>
      <c r="AC109" s="44" t="n"/>
      <c r="AD109" s="44" t="n"/>
      <c r="AE109" s="85" t="n"/>
      <c r="AF109" s="85" t="n"/>
      <c r="AG109" s="44" t="n"/>
      <c r="AH109" s="44" t="n"/>
    </row>
    <row r="110">
      <c r="A110" s="44" t="n"/>
      <c r="B110" s="44" t="n"/>
      <c r="C110" s="44" t="n"/>
      <c r="D110" s="44" t="n"/>
      <c r="E110" s="44" t="n"/>
      <c r="F110" s="44" t="n"/>
      <c r="G110" s="45" t="n"/>
      <c r="H110" s="44" t="n"/>
      <c r="I110" s="45" t="n"/>
      <c r="J110" s="44" t="n"/>
      <c r="K110" s="85" t="n"/>
      <c r="L110" s="85" t="n"/>
      <c r="M110" s="85" t="n"/>
      <c r="N110" s="85" t="n"/>
      <c r="O110" s="85" t="n"/>
      <c r="P110" s="85" t="n"/>
      <c r="Q110" s="85" t="n"/>
      <c r="R110" s="85" t="n"/>
      <c r="S110" s="85" t="n"/>
      <c r="T110" s="85" t="n"/>
      <c r="U110" s="85" t="n"/>
      <c r="V110" s="44" t="n"/>
      <c r="W110" s="50">
        <f>IF(OR(M110="",Q110="",S110=""),"",IF(ABS(ROUND(((ROUND(N(M110)*100,0))-(ROUND(N(Q110)*100,0))),0)-(ROUND(N(S110)*100,0)))&lt;=0,"OK","ABWEICHUNG"))</f>
        <v/>
      </c>
      <c r="X110" s="50">
        <f>IF(OR(K110="",M110="",N110=""),"",IF(ABS(ROUND(((ROUND(N(K110)*100,0)+ROUND(N(L110)*100,0))-(ROUND(N(M110)*100,0))),0)-(ROUND(N(N110)*100,0)))&lt;=0,"OK",IF(OR(L110=""),"UNVOLLSTÄNDIG","ABWEICHUNG")))</f>
        <v/>
      </c>
      <c r="Y110" s="50">
        <f>IF(OR(K110="",O110="",R110=""),"",IF(ABS(ROUND(((ROUND(N(K110)*100,0))-(ROUND(N(O110)*100,0))),0)-(ROUND(N(R110)*100,0)))&lt;=0,"OK","ABWEICHUNG"))</f>
        <v/>
      </c>
      <c r="Z110" s="50">
        <f>IF(OR(N110="",O110="",P110="",Q110="",T110=""),"",IF(ABS(ROUND(((ROUND(N(N110)*100,0)+ROUND(N(Q110)*100,0))-(ROUND(N(O110)*100,0)+ROUND(N(P110)*100,0))),0)-(ROUND(N(T110)*100,0)))&lt;=0,"OK","ABWEICHUNG"))</f>
        <v/>
      </c>
      <c r="AA110" s="44" t="n"/>
      <c r="AB110" s="44" t="n"/>
      <c r="AC110" s="44" t="n"/>
      <c r="AD110" s="44" t="n"/>
      <c r="AE110" s="85" t="n"/>
      <c r="AF110" s="85" t="n"/>
      <c r="AG110" s="44" t="n"/>
      <c r="AH110" s="44" t="n"/>
    </row>
    <row r="111">
      <c r="A111" s="44" t="n"/>
      <c r="B111" s="44" t="n"/>
      <c r="C111" s="44" t="n"/>
      <c r="D111" s="44" t="n"/>
      <c r="E111" s="44" t="n"/>
      <c r="F111" s="44" t="n"/>
      <c r="G111" s="45" t="n"/>
      <c r="H111" s="44" t="n"/>
      <c r="I111" s="45" t="n"/>
      <c r="J111" s="44" t="n"/>
      <c r="K111" s="85" t="n"/>
      <c r="L111" s="85" t="n"/>
      <c r="M111" s="85" t="n"/>
      <c r="N111" s="85" t="n"/>
      <c r="O111" s="85" t="n"/>
      <c r="P111" s="85" t="n"/>
      <c r="Q111" s="85" t="n"/>
      <c r="R111" s="85" t="n"/>
      <c r="S111" s="85" t="n"/>
      <c r="T111" s="85" t="n"/>
      <c r="U111" s="85" t="n"/>
      <c r="V111" s="44" t="n"/>
      <c r="W111" s="50">
        <f>IF(OR(M111="",Q111="",S111=""),"",IF(ABS(ROUND(((ROUND(N(M111)*100,0))-(ROUND(N(Q111)*100,0))),0)-(ROUND(N(S111)*100,0)))&lt;=0,"OK","ABWEICHUNG"))</f>
        <v/>
      </c>
      <c r="X111" s="50">
        <f>IF(OR(K111="",M111="",N111=""),"",IF(ABS(ROUND(((ROUND(N(K111)*100,0)+ROUND(N(L111)*100,0))-(ROUND(N(M111)*100,0))),0)-(ROUND(N(N111)*100,0)))&lt;=0,"OK",IF(OR(L111=""),"UNVOLLSTÄNDIG","ABWEICHUNG")))</f>
        <v/>
      </c>
      <c r="Y111" s="50">
        <f>IF(OR(K111="",O111="",R111=""),"",IF(ABS(ROUND(((ROUND(N(K111)*100,0))-(ROUND(N(O111)*100,0))),0)-(ROUND(N(R111)*100,0)))&lt;=0,"OK","ABWEICHUNG"))</f>
        <v/>
      </c>
      <c r="Z111" s="50">
        <f>IF(OR(N111="",O111="",P111="",Q111="",T111=""),"",IF(ABS(ROUND(((ROUND(N(N111)*100,0)+ROUND(N(Q111)*100,0))-(ROUND(N(O111)*100,0)+ROUND(N(P111)*100,0))),0)-(ROUND(N(T111)*100,0)))&lt;=0,"OK","ABWEICHUNG"))</f>
        <v/>
      </c>
      <c r="AA111" s="44" t="n"/>
      <c r="AB111" s="44" t="n"/>
      <c r="AC111" s="44" t="n"/>
      <c r="AD111" s="44" t="n"/>
      <c r="AE111" s="85" t="n"/>
      <c r="AF111" s="85" t="n"/>
      <c r="AG111" s="44" t="n"/>
      <c r="AH111" s="44" t="n"/>
    </row>
    <row r="112">
      <c r="A112" s="44" t="n"/>
      <c r="B112" s="44" t="n"/>
      <c r="C112" s="44" t="n"/>
      <c r="D112" s="44" t="n"/>
      <c r="E112" s="44" t="n"/>
      <c r="F112" s="44" t="n"/>
      <c r="G112" s="45" t="n"/>
      <c r="H112" s="44" t="n"/>
      <c r="I112" s="45" t="n"/>
      <c r="J112" s="44" t="n"/>
      <c r="K112" s="85" t="n"/>
      <c r="L112" s="85" t="n"/>
      <c r="M112" s="85" t="n"/>
      <c r="N112" s="85" t="n"/>
      <c r="O112" s="85" t="n"/>
      <c r="P112" s="85" t="n"/>
      <c r="Q112" s="85" t="n"/>
      <c r="R112" s="85" t="n"/>
      <c r="S112" s="85" t="n"/>
      <c r="T112" s="85" t="n"/>
      <c r="U112" s="85" t="n"/>
      <c r="V112" s="44" t="n"/>
      <c r="W112" s="50">
        <f>IF(OR(M112="",Q112="",S112=""),"",IF(ABS(ROUND(((ROUND(N(M112)*100,0))-(ROUND(N(Q112)*100,0))),0)-(ROUND(N(S112)*100,0)))&lt;=0,"OK","ABWEICHUNG"))</f>
        <v/>
      </c>
      <c r="X112" s="50">
        <f>IF(OR(K112="",M112="",N112=""),"",IF(ABS(ROUND(((ROUND(N(K112)*100,0)+ROUND(N(L112)*100,0))-(ROUND(N(M112)*100,0))),0)-(ROUND(N(N112)*100,0)))&lt;=0,"OK",IF(OR(L112=""),"UNVOLLSTÄNDIG","ABWEICHUNG")))</f>
        <v/>
      </c>
      <c r="Y112" s="50">
        <f>IF(OR(K112="",O112="",R112=""),"",IF(ABS(ROUND(((ROUND(N(K112)*100,0))-(ROUND(N(O112)*100,0))),0)-(ROUND(N(R112)*100,0)))&lt;=0,"OK","ABWEICHUNG"))</f>
        <v/>
      </c>
      <c r="Z112" s="50">
        <f>IF(OR(N112="",O112="",P112="",Q112="",T112=""),"",IF(ABS(ROUND(((ROUND(N(N112)*100,0)+ROUND(N(Q112)*100,0))-(ROUND(N(O112)*100,0)+ROUND(N(P112)*100,0))),0)-(ROUND(N(T112)*100,0)))&lt;=0,"OK","ABWEICHUNG"))</f>
        <v/>
      </c>
      <c r="AA112" s="44" t="n"/>
      <c r="AB112" s="44" t="n"/>
      <c r="AC112" s="44" t="n"/>
      <c r="AD112" s="44" t="n"/>
      <c r="AE112" s="85" t="n"/>
      <c r="AF112" s="85" t="n"/>
      <c r="AG112" s="44" t="n"/>
      <c r="AH112" s="44" t="n"/>
    </row>
    <row r="113">
      <c r="A113" s="44" t="n"/>
      <c r="B113" s="44" t="n"/>
      <c r="C113" s="44" t="n"/>
      <c r="D113" s="44" t="n"/>
      <c r="E113" s="44" t="n"/>
      <c r="F113" s="44" t="n"/>
      <c r="G113" s="45" t="n"/>
      <c r="H113" s="44" t="n"/>
      <c r="I113" s="45" t="n"/>
      <c r="J113" s="44" t="n"/>
      <c r="K113" s="85" t="n"/>
      <c r="L113" s="85" t="n"/>
      <c r="M113" s="85" t="n"/>
      <c r="N113" s="85" t="n"/>
      <c r="O113" s="85" t="n"/>
      <c r="P113" s="85" t="n"/>
      <c r="Q113" s="85" t="n"/>
      <c r="R113" s="85" t="n"/>
      <c r="S113" s="85" t="n"/>
      <c r="T113" s="85" t="n"/>
      <c r="U113" s="85" t="n"/>
      <c r="V113" s="44" t="n"/>
      <c r="W113" s="50">
        <f>IF(OR(M113="",Q113="",S113=""),"",IF(ABS(ROUND(((ROUND(N(M113)*100,0))-(ROUND(N(Q113)*100,0))),0)-(ROUND(N(S113)*100,0)))&lt;=0,"OK","ABWEICHUNG"))</f>
        <v/>
      </c>
      <c r="X113" s="50">
        <f>IF(OR(K113="",M113="",N113=""),"",IF(ABS(ROUND(((ROUND(N(K113)*100,0)+ROUND(N(L113)*100,0))-(ROUND(N(M113)*100,0))),0)-(ROUND(N(N113)*100,0)))&lt;=0,"OK",IF(OR(L113=""),"UNVOLLSTÄNDIG","ABWEICHUNG")))</f>
        <v/>
      </c>
      <c r="Y113" s="50">
        <f>IF(OR(K113="",O113="",R113=""),"",IF(ABS(ROUND(((ROUND(N(K113)*100,0))-(ROUND(N(O113)*100,0))),0)-(ROUND(N(R113)*100,0)))&lt;=0,"OK","ABWEICHUNG"))</f>
        <v/>
      </c>
      <c r="Z113" s="50">
        <f>IF(OR(N113="",O113="",P113="",Q113="",T113=""),"",IF(ABS(ROUND(((ROUND(N(N113)*100,0)+ROUND(N(Q113)*100,0))-(ROUND(N(O113)*100,0)+ROUND(N(P113)*100,0))),0)-(ROUND(N(T113)*100,0)))&lt;=0,"OK","ABWEICHUNG"))</f>
        <v/>
      </c>
      <c r="AA113" s="44" t="n"/>
      <c r="AB113" s="44" t="n"/>
      <c r="AC113" s="44" t="n"/>
      <c r="AD113" s="44" t="n"/>
      <c r="AE113" s="85" t="n"/>
      <c r="AF113" s="85" t="n"/>
      <c r="AG113" s="44" t="n"/>
      <c r="AH113" s="44" t="n"/>
    </row>
    <row r="114">
      <c r="A114" s="44" t="n"/>
      <c r="B114" s="44" t="n"/>
      <c r="C114" s="44" t="n"/>
      <c r="D114" s="44" t="n"/>
      <c r="E114" s="44" t="n"/>
      <c r="F114" s="44" t="n"/>
      <c r="G114" s="45" t="n"/>
      <c r="H114" s="44" t="n"/>
      <c r="I114" s="45" t="n"/>
      <c r="J114" s="44" t="n"/>
      <c r="K114" s="85" t="n"/>
      <c r="L114" s="85" t="n"/>
      <c r="M114" s="85" t="n"/>
      <c r="N114" s="85" t="n"/>
      <c r="O114" s="85" t="n"/>
      <c r="P114" s="85" t="n"/>
      <c r="Q114" s="85" t="n"/>
      <c r="R114" s="85" t="n"/>
      <c r="S114" s="85" t="n"/>
      <c r="T114" s="85" t="n"/>
      <c r="U114" s="85" t="n"/>
      <c r="V114" s="44" t="n"/>
      <c r="W114" s="50">
        <f>IF(OR(M114="",Q114="",S114=""),"",IF(ABS(ROUND(((ROUND(N(M114)*100,0))-(ROUND(N(Q114)*100,0))),0)-(ROUND(N(S114)*100,0)))&lt;=0,"OK","ABWEICHUNG"))</f>
        <v/>
      </c>
      <c r="X114" s="50">
        <f>IF(OR(K114="",M114="",N114=""),"",IF(ABS(ROUND(((ROUND(N(K114)*100,0)+ROUND(N(L114)*100,0))-(ROUND(N(M114)*100,0))),0)-(ROUND(N(N114)*100,0)))&lt;=0,"OK",IF(OR(L114=""),"UNVOLLSTÄNDIG","ABWEICHUNG")))</f>
        <v/>
      </c>
      <c r="Y114" s="50">
        <f>IF(OR(K114="",O114="",R114=""),"",IF(ABS(ROUND(((ROUND(N(K114)*100,0))-(ROUND(N(O114)*100,0))),0)-(ROUND(N(R114)*100,0)))&lt;=0,"OK","ABWEICHUNG"))</f>
        <v/>
      </c>
      <c r="Z114" s="50">
        <f>IF(OR(N114="",O114="",P114="",Q114="",T114=""),"",IF(ABS(ROUND(((ROUND(N(N114)*100,0)+ROUND(N(Q114)*100,0))-(ROUND(N(O114)*100,0)+ROUND(N(P114)*100,0))),0)-(ROUND(N(T114)*100,0)))&lt;=0,"OK","ABWEICHUNG"))</f>
        <v/>
      </c>
      <c r="AA114" s="44" t="n"/>
      <c r="AB114" s="44" t="n"/>
      <c r="AC114" s="44" t="n"/>
      <c r="AD114" s="44" t="n"/>
      <c r="AE114" s="85" t="n"/>
      <c r="AF114" s="85" t="n"/>
      <c r="AG114" s="44" t="n"/>
      <c r="AH114" s="44" t="n"/>
    </row>
    <row r="115">
      <c r="A115" s="44" t="n"/>
      <c r="B115" s="44" t="n"/>
      <c r="C115" s="44" t="n"/>
      <c r="D115" s="44" t="n"/>
      <c r="E115" s="44" t="n"/>
      <c r="F115" s="44" t="n"/>
      <c r="G115" s="45" t="n"/>
      <c r="H115" s="44" t="n"/>
      <c r="I115" s="45" t="n"/>
      <c r="J115" s="44" t="n"/>
      <c r="K115" s="85" t="n"/>
      <c r="L115" s="85" t="n"/>
      <c r="M115" s="85" t="n"/>
      <c r="N115" s="85" t="n"/>
      <c r="O115" s="85" t="n"/>
      <c r="P115" s="85" t="n"/>
      <c r="Q115" s="85" t="n"/>
      <c r="R115" s="85" t="n"/>
      <c r="S115" s="85" t="n"/>
      <c r="T115" s="85" t="n"/>
      <c r="U115" s="85" t="n"/>
      <c r="V115" s="44" t="n"/>
      <c r="W115" s="50">
        <f>IF(OR(M115="",Q115="",S115=""),"",IF(ABS(ROUND(((ROUND(N(M115)*100,0))-(ROUND(N(Q115)*100,0))),0)-(ROUND(N(S115)*100,0)))&lt;=0,"OK","ABWEICHUNG"))</f>
        <v/>
      </c>
      <c r="X115" s="50">
        <f>IF(OR(K115="",M115="",N115=""),"",IF(ABS(ROUND(((ROUND(N(K115)*100,0)+ROUND(N(L115)*100,0))-(ROUND(N(M115)*100,0))),0)-(ROUND(N(N115)*100,0)))&lt;=0,"OK",IF(OR(L115=""),"UNVOLLSTÄNDIG","ABWEICHUNG")))</f>
        <v/>
      </c>
      <c r="Y115" s="50">
        <f>IF(OR(K115="",O115="",R115=""),"",IF(ABS(ROUND(((ROUND(N(K115)*100,0))-(ROUND(N(O115)*100,0))),0)-(ROUND(N(R115)*100,0)))&lt;=0,"OK","ABWEICHUNG"))</f>
        <v/>
      </c>
      <c r="Z115" s="50">
        <f>IF(OR(N115="",O115="",P115="",Q115="",T115=""),"",IF(ABS(ROUND(((ROUND(N(N115)*100,0)+ROUND(N(Q115)*100,0))-(ROUND(N(O115)*100,0)+ROUND(N(P115)*100,0))),0)-(ROUND(N(T115)*100,0)))&lt;=0,"OK","ABWEICHUNG"))</f>
        <v/>
      </c>
      <c r="AA115" s="44" t="n"/>
      <c r="AB115" s="44" t="n"/>
      <c r="AC115" s="44" t="n"/>
      <c r="AD115" s="44" t="n"/>
      <c r="AE115" s="85" t="n"/>
      <c r="AF115" s="85" t="n"/>
      <c r="AG115" s="44" t="n"/>
      <c r="AH115" s="44" t="n"/>
    </row>
    <row r="116">
      <c r="A116" s="44" t="n"/>
      <c r="B116" s="44" t="n"/>
      <c r="C116" s="44" t="n"/>
      <c r="D116" s="44" t="n"/>
      <c r="E116" s="44" t="n"/>
      <c r="F116" s="44" t="n"/>
      <c r="G116" s="45" t="n"/>
      <c r="H116" s="44" t="n"/>
      <c r="I116" s="45" t="n"/>
      <c r="J116" s="44" t="n"/>
      <c r="K116" s="85" t="n"/>
      <c r="L116" s="85" t="n"/>
      <c r="M116" s="85" t="n"/>
      <c r="N116" s="85" t="n"/>
      <c r="O116" s="85" t="n"/>
      <c r="P116" s="85" t="n"/>
      <c r="Q116" s="85" t="n"/>
      <c r="R116" s="85" t="n"/>
      <c r="S116" s="85" t="n"/>
      <c r="T116" s="85" t="n"/>
      <c r="U116" s="85" t="n"/>
      <c r="V116" s="44" t="n"/>
      <c r="W116" s="50">
        <f>IF(OR(M116="",Q116="",S116=""),"",IF(ABS(ROUND(((ROUND(N(M116)*100,0))-(ROUND(N(Q116)*100,0))),0)-(ROUND(N(S116)*100,0)))&lt;=0,"OK","ABWEICHUNG"))</f>
        <v/>
      </c>
      <c r="X116" s="50">
        <f>IF(OR(K116="",M116="",N116=""),"",IF(ABS(ROUND(((ROUND(N(K116)*100,0)+ROUND(N(L116)*100,0))-(ROUND(N(M116)*100,0))),0)-(ROUND(N(N116)*100,0)))&lt;=0,"OK",IF(OR(L116=""),"UNVOLLSTÄNDIG","ABWEICHUNG")))</f>
        <v/>
      </c>
      <c r="Y116" s="50">
        <f>IF(OR(K116="",O116="",R116=""),"",IF(ABS(ROUND(((ROUND(N(K116)*100,0))-(ROUND(N(O116)*100,0))),0)-(ROUND(N(R116)*100,0)))&lt;=0,"OK","ABWEICHUNG"))</f>
        <v/>
      </c>
      <c r="Z116" s="50">
        <f>IF(OR(N116="",O116="",P116="",Q116="",T116=""),"",IF(ABS(ROUND(((ROUND(N(N116)*100,0)+ROUND(N(Q116)*100,0))-(ROUND(N(O116)*100,0)+ROUND(N(P116)*100,0))),0)-(ROUND(N(T116)*100,0)))&lt;=0,"OK","ABWEICHUNG"))</f>
        <v/>
      </c>
      <c r="AA116" s="44" t="n"/>
      <c r="AB116" s="44" t="n"/>
      <c r="AC116" s="44" t="n"/>
      <c r="AD116" s="44" t="n"/>
      <c r="AE116" s="85" t="n"/>
      <c r="AF116" s="85" t="n"/>
      <c r="AG116" s="44" t="n"/>
      <c r="AH116" s="44" t="n"/>
    </row>
    <row r="117">
      <c r="A117" s="44" t="n"/>
      <c r="B117" s="44" t="n"/>
      <c r="C117" s="44" t="n"/>
      <c r="D117" s="44" t="n"/>
      <c r="E117" s="44" t="n"/>
      <c r="F117" s="44" t="n"/>
      <c r="G117" s="45" t="n"/>
      <c r="H117" s="44" t="n"/>
      <c r="I117" s="45" t="n"/>
      <c r="J117" s="44" t="n"/>
      <c r="K117" s="85" t="n"/>
      <c r="L117" s="85" t="n"/>
      <c r="M117" s="85" t="n"/>
      <c r="N117" s="85" t="n"/>
      <c r="O117" s="85" t="n"/>
      <c r="P117" s="85" t="n"/>
      <c r="Q117" s="85" t="n"/>
      <c r="R117" s="85" t="n"/>
      <c r="S117" s="85" t="n"/>
      <c r="T117" s="85" t="n"/>
      <c r="U117" s="85" t="n"/>
      <c r="V117" s="44" t="n"/>
      <c r="W117" s="50">
        <f>IF(OR(M117="",Q117="",S117=""),"",IF(ABS(ROUND(((ROUND(N(M117)*100,0))-(ROUND(N(Q117)*100,0))),0)-(ROUND(N(S117)*100,0)))&lt;=0,"OK","ABWEICHUNG"))</f>
        <v/>
      </c>
      <c r="X117" s="50">
        <f>IF(OR(K117="",M117="",N117=""),"",IF(ABS(ROUND(((ROUND(N(K117)*100,0)+ROUND(N(L117)*100,0))-(ROUND(N(M117)*100,0))),0)-(ROUND(N(N117)*100,0)))&lt;=0,"OK",IF(OR(L117=""),"UNVOLLSTÄNDIG","ABWEICHUNG")))</f>
        <v/>
      </c>
      <c r="Y117" s="50">
        <f>IF(OR(K117="",O117="",R117=""),"",IF(ABS(ROUND(((ROUND(N(K117)*100,0))-(ROUND(N(O117)*100,0))),0)-(ROUND(N(R117)*100,0)))&lt;=0,"OK","ABWEICHUNG"))</f>
        <v/>
      </c>
      <c r="Z117" s="50">
        <f>IF(OR(N117="",O117="",P117="",Q117="",T117=""),"",IF(ABS(ROUND(((ROUND(N(N117)*100,0)+ROUND(N(Q117)*100,0))-(ROUND(N(O117)*100,0)+ROUND(N(P117)*100,0))),0)-(ROUND(N(T117)*100,0)))&lt;=0,"OK","ABWEICHUNG"))</f>
        <v/>
      </c>
      <c r="AA117" s="44" t="n"/>
      <c r="AB117" s="44" t="n"/>
      <c r="AC117" s="44" t="n"/>
      <c r="AD117" s="44" t="n"/>
      <c r="AE117" s="85" t="n"/>
      <c r="AF117" s="85" t="n"/>
      <c r="AG117" s="44" t="n"/>
      <c r="AH117" s="44" t="n"/>
    </row>
    <row r="118">
      <c r="A118" s="44" t="n"/>
      <c r="B118" s="44" t="n"/>
      <c r="C118" s="44" t="n"/>
      <c r="D118" s="44" t="n"/>
      <c r="E118" s="44" t="n"/>
      <c r="F118" s="44" t="n"/>
      <c r="G118" s="45" t="n"/>
      <c r="H118" s="44" t="n"/>
      <c r="I118" s="45" t="n"/>
      <c r="J118" s="44" t="n"/>
      <c r="K118" s="85" t="n"/>
      <c r="L118" s="85" t="n"/>
      <c r="M118" s="85" t="n"/>
      <c r="N118" s="85" t="n"/>
      <c r="O118" s="85" t="n"/>
      <c r="P118" s="85" t="n"/>
      <c r="Q118" s="85" t="n"/>
      <c r="R118" s="85" t="n"/>
      <c r="S118" s="85" t="n"/>
      <c r="T118" s="85" t="n"/>
      <c r="U118" s="85" t="n"/>
      <c r="V118" s="44" t="n"/>
      <c r="W118" s="50">
        <f>IF(OR(M118="",Q118="",S118=""),"",IF(ABS(ROUND(((ROUND(N(M118)*100,0))-(ROUND(N(Q118)*100,0))),0)-(ROUND(N(S118)*100,0)))&lt;=0,"OK","ABWEICHUNG"))</f>
        <v/>
      </c>
      <c r="X118" s="50">
        <f>IF(OR(K118="",M118="",N118=""),"",IF(ABS(ROUND(((ROUND(N(K118)*100,0)+ROUND(N(L118)*100,0))-(ROUND(N(M118)*100,0))),0)-(ROUND(N(N118)*100,0)))&lt;=0,"OK",IF(OR(L118=""),"UNVOLLSTÄNDIG","ABWEICHUNG")))</f>
        <v/>
      </c>
      <c r="Y118" s="50">
        <f>IF(OR(K118="",O118="",R118=""),"",IF(ABS(ROUND(((ROUND(N(K118)*100,0))-(ROUND(N(O118)*100,0))),0)-(ROUND(N(R118)*100,0)))&lt;=0,"OK","ABWEICHUNG"))</f>
        <v/>
      </c>
      <c r="Z118" s="50">
        <f>IF(OR(N118="",O118="",P118="",Q118="",T118=""),"",IF(ABS(ROUND(((ROUND(N(N118)*100,0)+ROUND(N(Q118)*100,0))-(ROUND(N(O118)*100,0)+ROUND(N(P118)*100,0))),0)-(ROUND(N(T118)*100,0)))&lt;=0,"OK","ABWEICHUNG"))</f>
        <v/>
      </c>
      <c r="AA118" s="44" t="n"/>
      <c r="AB118" s="44" t="n"/>
      <c r="AC118" s="44" t="n"/>
      <c r="AD118" s="44" t="n"/>
      <c r="AE118" s="85" t="n"/>
      <c r="AF118" s="85" t="n"/>
      <c r="AG118" s="44" t="n"/>
      <c r="AH118" s="44" t="n"/>
    </row>
    <row r="119">
      <c r="A119" s="44" t="n"/>
      <c r="B119" s="44" t="n"/>
      <c r="C119" s="44" t="n"/>
      <c r="D119" s="44" t="n"/>
      <c r="E119" s="44" t="n"/>
      <c r="F119" s="44" t="n"/>
      <c r="G119" s="45" t="n"/>
      <c r="H119" s="44" t="n"/>
      <c r="I119" s="45" t="n"/>
      <c r="J119" s="44" t="n"/>
      <c r="K119" s="85" t="n"/>
      <c r="L119" s="85" t="n"/>
      <c r="M119" s="85" t="n"/>
      <c r="N119" s="85" t="n"/>
      <c r="O119" s="85" t="n"/>
      <c r="P119" s="85" t="n"/>
      <c r="Q119" s="85" t="n"/>
      <c r="R119" s="85" t="n"/>
      <c r="S119" s="85" t="n"/>
      <c r="T119" s="85" t="n"/>
      <c r="U119" s="85" t="n"/>
      <c r="V119" s="44" t="n"/>
      <c r="W119" s="50">
        <f>IF(OR(M119="",Q119="",S119=""),"",IF(ABS(ROUND(((ROUND(N(M119)*100,0))-(ROUND(N(Q119)*100,0))),0)-(ROUND(N(S119)*100,0)))&lt;=0,"OK","ABWEICHUNG"))</f>
        <v/>
      </c>
      <c r="X119" s="50">
        <f>IF(OR(K119="",M119="",N119=""),"",IF(ABS(ROUND(((ROUND(N(K119)*100,0)+ROUND(N(L119)*100,0))-(ROUND(N(M119)*100,0))),0)-(ROUND(N(N119)*100,0)))&lt;=0,"OK",IF(OR(L119=""),"UNVOLLSTÄNDIG","ABWEICHUNG")))</f>
        <v/>
      </c>
      <c r="Y119" s="50">
        <f>IF(OR(K119="",O119="",R119=""),"",IF(ABS(ROUND(((ROUND(N(K119)*100,0))-(ROUND(N(O119)*100,0))),0)-(ROUND(N(R119)*100,0)))&lt;=0,"OK","ABWEICHUNG"))</f>
        <v/>
      </c>
      <c r="Z119" s="50">
        <f>IF(OR(N119="",O119="",P119="",Q119="",T119=""),"",IF(ABS(ROUND(((ROUND(N(N119)*100,0)+ROUND(N(Q119)*100,0))-(ROUND(N(O119)*100,0)+ROUND(N(P119)*100,0))),0)-(ROUND(N(T119)*100,0)))&lt;=0,"OK","ABWEICHUNG"))</f>
        <v/>
      </c>
      <c r="AA119" s="44" t="n"/>
      <c r="AB119" s="44" t="n"/>
      <c r="AC119" s="44" t="n"/>
      <c r="AD119" s="44" t="n"/>
      <c r="AE119" s="85" t="n"/>
      <c r="AF119" s="85" t="n"/>
      <c r="AG119" s="44" t="n"/>
      <c r="AH119" s="44" t="n"/>
    </row>
    <row r="120">
      <c r="A120" s="44" t="n"/>
      <c r="B120" s="44" t="n"/>
      <c r="C120" s="44" t="n"/>
      <c r="D120" s="44" t="n"/>
      <c r="E120" s="44" t="n"/>
      <c r="F120" s="44" t="n"/>
      <c r="G120" s="45" t="n"/>
      <c r="H120" s="44" t="n"/>
      <c r="I120" s="45" t="n"/>
      <c r="J120" s="44" t="n"/>
      <c r="K120" s="85" t="n"/>
      <c r="L120" s="85" t="n"/>
      <c r="M120" s="85" t="n"/>
      <c r="N120" s="85" t="n"/>
      <c r="O120" s="85" t="n"/>
      <c r="P120" s="85" t="n"/>
      <c r="Q120" s="85" t="n"/>
      <c r="R120" s="85" t="n"/>
      <c r="S120" s="85" t="n"/>
      <c r="T120" s="85" t="n"/>
      <c r="U120" s="85" t="n"/>
      <c r="V120" s="44" t="n"/>
      <c r="W120" s="50">
        <f>IF(OR(M120="",Q120="",S120=""),"",IF(ABS(ROUND(((ROUND(N(M120)*100,0))-(ROUND(N(Q120)*100,0))),0)-(ROUND(N(S120)*100,0)))&lt;=0,"OK","ABWEICHUNG"))</f>
        <v/>
      </c>
      <c r="X120" s="50">
        <f>IF(OR(K120="",M120="",N120=""),"",IF(ABS(ROUND(((ROUND(N(K120)*100,0)+ROUND(N(L120)*100,0))-(ROUND(N(M120)*100,0))),0)-(ROUND(N(N120)*100,0)))&lt;=0,"OK",IF(OR(L120=""),"UNVOLLSTÄNDIG","ABWEICHUNG")))</f>
        <v/>
      </c>
      <c r="Y120" s="50">
        <f>IF(OR(K120="",O120="",R120=""),"",IF(ABS(ROUND(((ROUND(N(K120)*100,0))-(ROUND(N(O120)*100,0))),0)-(ROUND(N(R120)*100,0)))&lt;=0,"OK","ABWEICHUNG"))</f>
        <v/>
      </c>
      <c r="Z120" s="50">
        <f>IF(OR(N120="",O120="",P120="",Q120="",T120=""),"",IF(ABS(ROUND(((ROUND(N(N120)*100,0)+ROUND(N(Q120)*100,0))-(ROUND(N(O120)*100,0)+ROUND(N(P120)*100,0))),0)-(ROUND(N(T120)*100,0)))&lt;=0,"OK","ABWEICHUNG"))</f>
        <v/>
      </c>
      <c r="AA120" s="44" t="n"/>
      <c r="AB120" s="44" t="n"/>
      <c r="AC120" s="44" t="n"/>
      <c r="AD120" s="44" t="n"/>
      <c r="AE120" s="85" t="n"/>
      <c r="AF120" s="85" t="n"/>
      <c r="AG120" s="44" t="n"/>
      <c r="AH120" s="44" t="n"/>
    </row>
    <row r="121">
      <c r="A121" s="44" t="n"/>
      <c r="B121" s="44" t="n"/>
      <c r="C121" s="44" t="n"/>
      <c r="D121" s="44" t="n"/>
      <c r="E121" s="44" t="n"/>
      <c r="F121" s="44" t="n"/>
      <c r="G121" s="45" t="n"/>
      <c r="H121" s="44" t="n"/>
      <c r="I121" s="45" t="n"/>
      <c r="J121" s="44" t="n"/>
      <c r="K121" s="85" t="n"/>
      <c r="L121" s="85" t="n"/>
      <c r="M121" s="85" t="n"/>
      <c r="N121" s="85" t="n"/>
      <c r="O121" s="85" t="n"/>
      <c r="P121" s="85" t="n"/>
      <c r="Q121" s="85" t="n"/>
      <c r="R121" s="85" t="n"/>
      <c r="S121" s="85" t="n"/>
      <c r="T121" s="85" t="n"/>
      <c r="U121" s="85" t="n"/>
      <c r="V121" s="44" t="n"/>
      <c r="W121" s="50">
        <f>IF(OR(M121="",Q121="",S121=""),"",IF(ABS(ROUND(((ROUND(N(M121)*100,0))-(ROUND(N(Q121)*100,0))),0)-(ROUND(N(S121)*100,0)))&lt;=0,"OK","ABWEICHUNG"))</f>
        <v/>
      </c>
      <c r="X121" s="50">
        <f>IF(OR(K121="",M121="",N121=""),"",IF(ABS(ROUND(((ROUND(N(K121)*100,0)+ROUND(N(L121)*100,0))-(ROUND(N(M121)*100,0))),0)-(ROUND(N(N121)*100,0)))&lt;=0,"OK",IF(OR(L121=""),"UNVOLLSTÄNDIG","ABWEICHUNG")))</f>
        <v/>
      </c>
      <c r="Y121" s="50">
        <f>IF(OR(K121="",O121="",R121=""),"",IF(ABS(ROUND(((ROUND(N(K121)*100,0))-(ROUND(N(O121)*100,0))),0)-(ROUND(N(R121)*100,0)))&lt;=0,"OK","ABWEICHUNG"))</f>
        <v/>
      </c>
      <c r="Z121" s="50">
        <f>IF(OR(N121="",O121="",P121="",Q121="",T121=""),"",IF(ABS(ROUND(((ROUND(N(N121)*100,0)+ROUND(N(Q121)*100,0))-(ROUND(N(O121)*100,0)+ROUND(N(P121)*100,0))),0)-(ROUND(N(T121)*100,0)))&lt;=0,"OK","ABWEICHUNG"))</f>
        <v/>
      </c>
      <c r="AA121" s="44" t="n"/>
      <c r="AB121" s="44" t="n"/>
      <c r="AC121" s="44" t="n"/>
      <c r="AD121" s="44" t="n"/>
      <c r="AE121" s="85" t="n"/>
      <c r="AF121" s="85" t="n"/>
      <c r="AG121" s="44" t="n"/>
      <c r="AH121" s="44" t="n"/>
    </row>
    <row r="122">
      <c r="A122" s="44" t="n"/>
      <c r="B122" s="44" t="n"/>
      <c r="C122" s="44" t="n"/>
      <c r="D122" s="44" t="n"/>
      <c r="E122" s="44" t="n"/>
      <c r="F122" s="44" t="n"/>
      <c r="G122" s="45" t="n"/>
      <c r="H122" s="44" t="n"/>
      <c r="I122" s="45" t="n"/>
      <c r="J122" s="44" t="n"/>
      <c r="K122" s="85" t="n"/>
      <c r="L122" s="85" t="n"/>
      <c r="M122" s="85" t="n"/>
      <c r="N122" s="85" t="n"/>
      <c r="O122" s="85" t="n"/>
      <c r="P122" s="85" t="n"/>
      <c r="Q122" s="85" t="n"/>
      <c r="R122" s="85" t="n"/>
      <c r="S122" s="85" t="n"/>
      <c r="T122" s="85" t="n"/>
      <c r="U122" s="85" t="n"/>
      <c r="V122" s="44" t="n"/>
      <c r="W122" s="50">
        <f>IF(OR(M122="",Q122="",S122=""),"",IF(ABS(ROUND(((ROUND(N(M122)*100,0))-(ROUND(N(Q122)*100,0))),0)-(ROUND(N(S122)*100,0)))&lt;=0,"OK","ABWEICHUNG"))</f>
        <v/>
      </c>
      <c r="X122" s="50">
        <f>IF(OR(K122="",M122="",N122=""),"",IF(ABS(ROUND(((ROUND(N(K122)*100,0)+ROUND(N(L122)*100,0))-(ROUND(N(M122)*100,0))),0)-(ROUND(N(N122)*100,0)))&lt;=0,"OK",IF(OR(L122=""),"UNVOLLSTÄNDIG","ABWEICHUNG")))</f>
        <v/>
      </c>
      <c r="Y122" s="50">
        <f>IF(OR(K122="",O122="",R122=""),"",IF(ABS(ROUND(((ROUND(N(K122)*100,0))-(ROUND(N(O122)*100,0))),0)-(ROUND(N(R122)*100,0)))&lt;=0,"OK","ABWEICHUNG"))</f>
        <v/>
      </c>
      <c r="Z122" s="50">
        <f>IF(OR(N122="",O122="",P122="",Q122="",T122=""),"",IF(ABS(ROUND(((ROUND(N(N122)*100,0)+ROUND(N(Q122)*100,0))-(ROUND(N(O122)*100,0)+ROUND(N(P122)*100,0))),0)-(ROUND(N(T122)*100,0)))&lt;=0,"OK","ABWEICHUNG"))</f>
        <v/>
      </c>
      <c r="AA122" s="44" t="n"/>
      <c r="AB122" s="44" t="n"/>
      <c r="AC122" s="44" t="n"/>
      <c r="AD122" s="44" t="n"/>
      <c r="AE122" s="85" t="n"/>
      <c r="AF122" s="85" t="n"/>
      <c r="AG122" s="44" t="n"/>
      <c r="AH122" s="44" t="n"/>
    </row>
    <row r="123">
      <c r="A123" s="44" t="n"/>
      <c r="B123" s="44" t="n"/>
      <c r="C123" s="44" t="n"/>
      <c r="D123" s="44" t="n"/>
      <c r="E123" s="44" t="n"/>
      <c r="F123" s="44" t="n"/>
      <c r="G123" s="45" t="n"/>
      <c r="H123" s="44" t="n"/>
      <c r="I123" s="45" t="n"/>
      <c r="J123" s="44" t="n"/>
      <c r="K123" s="85" t="n"/>
      <c r="L123" s="85" t="n"/>
      <c r="M123" s="85" t="n"/>
      <c r="N123" s="85" t="n"/>
      <c r="O123" s="85" t="n"/>
      <c r="P123" s="85" t="n"/>
      <c r="Q123" s="85" t="n"/>
      <c r="R123" s="85" t="n"/>
      <c r="S123" s="85" t="n"/>
      <c r="T123" s="85" t="n"/>
      <c r="U123" s="85" t="n"/>
      <c r="V123" s="44" t="n"/>
      <c r="W123" s="50">
        <f>IF(OR(M123="",Q123="",S123=""),"",IF(ABS(ROUND(((ROUND(N(M123)*100,0))-(ROUND(N(Q123)*100,0))),0)-(ROUND(N(S123)*100,0)))&lt;=0,"OK","ABWEICHUNG"))</f>
        <v/>
      </c>
      <c r="X123" s="50">
        <f>IF(OR(K123="",M123="",N123=""),"",IF(ABS(ROUND(((ROUND(N(K123)*100,0)+ROUND(N(L123)*100,0))-(ROUND(N(M123)*100,0))),0)-(ROUND(N(N123)*100,0)))&lt;=0,"OK",IF(OR(L123=""),"UNVOLLSTÄNDIG","ABWEICHUNG")))</f>
        <v/>
      </c>
      <c r="Y123" s="50">
        <f>IF(OR(K123="",O123="",R123=""),"",IF(ABS(ROUND(((ROUND(N(K123)*100,0))-(ROUND(N(O123)*100,0))),0)-(ROUND(N(R123)*100,0)))&lt;=0,"OK","ABWEICHUNG"))</f>
        <v/>
      </c>
      <c r="Z123" s="50">
        <f>IF(OR(N123="",O123="",P123="",Q123="",T123=""),"",IF(ABS(ROUND(((ROUND(N(N123)*100,0)+ROUND(N(Q123)*100,0))-(ROUND(N(O123)*100,0)+ROUND(N(P123)*100,0))),0)-(ROUND(N(T123)*100,0)))&lt;=0,"OK","ABWEICHUNG"))</f>
        <v/>
      </c>
      <c r="AA123" s="44" t="n"/>
      <c r="AB123" s="44" t="n"/>
      <c r="AC123" s="44" t="n"/>
      <c r="AD123" s="44" t="n"/>
      <c r="AE123" s="85" t="n"/>
      <c r="AF123" s="85" t="n"/>
      <c r="AG123" s="44" t="n"/>
      <c r="AH123" s="44" t="n"/>
    </row>
    <row r="124">
      <c r="A124" s="44" t="n"/>
      <c r="B124" s="44" t="n"/>
      <c r="C124" s="44" t="n"/>
      <c r="D124" s="44" t="n"/>
      <c r="E124" s="44" t="n"/>
      <c r="F124" s="44" t="n"/>
      <c r="G124" s="45" t="n"/>
      <c r="H124" s="44" t="n"/>
      <c r="I124" s="45" t="n"/>
      <c r="J124" s="44" t="n"/>
      <c r="K124" s="85" t="n"/>
      <c r="L124" s="85" t="n"/>
      <c r="M124" s="85" t="n"/>
      <c r="N124" s="85" t="n"/>
      <c r="O124" s="85" t="n"/>
      <c r="P124" s="85" t="n"/>
      <c r="Q124" s="85" t="n"/>
      <c r="R124" s="85" t="n"/>
      <c r="S124" s="85" t="n"/>
      <c r="T124" s="85" t="n"/>
      <c r="U124" s="85" t="n"/>
      <c r="V124" s="44" t="n"/>
      <c r="W124" s="50">
        <f>IF(OR(M124="",Q124="",S124=""),"",IF(ABS(ROUND(((ROUND(N(M124)*100,0))-(ROUND(N(Q124)*100,0))),0)-(ROUND(N(S124)*100,0)))&lt;=0,"OK","ABWEICHUNG"))</f>
        <v/>
      </c>
      <c r="X124" s="50">
        <f>IF(OR(K124="",M124="",N124=""),"",IF(ABS(ROUND(((ROUND(N(K124)*100,0)+ROUND(N(L124)*100,0))-(ROUND(N(M124)*100,0))),0)-(ROUND(N(N124)*100,0)))&lt;=0,"OK",IF(OR(L124=""),"UNVOLLSTÄNDIG","ABWEICHUNG")))</f>
        <v/>
      </c>
      <c r="Y124" s="50">
        <f>IF(OR(K124="",O124="",R124=""),"",IF(ABS(ROUND(((ROUND(N(K124)*100,0))-(ROUND(N(O124)*100,0))),0)-(ROUND(N(R124)*100,0)))&lt;=0,"OK","ABWEICHUNG"))</f>
        <v/>
      </c>
      <c r="Z124" s="50">
        <f>IF(OR(N124="",O124="",P124="",Q124="",T124=""),"",IF(ABS(ROUND(((ROUND(N(N124)*100,0)+ROUND(N(Q124)*100,0))-(ROUND(N(O124)*100,0)+ROUND(N(P124)*100,0))),0)-(ROUND(N(T124)*100,0)))&lt;=0,"OK","ABWEICHUNG"))</f>
        <v/>
      </c>
      <c r="AA124" s="44" t="n"/>
      <c r="AB124" s="44" t="n"/>
      <c r="AC124" s="44" t="n"/>
      <c r="AD124" s="44" t="n"/>
      <c r="AE124" s="85" t="n"/>
      <c r="AF124" s="85" t="n"/>
      <c r="AG124" s="44" t="n"/>
      <c r="AH124" s="44" t="n"/>
    </row>
    <row r="125">
      <c r="A125" s="44" t="n"/>
      <c r="B125" s="44" t="n"/>
      <c r="C125" s="44" t="n"/>
      <c r="D125" s="44" t="n"/>
      <c r="E125" s="44" t="n"/>
      <c r="F125" s="44" t="n"/>
      <c r="G125" s="45" t="n"/>
      <c r="H125" s="44" t="n"/>
      <c r="I125" s="45" t="n"/>
      <c r="J125" s="44" t="n"/>
      <c r="K125" s="85" t="n"/>
      <c r="L125" s="85" t="n"/>
      <c r="M125" s="85" t="n"/>
      <c r="N125" s="85" t="n"/>
      <c r="O125" s="85" t="n"/>
      <c r="P125" s="85" t="n"/>
      <c r="Q125" s="85" t="n"/>
      <c r="R125" s="85" t="n"/>
      <c r="S125" s="85" t="n"/>
      <c r="T125" s="85" t="n"/>
      <c r="U125" s="85" t="n"/>
      <c r="V125" s="44" t="n"/>
      <c r="W125" s="50">
        <f>IF(OR(M125="",Q125="",S125=""),"",IF(ABS(ROUND(((ROUND(N(M125)*100,0))-(ROUND(N(Q125)*100,0))),0)-(ROUND(N(S125)*100,0)))&lt;=0,"OK","ABWEICHUNG"))</f>
        <v/>
      </c>
      <c r="X125" s="50">
        <f>IF(OR(K125="",M125="",N125=""),"",IF(ABS(ROUND(((ROUND(N(K125)*100,0)+ROUND(N(L125)*100,0))-(ROUND(N(M125)*100,0))),0)-(ROUND(N(N125)*100,0)))&lt;=0,"OK",IF(OR(L125=""),"UNVOLLSTÄNDIG","ABWEICHUNG")))</f>
        <v/>
      </c>
      <c r="Y125" s="50">
        <f>IF(OR(K125="",O125="",R125=""),"",IF(ABS(ROUND(((ROUND(N(K125)*100,0))-(ROUND(N(O125)*100,0))),0)-(ROUND(N(R125)*100,0)))&lt;=0,"OK","ABWEICHUNG"))</f>
        <v/>
      </c>
      <c r="Z125" s="50">
        <f>IF(OR(N125="",O125="",P125="",Q125="",T125=""),"",IF(ABS(ROUND(((ROUND(N(N125)*100,0)+ROUND(N(Q125)*100,0))-(ROUND(N(O125)*100,0)+ROUND(N(P125)*100,0))),0)-(ROUND(N(T125)*100,0)))&lt;=0,"OK","ABWEICHUNG"))</f>
        <v/>
      </c>
      <c r="AA125" s="44" t="n"/>
      <c r="AB125" s="44" t="n"/>
      <c r="AC125" s="44" t="n"/>
      <c r="AD125" s="44" t="n"/>
      <c r="AE125" s="85" t="n"/>
      <c r="AF125" s="85" t="n"/>
      <c r="AG125" s="44" t="n"/>
      <c r="AH125" s="44" t="n"/>
    </row>
    <row r="126">
      <c r="A126" s="44" t="n"/>
      <c r="B126" s="44" t="n"/>
      <c r="C126" s="44" t="n"/>
      <c r="D126" s="44" t="n"/>
      <c r="E126" s="44" t="n"/>
      <c r="F126" s="44" t="n"/>
      <c r="G126" s="45" t="n"/>
      <c r="H126" s="44" t="n"/>
      <c r="I126" s="45" t="n"/>
      <c r="J126" s="44" t="n"/>
      <c r="K126" s="85" t="n"/>
      <c r="L126" s="85" t="n"/>
      <c r="M126" s="85" t="n"/>
      <c r="N126" s="85" t="n"/>
      <c r="O126" s="85" t="n"/>
      <c r="P126" s="85" t="n"/>
      <c r="Q126" s="85" t="n"/>
      <c r="R126" s="85" t="n"/>
      <c r="S126" s="85" t="n"/>
      <c r="T126" s="85" t="n"/>
      <c r="U126" s="85" t="n"/>
      <c r="V126" s="44" t="n"/>
      <c r="W126" s="50">
        <f>IF(OR(M126="",Q126="",S126=""),"",IF(ABS(ROUND(((ROUND(N(M126)*100,0))-(ROUND(N(Q126)*100,0))),0)-(ROUND(N(S126)*100,0)))&lt;=0,"OK","ABWEICHUNG"))</f>
        <v/>
      </c>
      <c r="X126" s="50">
        <f>IF(OR(K126="",M126="",N126=""),"",IF(ABS(ROUND(((ROUND(N(K126)*100,0)+ROUND(N(L126)*100,0))-(ROUND(N(M126)*100,0))),0)-(ROUND(N(N126)*100,0)))&lt;=0,"OK",IF(OR(L126=""),"UNVOLLSTÄNDIG","ABWEICHUNG")))</f>
        <v/>
      </c>
      <c r="Y126" s="50">
        <f>IF(OR(K126="",O126="",R126=""),"",IF(ABS(ROUND(((ROUND(N(K126)*100,0))-(ROUND(N(O126)*100,0))),0)-(ROUND(N(R126)*100,0)))&lt;=0,"OK","ABWEICHUNG"))</f>
        <v/>
      </c>
      <c r="Z126" s="50">
        <f>IF(OR(N126="",O126="",P126="",Q126="",T126=""),"",IF(ABS(ROUND(((ROUND(N(N126)*100,0)+ROUND(N(Q126)*100,0))-(ROUND(N(O126)*100,0)+ROUND(N(P126)*100,0))),0)-(ROUND(N(T126)*100,0)))&lt;=0,"OK","ABWEICHUNG"))</f>
        <v/>
      </c>
      <c r="AA126" s="44" t="n"/>
      <c r="AB126" s="44" t="n"/>
      <c r="AC126" s="44" t="n"/>
      <c r="AD126" s="44" t="n"/>
      <c r="AE126" s="85" t="n"/>
      <c r="AF126" s="85" t="n"/>
      <c r="AG126" s="44" t="n"/>
      <c r="AH126" s="44" t="n"/>
    </row>
    <row r="127">
      <c r="A127" s="44" t="n"/>
      <c r="B127" s="44" t="n"/>
      <c r="C127" s="44" t="n"/>
      <c r="D127" s="44" t="n"/>
      <c r="E127" s="44" t="n"/>
      <c r="F127" s="44" t="n"/>
      <c r="G127" s="45" t="n"/>
      <c r="H127" s="44" t="n"/>
      <c r="I127" s="45" t="n"/>
      <c r="J127" s="44" t="n"/>
      <c r="K127" s="85" t="n"/>
      <c r="L127" s="85" t="n"/>
      <c r="M127" s="85" t="n"/>
      <c r="N127" s="85" t="n"/>
      <c r="O127" s="85" t="n"/>
      <c r="P127" s="85" t="n"/>
      <c r="Q127" s="85" t="n"/>
      <c r="R127" s="85" t="n"/>
      <c r="S127" s="85" t="n"/>
      <c r="T127" s="85" t="n"/>
      <c r="U127" s="85" t="n"/>
      <c r="V127" s="44" t="n"/>
      <c r="W127" s="50">
        <f>IF(OR(M127="",Q127="",S127=""),"",IF(ABS(ROUND(((ROUND(N(M127)*100,0))-(ROUND(N(Q127)*100,0))),0)-(ROUND(N(S127)*100,0)))&lt;=0,"OK","ABWEICHUNG"))</f>
        <v/>
      </c>
      <c r="X127" s="50">
        <f>IF(OR(K127="",M127="",N127=""),"",IF(ABS(ROUND(((ROUND(N(K127)*100,0)+ROUND(N(L127)*100,0))-(ROUND(N(M127)*100,0))),0)-(ROUND(N(N127)*100,0)))&lt;=0,"OK",IF(OR(L127=""),"UNVOLLSTÄNDIG","ABWEICHUNG")))</f>
        <v/>
      </c>
      <c r="Y127" s="50">
        <f>IF(OR(K127="",O127="",R127=""),"",IF(ABS(ROUND(((ROUND(N(K127)*100,0))-(ROUND(N(O127)*100,0))),0)-(ROUND(N(R127)*100,0)))&lt;=0,"OK","ABWEICHUNG"))</f>
        <v/>
      </c>
      <c r="Z127" s="50">
        <f>IF(OR(N127="",O127="",P127="",Q127="",T127=""),"",IF(ABS(ROUND(((ROUND(N(N127)*100,0)+ROUND(N(Q127)*100,0))-(ROUND(N(O127)*100,0)+ROUND(N(P127)*100,0))),0)-(ROUND(N(T127)*100,0)))&lt;=0,"OK","ABWEICHUNG"))</f>
        <v/>
      </c>
      <c r="AA127" s="44" t="n"/>
      <c r="AB127" s="44" t="n"/>
      <c r="AC127" s="44" t="n"/>
      <c r="AD127" s="44" t="n"/>
      <c r="AE127" s="85" t="n"/>
      <c r="AF127" s="85" t="n"/>
      <c r="AG127" s="44" t="n"/>
      <c r="AH127" s="44" t="n"/>
    </row>
    <row r="128">
      <c r="A128" s="44" t="n"/>
      <c r="B128" s="44" t="n"/>
      <c r="C128" s="44" t="n"/>
      <c r="D128" s="44" t="n"/>
      <c r="E128" s="44" t="n"/>
      <c r="F128" s="44" t="n"/>
      <c r="G128" s="45" t="n"/>
      <c r="H128" s="44" t="n"/>
      <c r="I128" s="45" t="n"/>
      <c r="J128" s="44" t="n"/>
      <c r="K128" s="85" t="n"/>
      <c r="L128" s="85" t="n"/>
      <c r="M128" s="85" t="n"/>
      <c r="N128" s="85" t="n"/>
      <c r="O128" s="85" t="n"/>
      <c r="P128" s="85" t="n"/>
      <c r="Q128" s="85" t="n"/>
      <c r="R128" s="85" t="n"/>
      <c r="S128" s="85" t="n"/>
      <c r="T128" s="85" t="n"/>
      <c r="U128" s="85" t="n"/>
      <c r="V128" s="44" t="n"/>
      <c r="W128" s="50">
        <f>IF(OR(M128="",Q128="",S128=""),"",IF(ABS(ROUND(((ROUND(N(M128)*100,0))-(ROUND(N(Q128)*100,0))),0)-(ROUND(N(S128)*100,0)))&lt;=0,"OK","ABWEICHUNG"))</f>
        <v/>
      </c>
      <c r="X128" s="50">
        <f>IF(OR(K128="",M128="",N128=""),"",IF(ABS(ROUND(((ROUND(N(K128)*100,0)+ROUND(N(L128)*100,0))-(ROUND(N(M128)*100,0))),0)-(ROUND(N(N128)*100,0)))&lt;=0,"OK",IF(OR(L128=""),"UNVOLLSTÄNDIG","ABWEICHUNG")))</f>
        <v/>
      </c>
      <c r="Y128" s="50">
        <f>IF(OR(K128="",O128="",R128=""),"",IF(ABS(ROUND(((ROUND(N(K128)*100,0))-(ROUND(N(O128)*100,0))),0)-(ROUND(N(R128)*100,0)))&lt;=0,"OK","ABWEICHUNG"))</f>
        <v/>
      </c>
      <c r="Z128" s="50">
        <f>IF(OR(N128="",O128="",P128="",Q128="",T128=""),"",IF(ABS(ROUND(((ROUND(N(N128)*100,0)+ROUND(N(Q128)*100,0))-(ROUND(N(O128)*100,0)+ROUND(N(P128)*100,0))),0)-(ROUND(N(T128)*100,0)))&lt;=0,"OK","ABWEICHUNG"))</f>
        <v/>
      </c>
      <c r="AA128" s="44" t="n"/>
      <c r="AB128" s="44" t="n"/>
      <c r="AC128" s="44" t="n"/>
      <c r="AD128" s="44" t="n"/>
      <c r="AE128" s="85" t="n"/>
      <c r="AF128" s="85" t="n"/>
      <c r="AG128" s="44" t="n"/>
      <c r="AH128" s="44" t="n"/>
    </row>
    <row r="129">
      <c r="A129" s="44" t="n"/>
      <c r="B129" s="44" t="n"/>
      <c r="C129" s="44" t="n"/>
      <c r="D129" s="44" t="n"/>
      <c r="E129" s="44" t="n"/>
      <c r="F129" s="44" t="n"/>
      <c r="G129" s="45" t="n"/>
      <c r="H129" s="44" t="n"/>
      <c r="I129" s="45" t="n"/>
      <c r="J129" s="44" t="n"/>
      <c r="K129" s="85" t="n"/>
      <c r="L129" s="85" t="n"/>
      <c r="M129" s="85" t="n"/>
      <c r="N129" s="85" t="n"/>
      <c r="O129" s="85" t="n"/>
      <c r="P129" s="85" t="n"/>
      <c r="Q129" s="85" t="n"/>
      <c r="R129" s="85" t="n"/>
      <c r="S129" s="85" t="n"/>
      <c r="T129" s="85" t="n"/>
      <c r="U129" s="85" t="n"/>
      <c r="V129" s="44" t="n"/>
      <c r="W129" s="50">
        <f>IF(OR(M129="",Q129="",S129=""),"",IF(ABS(ROUND(((ROUND(N(M129)*100,0))-(ROUND(N(Q129)*100,0))),0)-(ROUND(N(S129)*100,0)))&lt;=0,"OK","ABWEICHUNG"))</f>
        <v/>
      </c>
      <c r="X129" s="50">
        <f>IF(OR(K129="",M129="",N129=""),"",IF(ABS(ROUND(((ROUND(N(K129)*100,0)+ROUND(N(L129)*100,0))-(ROUND(N(M129)*100,0))),0)-(ROUND(N(N129)*100,0)))&lt;=0,"OK",IF(OR(L129=""),"UNVOLLSTÄNDIG","ABWEICHUNG")))</f>
        <v/>
      </c>
      <c r="Y129" s="50">
        <f>IF(OR(K129="",O129="",R129=""),"",IF(ABS(ROUND(((ROUND(N(K129)*100,0))-(ROUND(N(O129)*100,0))),0)-(ROUND(N(R129)*100,0)))&lt;=0,"OK","ABWEICHUNG"))</f>
        <v/>
      </c>
      <c r="Z129" s="50">
        <f>IF(OR(N129="",O129="",P129="",Q129="",T129=""),"",IF(ABS(ROUND(((ROUND(N(N129)*100,0)+ROUND(N(Q129)*100,0))-(ROUND(N(O129)*100,0)+ROUND(N(P129)*100,0))),0)-(ROUND(N(T129)*100,0)))&lt;=0,"OK","ABWEICHUNG"))</f>
        <v/>
      </c>
      <c r="AA129" s="44" t="n"/>
      <c r="AB129" s="44" t="n"/>
      <c r="AC129" s="44" t="n"/>
      <c r="AD129" s="44" t="n"/>
      <c r="AE129" s="85" t="n"/>
      <c r="AF129" s="85" t="n"/>
      <c r="AG129" s="44" t="n"/>
      <c r="AH129" s="44" t="n"/>
    </row>
    <row r="130">
      <c r="A130" s="44" t="n"/>
      <c r="B130" s="44" t="n"/>
      <c r="C130" s="44" t="n"/>
      <c r="D130" s="44" t="n"/>
      <c r="E130" s="44" t="n"/>
      <c r="F130" s="44" t="n"/>
      <c r="G130" s="45" t="n"/>
      <c r="H130" s="44" t="n"/>
      <c r="I130" s="45" t="n"/>
      <c r="J130" s="44" t="n"/>
      <c r="K130" s="85" t="n"/>
      <c r="L130" s="85" t="n"/>
      <c r="M130" s="85" t="n"/>
      <c r="N130" s="85" t="n"/>
      <c r="O130" s="85" t="n"/>
      <c r="P130" s="85" t="n"/>
      <c r="Q130" s="85" t="n"/>
      <c r="R130" s="85" t="n"/>
      <c r="S130" s="85" t="n"/>
      <c r="T130" s="85" t="n"/>
      <c r="U130" s="85" t="n"/>
      <c r="V130" s="44" t="n"/>
      <c r="W130" s="50">
        <f>IF(OR(M130="",Q130="",S130=""),"",IF(ABS(ROUND(((ROUND(N(M130)*100,0))-(ROUND(N(Q130)*100,0))),0)-(ROUND(N(S130)*100,0)))&lt;=0,"OK","ABWEICHUNG"))</f>
        <v/>
      </c>
      <c r="X130" s="50">
        <f>IF(OR(K130="",M130="",N130=""),"",IF(ABS(ROUND(((ROUND(N(K130)*100,0)+ROUND(N(L130)*100,0))-(ROUND(N(M130)*100,0))),0)-(ROUND(N(N130)*100,0)))&lt;=0,"OK",IF(OR(L130=""),"UNVOLLSTÄNDIG","ABWEICHUNG")))</f>
        <v/>
      </c>
      <c r="Y130" s="50">
        <f>IF(OR(K130="",O130="",R130=""),"",IF(ABS(ROUND(((ROUND(N(K130)*100,0))-(ROUND(N(O130)*100,0))),0)-(ROUND(N(R130)*100,0)))&lt;=0,"OK","ABWEICHUNG"))</f>
        <v/>
      </c>
      <c r="Z130" s="50">
        <f>IF(OR(N130="",O130="",P130="",Q130="",T130=""),"",IF(ABS(ROUND(((ROUND(N(N130)*100,0)+ROUND(N(Q130)*100,0))-(ROUND(N(O130)*100,0)+ROUND(N(P130)*100,0))),0)-(ROUND(N(T130)*100,0)))&lt;=0,"OK","ABWEICHUNG"))</f>
        <v/>
      </c>
      <c r="AA130" s="44" t="n"/>
      <c r="AB130" s="44" t="n"/>
      <c r="AC130" s="44" t="n"/>
      <c r="AD130" s="44" t="n"/>
      <c r="AE130" s="85" t="n"/>
      <c r="AF130" s="85" t="n"/>
      <c r="AG130" s="44" t="n"/>
      <c r="AH130" s="44" t="n"/>
    </row>
    <row r="131">
      <c r="A131" s="44" t="n"/>
      <c r="B131" s="44" t="n"/>
      <c r="C131" s="44" t="n"/>
      <c r="D131" s="44" t="n"/>
      <c r="E131" s="44" t="n"/>
      <c r="F131" s="44" t="n"/>
      <c r="G131" s="45" t="n"/>
      <c r="H131" s="44" t="n"/>
      <c r="I131" s="45" t="n"/>
      <c r="J131" s="44" t="n"/>
      <c r="K131" s="85" t="n"/>
      <c r="L131" s="85" t="n"/>
      <c r="M131" s="85" t="n"/>
      <c r="N131" s="85" t="n"/>
      <c r="O131" s="85" t="n"/>
      <c r="P131" s="85" t="n"/>
      <c r="Q131" s="85" t="n"/>
      <c r="R131" s="85" t="n"/>
      <c r="S131" s="85" t="n"/>
      <c r="T131" s="85" t="n"/>
      <c r="U131" s="85" t="n"/>
      <c r="V131" s="44" t="n"/>
      <c r="W131" s="50">
        <f>IF(OR(M131="",Q131="",S131=""),"",IF(ABS(ROUND(((ROUND(N(M131)*100,0))-(ROUND(N(Q131)*100,0))),0)-(ROUND(N(S131)*100,0)))&lt;=0,"OK","ABWEICHUNG"))</f>
        <v/>
      </c>
      <c r="X131" s="50">
        <f>IF(OR(K131="",M131="",N131=""),"",IF(ABS(ROUND(((ROUND(N(K131)*100,0)+ROUND(N(L131)*100,0))-(ROUND(N(M131)*100,0))),0)-(ROUND(N(N131)*100,0)))&lt;=0,"OK",IF(OR(L131=""),"UNVOLLSTÄNDIG","ABWEICHUNG")))</f>
        <v/>
      </c>
      <c r="Y131" s="50">
        <f>IF(OR(K131="",O131="",R131=""),"",IF(ABS(ROUND(((ROUND(N(K131)*100,0))-(ROUND(N(O131)*100,0))),0)-(ROUND(N(R131)*100,0)))&lt;=0,"OK","ABWEICHUNG"))</f>
        <v/>
      </c>
      <c r="Z131" s="50">
        <f>IF(OR(N131="",O131="",P131="",Q131="",T131=""),"",IF(ABS(ROUND(((ROUND(N(N131)*100,0)+ROUND(N(Q131)*100,0))-(ROUND(N(O131)*100,0)+ROUND(N(P131)*100,0))),0)-(ROUND(N(T131)*100,0)))&lt;=0,"OK","ABWEICHUNG"))</f>
        <v/>
      </c>
      <c r="AA131" s="44" t="n"/>
      <c r="AB131" s="44" t="n"/>
      <c r="AC131" s="44" t="n"/>
      <c r="AD131" s="44" t="n"/>
      <c r="AE131" s="85" t="n"/>
      <c r="AF131" s="85" t="n"/>
      <c r="AG131" s="44" t="n"/>
      <c r="AH131" s="44" t="n"/>
    </row>
    <row r="132">
      <c r="A132" s="44" t="n"/>
      <c r="B132" s="44" t="n"/>
      <c r="C132" s="44" t="n"/>
      <c r="D132" s="44" t="n"/>
      <c r="E132" s="44" t="n"/>
      <c r="F132" s="44" t="n"/>
      <c r="G132" s="45" t="n"/>
      <c r="H132" s="44" t="n"/>
      <c r="I132" s="45" t="n"/>
      <c r="J132" s="44" t="n"/>
      <c r="K132" s="85" t="n"/>
      <c r="L132" s="85" t="n"/>
      <c r="M132" s="85" t="n"/>
      <c r="N132" s="85" t="n"/>
      <c r="O132" s="85" t="n"/>
      <c r="P132" s="85" t="n"/>
      <c r="Q132" s="85" t="n"/>
      <c r="R132" s="85" t="n"/>
      <c r="S132" s="85" t="n"/>
      <c r="T132" s="85" t="n"/>
      <c r="U132" s="85" t="n"/>
      <c r="V132" s="44" t="n"/>
      <c r="W132" s="50">
        <f>IF(OR(M132="",Q132="",S132=""),"",IF(ABS(ROUND(((ROUND(N(M132)*100,0))-(ROUND(N(Q132)*100,0))),0)-(ROUND(N(S132)*100,0)))&lt;=0,"OK","ABWEICHUNG"))</f>
        <v/>
      </c>
      <c r="X132" s="50">
        <f>IF(OR(K132="",M132="",N132=""),"",IF(ABS(ROUND(((ROUND(N(K132)*100,0)+ROUND(N(L132)*100,0))-(ROUND(N(M132)*100,0))),0)-(ROUND(N(N132)*100,0)))&lt;=0,"OK",IF(OR(L132=""),"UNVOLLSTÄNDIG","ABWEICHUNG")))</f>
        <v/>
      </c>
      <c r="Y132" s="50">
        <f>IF(OR(K132="",O132="",R132=""),"",IF(ABS(ROUND(((ROUND(N(K132)*100,0))-(ROUND(N(O132)*100,0))),0)-(ROUND(N(R132)*100,0)))&lt;=0,"OK","ABWEICHUNG"))</f>
        <v/>
      </c>
      <c r="Z132" s="50">
        <f>IF(OR(N132="",O132="",P132="",Q132="",T132=""),"",IF(ABS(ROUND(((ROUND(N(N132)*100,0)+ROUND(N(Q132)*100,0))-(ROUND(N(O132)*100,0)+ROUND(N(P132)*100,0))),0)-(ROUND(N(T132)*100,0)))&lt;=0,"OK","ABWEICHUNG"))</f>
        <v/>
      </c>
      <c r="AA132" s="44" t="n"/>
      <c r="AB132" s="44" t="n"/>
      <c r="AC132" s="44" t="n"/>
      <c r="AD132" s="44" t="n"/>
      <c r="AE132" s="85" t="n"/>
      <c r="AF132" s="85" t="n"/>
      <c r="AG132" s="44" t="n"/>
      <c r="AH132" s="44" t="n"/>
    </row>
    <row r="133">
      <c r="A133" s="44" t="n"/>
      <c r="B133" s="44" t="n"/>
      <c r="C133" s="44" t="n"/>
      <c r="D133" s="44" t="n"/>
      <c r="E133" s="44" t="n"/>
      <c r="F133" s="44" t="n"/>
      <c r="G133" s="45" t="n"/>
      <c r="H133" s="44" t="n"/>
      <c r="I133" s="45" t="n"/>
      <c r="J133" s="44" t="n"/>
      <c r="K133" s="85" t="n"/>
      <c r="L133" s="85" t="n"/>
      <c r="M133" s="85" t="n"/>
      <c r="N133" s="85" t="n"/>
      <c r="O133" s="85" t="n"/>
      <c r="P133" s="85" t="n"/>
      <c r="Q133" s="85" t="n"/>
      <c r="R133" s="85" t="n"/>
      <c r="S133" s="85" t="n"/>
      <c r="T133" s="85" t="n"/>
      <c r="U133" s="85" t="n"/>
      <c r="V133" s="44" t="n"/>
      <c r="W133" s="50">
        <f>IF(OR(M133="",Q133="",S133=""),"",IF(ABS(ROUND(((ROUND(N(M133)*100,0))-(ROUND(N(Q133)*100,0))),0)-(ROUND(N(S133)*100,0)))&lt;=0,"OK","ABWEICHUNG"))</f>
        <v/>
      </c>
      <c r="X133" s="50">
        <f>IF(OR(K133="",M133="",N133=""),"",IF(ABS(ROUND(((ROUND(N(K133)*100,0)+ROUND(N(L133)*100,0))-(ROUND(N(M133)*100,0))),0)-(ROUND(N(N133)*100,0)))&lt;=0,"OK",IF(OR(L133=""),"UNVOLLSTÄNDIG","ABWEICHUNG")))</f>
        <v/>
      </c>
      <c r="Y133" s="50">
        <f>IF(OR(K133="",O133="",R133=""),"",IF(ABS(ROUND(((ROUND(N(K133)*100,0))-(ROUND(N(O133)*100,0))),0)-(ROUND(N(R133)*100,0)))&lt;=0,"OK","ABWEICHUNG"))</f>
        <v/>
      </c>
      <c r="Z133" s="50">
        <f>IF(OR(N133="",O133="",P133="",Q133="",T133=""),"",IF(ABS(ROUND(((ROUND(N(N133)*100,0)+ROUND(N(Q133)*100,0))-(ROUND(N(O133)*100,0)+ROUND(N(P133)*100,0))),0)-(ROUND(N(T133)*100,0)))&lt;=0,"OK","ABWEICHUNG"))</f>
        <v/>
      </c>
      <c r="AA133" s="44" t="n"/>
      <c r="AB133" s="44" t="n"/>
      <c r="AC133" s="44" t="n"/>
      <c r="AD133" s="44" t="n"/>
      <c r="AE133" s="85" t="n"/>
      <c r="AF133" s="85" t="n"/>
      <c r="AG133" s="44" t="n"/>
      <c r="AH133" s="44" t="n"/>
    </row>
    <row r="134">
      <c r="A134" s="44" t="n"/>
      <c r="B134" s="44" t="n"/>
      <c r="C134" s="44" t="n"/>
      <c r="D134" s="44" t="n"/>
      <c r="E134" s="44" t="n"/>
      <c r="F134" s="44" t="n"/>
      <c r="G134" s="45" t="n"/>
      <c r="H134" s="44" t="n"/>
      <c r="I134" s="45" t="n"/>
      <c r="J134" s="44" t="n"/>
      <c r="K134" s="85" t="n"/>
      <c r="L134" s="85" t="n"/>
      <c r="M134" s="85" t="n"/>
      <c r="N134" s="85" t="n"/>
      <c r="O134" s="85" t="n"/>
      <c r="P134" s="85" t="n"/>
      <c r="Q134" s="85" t="n"/>
      <c r="R134" s="85" t="n"/>
      <c r="S134" s="85" t="n"/>
      <c r="T134" s="85" t="n"/>
      <c r="U134" s="85" t="n"/>
      <c r="V134" s="44" t="n"/>
      <c r="W134" s="50">
        <f>IF(OR(M134="",Q134="",S134=""),"",IF(ABS(ROUND(((ROUND(N(M134)*100,0))-(ROUND(N(Q134)*100,0))),0)-(ROUND(N(S134)*100,0)))&lt;=0,"OK","ABWEICHUNG"))</f>
        <v/>
      </c>
      <c r="X134" s="50">
        <f>IF(OR(K134="",M134="",N134=""),"",IF(ABS(ROUND(((ROUND(N(K134)*100,0)+ROUND(N(L134)*100,0))-(ROUND(N(M134)*100,0))),0)-(ROUND(N(N134)*100,0)))&lt;=0,"OK",IF(OR(L134=""),"UNVOLLSTÄNDIG","ABWEICHUNG")))</f>
        <v/>
      </c>
      <c r="Y134" s="50">
        <f>IF(OR(K134="",O134="",R134=""),"",IF(ABS(ROUND(((ROUND(N(K134)*100,0))-(ROUND(N(O134)*100,0))),0)-(ROUND(N(R134)*100,0)))&lt;=0,"OK","ABWEICHUNG"))</f>
        <v/>
      </c>
      <c r="Z134" s="50">
        <f>IF(OR(N134="",O134="",P134="",Q134="",T134=""),"",IF(ABS(ROUND(((ROUND(N(N134)*100,0)+ROUND(N(Q134)*100,0))-(ROUND(N(O134)*100,0)+ROUND(N(P134)*100,0))),0)-(ROUND(N(T134)*100,0)))&lt;=0,"OK","ABWEICHUNG"))</f>
        <v/>
      </c>
      <c r="AA134" s="44" t="n"/>
      <c r="AB134" s="44" t="n"/>
      <c r="AC134" s="44" t="n"/>
      <c r="AD134" s="44" t="n"/>
      <c r="AE134" s="85" t="n"/>
      <c r="AF134" s="85" t="n"/>
      <c r="AG134" s="44" t="n"/>
      <c r="AH134" s="44" t="n"/>
    </row>
    <row r="135">
      <c r="A135" s="44" t="n"/>
      <c r="B135" s="44" t="n"/>
      <c r="C135" s="44" t="n"/>
      <c r="D135" s="44" t="n"/>
      <c r="E135" s="44" t="n"/>
      <c r="F135" s="44" t="n"/>
      <c r="G135" s="45" t="n"/>
      <c r="H135" s="44" t="n"/>
      <c r="I135" s="45" t="n"/>
      <c r="J135" s="44" t="n"/>
      <c r="K135" s="85" t="n"/>
      <c r="L135" s="85" t="n"/>
      <c r="M135" s="85" t="n"/>
      <c r="N135" s="85" t="n"/>
      <c r="O135" s="85" t="n"/>
      <c r="P135" s="85" t="n"/>
      <c r="Q135" s="85" t="n"/>
      <c r="R135" s="85" t="n"/>
      <c r="S135" s="85" t="n"/>
      <c r="T135" s="85" t="n"/>
      <c r="U135" s="85" t="n"/>
      <c r="V135" s="44" t="n"/>
      <c r="W135" s="50">
        <f>IF(OR(M135="",Q135="",S135=""),"",IF(ABS(ROUND(((ROUND(N(M135)*100,0))-(ROUND(N(Q135)*100,0))),0)-(ROUND(N(S135)*100,0)))&lt;=0,"OK","ABWEICHUNG"))</f>
        <v/>
      </c>
      <c r="X135" s="50">
        <f>IF(OR(K135="",M135="",N135=""),"",IF(ABS(ROUND(((ROUND(N(K135)*100,0)+ROUND(N(L135)*100,0))-(ROUND(N(M135)*100,0))),0)-(ROUND(N(N135)*100,0)))&lt;=0,"OK",IF(OR(L135=""),"UNVOLLSTÄNDIG","ABWEICHUNG")))</f>
        <v/>
      </c>
      <c r="Y135" s="50">
        <f>IF(OR(K135="",O135="",R135=""),"",IF(ABS(ROUND(((ROUND(N(K135)*100,0))-(ROUND(N(O135)*100,0))),0)-(ROUND(N(R135)*100,0)))&lt;=0,"OK","ABWEICHUNG"))</f>
        <v/>
      </c>
      <c r="Z135" s="50">
        <f>IF(OR(N135="",O135="",P135="",Q135="",T135=""),"",IF(ABS(ROUND(((ROUND(N(N135)*100,0)+ROUND(N(Q135)*100,0))-(ROUND(N(O135)*100,0)+ROUND(N(P135)*100,0))),0)-(ROUND(N(T135)*100,0)))&lt;=0,"OK","ABWEICHUNG"))</f>
        <v/>
      </c>
      <c r="AA135" s="44" t="n"/>
      <c r="AB135" s="44" t="n"/>
      <c r="AC135" s="44" t="n"/>
      <c r="AD135" s="44" t="n"/>
      <c r="AE135" s="85" t="n"/>
      <c r="AF135" s="85" t="n"/>
      <c r="AG135" s="44" t="n"/>
      <c r="AH135" s="44" t="n"/>
    </row>
    <row r="136">
      <c r="A136" s="44" t="n"/>
      <c r="B136" s="44" t="n"/>
      <c r="C136" s="44" t="n"/>
      <c r="D136" s="44" t="n"/>
      <c r="E136" s="44" t="n"/>
      <c r="F136" s="44" t="n"/>
      <c r="G136" s="45" t="n"/>
      <c r="H136" s="44" t="n"/>
      <c r="I136" s="45" t="n"/>
      <c r="J136" s="44" t="n"/>
      <c r="K136" s="85" t="n"/>
      <c r="L136" s="85" t="n"/>
      <c r="M136" s="85" t="n"/>
      <c r="N136" s="85" t="n"/>
      <c r="O136" s="85" t="n"/>
      <c r="P136" s="85" t="n"/>
      <c r="Q136" s="85" t="n"/>
      <c r="R136" s="85" t="n"/>
      <c r="S136" s="85" t="n"/>
      <c r="T136" s="85" t="n"/>
      <c r="U136" s="85" t="n"/>
      <c r="V136" s="44" t="n"/>
      <c r="W136" s="50">
        <f>IF(OR(M136="",Q136="",S136=""),"",IF(ABS(ROUND(((ROUND(N(M136)*100,0))-(ROUND(N(Q136)*100,0))),0)-(ROUND(N(S136)*100,0)))&lt;=0,"OK","ABWEICHUNG"))</f>
        <v/>
      </c>
      <c r="X136" s="50">
        <f>IF(OR(K136="",M136="",N136=""),"",IF(ABS(ROUND(((ROUND(N(K136)*100,0)+ROUND(N(L136)*100,0))-(ROUND(N(M136)*100,0))),0)-(ROUND(N(N136)*100,0)))&lt;=0,"OK",IF(OR(L136=""),"UNVOLLSTÄNDIG","ABWEICHUNG")))</f>
        <v/>
      </c>
      <c r="Y136" s="50">
        <f>IF(OR(K136="",O136="",R136=""),"",IF(ABS(ROUND(((ROUND(N(K136)*100,0))-(ROUND(N(O136)*100,0))),0)-(ROUND(N(R136)*100,0)))&lt;=0,"OK","ABWEICHUNG"))</f>
        <v/>
      </c>
      <c r="Z136" s="50">
        <f>IF(OR(N136="",O136="",P136="",Q136="",T136=""),"",IF(ABS(ROUND(((ROUND(N(N136)*100,0)+ROUND(N(Q136)*100,0))-(ROUND(N(O136)*100,0)+ROUND(N(P136)*100,0))),0)-(ROUND(N(T136)*100,0)))&lt;=0,"OK","ABWEICHUNG"))</f>
        <v/>
      </c>
      <c r="AA136" s="44" t="n"/>
      <c r="AB136" s="44" t="n"/>
      <c r="AC136" s="44" t="n"/>
      <c r="AD136" s="44" t="n"/>
      <c r="AE136" s="85" t="n"/>
      <c r="AF136" s="85" t="n"/>
      <c r="AG136" s="44" t="n"/>
      <c r="AH136" s="44" t="n"/>
    </row>
    <row r="137">
      <c r="A137" s="44" t="n"/>
      <c r="B137" s="44" t="n"/>
      <c r="C137" s="44" t="n"/>
      <c r="D137" s="44" t="n"/>
      <c r="E137" s="44" t="n"/>
      <c r="F137" s="44" t="n"/>
      <c r="G137" s="45" t="n"/>
      <c r="H137" s="44" t="n"/>
      <c r="I137" s="45" t="n"/>
      <c r="J137" s="44" t="n"/>
      <c r="K137" s="85" t="n"/>
      <c r="L137" s="85" t="n"/>
      <c r="M137" s="85" t="n"/>
      <c r="N137" s="85" t="n"/>
      <c r="O137" s="85" t="n"/>
      <c r="P137" s="85" t="n"/>
      <c r="Q137" s="85" t="n"/>
      <c r="R137" s="85" t="n"/>
      <c r="S137" s="85" t="n"/>
      <c r="T137" s="85" t="n"/>
      <c r="U137" s="85" t="n"/>
      <c r="V137" s="44" t="n"/>
      <c r="W137" s="50">
        <f>IF(OR(M137="",Q137="",S137=""),"",IF(ABS(ROUND(((ROUND(N(M137)*100,0))-(ROUND(N(Q137)*100,0))),0)-(ROUND(N(S137)*100,0)))&lt;=0,"OK","ABWEICHUNG"))</f>
        <v/>
      </c>
      <c r="X137" s="50">
        <f>IF(OR(K137="",M137="",N137=""),"",IF(ABS(ROUND(((ROUND(N(K137)*100,0)+ROUND(N(L137)*100,0))-(ROUND(N(M137)*100,0))),0)-(ROUND(N(N137)*100,0)))&lt;=0,"OK",IF(OR(L137=""),"UNVOLLSTÄNDIG","ABWEICHUNG")))</f>
        <v/>
      </c>
      <c r="Y137" s="50">
        <f>IF(OR(K137="",O137="",R137=""),"",IF(ABS(ROUND(((ROUND(N(K137)*100,0))-(ROUND(N(O137)*100,0))),0)-(ROUND(N(R137)*100,0)))&lt;=0,"OK","ABWEICHUNG"))</f>
        <v/>
      </c>
      <c r="Z137" s="50">
        <f>IF(OR(N137="",O137="",P137="",Q137="",T137=""),"",IF(ABS(ROUND(((ROUND(N(N137)*100,0)+ROUND(N(Q137)*100,0))-(ROUND(N(O137)*100,0)+ROUND(N(P137)*100,0))),0)-(ROUND(N(T137)*100,0)))&lt;=0,"OK","ABWEICHUNG"))</f>
        <v/>
      </c>
      <c r="AA137" s="44" t="n"/>
      <c r="AB137" s="44" t="n"/>
      <c r="AC137" s="44" t="n"/>
      <c r="AD137" s="44" t="n"/>
      <c r="AE137" s="85" t="n"/>
      <c r="AF137" s="85" t="n"/>
      <c r="AG137" s="44" t="n"/>
      <c r="AH137" s="44" t="n"/>
    </row>
    <row r="138">
      <c r="A138" s="44" t="n"/>
      <c r="B138" s="44" t="n"/>
      <c r="C138" s="44" t="n"/>
      <c r="D138" s="44" t="n"/>
      <c r="E138" s="44" t="n"/>
      <c r="F138" s="44" t="n"/>
      <c r="G138" s="45" t="n"/>
      <c r="H138" s="44" t="n"/>
      <c r="I138" s="45" t="n"/>
      <c r="J138" s="44" t="n"/>
      <c r="K138" s="85" t="n"/>
      <c r="L138" s="85" t="n"/>
      <c r="M138" s="85" t="n"/>
      <c r="N138" s="85" t="n"/>
      <c r="O138" s="85" t="n"/>
      <c r="P138" s="85" t="n"/>
      <c r="Q138" s="85" t="n"/>
      <c r="R138" s="85" t="n"/>
      <c r="S138" s="85" t="n"/>
      <c r="T138" s="85" t="n"/>
      <c r="U138" s="85" t="n"/>
      <c r="V138" s="44" t="n"/>
      <c r="W138" s="50">
        <f>IF(OR(M138="",Q138="",S138=""),"",IF(ABS(ROUND(((ROUND(N(M138)*100,0))-(ROUND(N(Q138)*100,0))),0)-(ROUND(N(S138)*100,0)))&lt;=0,"OK","ABWEICHUNG"))</f>
        <v/>
      </c>
      <c r="X138" s="50">
        <f>IF(OR(K138="",M138="",N138=""),"",IF(ABS(ROUND(((ROUND(N(K138)*100,0)+ROUND(N(L138)*100,0))-(ROUND(N(M138)*100,0))),0)-(ROUND(N(N138)*100,0)))&lt;=0,"OK",IF(OR(L138=""),"UNVOLLSTÄNDIG","ABWEICHUNG")))</f>
        <v/>
      </c>
      <c r="Y138" s="50">
        <f>IF(OR(K138="",O138="",R138=""),"",IF(ABS(ROUND(((ROUND(N(K138)*100,0))-(ROUND(N(O138)*100,0))),0)-(ROUND(N(R138)*100,0)))&lt;=0,"OK","ABWEICHUNG"))</f>
        <v/>
      </c>
      <c r="Z138" s="50">
        <f>IF(OR(N138="",O138="",P138="",Q138="",T138=""),"",IF(ABS(ROUND(((ROUND(N(N138)*100,0)+ROUND(N(Q138)*100,0))-(ROUND(N(O138)*100,0)+ROUND(N(P138)*100,0))),0)-(ROUND(N(T138)*100,0)))&lt;=0,"OK","ABWEICHUNG"))</f>
        <v/>
      </c>
      <c r="AA138" s="44" t="n"/>
      <c r="AB138" s="44" t="n"/>
      <c r="AC138" s="44" t="n"/>
      <c r="AD138" s="44" t="n"/>
      <c r="AE138" s="85" t="n"/>
      <c r="AF138" s="85" t="n"/>
      <c r="AG138" s="44" t="n"/>
      <c r="AH138" s="44" t="n"/>
    </row>
    <row r="139">
      <c r="A139" s="44" t="n"/>
      <c r="B139" s="44" t="n"/>
      <c r="C139" s="44" t="n"/>
      <c r="D139" s="44" t="n"/>
      <c r="E139" s="44" t="n"/>
      <c r="F139" s="44" t="n"/>
      <c r="G139" s="45" t="n"/>
      <c r="H139" s="44" t="n"/>
      <c r="I139" s="45" t="n"/>
      <c r="J139" s="44" t="n"/>
      <c r="K139" s="85" t="n"/>
      <c r="L139" s="85" t="n"/>
      <c r="M139" s="85" t="n"/>
      <c r="N139" s="85" t="n"/>
      <c r="O139" s="85" t="n"/>
      <c r="P139" s="85" t="n"/>
      <c r="Q139" s="85" t="n"/>
      <c r="R139" s="85" t="n"/>
      <c r="S139" s="85" t="n"/>
      <c r="T139" s="85" t="n"/>
      <c r="U139" s="85" t="n"/>
      <c r="V139" s="44" t="n"/>
      <c r="W139" s="50">
        <f>IF(OR(M139="",Q139="",S139=""),"",IF(ABS(ROUND(((ROUND(N(M139)*100,0))-(ROUND(N(Q139)*100,0))),0)-(ROUND(N(S139)*100,0)))&lt;=0,"OK","ABWEICHUNG"))</f>
        <v/>
      </c>
      <c r="X139" s="50">
        <f>IF(OR(K139="",M139="",N139=""),"",IF(ABS(ROUND(((ROUND(N(K139)*100,0)+ROUND(N(L139)*100,0))-(ROUND(N(M139)*100,0))),0)-(ROUND(N(N139)*100,0)))&lt;=0,"OK",IF(OR(L139=""),"UNVOLLSTÄNDIG","ABWEICHUNG")))</f>
        <v/>
      </c>
      <c r="Y139" s="50">
        <f>IF(OR(K139="",O139="",R139=""),"",IF(ABS(ROUND(((ROUND(N(K139)*100,0))-(ROUND(N(O139)*100,0))),0)-(ROUND(N(R139)*100,0)))&lt;=0,"OK","ABWEICHUNG"))</f>
        <v/>
      </c>
      <c r="Z139" s="50">
        <f>IF(OR(N139="",O139="",P139="",Q139="",T139=""),"",IF(ABS(ROUND(((ROUND(N(N139)*100,0)+ROUND(N(Q139)*100,0))-(ROUND(N(O139)*100,0)+ROUND(N(P139)*100,0))),0)-(ROUND(N(T139)*100,0)))&lt;=0,"OK","ABWEICHUNG"))</f>
        <v/>
      </c>
      <c r="AA139" s="44" t="n"/>
      <c r="AB139" s="44" t="n"/>
      <c r="AC139" s="44" t="n"/>
      <c r="AD139" s="44" t="n"/>
      <c r="AE139" s="85" t="n"/>
      <c r="AF139" s="85" t="n"/>
      <c r="AG139" s="44" t="n"/>
      <c r="AH139" s="44" t="n"/>
    </row>
    <row r="140">
      <c r="A140" s="44" t="n"/>
      <c r="B140" s="44" t="n"/>
      <c r="C140" s="44" t="n"/>
      <c r="D140" s="44" t="n"/>
      <c r="E140" s="44" t="n"/>
      <c r="F140" s="44" t="n"/>
      <c r="G140" s="45" t="n"/>
      <c r="H140" s="44" t="n"/>
      <c r="I140" s="45" t="n"/>
      <c r="J140" s="44" t="n"/>
      <c r="K140" s="85" t="n"/>
      <c r="L140" s="85" t="n"/>
      <c r="M140" s="85" t="n"/>
      <c r="N140" s="85" t="n"/>
      <c r="O140" s="85" t="n"/>
      <c r="P140" s="85" t="n"/>
      <c r="Q140" s="85" t="n"/>
      <c r="R140" s="85" t="n"/>
      <c r="S140" s="85" t="n"/>
      <c r="T140" s="85" t="n"/>
      <c r="U140" s="85" t="n"/>
      <c r="V140" s="44" t="n"/>
      <c r="W140" s="50">
        <f>IF(OR(M140="",Q140="",S140=""),"",IF(ABS(ROUND(((ROUND(N(M140)*100,0))-(ROUND(N(Q140)*100,0))),0)-(ROUND(N(S140)*100,0)))&lt;=0,"OK","ABWEICHUNG"))</f>
        <v/>
      </c>
      <c r="X140" s="50">
        <f>IF(OR(K140="",M140="",N140=""),"",IF(ABS(ROUND(((ROUND(N(K140)*100,0)+ROUND(N(L140)*100,0))-(ROUND(N(M140)*100,0))),0)-(ROUND(N(N140)*100,0)))&lt;=0,"OK",IF(OR(L140=""),"UNVOLLSTÄNDIG","ABWEICHUNG")))</f>
        <v/>
      </c>
      <c r="Y140" s="50">
        <f>IF(OR(K140="",O140="",R140=""),"",IF(ABS(ROUND(((ROUND(N(K140)*100,0))-(ROUND(N(O140)*100,0))),0)-(ROUND(N(R140)*100,0)))&lt;=0,"OK","ABWEICHUNG"))</f>
        <v/>
      </c>
      <c r="Z140" s="50">
        <f>IF(OR(N140="",O140="",P140="",Q140="",T140=""),"",IF(ABS(ROUND(((ROUND(N(N140)*100,0)+ROUND(N(Q140)*100,0))-(ROUND(N(O140)*100,0)+ROUND(N(P140)*100,0))),0)-(ROUND(N(T140)*100,0)))&lt;=0,"OK","ABWEICHUNG"))</f>
        <v/>
      </c>
      <c r="AA140" s="44" t="n"/>
      <c r="AB140" s="44" t="n"/>
      <c r="AC140" s="44" t="n"/>
      <c r="AD140" s="44" t="n"/>
      <c r="AE140" s="85" t="n"/>
      <c r="AF140" s="85" t="n"/>
      <c r="AG140" s="44" t="n"/>
      <c r="AH140" s="44" t="n"/>
    </row>
    <row r="141">
      <c r="A141" s="44" t="n"/>
      <c r="B141" s="44" t="n"/>
      <c r="C141" s="44" t="n"/>
      <c r="D141" s="44" t="n"/>
      <c r="E141" s="44" t="n"/>
      <c r="F141" s="44" t="n"/>
      <c r="G141" s="45" t="n"/>
      <c r="H141" s="44" t="n"/>
      <c r="I141" s="45" t="n"/>
      <c r="J141" s="44" t="n"/>
      <c r="K141" s="85" t="n"/>
      <c r="L141" s="85" t="n"/>
      <c r="M141" s="85" t="n"/>
      <c r="N141" s="85" t="n"/>
      <c r="O141" s="85" t="n"/>
      <c r="P141" s="85" t="n"/>
      <c r="Q141" s="85" t="n"/>
      <c r="R141" s="85" t="n"/>
      <c r="S141" s="85" t="n"/>
      <c r="T141" s="85" t="n"/>
      <c r="U141" s="85" t="n"/>
      <c r="V141" s="44" t="n"/>
      <c r="W141" s="50">
        <f>IF(OR(M141="",Q141="",S141=""),"",IF(ABS(ROUND(((ROUND(N(M141)*100,0))-(ROUND(N(Q141)*100,0))),0)-(ROUND(N(S141)*100,0)))&lt;=0,"OK","ABWEICHUNG"))</f>
        <v/>
      </c>
      <c r="X141" s="50">
        <f>IF(OR(K141="",M141="",N141=""),"",IF(ABS(ROUND(((ROUND(N(K141)*100,0)+ROUND(N(L141)*100,0))-(ROUND(N(M141)*100,0))),0)-(ROUND(N(N141)*100,0)))&lt;=0,"OK",IF(OR(L141=""),"UNVOLLSTÄNDIG","ABWEICHUNG")))</f>
        <v/>
      </c>
      <c r="Y141" s="50">
        <f>IF(OR(K141="",O141="",R141=""),"",IF(ABS(ROUND(((ROUND(N(K141)*100,0))-(ROUND(N(O141)*100,0))),0)-(ROUND(N(R141)*100,0)))&lt;=0,"OK","ABWEICHUNG"))</f>
        <v/>
      </c>
      <c r="Z141" s="50">
        <f>IF(OR(N141="",O141="",P141="",Q141="",T141=""),"",IF(ABS(ROUND(((ROUND(N(N141)*100,0)+ROUND(N(Q141)*100,0))-(ROUND(N(O141)*100,0)+ROUND(N(P141)*100,0))),0)-(ROUND(N(T141)*100,0)))&lt;=0,"OK","ABWEICHUNG"))</f>
        <v/>
      </c>
      <c r="AA141" s="44" t="n"/>
      <c r="AB141" s="44" t="n"/>
      <c r="AC141" s="44" t="n"/>
      <c r="AD141" s="44" t="n"/>
      <c r="AE141" s="85" t="n"/>
      <c r="AF141" s="85" t="n"/>
      <c r="AG141" s="44" t="n"/>
      <c r="AH141" s="44" t="n"/>
    </row>
    <row r="142">
      <c r="A142" s="44" t="n"/>
      <c r="B142" s="44" t="n"/>
      <c r="C142" s="44" t="n"/>
      <c r="D142" s="44" t="n"/>
      <c r="E142" s="44" t="n"/>
      <c r="F142" s="44" t="n"/>
      <c r="G142" s="45" t="n"/>
      <c r="H142" s="44" t="n"/>
      <c r="I142" s="45" t="n"/>
      <c r="J142" s="44" t="n"/>
      <c r="K142" s="85" t="n"/>
      <c r="L142" s="85" t="n"/>
      <c r="M142" s="85" t="n"/>
      <c r="N142" s="85" t="n"/>
      <c r="O142" s="85" t="n"/>
      <c r="P142" s="85" t="n"/>
      <c r="Q142" s="85" t="n"/>
      <c r="R142" s="85" t="n"/>
      <c r="S142" s="85" t="n"/>
      <c r="T142" s="85" t="n"/>
      <c r="U142" s="85" t="n"/>
      <c r="V142" s="44" t="n"/>
      <c r="W142" s="50">
        <f>IF(OR(M142="",Q142="",S142=""),"",IF(ABS(ROUND(((ROUND(N(M142)*100,0))-(ROUND(N(Q142)*100,0))),0)-(ROUND(N(S142)*100,0)))&lt;=0,"OK","ABWEICHUNG"))</f>
        <v/>
      </c>
      <c r="X142" s="50">
        <f>IF(OR(K142="",M142="",N142=""),"",IF(ABS(ROUND(((ROUND(N(K142)*100,0)+ROUND(N(L142)*100,0))-(ROUND(N(M142)*100,0))),0)-(ROUND(N(N142)*100,0)))&lt;=0,"OK",IF(OR(L142=""),"UNVOLLSTÄNDIG","ABWEICHUNG")))</f>
        <v/>
      </c>
      <c r="Y142" s="50">
        <f>IF(OR(K142="",O142="",R142=""),"",IF(ABS(ROUND(((ROUND(N(K142)*100,0))-(ROUND(N(O142)*100,0))),0)-(ROUND(N(R142)*100,0)))&lt;=0,"OK","ABWEICHUNG"))</f>
        <v/>
      </c>
      <c r="Z142" s="50">
        <f>IF(OR(N142="",O142="",P142="",Q142="",T142=""),"",IF(ABS(ROUND(((ROUND(N(N142)*100,0)+ROUND(N(Q142)*100,0))-(ROUND(N(O142)*100,0)+ROUND(N(P142)*100,0))),0)-(ROUND(N(T142)*100,0)))&lt;=0,"OK","ABWEICHUNG"))</f>
        <v/>
      </c>
      <c r="AA142" s="44" t="n"/>
      <c r="AB142" s="44" t="n"/>
      <c r="AC142" s="44" t="n"/>
      <c r="AD142" s="44" t="n"/>
      <c r="AE142" s="85" t="n"/>
      <c r="AF142" s="85" t="n"/>
      <c r="AG142" s="44" t="n"/>
      <c r="AH142" s="44" t="n"/>
    </row>
    <row r="143">
      <c r="A143" s="44" t="n"/>
      <c r="B143" s="44" t="n"/>
      <c r="C143" s="44" t="n"/>
      <c r="D143" s="44" t="n"/>
      <c r="E143" s="44" t="n"/>
      <c r="F143" s="44" t="n"/>
      <c r="G143" s="45" t="n"/>
      <c r="H143" s="44" t="n"/>
      <c r="I143" s="45" t="n"/>
      <c r="J143" s="44" t="n"/>
      <c r="K143" s="85" t="n"/>
      <c r="L143" s="85" t="n"/>
      <c r="M143" s="85" t="n"/>
      <c r="N143" s="85" t="n"/>
      <c r="O143" s="85" t="n"/>
      <c r="P143" s="85" t="n"/>
      <c r="Q143" s="85" t="n"/>
      <c r="R143" s="85" t="n"/>
      <c r="S143" s="85" t="n"/>
      <c r="T143" s="85" t="n"/>
      <c r="U143" s="85" t="n"/>
      <c r="V143" s="44" t="n"/>
      <c r="W143" s="50">
        <f>IF(OR(M143="",Q143="",S143=""),"",IF(ABS(ROUND(((ROUND(N(M143)*100,0))-(ROUND(N(Q143)*100,0))),0)-(ROUND(N(S143)*100,0)))&lt;=0,"OK","ABWEICHUNG"))</f>
        <v/>
      </c>
      <c r="X143" s="50">
        <f>IF(OR(K143="",M143="",N143=""),"",IF(ABS(ROUND(((ROUND(N(K143)*100,0)+ROUND(N(L143)*100,0))-(ROUND(N(M143)*100,0))),0)-(ROUND(N(N143)*100,0)))&lt;=0,"OK",IF(OR(L143=""),"UNVOLLSTÄNDIG","ABWEICHUNG")))</f>
        <v/>
      </c>
      <c r="Y143" s="50">
        <f>IF(OR(K143="",O143="",R143=""),"",IF(ABS(ROUND(((ROUND(N(K143)*100,0))-(ROUND(N(O143)*100,0))),0)-(ROUND(N(R143)*100,0)))&lt;=0,"OK","ABWEICHUNG"))</f>
        <v/>
      </c>
      <c r="Z143" s="50">
        <f>IF(OR(N143="",O143="",P143="",Q143="",T143=""),"",IF(ABS(ROUND(((ROUND(N(N143)*100,0)+ROUND(N(Q143)*100,0))-(ROUND(N(O143)*100,0)+ROUND(N(P143)*100,0))),0)-(ROUND(N(T143)*100,0)))&lt;=0,"OK","ABWEICHUNG"))</f>
        <v/>
      </c>
      <c r="AA143" s="44" t="n"/>
      <c r="AB143" s="44" t="n"/>
      <c r="AC143" s="44" t="n"/>
      <c r="AD143" s="44" t="n"/>
      <c r="AE143" s="85" t="n"/>
      <c r="AF143" s="85" t="n"/>
      <c r="AG143" s="44" t="n"/>
      <c r="AH143" s="44" t="n"/>
    </row>
    <row r="144">
      <c r="A144" s="44" t="n"/>
      <c r="B144" s="44" t="n"/>
      <c r="C144" s="44" t="n"/>
      <c r="D144" s="44" t="n"/>
      <c r="E144" s="44" t="n"/>
      <c r="F144" s="44" t="n"/>
      <c r="G144" s="45" t="n"/>
      <c r="H144" s="44" t="n"/>
      <c r="I144" s="45" t="n"/>
      <c r="J144" s="44" t="n"/>
      <c r="K144" s="85" t="n"/>
      <c r="L144" s="85" t="n"/>
      <c r="M144" s="85" t="n"/>
      <c r="N144" s="85" t="n"/>
      <c r="O144" s="85" t="n"/>
      <c r="P144" s="85" t="n"/>
      <c r="Q144" s="85" t="n"/>
      <c r="R144" s="85" t="n"/>
      <c r="S144" s="85" t="n"/>
      <c r="T144" s="85" t="n"/>
      <c r="U144" s="85" t="n"/>
      <c r="V144" s="44" t="n"/>
      <c r="W144" s="50">
        <f>IF(OR(M144="",Q144="",S144=""),"",IF(ABS(ROUND(((ROUND(N(M144)*100,0))-(ROUND(N(Q144)*100,0))),0)-(ROUND(N(S144)*100,0)))&lt;=0,"OK","ABWEICHUNG"))</f>
        <v/>
      </c>
      <c r="X144" s="50">
        <f>IF(OR(K144="",M144="",N144=""),"",IF(ABS(ROUND(((ROUND(N(K144)*100,0)+ROUND(N(L144)*100,0))-(ROUND(N(M144)*100,0))),0)-(ROUND(N(N144)*100,0)))&lt;=0,"OK",IF(OR(L144=""),"UNVOLLSTÄNDIG","ABWEICHUNG")))</f>
        <v/>
      </c>
      <c r="Y144" s="50">
        <f>IF(OR(K144="",O144="",R144=""),"",IF(ABS(ROUND(((ROUND(N(K144)*100,0))-(ROUND(N(O144)*100,0))),0)-(ROUND(N(R144)*100,0)))&lt;=0,"OK","ABWEICHUNG"))</f>
        <v/>
      </c>
      <c r="Z144" s="50">
        <f>IF(OR(N144="",O144="",P144="",Q144="",T144=""),"",IF(ABS(ROUND(((ROUND(N(N144)*100,0)+ROUND(N(Q144)*100,0))-(ROUND(N(O144)*100,0)+ROUND(N(P144)*100,0))),0)-(ROUND(N(T144)*100,0)))&lt;=0,"OK","ABWEICHUNG"))</f>
        <v/>
      </c>
      <c r="AA144" s="44" t="n"/>
      <c r="AB144" s="44" t="n"/>
      <c r="AC144" s="44" t="n"/>
      <c r="AD144" s="44" t="n"/>
      <c r="AE144" s="85" t="n"/>
      <c r="AF144" s="85" t="n"/>
      <c r="AG144" s="44" t="n"/>
      <c r="AH144" s="44" t="n"/>
    </row>
    <row r="145">
      <c r="A145" s="44" t="n"/>
      <c r="B145" s="44" t="n"/>
      <c r="C145" s="44" t="n"/>
      <c r="D145" s="44" t="n"/>
      <c r="E145" s="44" t="n"/>
      <c r="F145" s="44" t="n"/>
      <c r="G145" s="45" t="n"/>
      <c r="H145" s="44" t="n"/>
      <c r="I145" s="45" t="n"/>
      <c r="J145" s="44" t="n"/>
      <c r="K145" s="85" t="n"/>
      <c r="L145" s="85" t="n"/>
      <c r="M145" s="85" t="n"/>
      <c r="N145" s="85" t="n"/>
      <c r="O145" s="85" t="n"/>
      <c r="P145" s="85" t="n"/>
      <c r="Q145" s="85" t="n"/>
      <c r="R145" s="85" t="n"/>
      <c r="S145" s="85" t="n"/>
      <c r="T145" s="85" t="n"/>
      <c r="U145" s="85" t="n"/>
      <c r="V145" s="44" t="n"/>
      <c r="W145" s="50">
        <f>IF(OR(M145="",Q145="",S145=""),"",IF(ABS(ROUND(((ROUND(N(M145)*100,0))-(ROUND(N(Q145)*100,0))),0)-(ROUND(N(S145)*100,0)))&lt;=0,"OK","ABWEICHUNG"))</f>
        <v/>
      </c>
      <c r="X145" s="50">
        <f>IF(OR(K145="",M145="",N145=""),"",IF(ABS(ROUND(((ROUND(N(K145)*100,0)+ROUND(N(L145)*100,0))-(ROUND(N(M145)*100,0))),0)-(ROUND(N(N145)*100,0)))&lt;=0,"OK",IF(OR(L145=""),"UNVOLLSTÄNDIG","ABWEICHUNG")))</f>
        <v/>
      </c>
      <c r="Y145" s="50">
        <f>IF(OR(K145="",O145="",R145=""),"",IF(ABS(ROUND(((ROUND(N(K145)*100,0))-(ROUND(N(O145)*100,0))),0)-(ROUND(N(R145)*100,0)))&lt;=0,"OK","ABWEICHUNG"))</f>
        <v/>
      </c>
      <c r="Z145" s="50">
        <f>IF(OR(N145="",O145="",P145="",Q145="",T145=""),"",IF(ABS(ROUND(((ROUND(N(N145)*100,0)+ROUND(N(Q145)*100,0))-(ROUND(N(O145)*100,0)+ROUND(N(P145)*100,0))),0)-(ROUND(N(T145)*100,0)))&lt;=0,"OK","ABWEICHUNG"))</f>
        <v/>
      </c>
      <c r="AA145" s="44" t="n"/>
      <c r="AB145" s="44" t="n"/>
      <c r="AC145" s="44" t="n"/>
      <c r="AD145" s="44" t="n"/>
      <c r="AE145" s="85" t="n"/>
      <c r="AF145" s="85" t="n"/>
      <c r="AG145" s="44" t="n"/>
      <c r="AH145" s="44" t="n"/>
    </row>
    <row r="146">
      <c r="A146" s="44" t="n"/>
      <c r="B146" s="44" t="n"/>
      <c r="C146" s="44" t="n"/>
      <c r="D146" s="44" t="n"/>
      <c r="E146" s="44" t="n"/>
      <c r="F146" s="44" t="n"/>
      <c r="G146" s="45" t="n"/>
      <c r="H146" s="44" t="n"/>
      <c r="I146" s="45" t="n"/>
      <c r="J146" s="44" t="n"/>
      <c r="K146" s="85" t="n"/>
      <c r="L146" s="85" t="n"/>
      <c r="M146" s="85" t="n"/>
      <c r="N146" s="85" t="n"/>
      <c r="O146" s="85" t="n"/>
      <c r="P146" s="85" t="n"/>
      <c r="Q146" s="85" t="n"/>
      <c r="R146" s="85" t="n"/>
      <c r="S146" s="85" t="n"/>
      <c r="T146" s="85" t="n"/>
      <c r="U146" s="85" t="n"/>
      <c r="V146" s="44" t="n"/>
      <c r="W146" s="50">
        <f>IF(OR(M146="",Q146="",S146=""),"",IF(ABS(ROUND(((ROUND(N(M146)*100,0))-(ROUND(N(Q146)*100,0))),0)-(ROUND(N(S146)*100,0)))&lt;=0,"OK","ABWEICHUNG"))</f>
        <v/>
      </c>
      <c r="X146" s="50">
        <f>IF(OR(K146="",M146="",N146=""),"",IF(ABS(ROUND(((ROUND(N(K146)*100,0)+ROUND(N(L146)*100,0))-(ROUND(N(M146)*100,0))),0)-(ROUND(N(N146)*100,0)))&lt;=0,"OK",IF(OR(L146=""),"UNVOLLSTÄNDIG","ABWEICHUNG")))</f>
        <v/>
      </c>
      <c r="Y146" s="50">
        <f>IF(OR(K146="",O146="",R146=""),"",IF(ABS(ROUND(((ROUND(N(K146)*100,0))-(ROUND(N(O146)*100,0))),0)-(ROUND(N(R146)*100,0)))&lt;=0,"OK","ABWEICHUNG"))</f>
        <v/>
      </c>
      <c r="Z146" s="50">
        <f>IF(OR(N146="",O146="",P146="",Q146="",T146=""),"",IF(ABS(ROUND(((ROUND(N(N146)*100,0)+ROUND(N(Q146)*100,0))-(ROUND(N(O146)*100,0)+ROUND(N(P146)*100,0))),0)-(ROUND(N(T146)*100,0)))&lt;=0,"OK","ABWEICHUNG"))</f>
        <v/>
      </c>
      <c r="AA146" s="44" t="n"/>
      <c r="AB146" s="44" t="n"/>
      <c r="AC146" s="44" t="n"/>
      <c r="AD146" s="44" t="n"/>
      <c r="AE146" s="85" t="n"/>
      <c r="AF146" s="85" t="n"/>
      <c r="AG146" s="44" t="n"/>
      <c r="AH146" s="44" t="n"/>
    </row>
    <row r="147">
      <c r="A147" s="44" t="n"/>
      <c r="B147" s="44" t="n"/>
      <c r="C147" s="44" t="n"/>
      <c r="D147" s="44" t="n"/>
      <c r="E147" s="44" t="n"/>
      <c r="F147" s="44" t="n"/>
      <c r="G147" s="45" t="n"/>
      <c r="H147" s="44" t="n"/>
      <c r="I147" s="45" t="n"/>
      <c r="J147" s="44" t="n"/>
      <c r="K147" s="85" t="n"/>
      <c r="L147" s="85" t="n"/>
      <c r="M147" s="85" t="n"/>
      <c r="N147" s="85" t="n"/>
      <c r="O147" s="85" t="n"/>
      <c r="P147" s="85" t="n"/>
      <c r="Q147" s="85" t="n"/>
      <c r="R147" s="85" t="n"/>
      <c r="S147" s="85" t="n"/>
      <c r="T147" s="85" t="n"/>
      <c r="U147" s="85" t="n"/>
      <c r="V147" s="44" t="n"/>
      <c r="W147" s="50">
        <f>IF(OR(M147="",Q147="",S147=""),"",IF(ABS(ROUND(((ROUND(N(M147)*100,0))-(ROUND(N(Q147)*100,0))),0)-(ROUND(N(S147)*100,0)))&lt;=0,"OK","ABWEICHUNG"))</f>
        <v/>
      </c>
      <c r="X147" s="50">
        <f>IF(OR(K147="",M147="",N147=""),"",IF(ABS(ROUND(((ROUND(N(K147)*100,0)+ROUND(N(L147)*100,0))-(ROUND(N(M147)*100,0))),0)-(ROUND(N(N147)*100,0)))&lt;=0,"OK",IF(OR(L147=""),"UNVOLLSTÄNDIG","ABWEICHUNG")))</f>
        <v/>
      </c>
      <c r="Y147" s="50">
        <f>IF(OR(K147="",O147="",R147=""),"",IF(ABS(ROUND(((ROUND(N(K147)*100,0))-(ROUND(N(O147)*100,0))),0)-(ROUND(N(R147)*100,0)))&lt;=0,"OK","ABWEICHUNG"))</f>
        <v/>
      </c>
      <c r="Z147" s="50">
        <f>IF(OR(N147="",O147="",P147="",Q147="",T147=""),"",IF(ABS(ROUND(((ROUND(N(N147)*100,0)+ROUND(N(Q147)*100,0))-(ROUND(N(O147)*100,0)+ROUND(N(P147)*100,0))),0)-(ROUND(N(T147)*100,0)))&lt;=0,"OK","ABWEICHUNG"))</f>
        <v/>
      </c>
      <c r="AA147" s="44" t="n"/>
      <c r="AB147" s="44" t="n"/>
      <c r="AC147" s="44" t="n"/>
      <c r="AD147" s="44" t="n"/>
      <c r="AE147" s="85" t="n"/>
      <c r="AF147" s="85" t="n"/>
      <c r="AG147" s="44" t="n"/>
      <c r="AH147" s="44" t="n"/>
    </row>
    <row r="148">
      <c r="A148" s="44" t="n"/>
      <c r="B148" s="44" t="n"/>
      <c r="C148" s="44" t="n"/>
      <c r="D148" s="44" t="n"/>
      <c r="E148" s="44" t="n"/>
      <c r="F148" s="44" t="n"/>
      <c r="G148" s="45" t="n"/>
      <c r="H148" s="44" t="n"/>
      <c r="I148" s="45" t="n"/>
      <c r="J148" s="44" t="n"/>
      <c r="K148" s="85" t="n"/>
      <c r="L148" s="85" t="n"/>
      <c r="M148" s="85" t="n"/>
      <c r="N148" s="85" t="n"/>
      <c r="O148" s="85" t="n"/>
      <c r="P148" s="85" t="n"/>
      <c r="Q148" s="85" t="n"/>
      <c r="R148" s="85" t="n"/>
      <c r="S148" s="85" t="n"/>
      <c r="T148" s="85" t="n"/>
      <c r="U148" s="85" t="n"/>
      <c r="V148" s="44" t="n"/>
      <c r="W148" s="50">
        <f>IF(OR(M148="",Q148="",S148=""),"",IF(ABS(ROUND(((ROUND(N(M148)*100,0))-(ROUND(N(Q148)*100,0))),0)-(ROUND(N(S148)*100,0)))&lt;=0,"OK","ABWEICHUNG"))</f>
        <v/>
      </c>
      <c r="X148" s="50">
        <f>IF(OR(K148="",M148="",N148=""),"",IF(ABS(ROUND(((ROUND(N(K148)*100,0)+ROUND(N(L148)*100,0))-(ROUND(N(M148)*100,0))),0)-(ROUND(N(N148)*100,0)))&lt;=0,"OK",IF(OR(L148=""),"UNVOLLSTÄNDIG","ABWEICHUNG")))</f>
        <v/>
      </c>
      <c r="Y148" s="50">
        <f>IF(OR(K148="",O148="",R148=""),"",IF(ABS(ROUND(((ROUND(N(K148)*100,0))-(ROUND(N(O148)*100,0))),0)-(ROUND(N(R148)*100,0)))&lt;=0,"OK","ABWEICHUNG"))</f>
        <v/>
      </c>
      <c r="Z148" s="50">
        <f>IF(OR(N148="",O148="",P148="",Q148="",T148=""),"",IF(ABS(ROUND(((ROUND(N(N148)*100,0)+ROUND(N(Q148)*100,0))-(ROUND(N(O148)*100,0)+ROUND(N(P148)*100,0))),0)-(ROUND(N(T148)*100,0)))&lt;=0,"OK","ABWEICHUNG"))</f>
        <v/>
      </c>
      <c r="AA148" s="44" t="n"/>
      <c r="AB148" s="44" t="n"/>
      <c r="AC148" s="44" t="n"/>
      <c r="AD148" s="44" t="n"/>
      <c r="AE148" s="85" t="n"/>
      <c r="AF148" s="85" t="n"/>
      <c r="AG148" s="44" t="n"/>
      <c r="AH148" s="44" t="n"/>
    </row>
    <row r="149">
      <c r="A149" s="44" t="n"/>
      <c r="B149" s="44" t="n"/>
      <c r="C149" s="44" t="n"/>
      <c r="D149" s="44" t="n"/>
      <c r="E149" s="44" t="n"/>
      <c r="F149" s="44" t="n"/>
      <c r="G149" s="45" t="n"/>
      <c r="H149" s="44" t="n"/>
      <c r="I149" s="45" t="n"/>
      <c r="J149" s="44" t="n"/>
      <c r="K149" s="85" t="n"/>
      <c r="L149" s="85" t="n"/>
      <c r="M149" s="85" t="n"/>
      <c r="N149" s="85" t="n"/>
      <c r="O149" s="85" t="n"/>
      <c r="P149" s="85" t="n"/>
      <c r="Q149" s="85" t="n"/>
      <c r="R149" s="85" t="n"/>
      <c r="S149" s="85" t="n"/>
      <c r="T149" s="85" t="n"/>
      <c r="U149" s="85" t="n"/>
      <c r="V149" s="44" t="n"/>
      <c r="W149" s="50">
        <f>IF(OR(M149="",Q149="",S149=""),"",IF(ABS(ROUND(((ROUND(N(M149)*100,0))-(ROUND(N(Q149)*100,0))),0)-(ROUND(N(S149)*100,0)))&lt;=0,"OK","ABWEICHUNG"))</f>
        <v/>
      </c>
      <c r="X149" s="50">
        <f>IF(OR(K149="",M149="",N149=""),"",IF(ABS(ROUND(((ROUND(N(K149)*100,0)+ROUND(N(L149)*100,0))-(ROUND(N(M149)*100,0))),0)-(ROUND(N(N149)*100,0)))&lt;=0,"OK",IF(OR(L149=""),"UNVOLLSTÄNDIG","ABWEICHUNG")))</f>
        <v/>
      </c>
      <c r="Y149" s="50">
        <f>IF(OR(K149="",O149="",R149=""),"",IF(ABS(ROUND(((ROUND(N(K149)*100,0))-(ROUND(N(O149)*100,0))),0)-(ROUND(N(R149)*100,0)))&lt;=0,"OK","ABWEICHUNG"))</f>
        <v/>
      </c>
      <c r="Z149" s="50">
        <f>IF(OR(N149="",O149="",P149="",Q149="",T149=""),"",IF(ABS(ROUND(((ROUND(N(N149)*100,0)+ROUND(N(Q149)*100,0))-(ROUND(N(O149)*100,0)+ROUND(N(P149)*100,0))),0)-(ROUND(N(T149)*100,0)))&lt;=0,"OK","ABWEICHUNG"))</f>
        <v/>
      </c>
      <c r="AA149" s="44" t="n"/>
      <c r="AB149" s="44" t="n"/>
      <c r="AC149" s="44" t="n"/>
      <c r="AD149" s="44" t="n"/>
      <c r="AE149" s="85" t="n"/>
      <c r="AF149" s="85" t="n"/>
      <c r="AG149" s="44" t="n"/>
      <c r="AH149" s="44" t="n"/>
    </row>
    <row r="150">
      <c r="A150" s="44" t="n"/>
      <c r="B150" s="44" t="n"/>
      <c r="C150" s="44" t="n"/>
      <c r="D150" s="44" t="n"/>
      <c r="E150" s="44" t="n"/>
      <c r="F150" s="44" t="n"/>
      <c r="G150" s="45" t="n"/>
      <c r="H150" s="44" t="n"/>
      <c r="I150" s="45" t="n"/>
      <c r="J150" s="44" t="n"/>
      <c r="K150" s="85" t="n"/>
      <c r="L150" s="85" t="n"/>
      <c r="M150" s="85" t="n"/>
      <c r="N150" s="85" t="n"/>
      <c r="O150" s="85" t="n"/>
      <c r="P150" s="85" t="n"/>
      <c r="Q150" s="85" t="n"/>
      <c r="R150" s="85" t="n"/>
      <c r="S150" s="85" t="n"/>
      <c r="T150" s="85" t="n"/>
      <c r="U150" s="85" t="n"/>
      <c r="V150" s="44" t="n"/>
      <c r="W150" s="50">
        <f>IF(OR(M150="",Q150="",S150=""),"",IF(ABS(ROUND(((ROUND(N(M150)*100,0))-(ROUND(N(Q150)*100,0))),0)-(ROUND(N(S150)*100,0)))&lt;=0,"OK","ABWEICHUNG"))</f>
        <v/>
      </c>
      <c r="X150" s="50">
        <f>IF(OR(K150="",M150="",N150=""),"",IF(ABS(ROUND(((ROUND(N(K150)*100,0)+ROUND(N(L150)*100,0))-(ROUND(N(M150)*100,0))),0)-(ROUND(N(N150)*100,0)))&lt;=0,"OK",IF(OR(L150=""),"UNVOLLSTÄNDIG","ABWEICHUNG")))</f>
        <v/>
      </c>
      <c r="Y150" s="50">
        <f>IF(OR(K150="",O150="",R150=""),"",IF(ABS(ROUND(((ROUND(N(K150)*100,0))-(ROUND(N(O150)*100,0))),0)-(ROUND(N(R150)*100,0)))&lt;=0,"OK","ABWEICHUNG"))</f>
        <v/>
      </c>
      <c r="Z150" s="50">
        <f>IF(OR(N150="",O150="",P150="",Q150="",T150=""),"",IF(ABS(ROUND(((ROUND(N(N150)*100,0)+ROUND(N(Q150)*100,0))-(ROUND(N(O150)*100,0)+ROUND(N(P150)*100,0))),0)-(ROUND(N(T150)*100,0)))&lt;=0,"OK","ABWEICHUNG"))</f>
        <v/>
      </c>
      <c r="AA150" s="44" t="n"/>
      <c r="AB150" s="44" t="n"/>
      <c r="AC150" s="44" t="n"/>
      <c r="AD150" s="44" t="n"/>
      <c r="AE150" s="85" t="n"/>
      <c r="AF150" s="85" t="n"/>
      <c r="AG150" s="44" t="n"/>
      <c r="AH150" s="44" t="n"/>
    </row>
    <row r="151">
      <c r="A151" s="44" t="n"/>
      <c r="B151" s="44" t="n"/>
      <c r="C151" s="44" t="n"/>
      <c r="D151" s="44" t="n"/>
      <c r="E151" s="44" t="n"/>
      <c r="F151" s="44" t="n"/>
      <c r="G151" s="45" t="n"/>
      <c r="H151" s="44" t="n"/>
      <c r="I151" s="45" t="n"/>
      <c r="J151" s="44" t="n"/>
      <c r="K151" s="85" t="n"/>
      <c r="L151" s="85" t="n"/>
      <c r="M151" s="85" t="n"/>
      <c r="N151" s="85" t="n"/>
      <c r="O151" s="85" t="n"/>
      <c r="P151" s="85" t="n"/>
      <c r="Q151" s="85" t="n"/>
      <c r="R151" s="85" t="n"/>
      <c r="S151" s="85" t="n"/>
      <c r="T151" s="85" t="n"/>
      <c r="U151" s="85" t="n"/>
      <c r="V151" s="44" t="n"/>
      <c r="W151" s="50">
        <f>IF(OR(M151="",Q151="",S151=""),"",IF(ABS(ROUND(((ROUND(N(M151)*100,0))-(ROUND(N(Q151)*100,0))),0)-(ROUND(N(S151)*100,0)))&lt;=0,"OK","ABWEICHUNG"))</f>
        <v/>
      </c>
      <c r="X151" s="50">
        <f>IF(OR(K151="",M151="",N151=""),"",IF(ABS(ROUND(((ROUND(N(K151)*100,0)+ROUND(N(L151)*100,0))-(ROUND(N(M151)*100,0))),0)-(ROUND(N(N151)*100,0)))&lt;=0,"OK",IF(OR(L151=""),"UNVOLLSTÄNDIG","ABWEICHUNG")))</f>
        <v/>
      </c>
      <c r="Y151" s="50">
        <f>IF(OR(K151="",O151="",R151=""),"",IF(ABS(ROUND(((ROUND(N(K151)*100,0))-(ROUND(N(O151)*100,0))),0)-(ROUND(N(R151)*100,0)))&lt;=0,"OK","ABWEICHUNG"))</f>
        <v/>
      </c>
      <c r="Z151" s="50">
        <f>IF(OR(N151="",O151="",P151="",Q151="",T151=""),"",IF(ABS(ROUND(((ROUND(N(N151)*100,0)+ROUND(N(Q151)*100,0))-(ROUND(N(O151)*100,0)+ROUND(N(P151)*100,0))),0)-(ROUND(N(T151)*100,0)))&lt;=0,"OK","ABWEICHUNG"))</f>
        <v/>
      </c>
      <c r="AA151" s="44" t="n"/>
      <c r="AB151" s="44" t="n"/>
      <c r="AC151" s="44" t="n"/>
      <c r="AD151" s="44" t="n"/>
      <c r="AE151" s="85" t="n"/>
      <c r="AF151" s="85" t="n"/>
      <c r="AG151" s="44" t="n"/>
      <c r="AH151" s="44" t="n"/>
    </row>
    <row r="152">
      <c r="A152" s="44" t="n"/>
      <c r="B152" s="44" t="n"/>
      <c r="C152" s="44" t="n"/>
      <c r="D152" s="44" t="n"/>
      <c r="E152" s="44" t="n"/>
      <c r="F152" s="44" t="n"/>
      <c r="G152" s="45" t="n"/>
      <c r="H152" s="44" t="n"/>
      <c r="I152" s="45" t="n"/>
      <c r="J152" s="44" t="n"/>
      <c r="K152" s="85" t="n"/>
      <c r="L152" s="85" t="n"/>
      <c r="M152" s="85" t="n"/>
      <c r="N152" s="85" t="n"/>
      <c r="O152" s="85" t="n"/>
      <c r="P152" s="85" t="n"/>
      <c r="Q152" s="85" t="n"/>
      <c r="R152" s="85" t="n"/>
      <c r="S152" s="85" t="n"/>
      <c r="T152" s="85" t="n"/>
      <c r="U152" s="85" t="n"/>
      <c r="V152" s="44" t="n"/>
      <c r="W152" s="50">
        <f>IF(OR(M152="",Q152="",S152=""),"",IF(ABS(ROUND(((ROUND(N(M152)*100,0))-(ROUND(N(Q152)*100,0))),0)-(ROUND(N(S152)*100,0)))&lt;=0,"OK","ABWEICHUNG"))</f>
        <v/>
      </c>
      <c r="X152" s="50">
        <f>IF(OR(K152="",M152="",N152=""),"",IF(ABS(ROUND(((ROUND(N(K152)*100,0)+ROUND(N(L152)*100,0))-(ROUND(N(M152)*100,0))),0)-(ROUND(N(N152)*100,0)))&lt;=0,"OK",IF(OR(L152=""),"UNVOLLSTÄNDIG","ABWEICHUNG")))</f>
        <v/>
      </c>
      <c r="Y152" s="50">
        <f>IF(OR(K152="",O152="",R152=""),"",IF(ABS(ROUND(((ROUND(N(K152)*100,0))-(ROUND(N(O152)*100,0))),0)-(ROUND(N(R152)*100,0)))&lt;=0,"OK","ABWEICHUNG"))</f>
        <v/>
      </c>
      <c r="Z152" s="50">
        <f>IF(OR(N152="",O152="",P152="",Q152="",T152=""),"",IF(ABS(ROUND(((ROUND(N(N152)*100,0)+ROUND(N(Q152)*100,0))-(ROUND(N(O152)*100,0)+ROUND(N(P152)*100,0))),0)-(ROUND(N(T152)*100,0)))&lt;=0,"OK","ABWEICHUNG"))</f>
        <v/>
      </c>
      <c r="AA152" s="44" t="n"/>
      <c r="AB152" s="44" t="n"/>
      <c r="AC152" s="44" t="n"/>
      <c r="AD152" s="44" t="n"/>
      <c r="AE152" s="85" t="n"/>
      <c r="AF152" s="85" t="n"/>
      <c r="AG152" s="44" t="n"/>
      <c r="AH152" s="44" t="n"/>
    </row>
    <row r="153">
      <c r="A153" s="44" t="n"/>
      <c r="B153" s="44" t="n"/>
      <c r="C153" s="44" t="n"/>
      <c r="D153" s="44" t="n"/>
      <c r="E153" s="44" t="n"/>
      <c r="F153" s="44" t="n"/>
      <c r="G153" s="45" t="n"/>
      <c r="H153" s="44" t="n"/>
      <c r="I153" s="45" t="n"/>
      <c r="J153" s="44" t="n"/>
      <c r="K153" s="85" t="n"/>
      <c r="L153" s="85" t="n"/>
      <c r="M153" s="85" t="n"/>
      <c r="N153" s="85" t="n"/>
      <c r="O153" s="85" t="n"/>
      <c r="P153" s="85" t="n"/>
      <c r="Q153" s="85" t="n"/>
      <c r="R153" s="85" t="n"/>
      <c r="S153" s="85" t="n"/>
      <c r="T153" s="85" t="n"/>
      <c r="U153" s="85" t="n"/>
      <c r="V153" s="44" t="n"/>
      <c r="W153" s="50">
        <f>IF(OR(M153="",Q153="",S153=""),"",IF(ABS(ROUND(((ROUND(N(M153)*100,0))-(ROUND(N(Q153)*100,0))),0)-(ROUND(N(S153)*100,0)))&lt;=0,"OK","ABWEICHUNG"))</f>
        <v/>
      </c>
      <c r="X153" s="50">
        <f>IF(OR(K153="",M153="",N153=""),"",IF(ABS(ROUND(((ROUND(N(K153)*100,0)+ROUND(N(L153)*100,0))-(ROUND(N(M153)*100,0))),0)-(ROUND(N(N153)*100,0)))&lt;=0,"OK",IF(OR(L153=""),"UNVOLLSTÄNDIG","ABWEICHUNG")))</f>
        <v/>
      </c>
      <c r="Y153" s="50">
        <f>IF(OR(K153="",O153="",R153=""),"",IF(ABS(ROUND(((ROUND(N(K153)*100,0))-(ROUND(N(O153)*100,0))),0)-(ROUND(N(R153)*100,0)))&lt;=0,"OK","ABWEICHUNG"))</f>
        <v/>
      </c>
      <c r="Z153" s="50">
        <f>IF(OR(N153="",O153="",P153="",Q153="",T153=""),"",IF(ABS(ROUND(((ROUND(N(N153)*100,0)+ROUND(N(Q153)*100,0))-(ROUND(N(O153)*100,0)+ROUND(N(P153)*100,0))),0)-(ROUND(N(T153)*100,0)))&lt;=0,"OK","ABWEICHUNG"))</f>
        <v/>
      </c>
      <c r="AA153" s="44" t="n"/>
      <c r="AB153" s="44" t="n"/>
      <c r="AC153" s="44" t="n"/>
      <c r="AD153" s="44" t="n"/>
      <c r="AE153" s="85" t="n"/>
      <c r="AF153" s="85" t="n"/>
      <c r="AG153" s="44" t="n"/>
      <c r="AH153" s="44" t="n"/>
    </row>
    <row r="154">
      <c r="A154" s="44" t="n"/>
      <c r="B154" s="44" t="n"/>
      <c r="C154" s="44" t="n"/>
      <c r="D154" s="44" t="n"/>
      <c r="E154" s="44" t="n"/>
      <c r="F154" s="44" t="n"/>
      <c r="G154" s="45" t="n"/>
      <c r="H154" s="44" t="n"/>
      <c r="I154" s="45" t="n"/>
      <c r="J154" s="44" t="n"/>
      <c r="K154" s="85" t="n"/>
      <c r="L154" s="85" t="n"/>
      <c r="M154" s="85" t="n"/>
      <c r="N154" s="85" t="n"/>
      <c r="O154" s="85" t="n"/>
      <c r="P154" s="85" t="n"/>
      <c r="Q154" s="85" t="n"/>
      <c r="R154" s="85" t="n"/>
      <c r="S154" s="85" t="n"/>
      <c r="T154" s="85" t="n"/>
      <c r="U154" s="85" t="n"/>
      <c r="V154" s="44" t="n"/>
      <c r="W154" s="50">
        <f>IF(OR(M154="",Q154="",S154=""),"",IF(ABS(ROUND(((ROUND(N(M154)*100,0))-(ROUND(N(Q154)*100,0))),0)-(ROUND(N(S154)*100,0)))&lt;=0,"OK","ABWEICHUNG"))</f>
        <v/>
      </c>
      <c r="X154" s="50">
        <f>IF(OR(K154="",M154="",N154=""),"",IF(ABS(ROUND(((ROUND(N(K154)*100,0)+ROUND(N(L154)*100,0))-(ROUND(N(M154)*100,0))),0)-(ROUND(N(N154)*100,0)))&lt;=0,"OK",IF(OR(L154=""),"UNVOLLSTÄNDIG","ABWEICHUNG")))</f>
        <v/>
      </c>
      <c r="Y154" s="50">
        <f>IF(OR(K154="",O154="",R154=""),"",IF(ABS(ROUND(((ROUND(N(K154)*100,0))-(ROUND(N(O154)*100,0))),0)-(ROUND(N(R154)*100,0)))&lt;=0,"OK","ABWEICHUNG"))</f>
        <v/>
      </c>
      <c r="Z154" s="50">
        <f>IF(OR(N154="",O154="",P154="",Q154="",T154=""),"",IF(ABS(ROUND(((ROUND(N(N154)*100,0)+ROUND(N(Q154)*100,0))-(ROUND(N(O154)*100,0)+ROUND(N(P154)*100,0))),0)-(ROUND(N(T154)*100,0)))&lt;=0,"OK","ABWEICHUNG"))</f>
        <v/>
      </c>
      <c r="AA154" s="44" t="n"/>
      <c r="AB154" s="44" t="n"/>
      <c r="AC154" s="44" t="n"/>
      <c r="AD154" s="44" t="n"/>
      <c r="AE154" s="85" t="n"/>
      <c r="AF154" s="85" t="n"/>
      <c r="AG154" s="44" t="n"/>
      <c r="AH154" s="44" t="n"/>
    </row>
    <row r="155">
      <c r="A155" s="44" t="n"/>
      <c r="B155" s="44" t="n"/>
      <c r="C155" s="44" t="n"/>
      <c r="D155" s="44" t="n"/>
      <c r="E155" s="44" t="n"/>
      <c r="F155" s="44" t="n"/>
      <c r="G155" s="45" t="n"/>
      <c r="H155" s="44" t="n"/>
      <c r="I155" s="45" t="n"/>
      <c r="J155" s="44" t="n"/>
      <c r="K155" s="85" t="n"/>
      <c r="L155" s="85" t="n"/>
      <c r="M155" s="85" t="n"/>
      <c r="N155" s="85" t="n"/>
      <c r="O155" s="85" t="n"/>
      <c r="P155" s="85" t="n"/>
      <c r="Q155" s="85" t="n"/>
      <c r="R155" s="85" t="n"/>
      <c r="S155" s="85" t="n"/>
      <c r="T155" s="85" t="n"/>
      <c r="U155" s="85" t="n"/>
      <c r="V155" s="44" t="n"/>
      <c r="W155" s="50">
        <f>IF(OR(M155="",Q155="",S155=""),"",IF(ABS(ROUND(((ROUND(N(M155)*100,0))-(ROUND(N(Q155)*100,0))),0)-(ROUND(N(S155)*100,0)))&lt;=0,"OK","ABWEICHUNG"))</f>
        <v/>
      </c>
      <c r="X155" s="50">
        <f>IF(OR(K155="",M155="",N155=""),"",IF(ABS(ROUND(((ROUND(N(K155)*100,0)+ROUND(N(L155)*100,0))-(ROUND(N(M155)*100,0))),0)-(ROUND(N(N155)*100,0)))&lt;=0,"OK",IF(OR(L155=""),"UNVOLLSTÄNDIG","ABWEICHUNG")))</f>
        <v/>
      </c>
      <c r="Y155" s="50">
        <f>IF(OR(K155="",O155="",R155=""),"",IF(ABS(ROUND(((ROUND(N(K155)*100,0))-(ROUND(N(O155)*100,0))),0)-(ROUND(N(R155)*100,0)))&lt;=0,"OK","ABWEICHUNG"))</f>
        <v/>
      </c>
      <c r="Z155" s="50">
        <f>IF(OR(N155="",O155="",P155="",Q155="",T155=""),"",IF(ABS(ROUND(((ROUND(N(N155)*100,0)+ROUND(N(Q155)*100,0))-(ROUND(N(O155)*100,0)+ROUND(N(P155)*100,0))),0)-(ROUND(N(T155)*100,0)))&lt;=0,"OK","ABWEICHUNG"))</f>
        <v/>
      </c>
      <c r="AA155" s="44" t="n"/>
      <c r="AB155" s="44" t="n"/>
      <c r="AC155" s="44" t="n"/>
      <c r="AD155" s="44" t="n"/>
      <c r="AE155" s="85" t="n"/>
      <c r="AF155" s="85" t="n"/>
      <c r="AG155" s="44" t="n"/>
      <c r="AH155" s="44" t="n"/>
    </row>
    <row r="156">
      <c r="A156" s="44" t="n"/>
      <c r="B156" s="44" t="n"/>
      <c r="C156" s="44" t="n"/>
      <c r="D156" s="44" t="n"/>
      <c r="E156" s="44" t="n"/>
      <c r="F156" s="44" t="n"/>
      <c r="G156" s="45" t="n"/>
      <c r="H156" s="44" t="n"/>
      <c r="I156" s="45" t="n"/>
      <c r="J156" s="44" t="n"/>
      <c r="K156" s="85" t="n"/>
      <c r="L156" s="85" t="n"/>
      <c r="M156" s="85" t="n"/>
      <c r="N156" s="85" t="n"/>
      <c r="O156" s="85" t="n"/>
      <c r="P156" s="85" t="n"/>
      <c r="Q156" s="85" t="n"/>
      <c r="R156" s="85" t="n"/>
      <c r="S156" s="85" t="n"/>
      <c r="T156" s="85" t="n"/>
      <c r="U156" s="85" t="n"/>
      <c r="V156" s="44" t="n"/>
      <c r="W156" s="50">
        <f>IF(OR(M156="",Q156="",S156=""),"",IF(ABS(ROUND(((ROUND(N(M156)*100,0))-(ROUND(N(Q156)*100,0))),0)-(ROUND(N(S156)*100,0)))&lt;=0,"OK","ABWEICHUNG"))</f>
        <v/>
      </c>
      <c r="X156" s="50">
        <f>IF(OR(K156="",M156="",N156=""),"",IF(ABS(ROUND(((ROUND(N(K156)*100,0)+ROUND(N(L156)*100,0))-(ROUND(N(M156)*100,0))),0)-(ROUND(N(N156)*100,0)))&lt;=0,"OK",IF(OR(L156=""),"UNVOLLSTÄNDIG","ABWEICHUNG")))</f>
        <v/>
      </c>
      <c r="Y156" s="50">
        <f>IF(OR(K156="",O156="",R156=""),"",IF(ABS(ROUND(((ROUND(N(K156)*100,0))-(ROUND(N(O156)*100,0))),0)-(ROUND(N(R156)*100,0)))&lt;=0,"OK","ABWEICHUNG"))</f>
        <v/>
      </c>
      <c r="Z156" s="50">
        <f>IF(OR(N156="",O156="",P156="",Q156="",T156=""),"",IF(ABS(ROUND(((ROUND(N(N156)*100,0)+ROUND(N(Q156)*100,0))-(ROUND(N(O156)*100,0)+ROUND(N(P156)*100,0))),0)-(ROUND(N(T156)*100,0)))&lt;=0,"OK","ABWEICHUNG"))</f>
        <v/>
      </c>
      <c r="AA156" s="44" t="n"/>
      <c r="AB156" s="44" t="n"/>
      <c r="AC156" s="44" t="n"/>
      <c r="AD156" s="44" t="n"/>
      <c r="AE156" s="85" t="n"/>
      <c r="AF156" s="85" t="n"/>
      <c r="AG156" s="44" t="n"/>
      <c r="AH156" s="44" t="n"/>
    </row>
    <row r="157">
      <c r="A157" s="44" t="n"/>
      <c r="B157" s="44" t="n"/>
      <c r="C157" s="44" t="n"/>
      <c r="D157" s="44" t="n"/>
      <c r="E157" s="44" t="n"/>
      <c r="F157" s="44" t="n"/>
      <c r="G157" s="45" t="n"/>
      <c r="H157" s="44" t="n"/>
      <c r="I157" s="45" t="n"/>
      <c r="J157" s="44" t="n"/>
      <c r="K157" s="85" t="n"/>
      <c r="L157" s="85" t="n"/>
      <c r="M157" s="85" t="n"/>
      <c r="N157" s="85" t="n"/>
      <c r="O157" s="85" t="n"/>
      <c r="P157" s="85" t="n"/>
      <c r="Q157" s="85" t="n"/>
      <c r="R157" s="85" t="n"/>
      <c r="S157" s="85" t="n"/>
      <c r="T157" s="85" t="n"/>
      <c r="U157" s="85" t="n"/>
      <c r="V157" s="44" t="n"/>
      <c r="W157" s="50">
        <f>IF(OR(M157="",Q157="",S157=""),"",IF(ABS(ROUND(((ROUND(N(M157)*100,0))-(ROUND(N(Q157)*100,0))),0)-(ROUND(N(S157)*100,0)))&lt;=0,"OK","ABWEICHUNG"))</f>
        <v/>
      </c>
      <c r="X157" s="50">
        <f>IF(OR(K157="",M157="",N157=""),"",IF(ABS(ROUND(((ROUND(N(K157)*100,0)+ROUND(N(L157)*100,0))-(ROUND(N(M157)*100,0))),0)-(ROUND(N(N157)*100,0)))&lt;=0,"OK",IF(OR(L157=""),"UNVOLLSTÄNDIG","ABWEICHUNG")))</f>
        <v/>
      </c>
      <c r="Y157" s="50">
        <f>IF(OR(K157="",O157="",R157=""),"",IF(ABS(ROUND(((ROUND(N(K157)*100,0))-(ROUND(N(O157)*100,0))),0)-(ROUND(N(R157)*100,0)))&lt;=0,"OK","ABWEICHUNG"))</f>
        <v/>
      </c>
      <c r="Z157" s="50">
        <f>IF(OR(N157="",O157="",P157="",Q157="",T157=""),"",IF(ABS(ROUND(((ROUND(N(N157)*100,0)+ROUND(N(Q157)*100,0))-(ROUND(N(O157)*100,0)+ROUND(N(P157)*100,0))),0)-(ROUND(N(T157)*100,0)))&lt;=0,"OK","ABWEICHUNG"))</f>
        <v/>
      </c>
      <c r="AA157" s="44" t="n"/>
      <c r="AB157" s="44" t="n"/>
      <c r="AC157" s="44" t="n"/>
      <c r="AD157" s="44" t="n"/>
      <c r="AE157" s="85" t="n"/>
      <c r="AF157" s="85" t="n"/>
      <c r="AG157" s="44" t="n"/>
      <c r="AH157" s="44" t="n"/>
    </row>
    <row r="158">
      <c r="A158" s="44" t="n"/>
      <c r="B158" s="44" t="n"/>
      <c r="C158" s="44" t="n"/>
      <c r="D158" s="44" t="n"/>
      <c r="E158" s="44" t="n"/>
      <c r="F158" s="44" t="n"/>
      <c r="G158" s="45" t="n"/>
      <c r="H158" s="44" t="n"/>
      <c r="I158" s="45" t="n"/>
      <c r="J158" s="44" t="n"/>
      <c r="K158" s="85" t="n"/>
      <c r="L158" s="85" t="n"/>
      <c r="M158" s="85" t="n"/>
      <c r="N158" s="85" t="n"/>
      <c r="O158" s="85" t="n"/>
      <c r="P158" s="85" t="n"/>
      <c r="Q158" s="85" t="n"/>
      <c r="R158" s="85" t="n"/>
      <c r="S158" s="85" t="n"/>
      <c r="T158" s="85" t="n"/>
      <c r="U158" s="85" t="n"/>
      <c r="V158" s="44" t="n"/>
      <c r="W158" s="50">
        <f>IF(OR(M158="",Q158="",S158=""),"",IF(ABS(ROUND(((ROUND(N(M158)*100,0))-(ROUND(N(Q158)*100,0))),0)-(ROUND(N(S158)*100,0)))&lt;=0,"OK","ABWEICHUNG"))</f>
        <v/>
      </c>
      <c r="X158" s="50">
        <f>IF(OR(K158="",M158="",N158=""),"",IF(ABS(ROUND(((ROUND(N(K158)*100,0)+ROUND(N(L158)*100,0))-(ROUND(N(M158)*100,0))),0)-(ROUND(N(N158)*100,0)))&lt;=0,"OK",IF(OR(L158=""),"UNVOLLSTÄNDIG","ABWEICHUNG")))</f>
        <v/>
      </c>
      <c r="Y158" s="50">
        <f>IF(OR(K158="",O158="",R158=""),"",IF(ABS(ROUND(((ROUND(N(K158)*100,0))-(ROUND(N(O158)*100,0))),0)-(ROUND(N(R158)*100,0)))&lt;=0,"OK","ABWEICHUNG"))</f>
        <v/>
      </c>
      <c r="Z158" s="50">
        <f>IF(OR(N158="",O158="",P158="",Q158="",T158=""),"",IF(ABS(ROUND(((ROUND(N(N158)*100,0)+ROUND(N(Q158)*100,0))-(ROUND(N(O158)*100,0)+ROUND(N(P158)*100,0))),0)-(ROUND(N(T158)*100,0)))&lt;=0,"OK","ABWEICHUNG"))</f>
        <v/>
      </c>
      <c r="AA158" s="44" t="n"/>
      <c r="AB158" s="44" t="n"/>
      <c r="AC158" s="44" t="n"/>
      <c r="AD158" s="44" t="n"/>
      <c r="AE158" s="85" t="n"/>
      <c r="AF158" s="85" t="n"/>
      <c r="AG158" s="44" t="n"/>
      <c r="AH158" s="44" t="n"/>
    </row>
    <row r="159">
      <c r="A159" s="44" t="n"/>
      <c r="B159" s="44" t="n"/>
      <c r="C159" s="44" t="n"/>
      <c r="D159" s="44" t="n"/>
      <c r="E159" s="44" t="n"/>
      <c r="F159" s="44" t="n"/>
      <c r="G159" s="45" t="n"/>
      <c r="H159" s="44" t="n"/>
      <c r="I159" s="45" t="n"/>
      <c r="J159" s="44" t="n"/>
      <c r="K159" s="85" t="n"/>
      <c r="L159" s="85" t="n"/>
      <c r="M159" s="85" t="n"/>
      <c r="N159" s="85" t="n"/>
      <c r="O159" s="85" t="n"/>
      <c r="P159" s="85" t="n"/>
      <c r="Q159" s="85" t="n"/>
      <c r="R159" s="85" t="n"/>
      <c r="S159" s="85" t="n"/>
      <c r="T159" s="85" t="n"/>
      <c r="U159" s="85" t="n"/>
      <c r="V159" s="44" t="n"/>
      <c r="W159" s="50">
        <f>IF(OR(M159="",Q159="",S159=""),"",IF(ABS(ROUND(((ROUND(N(M159)*100,0))-(ROUND(N(Q159)*100,0))),0)-(ROUND(N(S159)*100,0)))&lt;=0,"OK","ABWEICHUNG"))</f>
        <v/>
      </c>
      <c r="X159" s="50">
        <f>IF(OR(K159="",M159="",N159=""),"",IF(ABS(ROUND(((ROUND(N(K159)*100,0)+ROUND(N(L159)*100,0))-(ROUND(N(M159)*100,0))),0)-(ROUND(N(N159)*100,0)))&lt;=0,"OK",IF(OR(L159=""),"UNVOLLSTÄNDIG","ABWEICHUNG")))</f>
        <v/>
      </c>
      <c r="Y159" s="50">
        <f>IF(OR(K159="",O159="",R159=""),"",IF(ABS(ROUND(((ROUND(N(K159)*100,0))-(ROUND(N(O159)*100,0))),0)-(ROUND(N(R159)*100,0)))&lt;=0,"OK","ABWEICHUNG"))</f>
        <v/>
      </c>
      <c r="Z159" s="50">
        <f>IF(OR(N159="",O159="",P159="",Q159="",T159=""),"",IF(ABS(ROUND(((ROUND(N(N159)*100,0)+ROUND(N(Q159)*100,0))-(ROUND(N(O159)*100,0)+ROUND(N(P159)*100,0))),0)-(ROUND(N(T159)*100,0)))&lt;=0,"OK","ABWEICHUNG"))</f>
        <v/>
      </c>
      <c r="AA159" s="44" t="n"/>
      <c r="AB159" s="44" t="n"/>
      <c r="AC159" s="44" t="n"/>
      <c r="AD159" s="44" t="n"/>
      <c r="AE159" s="85" t="n"/>
      <c r="AF159" s="85" t="n"/>
      <c r="AG159" s="44" t="n"/>
      <c r="AH159" s="44" t="n"/>
    </row>
    <row r="160">
      <c r="A160" s="44" t="n"/>
      <c r="B160" s="44" t="n"/>
      <c r="C160" s="44" t="n"/>
      <c r="D160" s="44" t="n"/>
      <c r="E160" s="44" t="n"/>
      <c r="F160" s="44" t="n"/>
      <c r="G160" s="45" t="n"/>
      <c r="H160" s="44" t="n"/>
      <c r="I160" s="45" t="n"/>
      <c r="J160" s="44" t="n"/>
      <c r="K160" s="85" t="n"/>
      <c r="L160" s="85" t="n"/>
      <c r="M160" s="85" t="n"/>
      <c r="N160" s="85" t="n"/>
      <c r="O160" s="85" t="n"/>
      <c r="P160" s="85" t="n"/>
      <c r="Q160" s="85" t="n"/>
      <c r="R160" s="85" t="n"/>
      <c r="S160" s="85" t="n"/>
      <c r="T160" s="85" t="n"/>
      <c r="U160" s="85" t="n"/>
      <c r="V160" s="44" t="n"/>
      <c r="W160" s="50">
        <f>IF(OR(M160="",Q160="",S160=""),"",IF(ABS(ROUND(((ROUND(N(M160)*100,0))-(ROUND(N(Q160)*100,0))),0)-(ROUND(N(S160)*100,0)))&lt;=0,"OK","ABWEICHUNG"))</f>
        <v/>
      </c>
      <c r="X160" s="50">
        <f>IF(OR(K160="",M160="",N160=""),"",IF(ABS(ROUND(((ROUND(N(K160)*100,0)+ROUND(N(L160)*100,0))-(ROUND(N(M160)*100,0))),0)-(ROUND(N(N160)*100,0)))&lt;=0,"OK",IF(OR(L160=""),"UNVOLLSTÄNDIG","ABWEICHUNG")))</f>
        <v/>
      </c>
      <c r="Y160" s="50">
        <f>IF(OR(K160="",O160="",R160=""),"",IF(ABS(ROUND(((ROUND(N(K160)*100,0))-(ROUND(N(O160)*100,0))),0)-(ROUND(N(R160)*100,0)))&lt;=0,"OK","ABWEICHUNG"))</f>
        <v/>
      </c>
      <c r="Z160" s="50">
        <f>IF(OR(N160="",O160="",P160="",Q160="",T160=""),"",IF(ABS(ROUND(((ROUND(N(N160)*100,0)+ROUND(N(Q160)*100,0))-(ROUND(N(O160)*100,0)+ROUND(N(P160)*100,0))),0)-(ROUND(N(T160)*100,0)))&lt;=0,"OK","ABWEICHUNG"))</f>
        <v/>
      </c>
      <c r="AA160" s="44" t="n"/>
      <c r="AB160" s="44" t="n"/>
      <c r="AC160" s="44" t="n"/>
      <c r="AD160" s="44" t="n"/>
      <c r="AE160" s="85" t="n"/>
      <c r="AF160" s="85" t="n"/>
      <c r="AG160" s="44" t="n"/>
      <c r="AH160" s="44" t="n"/>
    </row>
    <row r="161">
      <c r="A161" s="44" t="n"/>
      <c r="B161" s="44" t="n"/>
      <c r="C161" s="44" t="n"/>
      <c r="D161" s="44" t="n"/>
      <c r="E161" s="44" t="n"/>
      <c r="F161" s="44" t="n"/>
      <c r="G161" s="45" t="n"/>
      <c r="H161" s="44" t="n"/>
      <c r="I161" s="45" t="n"/>
      <c r="J161" s="44" t="n"/>
      <c r="K161" s="85" t="n"/>
      <c r="L161" s="85" t="n"/>
      <c r="M161" s="85" t="n"/>
      <c r="N161" s="85" t="n"/>
      <c r="O161" s="85" t="n"/>
      <c r="P161" s="85" t="n"/>
      <c r="Q161" s="85" t="n"/>
      <c r="R161" s="85" t="n"/>
      <c r="S161" s="85" t="n"/>
      <c r="T161" s="85" t="n"/>
      <c r="U161" s="85" t="n"/>
      <c r="V161" s="44" t="n"/>
      <c r="W161" s="50">
        <f>IF(OR(M161="",Q161="",S161=""),"",IF(ABS(ROUND(((ROUND(N(M161)*100,0))-(ROUND(N(Q161)*100,0))),0)-(ROUND(N(S161)*100,0)))&lt;=0,"OK","ABWEICHUNG"))</f>
        <v/>
      </c>
      <c r="X161" s="50">
        <f>IF(OR(K161="",M161="",N161=""),"",IF(ABS(ROUND(((ROUND(N(K161)*100,0)+ROUND(N(L161)*100,0))-(ROUND(N(M161)*100,0))),0)-(ROUND(N(N161)*100,0)))&lt;=0,"OK",IF(OR(L161=""),"UNVOLLSTÄNDIG","ABWEICHUNG")))</f>
        <v/>
      </c>
      <c r="Y161" s="50">
        <f>IF(OR(K161="",O161="",R161=""),"",IF(ABS(ROUND(((ROUND(N(K161)*100,0))-(ROUND(N(O161)*100,0))),0)-(ROUND(N(R161)*100,0)))&lt;=0,"OK","ABWEICHUNG"))</f>
        <v/>
      </c>
      <c r="Z161" s="50">
        <f>IF(OR(N161="",O161="",P161="",Q161="",T161=""),"",IF(ABS(ROUND(((ROUND(N(N161)*100,0)+ROUND(N(Q161)*100,0))-(ROUND(N(O161)*100,0)+ROUND(N(P161)*100,0))),0)-(ROUND(N(T161)*100,0)))&lt;=0,"OK","ABWEICHUNG"))</f>
        <v/>
      </c>
      <c r="AA161" s="44" t="n"/>
      <c r="AB161" s="44" t="n"/>
      <c r="AC161" s="44" t="n"/>
      <c r="AD161" s="44" t="n"/>
      <c r="AE161" s="85" t="n"/>
      <c r="AF161" s="85" t="n"/>
      <c r="AG161" s="44" t="n"/>
      <c r="AH161" s="44" t="n"/>
    </row>
    <row r="162">
      <c r="A162" s="44" t="n"/>
      <c r="B162" s="44" t="n"/>
      <c r="C162" s="44" t="n"/>
      <c r="D162" s="44" t="n"/>
      <c r="E162" s="44" t="n"/>
      <c r="F162" s="44" t="n"/>
      <c r="G162" s="45" t="n"/>
      <c r="H162" s="44" t="n"/>
      <c r="I162" s="45" t="n"/>
      <c r="J162" s="44" t="n"/>
      <c r="K162" s="85" t="n"/>
      <c r="L162" s="85" t="n"/>
      <c r="M162" s="85" t="n"/>
      <c r="N162" s="85" t="n"/>
      <c r="O162" s="85" t="n"/>
      <c r="P162" s="85" t="n"/>
      <c r="Q162" s="85" t="n"/>
      <c r="R162" s="85" t="n"/>
      <c r="S162" s="85" t="n"/>
      <c r="T162" s="85" t="n"/>
      <c r="U162" s="85" t="n"/>
      <c r="V162" s="44" t="n"/>
      <c r="W162" s="50">
        <f>IF(OR(M162="",Q162="",S162=""),"",IF(ABS(ROUND(((ROUND(N(M162)*100,0))-(ROUND(N(Q162)*100,0))),0)-(ROUND(N(S162)*100,0)))&lt;=0,"OK","ABWEICHUNG"))</f>
        <v/>
      </c>
      <c r="X162" s="50">
        <f>IF(OR(K162="",M162="",N162=""),"",IF(ABS(ROUND(((ROUND(N(K162)*100,0)+ROUND(N(L162)*100,0))-(ROUND(N(M162)*100,0))),0)-(ROUND(N(N162)*100,0)))&lt;=0,"OK",IF(OR(L162=""),"UNVOLLSTÄNDIG","ABWEICHUNG")))</f>
        <v/>
      </c>
      <c r="Y162" s="50">
        <f>IF(OR(K162="",O162="",R162=""),"",IF(ABS(ROUND(((ROUND(N(K162)*100,0))-(ROUND(N(O162)*100,0))),0)-(ROUND(N(R162)*100,0)))&lt;=0,"OK","ABWEICHUNG"))</f>
        <v/>
      </c>
      <c r="Z162" s="50">
        <f>IF(OR(N162="",O162="",P162="",Q162="",T162=""),"",IF(ABS(ROUND(((ROUND(N(N162)*100,0)+ROUND(N(Q162)*100,0))-(ROUND(N(O162)*100,0)+ROUND(N(P162)*100,0))),0)-(ROUND(N(T162)*100,0)))&lt;=0,"OK","ABWEICHUNG"))</f>
        <v/>
      </c>
      <c r="AA162" s="44" t="n"/>
      <c r="AB162" s="44" t="n"/>
      <c r="AC162" s="44" t="n"/>
      <c r="AD162" s="44" t="n"/>
      <c r="AE162" s="85" t="n"/>
      <c r="AF162" s="85" t="n"/>
      <c r="AG162" s="44" t="n"/>
      <c r="AH162" s="44" t="n"/>
    </row>
    <row r="163">
      <c r="A163" s="44" t="n"/>
      <c r="B163" s="44" t="n"/>
      <c r="C163" s="44" t="n"/>
      <c r="D163" s="44" t="n"/>
      <c r="E163" s="44" t="n"/>
      <c r="F163" s="44" t="n"/>
      <c r="G163" s="45" t="n"/>
      <c r="H163" s="44" t="n"/>
      <c r="I163" s="45" t="n"/>
      <c r="J163" s="44" t="n"/>
      <c r="K163" s="85" t="n"/>
      <c r="L163" s="85" t="n"/>
      <c r="M163" s="85" t="n"/>
      <c r="N163" s="85" t="n"/>
      <c r="O163" s="85" t="n"/>
      <c r="P163" s="85" t="n"/>
      <c r="Q163" s="85" t="n"/>
      <c r="R163" s="85" t="n"/>
      <c r="S163" s="85" t="n"/>
      <c r="T163" s="85" t="n"/>
      <c r="U163" s="85" t="n"/>
      <c r="V163" s="44" t="n"/>
      <c r="W163" s="50">
        <f>IF(OR(M163="",Q163="",S163=""),"",IF(ABS(ROUND(((ROUND(N(M163)*100,0))-(ROUND(N(Q163)*100,0))),0)-(ROUND(N(S163)*100,0)))&lt;=0,"OK","ABWEICHUNG"))</f>
        <v/>
      </c>
      <c r="X163" s="50">
        <f>IF(OR(K163="",M163="",N163=""),"",IF(ABS(ROUND(((ROUND(N(K163)*100,0)+ROUND(N(L163)*100,0))-(ROUND(N(M163)*100,0))),0)-(ROUND(N(N163)*100,0)))&lt;=0,"OK",IF(OR(L163=""),"UNVOLLSTÄNDIG","ABWEICHUNG")))</f>
        <v/>
      </c>
      <c r="Y163" s="50">
        <f>IF(OR(K163="",O163="",R163=""),"",IF(ABS(ROUND(((ROUND(N(K163)*100,0))-(ROUND(N(O163)*100,0))),0)-(ROUND(N(R163)*100,0)))&lt;=0,"OK","ABWEICHUNG"))</f>
        <v/>
      </c>
      <c r="Z163" s="50">
        <f>IF(OR(N163="",O163="",P163="",Q163="",T163=""),"",IF(ABS(ROUND(((ROUND(N(N163)*100,0)+ROUND(N(Q163)*100,0))-(ROUND(N(O163)*100,0)+ROUND(N(P163)*100,0))),0)-(ROUND(N(T163)*100,0)))&lt;=0,"OK","ABWEICHUNG"))</f>
        <v/>
      </c>
      <c r="AA163" s="44" t="n"/>
      <c r="AB163" s="44" t="n"/>
      <c r="AC163" s="44" t="n"/>
      <c r="AD163" s="44" t="n"/>
      <c r="AE163" s="85" t="n"/>
      <c r="AF163" s="85" t="n"/>
      <c r="AG163" s="44" t="n"/>
      <c r="AH163" s="44" t="n"/>
    </row>
    <row r="164">
      <c r="A164" s="44" t="n"/>
      <c r="B164" s="44" t="n"/>
      <c r="C164" s="44" t="n"/>
      <c r="D164" s="44" t="n"/>
      <c r="E164" s="44" t="n"/>
      <c r="F164" s="44" t="n"/>
      <c r="G164" s="45" t="n"/>
      <c r="H164" s="44" t="n"/>
      <c r="I164" s="45" t="n"/>
      <c r="J164" s="44" t="n"/>
      <c r="K164" s="85" t="n"/>
      <c r="L164" s="85" t="n"/>
      <c r="M164" s="85" t="n"/>
      <c r="N164" s="85" t="n"/>
      <c r="O164" s="85" t="n"/>
      <c r="P164" s="85" t="n"/>
      <c r="Q164" s="85" t="n"/>
      <c r="R164" s="85" t="n"/>
      <c r="S164" s="85" t="n"/>
      <c r="T164" s="85" t="n"/>
      <c r="U164" s="85" t="n"/>
      <c r="V164" s="44" t="n"/>
      <c r="W164" s="50">
        <f>IF(OR(M164="",Q164="",S164=""),"",IF(ABS(ROUND(((ROUND(N(M164)*100,0))-(ROUND(N(Q164)*100,0))),0)-(ROUND(N(S164)*100,0)))&lt;=0,"OK","ABWEICHUNG"))</f>
        <v/>
      </c>
      <c r="X164" s="50">
        <f>IF(OR(K164="",M164="",N164=""),"",IF(ABS(ROUND(((ROUND(N(K164)*100,0)+ROUND(N(L164)*100,0))-(ROUND(N(M164)*100,0))),0)-(ROUND(N(N164)*100,0)))&lt;=0,"OK",IF(OR(L164=""),"UNVOLLSTÄNDIG","ABWEICHUNG")))</f>
        <v/>
      </c>
      <c r="Y164" s="50">
        <f>IF(OR(K164="",O164="",R164=""),"",IF(ABS(ROUND(((ROUND(N(K164)*100,0))-(ROUND(N(O164)*100,0))),0)-(ROUND(N(R164)*100,0)))&lt;=0,"OK","ABWEICHUNG"))</f>
        <v/>
      </c>
      <c r="Z164" s="50">
        <f>IF(OR(N164="",O164="",P164="",Q164="",T164=""),"",IF(ABS(ROUND(((ROUND(N(N164)*100,0)+ROUND(N(Q164)*100,0))-(ROUND(N(O164)*100,0)+ROUND(N(P164)*100,0))),0)-(ROUND(N(T164)*100,0)))&lt;=0,"OK","ABWEICHUNG"))</f>
        <v/>
      </c>
      <c r="AA164" s="44" t="n"/>
      <c r="AB164" s="44" t="n"/>
      <c r="AC164" s="44" t="n"/>
      <c r="AD164" s="44" t="n"/>
      <c r="AE164" s="85" t="n"/>
      <c r="AF164" s="85" t="n"/>
      <c r="AG164" s="44" t="n"/>
      <c r="AH164" s="44" t="n"/>
    </row>
    <row r="165">
      <c r="A165" s="44" t="n"/>
      <c r="B165" s="44" t="n"/>
      <c r="C165" s="44" t="n"/>
      <c r="D165" s="44" t="n"/>
      <c r="E165" s="44" t="n"/>
      <c r="F165" s="44" t="n"/>
      <c r="G165" s="45" t="n"/>
      <c r="H165" s="44" t="n"/>
      <c r="I165" s="45" t="n"/>
      <c r="J165" s="44" t="n"/>
      <c r="K165" s="85" t="n"/>
      <c r="L165" s="85" t="n"/>
      <c r="M165" s="85" t="n"/>
      <c r="N165" s="85" t="n"/>
      <c r="O165" s="85" t="n"/>
      <c r="P165" s="85" t="n"/>
      <c r="Q165" s="85" t="n"/>
      <c r="R165" s="85" t="n"/>
      <c r="S165" s="85" t="n"/>
      <c r="T165" s="85" t="n"/>
      <c r="U165" s="85" t="n"/>
      <c r="V165" s="44" t="n"/>
      <c r="W165" s="50">
        <f>IF(OR(M165="",Q165="",S165=""),"",IF(ABS(ROUND(((ROUND(N(M165)*100,0))-(ROUND(N(Q165)*100,0))),0)-(ROUND(N(S165)*100,0)))&lt;=0,"OK","ABWEICHUNG"))</f>
        <v/>
      </c>
      <c r="X165" s="50">
        <f>IF(OR(K165="",M165="",N165=""),"",IF(ABS(ROUND(((ROUND(N(K165)*100,0)+ROUND(N(L165)*100,0))-(ROUND(N(M165)*100,0))),0)-(ROUND(N(N165)*100,0)))&lt;=0,"OK",IF(OR(L165=""),"UNVOLLSTÄNDIG","ABWEICHUNG")))</f>
        <v/>
      </c>
      <c r="Y165" s="50">
        <f>IF(OR(K165="",O165="",R165=""),"",IF(ABS(ROUND(((ROUND(N(K165)*100,0))-(ROUND(N(O165)*100,0))),0)-(ROUND(N(R165)*100,0)))&lt;=0,"OK","ABWEICHUNG"))</f>
        <v/>
      </c>
      <c r="Z165" s="50">
        <f>IF(OR(N165="",O165="",P165="",Q165="",T165=""),"",IF(ABS(ROUND(((ROUND(N(N165)*100,0)+ROUND(N(Q165)*100,0))-(ROUND(N(O165)*100,0)+ROUND(N(P165)*100,0))),0)-(ROUND(N(T165)*100,0)))&lt;=0,"OK","ABWEICHUNG"))</f>
        <v/>
      </c>
      <c r="AA165" s="44" t="n"/>
      <c r="AB165" s="44" t="n"/>
      <c r="AC165" s="44" t="n"/>
      <c r="AD165" s="44" t="n"/>
      <c r="AE165" s="85" t="n"/>
      <c r="AF165" s="85" t="n"/>
      <c r="AG165" s="44" t="n"/>
      <c r="AH165" s="44" t="n"/>
    </row>
    <row r="166">
      <c r="A166" s="44" t="n"/>
      <c r="B166" s="44" t="n"/>
      <c r="C166" s="44" t="n"/>
      <c r="D166" s="44" t="n"/>
      <c r="E166" s="44" t="n"/>
      <c r="F166" s="44" t="n"/>
      <c r="G166" s="45" t="n"/>
      <c r="H166" s="44" t="n"/>
      <c r="I166" s="45" t="n"/>
      <c r="J166" s="44" t="n"/>
      <c r="K166" s="85" t="n"/>
      <c r="L166" s="85" t="n"/>
      <c r="M166" s="85" t="n"/>
      <c r="N166" s="85" t="n"/>
      <c r="O166" s="85" t="n"/>
      <c r="P166" s="85" t="n"/>
      <c r="Q166" s="85" t="n"/>
      <c r="R166" s="85" t="n"/>
      <c r="S166" s="85" t="n"/>
      <c r="T166" s="85" t="n"/>
      <c r="U166" s="85" t="n"/>
      <c r="V166" s="44" t="n"/>
      <c r="W166" s="50">
        <f>IF(OR(M166="",Q166="",S166=""),"",IF(ABS(ROUND(((ROUND(N(M166)*100,0))-(ROUND(N(Q166)*100,0))),0)-(ROUND(N(S166)*100,0)))&lt;=0,"OK","ABWEICHUNG"))</f>
        <v/>
      </c>
      <c r="X166" s="50">
        <f>IF(OR(K166="",M166="",N166=""),"",IF(ABS(ROUND(((ROUND(N(K166)*100,0)+ROUND(N(L166)*100,0))-(ROUND(N(M166)*100,0))),0)-(ROUND(N(N166)*100,0)))&lt;=0,"OK",IF(OR(L166=""),"UNVOLLSTÄNDIG","ABWEICHUNG")))</f>
        <v/>
      </c>
      <c r="Y166" s="50">
        <f>IF(OR(K166="",O166="",R166=""),"",IF(ABS(ROUND(((ROUND(N(K166)*100,0))-(ROUND(N(O166)*100,0))),0)-(ROUND(N(R166)*100,0)))&lt;=0,"OK","ABWEICHUNG"))</f>
        <v/>
      </c>
      <c r="Z166" s="50">
        <f>IF(OR(N166="",O166="",P166="",Q166="",T166=""),"",IF(ABS(ROUND(((ROUND(N(N166)*100,0)+ROUND(N(Q166)*100,0))-(ROUND(N(O166)*100,0)+ROUND(N(P166)*100,0))),0)-(ROUND(N(T166)*100,0)))&lt;=0,"OK","ABWEICHUNG"))</f>
        <v/>
      </c>
      <c r="AA166" s="44" t="n"/>
      <c r="AB166" s="44" t="n"/>
      <c r="AC166" s="44" t="n"/>
      <c r="AD166" s="44" t="n"/>
      <c r="AE166" s="85" t="n"/>
      <c r="AF166" s="85" t="n"/>
      <c r="AG166" s="44" t="n"/>
      <c r="AH166" s="44" t="n"/>
    </row>
    <row r="167">
      <c r="A167" s="44" t="n"/>
      <c r="B167" s="44" t="n"/>
      <c r="C167" s="44" t="n"/>
      <c r="D167" s="44" t="n"/>
      <c r="E167" s="44" t="n"/>
      <c r="F167" s="44" t="n"/>
      <c r="G167" s="45" t="n"/>
      <c r="H167" s="44" t="n"/>
      <c r="I167" s="45" t="n"/>
      <c r="J167" s="44" t="n"/>
      <c r="K167" s="85" t="n"/>
      <c r="L167" s="85" t="n"/>
      <c r="M167" s="85" t="n"/>
      <c r="N167" s="85" t="n"/>
      <c r="O167" s="85" t="n"/>
      <c r="P167" s="85" t="n"/>
      <c r="Q167" s="85" t="n"/>
      <c r="R167" s="85" t="n"/>
      <c r="S167" s="85" t="n"/>
      <c r="T167" s="85" t="n"/>
      <c r="U167" s="85" t="n"/>
      <c r="V167" s="44" t="n"/>
      <c r="W167" s="50">
        <f>IF(OR(M167="",Q167="",S167=""),"",IF(ABS(ROUND(((ROUND(N(M167)*100,0))-(ROUND(N(Q167)*100,0))),0)-(ROUND(N(S167)*100,0)))&lt;=0,"OK","ABWEICHUNG"))</f>
        <v/>
      </c>
      <c r="X167" s="50">
        <f>IF(OR(K167="",M167="",N167=""),"",IF(ABS(ROUND(((ROUND(N(K167)*100,0)+ROUND(N(L167)*100,0))-(ROUND(N(M167)*100,0))),0)-(ROUND(N(N167)*100,0)))&lt;=0,"OK",IF(OR(L167=""),"UNVOLLSTÄNDIG","ABWEICHUNG")))</f>
        <v/>
      </c>
      <c r="Y167" s="50">
        <f>IF(OR(K167="",O167="",R167=""),"",IF(ABS(ROUND(((ROUND(N(K167)*100,0))-(ROUND(N(O167)*100,0))),0)-(ROUND(N(R167)*100,0)))&lt;=0,"OK","ABWEICHUNG"))</f>
        <v/>
      </c>
      <c r="Z167" s="50">
        <f>IF(OR(N167="",O167="",P167="",Q167="",T167=""),"",IF(ABS(ROUND(((ROUND(N(N167)*100,0)+ROUND(N(Q167)*100,0))-(ROUND(N(O167)*100,0)+ROUND(N(P167)*100,0))),0)-(ROUND(N(T167)*100,0)))&lt;=0,"OK","ABWEICHUNG"))</f>
        <v/>
      </c>
      <c r="AA167" s="44" t="n"/>
      <c r="AB167" s="44" t="n"/>
      <c r="AC167" s="44" t="n"/>
      <c r="AD167" s="44" t="n"/>
      <c r="AE167" s="85" t="n"/>
      <c r="AF167" s="85" t="n"/>
      <c r="AG167" s="44" t="n"/>
      <c r="AH167" s="44" t="n"/>
    </row>
    <row r="168">
      <c r="A168" s="44" t="n"/>
      <c r="B168" s="44" t="n"/>
      <c r="C168" s="44" t="n"/>
      <c r="D168" s="44" t="n"/>
      <c r="E168" s="44" t="n"/>
      <c r="F168" s="44" t="n"/>
      <c r="G168" s="45" t="n"/>
      <c r="H168" s="44" t="n"/>
      <c r="I168" s="45" t="n"/>
      <c r="J168" s="44" t="n"/>
      <c r="K168" s="85" t="n"/>
      <c r="L168" s="85" t="n"/>
      <c r="M168" s="85" t="n"/>
      <c r="N168" s="85" t="n"/>
      <c r="O168" s="85" t="n"/>
      <c r="P168" s="85" t="n"/>
      <c r="Q168" s="85" t="n"/>
      <c r="R168" s="85" t="n"/>
      <c r="S168" s="85" t="n"/>
      <c r="T168" s="85" t="n"/>
      <c r="U168" s="85" t="n"/>
      <c r="V168" s="44" t="n"/>
      <c r="W168" s="50">
        <f>IF(OR(M168="",Q168="",S168=""),"",IF(ABS(ROUND(((ROUND(N(M168)*100,0))-(ROUND(N(Q168)*100,0))),0)-(ROUND(N(S168)*100,0)))&lt;=0,"OK","ABWEICHUNG"))</f>
        <v/>
      </c>
      <c r="X168" s="50">
        <f>IF(OR(K168="",M168="",N168=""),"",IF(ABS(ROUND(((ROUND(N(K168)*100,0)+ROUND(N(L168)*100,0))-(ROUND(N(M168)*100,0))),0)-(ROUND(N(N168)*100,0)))&lt;=0,"OK",IF(OR(L168=""),"UNVOLLSTÄNDIG","ABWEICHUNG")))</f>
        <v/>
      </c>
      <c r="Y168" s="50">
        <f>IF(OR(K168="",O168="",R168=""),"",IF(ABS(ROUND(((ROUND(N(K168)*100,0))-(ROUND(N(O168)*100,0))),0)-(ROUND(N(R168)*100,0)))&lt;=0,"OK","ABWEICHUNG"))</f>
        <v/>
      </c>
      <c r="Z168" s="50">
        <f>IF(OR(N168="",O168="",P168="",Q168="",T168=""),"",IF(ABS(ROUND(((ROUND(N(N168)*100,0)+ROUND(N(Q168)*100,0))-(ROUND(N(O168)*100,0)+ROUND(N(P168)*100,0))),0)-(ROUND(N(T168)*100,0)))&lt;=0,"OK","ABWEICHUNG"))</f>
        <v/>
      </c>
      <c r="AA168" s="44" t="n"/>
      <c r="AB168" s="44" t="n"/>
      <c r="AC168" s="44" t="n"/>
      <c r="AD168" s="44" t="n"/>
      <c r="AE168" s="85" t="n"/>
      <c r="AF168" s="85" t="n"/>
      <c r="AG168" s="44" t="n"/>
      <c r="AH168" s="44" t="n"/>
    </row>
    <row r="169">
      <c r="A169" s="44" t="n"/>
      <c r="B169" s="44" t="n"/>
      <c r="C169" s="44" t="n"/>
      <c r="D169" s="44" t="n"/>
      <c r="E169" s="44" t="n"/>
      <c r="F169" s="44" t="n"/>
      <c r="G169" s="45" t="n"/>
      <c r="H169" s="44" t="n"/>
      <c r="I169" s="45" t="n"/>
      <c r="J169" s="44" t="n"/>
      <c r="K169" s="85" t="n"/>
      <c r="L169" s="85" t="n"/>
      <c r="M169" s="85" t="n"/>
      <c r="N169" s="85" t="n"/>
      <c r="O169" s="85" t="n"/>
      <c r="P169" s="85" t="n"/>
      <c r="Q169" s="85" t="n"/>
      <c r="R169" s="85" t="n"/>
      <c r="S169" s="85" t="n"/>
      <c r="T169" s="85" t="n"/>
      <c r="U169" s="85" t="n"/>
      <c r="V169" s="44" t="n"/>
      <c r="W169" s="50">
        <f>IF(OR(M169="",Q169="",S169=""),"",IF(ABS(ROUND(((ROUND(N(M169)*100,0))-(ROUND(N(Q169)*100,0))),0)-(ROUND(N(S169)*100,0)))&lt;=0,"OK","ABWEICHUNG"))</f>
        <v/>
      </c>
      <c r="X169" s="50">
        <f>IF(OR(K169="",M169="",N169=""),"",IF(ABS(ROUND(((ROUND(N(K169)*100,0)+ROUND(N(L169)*100,0))-(ROUND(N(M169)*100,0))),0)-(ROUND(N(N169)*100,0)))&lt;=0,"OK",IF(OR(L169=""),"UNVOLLSTÄNDIG","ABWEICHUNG")))</f>
        <v/>
      </c>
      <c r="Y169" s="50">
        <f>IF(OR(K169="",O169="",R169=""),"",IF(ABS(ROUND(((ROUND(N(K169)*100,0))-(ROUND(N(O169)*100,0))),0)-(ROUND(N(R169)*100,0)))&lt;=0,"OK","ABWEICHUNG"))</f>
        <v/>
      </c>
      <c r="Z169" s="50">
        <f>IF(OR(N169="",O169="",P169="",Q169="",T169=""),"",IF(ABS(ROUND(((ROUND(N(N169)*100,0)+ROUND(N(Q169)*100,0))-(ROUND(N(O169)*100,0)+ROUND(N(P169)*100,0))),0)-(ROUND(N(T169)*100,0)))&lt;=0,"OK","ABWEICHUNG"))</f>
        <v/>
      </c>
      <c r="AA169" s="44" t="n"/>
      <c r="AB169" s="44" t="n"/>
      <c r="AC169" s="44" t="n"/>
      <c r="AD169" s="44" t="n"/>
      <c r="AE169" s="85" t="n"/>
      <c r="AF169" s="85" t="n"/>
      <c r="AG169" s="44" t="n"/>
      <c r="AH169" s="44" t="n"/>
    </row>
    <row r="170">
      <c r="A170" s="44" t="n"/>
      <c r="B170" s="44" t="n"/>
      <c r="C170" s="44" t="n"/>
      <c r="D170" s="44" t="n"/>
      <c r="E170" s="44" t="n"/>
      <c r="F170" s="44" t="n"/>
      <c r="G170" s="45" t="n"/>
      <c r="H170" s="44" t="n"/>
      <c r="I170" s="45" t="n"/>
      <c r="J170" s="44" t="n"/>
      <c r="K170" s="85" t="n"/>
      <c r="L170" s="85" t="n"/>
      <c r="M170" s="85" t="n"/>
      <c r="N170" s="85" t="n"/>
      <c r="O170" s="85" t="n"/>
      <c r="P170" s="85" t="n"/>
      <c r="Q170" s="85" t="n"/>
      <c r="R170" s="85" t="n"/>
      <c r="S170" s="85" t="n"/>
      <c r="T170" s="85" t="n"/>
      <c r="U170" s="85" t="n"/>
      <c r="V170" s="44" t="n"/>
      <c r="W170" s="50">
        <f>IF(OR(M170="",Q170="",S170=""),"",IF(ABS(ROUND(((ROUND(N(M170)*100,0))-(ROUND(N(Q170)*100,0))),0)-(ROUND(N(S170)*100,0)))&lt;=0,"OK","ABWEICHUNG"))</f>
        <v/>
      </c>
      <c r="X170" s="50">
        <f>IF(OR(K170="",M170="",N170=""),"",IF(ABS(ROUND(((ROUND(N(K170)*100,0)+ROUND(N(L170)*100,0))-(ROUND(N(M170)*100,0))),0)-(ROUND(N(N170)*100,0)))&lt;=0,"OK",IF(OR(L170=""),"UNVOLLSTÄNDIG","ABWEICHUNG")))</f>
        <v/>
      </c>
      <c r="Y170" s="50">
        <f>IF(OR(K170="",O170="",R170=""),"",IF(ABS(ROUND(((ROUND(N(K170)*100,0))-(ROUND(N(O170)*100,0))),0)-(ROUND(N(R170)*100,0)))&lt;=0,"OK","ABWEICHUNG"))</f>
        <v/>
      </c>
      <c r="Z170" s="50">
        <f>IF(OR(N170="",O170="",P170="",Q170="",T170=""),"",IF(ABS(ROUND(((ROUND(N(N170)*100,0)+ROUND(N(Q170)*100,0))-(ROUND(N(O170)*100,0)+ROUND(N(P170)*100,0))),0)-(ROUND(N(T170)*100,0)))&lt;=0,"OK","ABWEICHUNG"))</f>
        <v/>
      </c>
      <c r="AA170" s="44" t="n"/>
      <c r="AB170" s="44" t="n"/>
      <c r="AC170" s="44" t="n"/>
      <c r="AD170" s="44" t="n"/>
      <c r="AE170" s="85" t="n"/>
      <c r="AF170" s="85" t="n"/>
      <c r="AG170" s="44" t="n"/>
      <c r="AH170" s="44" t="n"/>
    </row>
    <row r="171">
      <c r="A171" s="44" t="n"/>
      <c r="B171" s="44" t="n"/>
      <c r="C171" s="44" t="n"/>
      <c r="D171" s="44" t="n"/>
      <c r="E171" s="44" t="n"/>
      <c r="F171" s="44" t="n"/>
      <c r="G171" s="45" t="n"/>
      <c r="H171" s="44" t="n"/>
      <c r="I171" s="45" t="n"/>
      <c r="J171" s="44" t="n"/>
      <c r="K171" s="85" t="n"/>
      <c r="L171" s="85" t="n"/>
      <c r="M171" s="85" t="n"/>
      <c r="N171" s="85" t="n"/>
      <c r="O171" s="85" t="n"/>
      <c r="P171" s="85" t="n"/>
      <c r="Q171" s="85" t="n"/>
      <c r="R171" s="85" t="n"/>
      <c r="S171" s="85" t="n"/>
      <c r="T171" s="85" t="n"/>
      <c r="U171" s="85" t="n"/>
      <c r="V171" s="44" t="n"/>
      <c r="W171" s="50">
        <f>IF(OR(M171="",Q171="",S171=""),"",IF(ABS(ROUND(((ROUND(N(M171)*100,0))-(ROUND(N(Q171)*100,0))),0)-(ROUND(N(S171)*100,0)))&lt;=0,"OK","ABWEICHUNG"))</f>
        <v/>
      </c>
      <c r="X171" s="50">
        <f>IF(OR(K171="",M171="",N171=""),"",IF(ABS(ROUND(((ROUND(N(K171)*100,0)+ROUND(N(L171)*100,0))-(ROUND(N(M171)*100,0))),0)-(ROUND(N(N171)*100,0)))&lt;=0,"OK",IF(OR(L171=""),"UNVOLLSTÄNDIG","ABWEICHUNG")))</f>
        <v/>
      </c>
      <c r="Y171" s="50">
        <f>IF(OR(K171="",O171="",R171=""),"",IF(ABS(ROUND(((ROUND(N(K171)*100,0))-(ROUND(N(O171)*100,0))),0)-(ROUND(N(R171)*100,0)))&lt;=0,"OK","ABWEICHUNG"))</f>
        <v/>
      </c>
      <c r="Z171" s="50">
        <f>IF(OR(N171="",O171="",P171="",Q171="",T171=""),"",IF(ABS(ROUND(((ROUND(N(N171)*100,0)+ROUND(N(Q171)*100,0))-(ROUND(N(O171)*100,0)+ROUND(N(P171)*100,0))),0)-(ROUND(N(T171)*100,0)))&lt;=0,"OK","ABWEICHUNG"))</f>
        <v/>
      </c>
      <c r="AA171" s="44" t="n"/>
      <c r="AB171" s="44" t="n"/>
      <c r="AC171" s="44" t="n"/>
      <c r="AD171" s="44" t="n"/>
      <c r="AE171" s="85" t="n"/>
      <c r="AF171" s="85" t="n"/>
      <c r="AG171" s="44" t="n"/>
      <c r="AH171" s="44" t="n"/>
    </row>
    <row r="172">
      <c r="A172" s="44" t="n"/>
      <c r="B172" s="44" t="n"/>
      <c r="C172" s="44" t="n"/>
      <c r="D172" s="44" t="n"/>
      <c r="E172" s="44" t="n"/>
      <c r="F172" s="44" t="n"/>
      <c r="G172" s="45" t="n"/>
      <c r="H172" s="44" t="n"/>
      <c r="I172" s="45" t="n"/>
      <c r="J172" s="44" t="n"/>
      <c r="K172" s="85" t="n"/>
      <c r="L172" s="85" t="n"/>
      <c r="M172" s="85" t="n"/>
      <c r="N172" s="85" t="n"/>
      <c r="O172" s="85" t="n"/>
      <c r="P172" s="85" t="n"/>
      <c r="Q172" s="85" t="n"/>
      <c r="R172" s="85" t="n"/>
      <c r="S172" s="85" t="n"/>
      <c r="T172" s="85" t="n"/>
      <c r="U172" s="85" t="n"/>
      <c r="V172" s="44" t="n"/>
      <c r="W172" s="50">
        <f>IF(OR(M172="",Q172="",S172=""),"",IF(ABS(ROUND(((ROUND(N(M172)*100,0))-(ROUND(N(Q172)*100,0))),0)-(ROUND(N(S172)*100,0)))&lt;=0,"OK","ABWEICHUNG"))</f>
        <v/>
      </c>
      <c r="X172" s="50">
        <f>IF(OR(K172="",M172="",N172=""),"",IF(ABS(ROUND(((ROUND(N(K172)*100,0)+ROUND(N(L172)*100,0))-(ROUND(N(M172)*100,0))),0)-(ROUND(N(N172)*100,0)))&lt;=0,"OK",IF(OR(L172=""),"UNVOLLSTÄNDIG","ABWEICHUNG")))</f>
        <v/>
      </c>
      <c r="Y172" s="50">
        <f>IF(OR(K172="",O172="",R172=""),"",IF(ABS(ROUND(((ROUND(N(K172)*100,0))-(ROUND(N(O172)*100,0))),0)-(ROUND(N(R172)*100,0)))&lt;=0,"OK","ABWEICHUNG"))</f>
        <v/>
      </c>
      <c r="Z172" s="50">
        <f>IF(OR(N172="",O172="",P172="",Q172="",T172=""),"",IF(ABS(ROUND(((ROUND(N(N172)*100,0)+ROUND(N(Q172)*100,0))-(ROUND(N(O172)*100,0)+ROUND(N(P172)*100,0))),0)-(ROUND(N(T172)*100,0)))&lt;=0,"OK","ABWEICHUNG"))</f>
        <v/>
      </c>
      <c r="AA172" s="44" t="n"/>
      <c r="AB172" s="44" t="n"/>
      <c r="AC172" s="44" t="n"/>
      <c r="AD172" s="44" t="n"/>
      <c r="AE172" s="85" t="n"/>
      <c r="AF172" s="85" t="n"/>
      <c r="AG172" s="44" t="n"/>
      <c r="AH172" s="44" t="n"/>
    </row>
    <row r="173">
      <c r="A173" s="44" t="n"/>
      <c r="B173" s="44" t="n"/>
      <c r="C173" s="44" t="n"/>
      <c r="D173" s="44" t="n"/>
      <c r="E173" s="44" t="n"/>
      <c r="F173" s="44" t="n"/>
      <c r="G173" s="45" t="n"/>
      <c r="H173" s="44" t="n"/>
      <c r="I173" s="45" t="n"/>
      <c r="J173" s="44" t="n"/>
      <c r="K173" s="85" t="n"/>
      <c r="L173" s="85" t="n"/>
      <c r="M173" s="85" t="n"/>
      <c r="N173" s="85" t="n"/>
      <c r="O173" s="85" t="n"/>
      <c r="P173" s="85" t="n"/>
      <c r="Q173" s="85" t="n"/>
      <c r="R173" s="85" t="n"/>
      <c r="S173" s="85" t="n"/>
      <c r="T173" s="85" t="n"/>
      <c r="U173" s="85" t="n"/>
      <c r="V173" s="44" t="n"/>
      <c r="W173" s="50">
        <f>IF(OR(M173="",Q173="",S173=""),"",IF(ABS(ROUND(((ROUND(N(M173)*100,0))-(ROUND(N(Q173)*100,0))),0)-(ROUND(N(S173)*100,0)))&lt;=0,"OK","ABWEICHUNG"))</f>
        <v/>
      </c>
      <c r="X173" s="50">
        <f>IF(OR(K173="",M173="",N173=""),"",IF(ABS(ROUND(((ROUND(N(K173)*100,0)+ROUND(N(L173)*100,0))-(ROUND(N(M173)*100,0))),0)-(ROUND(N(N173)*100,0)))&lt;=0,"OK",IF(OR(L173=""),"UNVOLLSTÄNDIG","ABWEICHUNG")))</f>
        <v/>
      </c>
      <c r="Y173" s="50">
        <f>IF(OR(K173="",O173="",R173=""),"",IF(ABS(ROUND(((ROUND(N(K173)*100,0))-(ROUND(N(O173)*100,0))),0)-(ROUND(N(R173)*100,0)))&lt;=0,"OK","ABWEICHUNG"))</f>
        <v/>
      </c>
      <c r="Z173" s="50">
        <f>IF(OR(N173="",O173="",P173="",Q173="",T173=""),"",IF(ABS(ROUND(((ROUND(N(N173)*100,0)+ROUND(N(Q173)*100,0))-(ROUND(N(O173)*100,0)+ROUND(N(P173)*100,0))),0)-(ROUND(N(T173)*100,0)))&lt;=0,"OK","ABWEICHUNG"))</f>
        <v/>
      </c>
      <c r="AA173" s="44" t="n"/>
      <c r="AB173" s="44" t="n"/>
      <c r="AC173" s="44" t="n"/>
      <c r="AD173" s="44" t="n"/>
      <c r="AE173" s="85" t="n"/>
      <c r="AF173" s="85" t="n"/>
      <c r="AG173" s="44" t="n"/>
      <c r="AH173" s="44" t="n"/>
    </row>
    <row r="174">
      <c r="A174" s="44" t="n"/>
      <c r="B174" s="44" t="n"/>
      <c r="C174" s="44" t="n"/>
      <c r="D174" s="44" t="n"/>
      <c r="E174" s="44" t="n"/>
      <c r="F174" s="44" t="n"/>
      <c r="G174" s="45" t="n"/>
      <c r="H174" s="44" t="n"/>
      <c r="I174" s="45" t="n"/>
      <c r="J174" s="44" t="n"/>
      <c r="K174" s="85" t="n"/>
      <c r="L174" s="85" t="n"/>
      <c r="M174" s="85" t="n"/>
      <c r="N174" s="85" t="n"/>
      <c r="O174" s="85" t="n"/>
      <c r="P174" s="85" t="n"/>
      <c r="Q174" s="85" t="n"/>
      <c r="R174" s="85" t="n"/>
      <c r="S174" s="85" t="n"/>
      <c r="T174" s="85" t="n"/>
      <c r="U174" s="85" t="n"/>
      <c r="V174" s="44" t="n"/>
      <c r="W174" s="50">
        <f>IF(OR(M174="",Q174="",S174=""),"",IF(ABS(ROUND(((ROUND(N(M174)*100,0))-(ROUND(N(Q174)*100,0))),0)-(ROUND(N(S174)*100,0)))&lt;=0,"OK","ABWEICHUNG"))</f>
        <v/>
      </c>
      <c r="X174" s="50">
        <f>IF(OR(K174="",M174="",N174=""),"",IF(ABS(ROUND(((ROUND(N(K174)*100,0)+ROUND(N(L174)*100,0))-(ROUND(N(M174)*100,0))),0)-(ROUND(N(N174)*100,0)))&lt;=0,"OK",IF(OR(L174=""),"UNVOLLSTÄNDIG","ABWEICHUNG")))</f>
        <v/>
      </c>
      <c r="Y174" s="50">
        <f>IF(OR(K174="",O174="",R174=""),"",IF(ABS(ROUND(((ROUND(N(K174)*100,0))-(ROUND(N(O174)*100,0))),0)-(ROUND(N(R174)*100,0)))&lt;=0,"OK","ABWEICHUNG"))</f>
        <v/>
      </c>
      <c r="Z174" s="50">
        <f>IF(OR(N174="",O174="",P174="",Q174="",T174=""),"",IF(ABS(ROUND(((ROUND(N(N174)*100,0)+ROUND(N(Q174)*100,0))-(ROUND(N(O174)*100,0)+ROUND(N(P174)*100,0))),0)-(ROUND(N(T174)*100,0)))&lt;=0,"OK","ABWEICHUNG"))</f>
        <v/>
      </c>
      <c r="AA174" s="44" t="n"/>
      <c r="AB174" s="44" t="n"/>
      <c r="AC174" s="44" t="n"/>
      <c r="AD174" s="44" t="n"/>
      <c r="AE174" s="85" t="n"/>
      <c r="AF174" s="85" t="n"/>
      <c r="AG174" s="44" t="n"/>
      <c r="AH174" s="44" t="n"/>
    </row>
    <row r="175">
      <c r="A175" s="44" t="n"/>
      <c r="B175" s="44" t="n"/>
      <c r="C175" s="44" t="n"/>
      <c r="D175" s="44" t="n"/>
      <c r="E175" s="44" t="n"/>
      <c r="F175" s="44" t="n"/>
      <c r="G175" s="45" t="n"/>
      <c r="H175" s="44" t="n"/>
      <c r="I175" s="45" t="n"/>
      <c r="J175" s="44" t="n"/>
      <c r="K175" s="85" t="n"/>
      <c r="L175" s="85" t="n"/>
      <c r="M175" s="85" t="n"/>
      <c r="N175" s="85" t="n"/>
      <c r="O175" s="85" t="n"/>
      <c r="P175" s="85" t="n"/>
      <c r="Q175" s="85" t="n"/>
      <c r="R175" s="85" t="n"/>
      <c r="S175" s="85" t="n"/>
      <c r="T175" s="85" t="n"/>
      <c r="U175" s="85" t="n"/>
      <c r="V175" s="44" t="n"/>
      <c r="W175" s="50">
        <f>IF(OR(M175="",Q175="",S175=""),"",IF(ABS(ROUND(((ROUND(N(M175)*100,0))-(ROUND(N(Q175)*100,0))),0)-(ROUND(N(S175)*100,0)))&lt;=0,"OK","ABWEICHUNG"))</f>
        <v/>
      </c>
      <c r="X175" s="50">
        <f>IF(OR(K175="",M175="",N175=""),"",IF(ABS(ROUND(((ROUND(N(K175)*100,0)+ROUND(N(L175)*100,0))-(ROUND(N(M175)*100,0))),0)-(ROUND(N(N175)*100,0)))&lt;=0,"OK",IF(OR(L175=""),"UNVOLLSTÄNDIG","ABWEICHUNG")))</f>
        <v/>
      </c>
      <c r="Y175" s="50">
        <f>IF(OR(K175="",O175="",R175=""),"",IF(ABS(ROUND(((ROUND(N(K175)*100,0))-(ROUND(N(O175)*100,0))),0)-(ROUND(N(R175)*100,0)))&lt;=0,"OK","ABWEICHUNG"))</f>
        <v/>
      </c>
      <c r="Z175" s="50">
        <f>IF(OR(N175="",O175="",P175="",Q175="",T175=""),"",IF(ABS(ROUND(((ROUND(N(N175)*100,0)+ROUND(N(Q175)*100,0))-(ROUND(N(O175)*100,0)+ROUND(N(P175)*100,0))),0)-(ROUND(N(T175)*100,0)))&lt;=0,"OK","ABWEICHUNG"))</f>
        <v/>
      </c>
      <c r="AA175" s="44" t="n"/>
      <c r="AB175" s="44" t="n"/>
      <c r="AC175" s="44" t="n"/>
      <c r="AD175" s="44" t="n"/>
      <c r="AE175" s="85" t="n"/>
      <c r="AF175" s="85" t="n"/>
      <c r="AG175" s="44" t="n"/>
      <c r="AH175" s="44" t="n"/>
    </row>
    <row r="176">
      <c r="A176" s="44" t="n"/>
      <c r="B176" s="44" t="n"/>
      <c r="C176" s="44" t="n"/>
      <c r="D176" s="44" t="n"/>
      <c r="E176" s="44" t="n"/>
      <c r="F176" s="44" t="n"/>
      <c r="G176" s="45" t="n"/>
      <c r="H176" s="44" t="n"/>
      <c r="I176" s="45" t="n"/>
      <c r="J176" s="44" t="n"/>
      <c r="K176" s="85" t="n"/>
      <c r="L176" s="85" t="n"/>
      <c r="M176" s="85" t="n"/>
      <c r="N176" s="85" t="n"/>
      <c r="O176" s="85" t="n"/>
      <c r="P176" s="85" t="n"/>
      <c r="Q176" s="85" t="n"/>
      <c r="R176" s="85" t="n"/>
      <c r="S176" s="85" t="n"/>
      <c r="T176" s="85" t="n"/>
      <c r="U176" s="85" t="n"/>
      <c r="V176" s="44" t="n"/>
      <c r="W176" s="50">
        <f>IF(OR(M176="",Q176="",S176=""),"",IF(ABS(ROUND(((ROUND(N(M176)*100,0))-(ROUND(N(Q176)*100,0))),0)-(ROUND(N(S176)*100,0)))&lt;=0,"OK","ABWEICHUNG"))</f>
        <v/>
      </c>
      <c r="X176" s="50">
        <f>IF(OR(K176="",M176="",N176=""),"",IF(ABS(ROUND(((ROUND(N(K176)*100,0)+ROUND(N(L176)*100,0))-(ROUND(N(M176)*100,0))),0)-(ROUND(N(N176)*100,0)))&lt;=0,"OK",IF(OR(L176=""),"UNVOLLSTÄNDIG","ABWEICHUNG")))</f>
        <v/>
      </c>
      <c r="Y176" s="50">
        <f>IF(OR(K176="",O176="",R176=""),"",IF(ABS(ROUND(((ROUND(N(K176)*100,0))-(ROUND(N(O176)*100,0))),0)-(ROUND(N(R176)*100,0)))&lt;=0,"OK","ABWEICHUNG"))</f>
        <v/>
      </c>
      <c r="Z176" s="50">
        <f>IF(OR(N176="",O176="",P176="",Q176="",T176=""),"",IF(ABS(ROUND(((ROUND(N(N176)*100,0)+ROUND(N(Q176)*100,0))-(ROUND(N(O176)*100,0)+ROUND(N(P176)*100,0))),0)-(ROUND(N(T176)*100,0)))&lt;=0,"OK","ABWEICHUNG"))</f>
        <v/>
      </c>
      <c r="AA176" s="44" t="n"/>
      <c r="AB176" s="44" t="n"/>
      <c r="AC176" s="44" t="n"/>
      <c r="AD176" s="44" t="n"/>
      <c r="AE176" s="85" t="n"/>
      <c r="AF176" s="85" t="n"/>
      <c r="AG176" s="44" t="n"/>
      <c r="AH176" s="44" t="n"/>
    </row>
    <row r="177">
      <c r="A177" s="44" t="n"/>
      <c r="B177" s="44" t="n"/>
      <c r="C177" s="44" t="n"/>
      <c r="D177" s="44" t="n"/>
      <c r="E177" s="44" t="n"/>
      <c r="F177" s="44" t="n"/>
      <c r="G177" s="45" t="n"/>
      <c r="H177" s="44" t="n"/>
      <c r="I177" s="45" t="n"/>
      <c r="J177" s="44" t="n"/>
      <c r="K177" s="85" t="n"/>
      <c r="L177" s="85" t="n"/>
      <c r="M177" s="85" t="n"/>
      <c r="N177" s="85" t="n"/>
      <c r="O177" s="85" t="n"/>
      <c r="P177" s="85" t="n"/>
      <c r="Q177" s="85" t="n"/>
      <c r="R177" s="85" t="n"/>
      <c r="S177" s="85" t="n"/>
      <c r="T177" s="85" t="n"/>
      <c r="U177" s="85" t="n"/>
      <c r="V177" s="44" t="n"/>
      <c r="W177" s="50">
        <f>IF(OR(M177="",Q177="",S177=""),"",IF(ABS(ROUND(((ROUND(N(M177)*100,0))-(ROUND(N(Q177)*100,0))),0)-(ROUND(N(S177)*100,0)))&lt;=0,"OK","ABWEICHUNG"))</f>
        <v/>
      </c>
      <c r="X177" s="50">
        <f>IF(OR(K177="",M177="",N177=""),"",IF(ABS(ROUND(((ROUND(N(K177)*100,0)+ROUND(N(L177)*100,0))-(ROUND(N(M177)*100,0))),0)-(ROUND(N(N177)*100,0)))&lt;=0,"OK",IF(OR(L177=""),"UNVOLLSTÄNDIG","ABWEICHUNG")))</f>
        <v/>
      </c>
      <c r="Y177" s="50">
        <f>IF(OR(K177="",O177="",R177=""),"",IF(ABS(ROUND(((ROUND(N(K177)*100,0))-(ROUND(N(O177)*100,0))),0)-(ROUND(N(R177)*100,0)))&lt;=0,"OK","ABWEICHUNG"))</f>
        <v/>
      </c>
      <c r="Z177" s="50">
        <f>IF(OR(N177="",O177="",P177="",Q177="",T177=""),"",IF(ABS(ROUND(((ROUND(N(N177)*100,0)+ROUND(N(Q177)*100,0))-(ROUND(N(O177)*100,0)+ROUND(N(P177)*100,0))),0)-(ROUND(N(T177)*100,0)))&lt;=0,"OK","ABWEICHUNG"))</f>
        <v/>
      </c>
      <c r="AA177" s="44" t="n"/>
      <c r="AB177" s="44" t="n"/>
      <c r="AC177" s="44" t="n"/>
      <c r="AD177" s="44" t="n"/>
      <c r="AE177" s="85" t="n"/>
      <c r="AF177" s="85" t="n"/>
      <c r="AG177" s="44" t="n"/>
      <c r="AH177" s="44" t="n"/>
    </row>
    <row r="178">
      <c r="A178" s="44" t="n"/>
      <c r="B178" s="44" t="n"/>
      <c r="C178" s="44" t="n"/>
      <c r="D178" s="44" t="n"/>
      <c r="E178" s="44" t="n"/>
      <c r="F178" s="44" t="n"/>
      <c r="G178" s="45" t="n"/>
      <c r="H178" s="44" t="n"/>
      <c r="I178" s="45" t="n"/>
      <c r="J178" s="44" t="n"/>
      <c r="K178" s="85" t="n"/>
      <c r="L178" s="85" t="n"/>
      <c r="M178" s="85" t="n"/>
      <c r="N178" s="85" t="n"/>
      <c r="O178" s="85" t="n"/>
      <c r="P178" s="85" t="n"/>
      <c r="Q178" s="85" t="n"/>
      <c r="R178" s="85" t="n"/>
      <c r="S178" s="85" t="n"/>
      <c r="T178" s="85" t="n"/>
      <c r="U178" s="85" t="n"/>
      <c r="V178" s="44" t="n"/>
      <c r="W178" s="50">
        <f>IF(OR(M178="",Q178="",S178=""),"",IF(ABS(ROUND(((ROUND(N(M178)*100,0))-(ROUND(N(Q178)*100,0))),0)-(ROUND(N(S178)*100,0)))&lt;=0,"OK","ABWEICHUNG"))</f>
        <v/>
      </c>
      <c r="X178" s="50">
        <f>IF(OR(K178="",M178="",N178=""),"",IF(ABS(ROUND(((ROUND(N(K178)*100,0)+ROUND(N(L178)*100,0))-(ROUND(N(M178)*100,0))),0)-(ROUND(N(N178)*100,0)))&lt;=0,"OK",IF(OR(L178=""),"UNVOLLSTÄNDIG","ABWEICHUNG")))</f>
        <v/>
      </c>
      <c r="Y178" s="50">
        <f>IF(OR(K178="",O178="",R178=""),"",IF(ABS(ROUND(((ROUND(N(K178)*100,0))-(ROUND(N(O178)*100,0))),0)-(ROUND(N(R178)*100,0)))&lt;=0,"OK","ABWEICHUNG"))</f>
        <v/>
      </c>
      <c r="Z178" s="50">
        <f>IF(OR(N178="",O178="",P178="",Q178="",T178=""),"",IF(ABS(ROUND(((ROUND(N(N178)*100,0)+ROUND(N(Q178)*100,0))-(ROUND(N(O178)*100,0)+ROUND(N(P178)*100,0))),0)-(ROUND(N(T178)*100,0)))&lt;=0,"OK","ABWEICHUNG"))</f>
        <v/>
      </c>
      <c r="AA178" s="44" t="n"/>
      <c r="AB178" s="44" t="n"/>
      <c r="AC178" s="44" t="n"/>
      <c r="AD178" s="44" t="n"/>
      <c r="AE178" s="85" t="n"/>
      <c r="AF178" s="85" t="n"/>
      <c r="AG178" s="44" t="n"/>
      <c r="AH178" s="44" t="n"/>
    </row>
    <row r="179">
      <c r="A179" s="44" t="n"/>
      <c r="B179" s="44" t="n"/>
      <c r="C179" s="44" t="n"/>
      <c r="D179" s="44" t="n"/>
      <c r="E179" s="44" t="n"/>
      <c r="F179" s="44" t="n"/>
      <c r="G179" s="45" t="n"/>
      <c r="H179" s="44" t="n"/>
      <c r="I179" s="45" t="n"/>
      <c r="J179" s="44" t="n"/>
      <c r="K179" s="85" t="n"/>
      <c r="L179" s="85" t="n"/>
      <c r="M179" s="85" t="n"/>
      <c r="N179" s="85" t="n"/>
      <c r="O179" s="85" t="n"/>
      <c r="P179" s="85" t="n"/>
      <c r="Q179" s="85" t="n"/>
      <c r="R179" s="85" t="n"/>
      <c r="S179" s="85" t="n"/>
      <c r="T179" s="85" t="n"/>
      <c r="U179" s="85" t="n"/>
      <c r="V179" s="44" t="n"/>
      <c r="W179" s="50">
        <f>IF(OR(M179="",Q179="",S179=""),"",IF(ABS(ROUND(((ROUND(N(M179)*100,0))-(ROUND(N(Q179)*100,0))),0)-(ROUND(N(S179)*100,0)))&lt;=0,"OK","ABWEICHUNG"))</f>
        <v/>
      </c>
      <c r="X179" s="50">
        <f>IF(OR(K179="",M179="",N179=""),"",IF(ABS(ROUND(((ROUND(N(K179)*100,0)+ROUND(N(L179)*100,0))-(ROUND(N(M179)*100,0))),0)-(ROUND(N(N179)*100,0)))&lt;=0,"OK",IF(OR(L179=""),"UNVOLLSTÄNDIG","ABWEICHUNG")))</f>
        <v/>
      </c>
      <c r="Y179" s="50">
        <f>IF(OR(K179="",O179="",R179=""),"",IF(ABS(ROUND(((ROUND(N(K179)*100,0))-(ROUND(N(O179)*100,0))),0)-(ROUND(N(R179)*100,0)))&lt;=0,"OK","ABWEICHUNG"))</f>
        <v/>
      </c>
      <c r="Z179" s="50">
        <f>IF(OR(N179="",O179="",P179="",Q179="",T179=""),"",IF(ABS(ROUND(((ROUND(N(N179)*100,0)+ROUND(N(Q179)*100,0))-(ROUND(N(O179)*100,0)+ROUND(N(P179)*100,0))),0)-(ROUND(N(T179)*100,0)))&lt;=0,"OK","ABWEICHUNG"))</f>
        <v/>
      </c>
      <c r="AA179" s="44" t="n"/>
      <c r="AB179" s="44" t="n"/>
      <c r="AC179" s="44" t="n"/>
      <c r="AD179" s="44" t="n"/>
      <c r="AE179" s="85" t="n"/>
      <c r="AF179" s="85" t="n"/>
      <c r="AG179" s="44" t="n"/>
      <c r="AH179" s="44" t="n"/>
    </row>
    <row r="180">
      <c r="A180" s="44" t="n"/>
      <c r="B180" s="44" t="n"/>
      <c r="C180" s="44" t="n"/>
      <c r="D180" s="44" t="n"/>
      <c r="E180" s="44" t="n"/>
      <c r="F180" s="44" t="n"/>
      <c r="G180" s="45" t="n"/>
      <c r="H180" s="44" t="n"/>
      <c r="I180" s="45" t="n"/>
      <c r="J180" s="44" t="n"/>
      <c r="K180" s="85" t="n"/>
      <c r="L180" s="85" t="n"/>
      <c r="M180" s="85" t="n"/>
      <c r="N180" s="85" t="n"/>
      <c r="O180" s="85" t="n"/>
      <c r="P180" s="85" t="n"/>
      <c r="Q180" s="85" t="n"/>
      <c r="R180" s="85" t="n"/>
      <c r="S180" s="85" t="n"/>
      <c r="T180" s="85" t="n"/>
      <c r="U180" s="85" t="n"/>
      <c r="V180" s="44" t="n"/>
      <c r="W180" s="50">
        <f>IF(OR(M180="",Q180="",S180=""),"",IF(ABS(ROUND(((ROUND(N(M180)*100,0))-(ROUND(N(Q180)*100,0))),0)-(ROUND(N(S180)*100,0)))&lt;=0,"OK","ABWEICHUNG"))</f>
        <v/>
      </c>
      <c r="X180" s="50">
        <f>IF(OR(K180="",M180="",N180=""),"",IF(ABS(ROUND(((ROUND(N(K180)*100,0)+ROUND(N(L180)*100,0))-(ROUND(N(M180)*100,0))),0)-(ROUND(N(N180)*100,0)))&lt;=0,"OK",IF(OR(L180=""),"UNVOLLSTÄNDIG","ABWEICHUNG")))</f>
        <v/>
      </c>
      <c r="Y180" s="50">
        <f>IF(OR(K180="",O180="",R180=""),"",IF(ABS(ROUND(((ROUND(N(K180)*100,0))-(ROUND(N(O180)*100,0))),0)-(ROUND(N(R180)*100,0)))&lt;=0,"OK","ABWEICHUNG"))</f>
        <v/>
      </c>
      <c r="Z180" s="50">
        <f>IF(OR(N180="",O180="",P180="",Q180="",T180=""),"",IF(ABS(ROUND(((ROUND(N(N180)*100,0)+ROUND(N(Q180)*100,0))-(ROUND(N(O180)*100,0)+ROUND(N(P180)*100,0))),0)-(ROUND(N(T180)*100,0)))&lt;=0,"OK","ABWEICHUNG"))</f>
        <v/>
      </c>
      <c r="AA180" s="44" t="n"/>
      <c r="AB180" s="44" t="n"/>
      <c r="AC180" s="44" t="n"/>
      <c r="AD180" s="44" t="n"/>
      <c r="AE180" s="85" t="n"/>
      <c r="AF180" s="85" t="n"/>
      <c r="AG180" s="44" t="n"/>
      <c r="AH180" s="44" t="n"/>
    </row>
    <row r="181">
      <c r="A181" s="44" t="n"/>
      <c r="B181" s="44" t="n"/>
      <c r="C181" s="44" t="n"/>
      <c r="D181" s="44" t="n"/>
      <c r="E181" s="44" t="n"/>
      <c r="F181" s="44" t="n"/>
      <c r="G181" s="45" t="n"/>
      <c r="H181" s="44" t="n"/>
      <c r="I181" s="45" t="n"/>
      <c r="J181" s="44" t="n"/>
      <c r="K181" s="85" t="n"/>
      <c r="L181" s="85" t="n"/>
      <c r="M181" s="85" t="n"/>
      <c r="N181" s="85" t="n"/>
      <c r="O181" s="85" t="n"/>
      <c r="P181" s="85" t="n"/>
      <c r="Q181" s="85" t="n"/>
      <c r="R181" s="85" t="n"/>
      <c r="S181" s="85" t="n"/>
      <c r="T181" s="85" t="n"/>
      <c r="U181" s="85" t="n"/>
      <c r="V181" s="44" t="n"/>
      <c r="W181" s="50">
        <f>IF(OR(M181="",Q181="",S181=""),"",IF(ABS(ROUND(((ROUND(N(M181)*100,0))-(ROUND(N(Q181)*100,0))),0)-(ROUND(N(S181)*100,0)))&lt;=0,"OK","ABWEICHUNG"))</f>
        <v/>
      </c>
      <c r="X181" s="50">
        <f>IF(OR(K181="",M181="",N181=""),"",IF(ABS(ROUND(((ROUND(N(K181)*100,0)+ROUND(N(L181)*100,0))-(ROUND(N(M181)*100,0))),0)-(ROUND(N(N181)*100,0)))&lt;=0,"OK",IF(OR(L181=""),"UNVOLLSTÄNDIG","ABWEICHUNG")))</f>
        <v/>
      </c>
      <c r="Y181" s="50">
        <f>IF(OR(K181="",O181="",R181=""),"",IF(ABS(ROUND(((ROUND(N(K181)*100,0))-(ROUND(N(O181)*100,0))),0)-(ROUND(N(R181)*100,0)))&lt;=0,"OK","ABWEICHUNG"))</f>
        <v/>
      </c>
      <c r="Z181" s="50">
        <f>IF(OR(N181="",O181="",P181="",Q181="",T181=""),"",IF(ABS(ROUND(((ROUND(N(N181)*100,0)+ROUND(N(Q181)*100,0))-(ROUND(N(O181)*100,0)+ROUND(N(P181)*100,0))),0)-(ROUND(N(T181)*100,0)))&lt;=0,"OK","ABWEICHUNG"))</f>
        <v/>
      </c>
      <c r="AA181" s="44" t="n"/>
      <c r="AB181" s="44" t="n"/>
      <c r="AC181" s="44" t="n"/>
      <c r="AD181" s="44" t="n"/>
      <c r="AE181" s="85" t="n"/>
      <c r="AF181" s="85" t="n"/>
      <c r="AG181" s="44" t="n"/>
      <c r="AH181" s="44" t="n"/>
    </row>
    <row r="182">
      <c r="A182" s="44" t="n"/>
      <c r="B182" s="44" t="n"/>
      <c r="C182" s="44" t="n"/>
      <c r="D182" s="44" t="n"/>
      <c r="E182" s="44" t="n"/>
      <c r="F182" s="44" t="n"/>
      <c r="G182" s="45" t="n"/>
      <c r="H182" s="44" t="n"/>
      <c r="I182" s="45" t="n"/>
      <c r="J182" s="44" t="n"/>
      <c r="K182" s="85" t="n"/>
      <c r="L182" s="85" t="n"/>
      <c r="M182" s="85" t="n"/>
      <c r="N182" s="85" t="n"/>
      <c r="O182" s="85" t="n"/>
      <c r="P182" s="85" t="n"/>
      <c r="Q182" s="85" t="n"/>
      <c r="R182" s="85" t="n"/>
      <c r="S182" s="85" t="n"/>
      <c r="T182" s="85" t="n"/>
      <c r="U182" s="85" t="n"/>
      <c r="V182" s="44" t="n"/>
      <c r="W182" s="50">
        <f>IF(OR(M182="",Q182="",S182=""),"",IF(ABS(ROUND(((ROUND(N(M182)*100,0))-(ROUND(N(Q182)*100,0))),0)-(ROUND(N(S182)*100,0)))&lt;=0,"OK","ABWEICHUNG"))</f>
        <v/>
      </c>
      <c r="X182" s="50">
        <f>IF(OR(K182="",M182="",N182=""),"",IF(ABS(ROUND(((ROUND(N(K182)*100,0)+ROUND(N(L182)*100,0))-(ROUND(N(M182)*100,0))),0)-(ROUND(N(N182)*100,0)))&lt;=0,"OK",IF(OR(L182=""),"UNVOLLSTÄNDIG","ABWEICHUNG")))</f>
        <v/>
      </c>
      <c r="Y182" s="50">
        <f>IF(OR(K182="",O182="",R182=""),"",IF(ABS(ROUND(((ROUND(N(K182)*100,0))-(ROUND(N(O182)*100,0))),0)-(ROUND(N(R182)*100,0)))&lt;=0,"OK","ABWEICHUNG"))</f>
        <v/>
      </c>
      <c r="Z182" s="50">
        <f>IF(OR(N182="",O182="",P182="",Q182="",T182=""),"",IF(ABS(ROUND(((ROUND(N(N182)*100,0)+ROUND(N(Q182)*100,0))-(ROUND(N(O182)*100,0)+ROUND(N(P182)*100,0))),0)-(ROUND(N(T182)*100,0)))&lt;=0,"OK","ABWEICHUNG"))</f>
        <v/>
      </c>
      <c r="AA182" s="44" t="n"/>
      <c r="AB182" s="44" t="n"/>
      <c r="AC182" s="44" t="n"/>
      <c r="AD182" s="44" t="n"/>
      <c r="AE182" s="85" t="n"/>
      <c r="AF182" s="85" t="n"/>
      <c r="AG182" s="44" t="n"/>
      <c r="AH182" s="44" t="n"/>
    </row>
    <row r="183">
      <c r="A183" s="44" t="n"/>
      <c r="B183" s="44" t="n"/>
      <c r="C183" s="44" t="n"/>
      <c r="D183" s="44" t="n"/>
      <c r="E183" s="44" t="n"/>
      <c r="F183" s="44" t="n"/>
      <c r="G183" s="45" t="n"/>
      <c r="H183" s="44" t="n"/>
      <c r="I183" s="45" t="n"/>
      <c r="J183" s="44" t="n"/>
      <c r="K183" s="85" t="n"/>
      <c r="L183" s="85" t="n"/>
      <c r="M183" s="85" t="n"/>
      <c r="N183" s="85" t="n"/>
      <c r="O183" s="85" t="n"/>
      <c r="P183" s="85" t="n"/>
      <c r="Q183" s="85" t="n"/>
      <c r="R183" s="85" t="n"/>
      <c r="S183" s="85" t="n"/>
      <c r="T183" s="85" t="n"/>
      <c r="U183" s="85" t="n"/>
      <c r="V183" s="44" t="n"/>
      <c r="W183" s="50">
        <f>IF(OR(M183="",Q183="",S183=""),"",IF(ABS(ROUND(((ROUND(N(M183)*100,0))-(ROUND(N(Q183)*100,0))),0)-(ROUND(N(S183)*100,0)))&lt;=0,"OK","ABWEICHUNG"))</f>
        <v/>
      </c>
      <c r="X183" s="50">
        <f>IF(OR(K183="",M183="",N183=""),"",IF(ABS(ROUND(((ROUND(N(K183)*100,0)+ROUND(N(L183)*100,0))-(ROUND(N(M183)*100,0))),0)-(ROUND(N(N183)*100,0)))&lt;=0,"OK",IF(OR(L183=""),"UNVOLLSTÄNDIG","ABWEICHUNG")))</f>
        <v/>
      </c>
      <c r="Y183" s="50">
        <f>IF(OR(K183="",O183="",R183=""),"",IF(ABS(ROUND(((ROUND(N(K183)*100,0))-(ROUND(N(O183)*100,0))),0)-(ROUND(N(R183)*100,0)))&lt;=0,"OK","ABWEICHUNG"))</f>
        <v/>
      </c>
      <c r="Z183" s="50">
        <f>IF(OR(N183="",O183="",P183="",Q183="",T183=""),"",IF(ABS(ROUND(((ROUND(N(N183)*100,0)+ROUND(N(Q183)*100,0))-(ROUND(N(O183)*100,0)+ROUND(N(P183)*100,0))),0)-(ROUND(N(T183)*100,0)))&lt;=0,"OK","ABWEICHUNG"))</f>
        <v/>
      </c>
      <c r="AA183" s="44" t="n"/>
      <c r="AB183" s="44" t="n"/>
      <c r="AC183" s="44" t="n"/>
      <c r="AD183" s="44" t="n"/>
      <c r="AE183" s="85" t="n"/>
      <c r="AF183" s="85" t="n"/>
      <c r="AG183" s="44" t="n"/>
      <c r="AH183" s="44" t="n"/>
    </row>
    <row r="184">
      <c r="A184" s="44" t="n"/>
      <c r="B184" s="44" t="n"/>
      <c r="C184" s="44" t="n"/>
      <c r="D184" s="44" t="n"/>
      <c r="E184" s="44" t="n"/>
      <c r="F184" s="44" t="n"/>
      <c r="G184" s="45" t="n"/>
      <c r="H184" s="44" t="n"/>
      <c r="I184" s="45" t="n"/>
      <c r="J184" s="44" t="n"/>
      <c r="K184" s="85" t="n"/>
      <c r="L184" s="85" t="n"/>
      <c r="M184" s="85" t="n"/>
      <c r="N184" s="85" t="n"/>
      <c r="O184" s="85" t="n"/>
      <c r="P184" s="85" t="n"/>
      <c r="Q184" s="85" t="n"/>
      <c r="R184" s="85" t="n"/>
      <c r="S184" s="85" t="n"/>
      <c r="T184" s="85" t="n"/>
      <c r="U184" s="85" t="n"/>
      <c r="V184" s="44" t="n"/>
      <c r="W184" s="50">
        <f>IF(OR(M184="",Q184="",S184=""),"",IF(ABS(ROUND(((ROUND(N(M184)*100,0))-(ROUND(N(Q184)*100,0))),0)-(ROUND(N(S184)*100,0)))&lt;=0,"OK","ABWEICHUNG"))</f>
        <v/>
      </c>
      <c r="X184" s="50">
        <f>IF(OR(K184="",M184="",N184=""),"",IF(ABS(ROUND(((ROUND(N(K184)*100,0)+ROUND(N(L184)*100,0))-(ROUND(N(M184)*100,0))),0)-(ROUND(N(N184)*100,0)))&lt;=0,"OK",IF(OR(L184=""),"UNVOLLSTÄNDIG","ABWEICHUNG")))</f>
        <v/>
      </c>
      <c r="Y184" s="50">
        <f>IF(OR(K184="",O184="",R184=""),"",IF(ABS(ROUND(((ROUND(N(K184)*100,0))-(ROUND(N(O184)*100,0))),0)-(ROUND(N(R184)*100,0)))&lt;=0,"OK","ABWEICHUNG"))</f>
        <v/>
      </c>
      <c r="Z184" s="50">
        <f>IF(OR(N184="",O184="",P184="",Q184="",T184=""),"",IF(ABS(ROUND(((ROUND(N(N184)*100,0)+ROUND(N(Q184)*100,0))-(ROUND(N(O184)*100,0)+ROUND(N(P184)*100,0))),0)-(ROUND(N(T184)*100,0)))&lt;=0,"OK","ABWEICHUNG"))</f>
        <v/>
      </c>
      <c r="AA184" s="44" t="n"/>
      <c r="AB184" s="44" t="n"/>
      <c r="AC184" s="44" t="n"/>
      <c r="AD184" s="44" t="n"/>
      <c r="AE184" s="85" t="n"/>
      <c r="AF184" s="85" t="n"/>
      <c r="AG184" s="44" t="n"/>
      <c r="AH184" s="44" t="n"/>
    </row>
    <row r="185">
      <c r="A185" s="44" t="n"/>
      <c r="B185" s="44" t="n"/>
      <c r="C185" s="44" t="n"/>
      <c r="D185" s="44" t="n"/>
      <c r="E185" s="44" t="n"/>
      <c r="F185" s="44" t="n"/>
      <c r="G185" s="45" t="n"/>
      <c r="H185" s="44" t="n"/>
      <c r="I185" s="45" t="n"/>
      <c r="J185" s="44" t="n"/>
      <c r="K185" s="85" t="n"/>
      <c r="L185" s="85" t="n"/>
      <c r="M185" s="85" t="n"/>
      <c r="N185" s="85" t="n"/>
      <c r="O185" s="85" t="n"/>
      <c r="P185" s="85" t="n"/>
      <c r="Q185" s="85" t="n"/>
      <c r="R185" s="85" t="n"/>
      <c r="S185" s="85" t="n"/>
      <c r="T185" s="85" t="n"/>
      <c r="U185" s="85" t="n"/>
      <c r="V185" s="44" t="n"/>
      <c r="W185" s="50">
        <f>IF(OR(M185="",Q185="",S185=""),"",IF(ABS(ROUND(((ROUND(N(M185)*100,0))-(ROUND(N(Q185)*100,0))),0)-(ROUND(N(S185)*100,0)))&lt;=0,"OK","ABWEICHUNG"))</f>
        <v/>
      </c>
      <c r="X185" s="50">
        <f>IF(OR(K185="",M185="",N185=""),"",IF(ABS(ROUND(((ROUND(N(K185)*100,0)+ROUND(N(L185)*100,0))-(ROUND(N(M185)*100,0))),0)-(ROUND(N(N185)*100,0)))&lt;=0,"OK",IF(OR(L185=""),"UNVOLLSTÄNDIG","ABWEICHUNG")))</f>
        <v/>
      </c>
      <c r="Y185" s="50">
        <f>IF(OR(K185="",O185="",R185=""),"",IF(ABS(ROUND(((ROUND(N(K185)*100,0))-(ROUND(N(O185)*100,0))),0)-(ROUND(N(R185)*100,0)))&lt;=0,"OK","ABWEICHUNG"))</f>
        <v/>
      </c>
      <c r="Z185" s="50">
        <f>IF(OR(N185="",O185="",P185="",Q185="",T185=""),"",IF(ABS(ROUND(((ROUND(N(N185)*100,0)+ROUND(N(Q185)*100,0))-(ROUND(N(O185)*100,0)+ROUND(N(P185)*100,0))),0)-(ROUND(N(T185)*100,0)))&lt;=0,"OK","ABWEICHUNG"))</f>
        <v/>
      </c>
      <c r="AA185" s="44" t="n"/>
      <c r="AB185" s="44" t="n"/>
      <c r="AC185" s="44" t="n"/>
      <c r="AD185" s="44" t="n"/>
      <c r="AE185" s="85" t="n"/>
      <c r="AF185" s="85" t="n"/>
      <c r="AG185" s="44" t="n"/>
      <c r="AH185" s="44" t="n"/>
    </row>
    <row r="186">
      <c r="A186" s="44" t="n"/>
      <c r="B186" s="44" t="n"/>
      <c r="C186" s="44" t="n"/>
      <c r="D186" s="44" t="n"/>
      <c r="E186" s="44" t="n"/>
      <c r="F186" s="44" t="n"/>
      <c r="G186" s="45" t="n"/>
      <c r="H186" s="44" t="n"/>
      <c r="I186" s="45" t="n"/>
      <c r="J186" s="44" t="n"/>
      <c r="K186" s="85" t="n"/>
      <c r="L186" s="85" t="n"/>
      <c r="M186" s="85" t="n"/>
      <c r="N186" s="85" t="n"/>
      <c r="O186" s="85" t="n"/>
      <c r="P186" s="85" t="n"/>
      <c r="Q186" s="85" t="n"/>
      <c r="R186" s="85" t="n"/>
      <c r="S186" s="85" t="n"/>
      <c r="T186" s="85" t="n"/>
      <c r="U186" s="85" t="n"/>
      <c r="V186" s="44" t="n"/>
      <c r="W186" s="50">
        <f>IF(OR(M186="",Q186="",S186=""),"",IF(ABS(ROUND(((ROUND(N(M186)*100,0))-(ROUND(N(Q186)*100,0))),0)-(ROUND(N(S186)*100,0)))&lt;=0,"OK","ABWEICHUNG"))</f>
        <v/>
      </c>
      <c r="X186" s="50">
        <f>IF(OR(K186="",M186="",N186=""),"",IF(ABS(ROUND(((ROUND(N(K186)*100,0)+ROUND(N(L186)*100,0))-(ROUND(N(M186)*100,0))),0)-(ROUND(N(N186)*100,0)))&lt;=0,"OK",IF(OR(L186=""),"UNVOLLSTÄNDIG","ABWEICHUNG")))</f>
        <v/>
      </c>
      <c r="Y186" s="50">
        <f>IF(OR(K186="",O186="",R186=""),"",IF(ABS(ROUND(((ROUND(N(K186)*100,0))-(ROUND(N(O186)*100,0))),0)-(ROUND(N(R186)*100,0)))&lt;=0,"OK","ABWEICHUNG"))</f>
        <v/>
      </c>
      <c r="Z186" s="50">
        <f>IF(OR(N186="",O186="",P186="",Q186="",T186=""),"",IF(ABS(ROUND(((ROUND(N(N186)*100,0)+ROUND(N(Q186)*100,0))-(ROUND(N(O186)*100,0)+ROUND(N(P186)*100,0))),0)-(ROUND(N(T186)*100,0)))&lt;=0,"OK","ABWEICHUNG"))</f>
        <v/>
      </c>
      <c r="AA186" s="44" t="n"/>
      <c r="AB186" s="44" t="n"/>
      <c r="AC186" s="44" t="n"/>
      <c r="AD186" s="44" t="n"/>
      <c r="AE186" s="85" t="n"/>
      <c r="AF186" s="85" t="n"/>
      <c r="AG186" s="44" t="n"/>
      <c r="AH186" s="44" t="n"/>
    </row>
    <row r="187">
      <c r="A187" s="44" t="n"/>
      <c r="B187" s="44" t="n"/>
      <c r="C187" s="44" t="n"/>
      <c r="D187" s="44" t="n"/>
      <c r="E187" s="44" t="n"/>
      <c r="F187" s="44" t="n"/>
      <c r="G187" s="45" t="n"/>
      <c r="H187" s="44" t="n"/>
      <c r="I187" s="45" t="n"/>
      <c r="J187" s="44" t="n"/>
      <c r="K187" s="85" t="n"/>
      <c r="L187" s="85" t="n"/>
      <c r="M187" s="85" t="n"/>
      <c r="N187" s="85" t="n"/>
      <c r="O187" s="85" t="n"/>
      <c r="P187" s="85" t="n"/>
      <c r="Q187" s="85" t="n"/>
      <c r="R187" s="85" t="n"/>
      <c r="S187" s="85" t="n"/>
      <c r="T187" s="85" t="n"/>
      <c r="U187" s="85" t="n"/>
      <c r="V187" s="44" t="n"/>
      <c r="W187" s="50">
        <f>IF(OR(M187="",Q187="",S187=""),"",IF(ABS(ROUND(((ROUND(N(M187)*100,0))-(ROUND(N(Q187)*100,0))),0)-(ROUND(N(S187)*100,0)))&lt;=0,"OK","ABWEICHUNG"))</f>
        <v/>
      </c>
      <c r="X187" s="50">
        <f>IF(OR(K187="",M187="",N187=""),"",IF(ABS(ROUND(((ROUND(N(K187)*100,0)+ROUND(N(L187)*100,0))-(ROUND(N(M187)*100,0))),0)-(ROUND(N(N187)*100,0)))&lt;=0,"OK",IF(OR(L187=""),"UNVOLLSTÄNDIG","ABWEICHUNG")))</f>
        <v/>
      </c>
      <c r="Y187" s="50">
        <f>IF(OR(K187="",O187="",R187=""),"",IF(ABS(ROUND(((ROUND(N(K187)*100,0))-(ROUND(N(O187)*100,0))),0)-(ROUND(N(R187)*100,0)))&lt;=0,"OK","ABWEICHUNG"))</f>
        <v/>
      </c>
      <c r="Z187" s="50">
        <f>IF(OR(N187="",O187="",P187="",Q187="",T187=""),"",IF(ABS(ROUND(((ROUND(N(N187)*100,0)+ROUND(N(Q187)*100,0))-(ROUND(N(O187)*100,0)+ROUND(N(P187)*100,0))),0)-(ROUND(N(T187)*100,0)))&lt;=0,"OK","ABWEICHUNG"))</f>
        <v/>
      </c>
      <c r="AA187" s="44" t="n"/>
      <c r="AB187" s="44" t="n"/>
      <c r="AC187" s="44" t="n"/>
      <c r="AD187" s="44" t="n"/>
      <c r="AE187" s="85" t="n"/>
      <c r="AF187" s="85" t="n"/>
      <c r="AG187" s="44" t="n"/>
      <c r="AH187" s="44" t="n"/>
    </row>
    <row r="188">
      <c r="A188" s="44" t="n"/>
      <c r="B188" s="44" t="n"/>
      <c r="C188" s="44" t="n"/>
      <c r="D188" s="44" t="n"/>
      <c r="E188" s="44" t="n"/>
      <c r="F188" s="44" t="n"/>
      <c r="G188" s="45" t="n"/>
      <c r="H188" s="44" t="n"/>
      <c r="I188" s="45" t="n"/>
      <c r="J188" s="44" t="n"/>
      <c r="K188" s="85" t="n"/>
      <c r="L188" s="85" t="n"/>
      <c r="M188" s="85" t="n"/>
      <c r="N188" s="85" t="n"/>
      <c r="O188" s="85" t="n"/>
      <c r="P188" s="85" t="n"/>
      <c r="Q188" s="85" t="n"/>
      <c r="R188" s="85" t="n"/>
      <c r="S188" s="85" t="n"/>
      <c r="T188" s="85" t="n"/>
      <c r="U188" s="85" t="n"/>
      <c r="V188" s="44" t="n"/>
      <c r="W188" s="50">
        <f>IF(OR(M188="",Q188="",S188=""),"",IF(ABS(ROUND(((ROUND(N(M188)*100,0))-(ROUND(N(Q188)*100,0))),0)-(ROUND(N(S188)*100,0)))&lt;=0,"OK","ABWEICHUNG"))</f>
        <v/>
      </c>
      <c r="X188" s="50">
        <f>IF(OR(K188="",M188="",N188=""),"",IF(ABS(ROUND(((ROUND(N(K188)*100,0)+ROUND(N(L188)*100,0))-(ROUND(N(M188)*100,0))),0)-(ROUND(N(N188)*100,0)))&lt;=0,"OK",IF(OR(L188=""),"UNVOLLSTÄNDIG","ABWEICHUNG")))</f>
        <v/>
      </c>
      <c r="Y188" s="50">
        <f>IF(OR(K188="",O188="",R188=""),"",IF(ABS(ROUND(((ROUND(N(K188)*100,0))-(ROUND(N(O188)*100,0))),0)-(ROUND(N(R188)*100,0)))&lt;=0,"OK","ABWEICHUNG"))</f>
        <v/>
      </c>
      <c r="Z188" s="50">
        <f>IF(OR(N188="",O188="",P188="",Q188="",T188=""),"",IF(ABS(ROUND(((ROUND(N(N188)*100,0)+ROUND(N(Q188)*100,0))-(ROUND(N(O188)*100,0)+ROUND(N(P188)*100,0))),0)-(ROUND(N(T188)*100,0)))&lt;=0,"OK","ABWEICHUNG"))</f>
        <v/>
      </c>
      <c r="AA188" s="44" t="n"/>
      <c r="AB188" s="44" t="n"/>
      <c r="AC188" s="44" t="n"/>
      <c r="AD188" s="44" t="n"/>
      <c r="AE188" s="85" t="n"/>
      <c r="AF188" s="85" t="n"/>
      <c r="AG188" s="44" t="n"/>
      <c r="AH188" s="44" t="n"/>
    </row>
    <row r="189">
      <c r="A189" s="44" t="n"/>
      <c r="B189" s="44" t="n"/>
      <c r="C189" s="44" t="n"/>
      <c r="D189" s="44" t="n"/>
      <c r="E189" s="44" t="n"/>
      <c r="F189" s="44" t="n"/>
      <c r="G189" s="45" t="n"/>
      <c r="H189" s="44" t="n"/>
      <c r="I189" s="45" t="n"/>
      <c r="J189" s="44" t="n"/>
      <c r="K189" s="85" t="n"/>
      <c r="L189" s="85" t="n"/>
      <c r="M189" s="85" t="n"/>
      <c r="N189" s="85" t="n"/>
      <c r="O189" s="85" t="n"/>
      <c r="P189" s="85" t="n"/>
      <c r="Q189" s="85" t="n"/>
      <c r="R189" s="85" t="n"/>
      <c r="S189" s="85" t="n"/>
      <c r="T189" s="85" t="n"/>
      <c r="U189" s="85" t="n"/>
      <c r="V189" s="44" t="n"/>
      <c r="W189" s="50">
        <f>IF(OR(M189="",Q189="",S189=""),"",IF(ABS(ROUND(((ROUND(N(M189)*100,0))-(ROUND(N(Q189)*100,0))),0)-(ROUND(N(S189)*100,0)))&lt;=0,"OK","ABWEICHUNG"))</f>
        <v/>
      </c>
      <c r="X189" s="50">
        <f>IF(OR(K189="",M189="",N189=""),"",IF(ABS(ROUND(((ROUND(N(K189)*100,0)+ROUND(N(L189)*100,0))-(ROUND(N(M189)*100,0))),0)-(ROUND(N(N189)*100,0)))&lt;=0,"OK",IF(OR(L189=""),"UNVOLLSTÄNDIG","ABWEICHUNG")))</f>
        <v/>
      </c>
      <c r="Y189" s="50">
        <f>IF(OR(K189="",O189="",R189=""),"",IF(ABS(ROUND(((ROUND(N(K189)*100,0))-(ROUND(N(O189)*100,0))),0)-(ROUND(N(R189)*100,0)))&lt;=0,"OK","ABWEICHUNG"))</f>
        <v/>
      </c>
      <c r="Z189" s="50">
        <f>IF(OR(N189="",O189="",P189="",Q189="",T189=""),"",IF(ABS(ROUND(((ROUND(N(N189)*100,0)+ROUND(N(Q189)*100,0))-(ROUND(N(O189)*100,0)+ROUND(N(P189)*100,0))),0)-(ROUND(N(T189)*100,0)))&lt;=0,"OK","ABWEICHUNG"))</f>
        <v/>
      </c>
      <c r="AA189" s="44" t="n"/>
      <c r="AB189" s="44" t="n"/>
      <c r="AC189" s="44" t="n"/>
      <c r="AD189" s="44" t="n"/>
      <c r="AE189" s="85" t="n"/>
      <c r="AF189" s="85" t="n"/>
      <c r="AG189" s="44" t="n"/>
      <c r="AH189" s="44" t="n"/>
    </row>
    <row r="190">
      <c r="A190" s="44" t="n"/>
      <c r="B190" s="44" t="n"/>
      <c r="C190" s="44" t="n"/>
      <c r="D190" s="44" t="n"/>
      <c r="E190" s="44" t="n"/>
      <c r="F190" s="44" t="n"/>
      <c r="G190" s="45" t="n"/>
      <c r="H190" s="44" t="n"/>
      <c r="I190" s="45" t="n"/>
      <c r="J190" s="44" t="n"/>
      <c r="K190" s="85" t="n"/>
      <c r="L190" s="85" t="n"/>
      <c r="M190" s="85" t="n"/>
      <c r="N190" s="85" t="n"/>
      <c r="O190" s="85" t="n"/>
      <c r="P190" s="85" t="n"/>
      <c r="Q190" s="85" t="n"/>
      <c r="R190" s="85" t="n"/>
      <c r="S190" s="85" t="n"/>
      <c r="T190" s="85" t="n"/>
      <c r="U190" s="85" t="n"/>
      <c r="V190" s="44" t="n"/>
      <c r="W190" s="50">
        <f>IF(OR(M190="",Q190="",S190=""),"",IF(ABS(ROUND(((ROUND(N(M190)*100,0))-(ROUND(N(Q190)*100,0))),0)-(ROUND(N(S190)*100,0)))&lt;=0,"OK","ABWEICHUNG"))</f>
        <v/>
      </c>
      <c r="X190" s="50">
        <f>IF(OR(K190="",M190="",N190=""),"",IF(ABS(ROUND(((ROUND(N(K190)*100,0)+ROUND(N(L190)*100,0))-(ROUND(N(M190)*100,0))),0)-(ROUND(N(N190)*100,0)))&lt;=0,"OK",IF(OR(L190=""),"UNVOLLSTÄNDIG","ABWEICHUNG")))</f>
        <v/>
      </c>
      <c r="Y190" s="50">
        <f>IF(OR(K190="",O190="",R190=""),"",IF(ABS(ROUND(((ROUND(N(K190)*100,0))-(ROUND(N(O190)*100,0))),0)-(ROUND(N(R190)*100,0)))&lt;=0,"OK","ABWEICHUNG"))</f>
        <v/>
      </c>
      <c r="Z190" s="50">
        <f>IF(OR(N190="",O190="",P190="",Q190="",T190=""),"",IF(ABS(ROUND(((ROUND(N(N190)*100,0)+ROUND(N(Q190)*100,0))-(ROUND(N(O190)*100,0)+ROUND(N(P190)*100,0))),0)-(ROUND(N(T190)*100,0)))&lt;=0,"OK","ABWEICHUNG"))</f>
        <v/>
      </c>
      <c r="AA190" s="44" t="n"/>
      <c r="AB190" s="44" t="n"/>
      <c r="AC190" s="44" t="n"/>
      <c r="AD190" s="44" t="n"/>
      <c r="AE190" s="85" t="n"/>
      <c r="AF190" s="85" t="n"/>
      <c r="AG190" s="44" t="n"/>
      <c r="AH190" s="44" t="n"/>
    </row>
    <row r="191">
      <c r="A191" s="44" t="n"/>
      <c r="B191" s="44" t="n"/>
      <c r="C191" s="44" t="n"/>
      <c r="D191" s="44" t="n"/>
      <c r="E191" s="44" t="n"/>
      <c r="F191" s="44" t="n"/>
      <c r="G191" s="45" t="n"/>
      <c r="H191" s="44" t="n"/>
      <c r="I191" s="45" t="n"/>
      <c r="J191" s="44" t="n"/>
      <c r="K191" s="85" t="n"/>
      <c r="L191" s="85" t="n"/>
      <c r="M191" s="85" t="n"/>
      <c r="N191" s="85" t="n"/>
      <c r="O191" s="85" t="n"/>
      <c r="P191" s="85" t="n"/>
      <c r="Q191" s="85" t="n"/>
      <c r="R191" s="85" t="n"/>
      <c r="S191" s="85" t="n"/>
      <c r="T191" s="85" t="n"/>
      <c r="U191" s="85" t="n"/>
      <c r="V191" s="44" t="n"/>
      <c r="W191" s="50">
        <f>IF(OR(M191="",Q191="",S191=""),"",IF(ABS(ROUND(((ROUND(N(M191)*100,0))-(ROUND(N(Q191)*100,0))),0)-(ROUND(N(S191)*100,0)))&lt;=0,"OK","ABWEICHUNG"))</f>
        <v/>
      </c>
      <c r="X191" s="50">
        <f>IF(OR(K191="",M191="",N191=""),"",IF(ABS(ROUND(((ROUND(N(K191)*100,0)+ROUND(N(L191)*100,0))-(ROUND(N(M191)*100,0))),0)-(ROUND(N(N191)*100,0)))&lt;=0,"OK",IF(OR(L191=""),"UNVOLLSTÄNDIG","ABWEICHUNG")))</f>
        <v/>
      </c>
      <c r="Y191" s="50">
        <f>IF(OR(K191="",O191="",R191=""),"",IF(ABS(ROUND(((ROUND(N(K191)*100,0))-(ROUND(N(O191)*100,0))),0)-(ROUND(N(R191)*100,0)))&lt;=0,"OK","ABWEICHUNG"))</f>
        <v/>
      </c>
      <c r="Z191" s="50">
        <f>IF(OR(N191="",O191="",P191="",Q191="",T191=""),"",IF(ABS(ROUND(((ROUND(N(N191)*100,0)+ROUND(N(Q191)*100,0))-(ROUND(N(O191)*100,0)+ROUND(N(P191)*100,0))),0)-(ROUND(N(T191)*100,0)))&lt;=0,"OK","ABWEICHUNG"))</f>
        <v/>
      </c>
      <c r="AA191" s="44" t="n"/>
      <c r="AB191" s="44" t="n"/>
      <c r="AC191" s="44" t="n"/>
      <c r="AD191" s="44" t="n"/>
      <c r="AE191" s="85" t="n"/>
      <c r="AF191" s="85" t="n"/>
      <c r="AG191" s="44" t="n"/>
      <c r="AH191" s="44" t="n"/>
    </row>
    <row r="192">
      <c r="A192" s="44" t="n"/>
      <c r="B192" s="44" t="n"/>
      <c r="C192" s="44" t="n"/>
      <c r="D192" s="44" t="n"/>
      <c r="E192" s="44" t="n"/>
      <c r="F192" s="44" t="n"/>
      <c r="G192" s="45" t="n"/>
      <c r="H192" s="44" t="n"/>
      <c r="I192" s="45" t="n"/>
      <c r="J192" s="44" t="n"/>
      <c r="K192" s="85" t="n"/>
      <c r="L192" s="85" t="n"/>
      <c r="M192" s="85" t="n"/>
      <c r="N192" s="85" t="n"/>
      <c r="O192" s="85" t="n"/>
      <c r="P192" s="85" t="n"/>
      <c r="Q192" s="85" t="n"/>
      <c r="R192" s="85" t="n"/>
      <c r="S192" s="85" t="n"/>
      <c r="T192" s="85" t="n"/>
      <c r="U192" s="85" t="n"/>
      <c r="V192" s="44" t="n"/>
      <c r="W192" s="50">
        <f>IF(OR(M192="",Q192="",S192=""),"",IF(ABS(ROUND(((ROUND(N(M192)*100,0))-(ROUND(N(Q192)*100,0))),0)-(ROUND(N(S192)*100,0)))&lt;=0,"OK","ABWEICHUNG"))</f>
        <v/>
      </c>
      <c r="X192" s="50">
        <f>IF(OR(K192="",M192="",N192=""),"",IF(ABS(ROUND(((ROUND(N(K192)*100,0)+ROUND(N(L192)*100,0))-(ROUND(N(M192)*100,0))),0)-(ROUND(N(N192)*100,0)))&lt;=0,"OK",IF(OR(L192=""),"UNVOLLSTÄNDIG","ABWEICHUNG")))</f>
        <v/>
      </c>
      <c r="Y192" s="50">
        <f>IF(OR(K192="",O192="",R192=""),"",IF(ABS(ROUND(((ROUND(N(K192)*100,0))-(ROUND(N(O192)*100,0))),0)-(ROUND(N(R192)*100,0)))&lt;=0,"OK","ABWEICHUNG"))</f>
        <v/>
      </c>
      <c r="Z192" s="50">
        <f>IF(OR(N192="",O192="",P192="",Q192="",T192=""),"",IF(ABS(ROUND(((ROUND(N(N192)*100,0)+ROUND(N(Q192)*100,0))-(ROUND(N(O192)*100,0)+ROUND(N(P192)*100,0))),0)-(ROUND(N(T192)*100,0)))&lt;=0,"OK","ABWEICHUNG"))</f>
        <v/>
      </c>
      <c r="AA192" s="44" t="n"/>
      <c r="AB192" s="44" t="n"/>
      <c r="AC192" s="44" t="n"/>
      <c r="AD192" s="44" t="n"/>
      <c r="AE192" s="85" t="n"/>
      <c r="AF192" s="85" t="n"/>
      <c r="AG192" s="44" t="n"/>
      <c r="AH192" s="44" t="n"/>
    </row>
    <row r="193">
      <c r="A193" s="44" t="n"/>
      <c r="B193" s="44" t="n"/>
      <c r="C193" s="44" t="n"/>
      <c r="D193" s="44" t="n"/>
      <c r="E193" s="44" t="n"/>
      <c r="F193" s="44" t="n"/>
      <c r="G193" s="45" t="n"/>
      <c r="H193" s="44" t="n"/>
      <c r="I193" s="45" t="n"/>
      <c r="J193" s="44" t="n"/>
      <c r="K193" s="85" t="n"/>
      <c r="L193" s="85" t="n"/>
      <c r="M193" s="85" t="n"/>
      <c r="N193" s="85" t="n"/>
      <c r="O193" s="85" t="n"/>
      <c r="P193" s="85" t="n"/>
      <c r="Q193" s="85" t="n"/>
      <c r="R193" s="85" t="n"/>
      <c r="S193" s="85" t="n"/>
      <c r="T193" s="85" t="n"/>
      <c r="U193" s="85" t="n"/>
      <c r="V193" s="44" t="n"/>
      <c r="W193" s="50">
        <f>IF(OR(M193="",Q193="",S193=""),"",IF(ABS(ROUND(((ROUND(N(M193)*100,0))-(ROUND(N(Q193)*100,0))),0)-(ROUND(N(S193)*100,0)))&lt;=0,"OK","ABWEICHUNG"))</f>
        <v/>
      </c>
      <c r="X193" s="50">
        <f>IF(OR(K193="",M193="",N193=""),"",IF(ABS(ROUND(((ROUND(N(K193)*100,0)+ROUND(N(L193)*100,0))-(ROUND(N(M193)*100,0))),0)-(ROUND(N(N193)*100,0)))&lt;=0,"OK",IF(OR(L193=""),"UNVOLLSTÄNDIG","ABWEICHUNG")))</f>
        <v/>
      </c>
      <c r="Y193" s="50">
        <f>IF(OR(K193="",O193="",R193=""),"",IF(ABS(ROUND(((ROUND(N(K193)*100,0))-(ROUND(N(O193)*100,0))),0)-(ROUND(N(R193)*100,0)))&lt;=0,"OK","ABWEICHUNG"))</f>
        <v/>
      </c>
      <c r="Z193" s="50">
        <f>IF(OR(N193="",O193="",P193="",Q193="",T193=""),"",IF(ABS(ROUND(((ROUND(N(N193)*100,0)+ROUND(N(Q193)*100,0))-(ROUND(N(O193)*100,0)+ROUND(N(P193)*100,0))),0)-(ROUND(N(T193)*100,0)))&lt;=0,"OK","ABWEICHUNG"))</f>
        <v/>
      </c>
      <c r="AA193" s="44" t="n"/>
      <c r="AB193" s="44" t="n"/>
      <c r="AC193" s="44" t="n"/>
      <c r="AD193" s="44" t="n"/>
      <c r="AE193" s="85" t="n"/>
      <c r="AF193" s="85" t="n"/>
      <c r="AG193" s="44" t="n"/>
      <c r="AH193" s="44" t="n"/>
    </row>
    <row r="194">
      <c r="A194" s="44" t="n"/>
      <c r="B194" s="44" t="n"/>
      <c r="C194" s="44" t="n"/>
      <c r="D194" s="44" t="n"/>
      <c r="E194" s="44" t="n"/>
      <c r="F194" s="44" t="n"/>
      <c r="G194" s="45" t="n"/>
      <c r="H194" s="44" t="n"/>
      <c r="I194" s="45" t="n"/>
      <c r="J194" s="44" t="n"/>
      <c r="K194" s="85" t="n"/>
      <c r="L194" s="85" t="n"/>
      <c r="M194" s="85" t="n"/>
      <c r="N194" s="85" t="n"/>
      <c r="O194" s="85" t="n"/>
      <c r="P194" s="85" t="n"/>
      <c r="Q194" s="85" t="n"/>
      <c r="R194" s="85" t="n"/>
      <c r="S194" s="85" t="n"/>
      <c r="T194" s="85" t="n"/>
      <c r="U194" s="85" t="n"/>
      <c r="V194" s="44" t="n"/>
      <c r="W194" s="50">
        <f>IF(OR(M194="",Q194="",S194=""),"",IF(ABS(ROUND(((ROUND(N(M194)*100,0))-(ROUND(N(Q194)*100,0))),0)-(ROUND(N(S194)*100,0)))&lt;=0,"OK","ABWEICHUNG"))</f>
        <v/>
      </c>
      <c r="X194" s="50">
        <f>IF(OR(K194="",M194="",N194=""),"",IF(ABS(ROUND(((ROUND(N(K194)*100,0)+ROUND(N(L194)*100,0))-(ROUND(N(M194)*100,0))),0)-(ROUND(N(N194)*100,0)))&lt;=0,"OK",IF(OR(L194=""),"UNVOLLSTÄNDIG","ABWEICHUNG")))</f>
        <v/>
      </c>
      <c r="Y194" s="50">
        <f>IF(OR(K194="",O194="",R194=""),"",IF(ABS(ROUND(((ROUND(N(K194)*100,0))-(ROUND(N(O194)*100,0))),0)-(ROUND(N(R194)*100,0)))&lt;=0,"OK","ABWEICHUNG"))</f>
        <v/>
      </c>
      <c r="Z194" s="50">
        <f>IF(OR(N194="",O194="",P194="",Q194="",T194=""),"",IF(ABS(ROUND(((ROUND(N(N194)*100,0)+ROUND(N(Q194)*100,0))-(ROUND(N(O194)*100,0)+ROUND(N(P194)*100,0))),0)-(ROUND(N(T194)*100,0)))&lt;=0,"OK","ABWEICHUNG"))</f>
        <v/>
      </c>
      <c r="AA194" s="44" t="n"/>
      <c r="AB194" s="44" t="n"/>
      <c r="AC194" s="44" t="n"/>
      <c r="AD194" s="44" t="n"/>
      <c r="AE194" s="85" t="n"/>
      <c r="AF194" s="85" t="n"/>
      <c r="AG194" s="44" t="n"/>
      <c r="AH194" s="44" t="n"/>
    </row>
    <row r="195">
      <c r="A195" s="44" t="n"/>
      <c r="B195" s="44" t="n"/>
      <c r="C195" s="44" t="n"/>
      <c r="D195" s="44" t="n"/>
      <c r="E195" s="44" t="n"/>
      <c r="F195" s="44" t="n"/>
      <c r="G195" s="45" t="n"/>
      <c r="H195" s="44" t="n"/>
      <c r="I195" s="45" t="n"/>
      <c r="J195" s="44" t="n"/>
      <c r="K195" s="85" t="n"/>
      <c r="L195" s="85" t="n"/>
      <c r="M195" s="85" t="n"/>
      <c r="N195" s="85" t="n"/>
      <c r="O195" s="85" t="n"/>
      <c r="P195" s="85" t="n"/>
      <c r="Q195" s="85" t="n"/>
      <c r="R195" s="85" t="n"/>
      <c r="S195" s="85" t="n"/>
      <c r="T195" s="85" t="n"/>
      <c r="U195" s="85" t="n"/>
      <c r="V195" s="44" t="n"/>
      <c r="W195" s="50">
        <f>IF(OR(M195="",Q195="",S195=""),"",IF(ABS(ROUND(((ROUND(N(M195)*100,0))-(ROUND(N(Q195)*100,0))),0)-(ROUND(N(S195)*100,0)))&lt;=0,"OK","ABWEICHUNG"))</f>
        <v/>
      </c>
      <c r="X195" s="50">
        <f>IF(OR(K195="",M195="",N195=""),"",IF(ABS(ROUND(((ROUND(N(K195)*100,0)+ROUND(N(L195)*100,0))-(ROUND(N(M195)*100,0))),0)-(ROUND(N(N195)*100,0)))&lt;=0,"OK",IF(OR(L195=""),"UNVOLLSTÄNDIG","ABWEICHUNG")))</f>
        <v/>
      </c>
      <c r="Y195" s="50">
        <f>IF(OR(K195="",O195="",R195=""),"",IF(ABS(ROUND(((ROUND(N(K195)*100,0))-(ROUND(N(O195)*100,0))),0)-(ROUND(N(R195)*100,0)))&lt;=0,"OK","ABWEICHUNG"))</f>
        <v/>
      </c>
      <c r="Z195" s="50">
        <f>IF(OR(N195="",O195="",P195="",Q195="",T195=""),"",IF(ABS(ROUND(((ROUND(N(N195)*100,0)+ROUND(N(Q195)*100,0))-(ROUND(N(O195)*100,0)+ROUND(N(P195)*100,0))),0)-(ROUND(N(T195)*100,0)))&lt;=0,"OK","ABWEICHUNG"))</f>
        <v/>
      </c>
      <c r="AA195" s="44" t="n"/>
      <c r="AB195" s="44" t="n"/>
      <c r="AC195" s="44" t="n"/>
      <c r="AD195" s="44" t="n"/>
      <c r="AE195" s="85" t="n"/>
      <c r="AF195" s="85" t="n"/>
      <c r="AG195" s="44" t="n"/>
      <c r="AH195" s="44" t="n"/>
    </row>
    <row r="196">
      <c r="A196" s="44" t="n"/>
      <c r="B196" s="44" t="n"/>
      <c r="C196" s="44" t="n"/>
      <c r="D196" s="44" t="n"/>
      <c r="E196" s="44" t="n"/>
      <c r="F196" s="44" t="n"/>
      <c r="G196" s="45" t="n"/>
      <c r="H196" s="44" t="n"/>
      <c r="I196" s="45" t="n"/>
      <c r="J196" s="44" t="n"/>
      <c r="K196" s="85" t="n"/>
      <c r="L196" s="85" t="n"/>
      <c r="M196" s="85" t="n"/>
      <c r="N196" s="85" t="n"/>
      <c r="O196" s="85" t="n"/>
      <c r="P196" s="85" t="n"/>
      <c r="Q196" s="85" t="n"/>
      <c r="R196" s="85" t="n"/>
      <c r="S196" s="85" t="n"/>
      <c r="T196" s="85" t="n"/>
      <c r="U196" s="85" t="n"/>
      <c r="V196" s="44" t="n"/>
      <c r="W196" s="50">
        <f>IF(OR(M196="",Q196="",S196=""),"",IF(ABS(ROUND(((ROUND(N(M196)*100,0))-(ROUND(N(Q196)*100,0))),0)-(ROUND(N(S196)*100,0)))&lt;=0,"OK","ABWEICHUNG"))</f>
        <v/>
      </c>
      <c r="X196" s="50">
        <f>IF(OR(K196="",M196="",N196=""),"",IF(ABS(ROUND(((ROUND(N(K196)*100,0)+ROUND(N(L196)*100,0))-(ROUND(N(M196)*100,0))),0)-(ROUND(N(N196)*100,0)))&lt;=0,"OK",IF(OR(L196=""),"UNVOLLSTÄNDIG","ABWEICHUNG")))</f>
        <v/>
      </c>
      <c r="Y196" s="50">
        <f>IF(OR(K196="",O196="",R196=""),"",IF(ABS(ROUND(((ROUND(N(K196)*100,0))-(ROUND(N(O196)*100,0))),0)-(ROUND(N(R196)*100,0)))&lt;=0,"OK","ABWEICHUNG"))</f>
        <v/>
      </c>
      <c r="Z196" s="50">
        <f>IF(OR(N196="",O196="",P196="",Q196="",T196=""),"",IF(ABS(ROUND(((ROUND(N(N196)*100,0)+ROUND(N(Q196)*100,0))-(ROUND(N(O196)*100,0)+ROUND(N(P196)*100,0))),0)-(ROUND(N(T196)*100,0)))&lt;=0,"OK","ABWEICHUNG"))</f>
        <v/>
      </c>
      <c r="AA196" s="44" t="n"/>
      <c r="AB196" s="44" t="n"/>
      <c r="AC196" s="44" t="n"/>
      <c r="AD196" s="44" t="n"/>
      <c r="AE196" s="85" t="n"/>
      <c r="AF196" s="85" t="n"/>
      <c r="AG196" s="44" t="n"/>
      <c r="AH196" s="44" t="n"/>
    </row>
    <row r="197">
      <c r="A197" s="44" t="n"/>
      <c r="B197" s="44" t="n"/>
      <c r="C197" s="44" t="n"/>
      <c r="D197" s="44" t="n"/>
      <c r="E197" s="44" t="n"/>
      <c r="F197" s="44" t="n"/>
      <c r="G197" s="45" t="n"/>
      <c r="H197" s="44" t="n"/>
      <c r="I197" s="45" t="n"/>
      <c r="J197" s="44" t="n"/>
      <c r="K197" s="85" t="n"/>
      <c r="L197" s="85" t="n"/>
      <c r="M197" s="85" t="n"/>
      <c r="N197" s="85" t="n"/>
      <c r="O197" s="85" t="n"/>
      <c r="P197" s="85" t="n"/>
      <c r="Q197" s="85" t="n"/>
      <c r="R197" s="85" t="n"/>
      <c r="S197" s="85" t="n"/>
      <c r="T197" s="85" t="n"/>
      <c r="U197" s="85" t="n"/>
      <c r="V197" s="44" t="n"/>
      <c r="W197" s="50">
        <f>IF(OR(M197="",Q197="",S197=""),"",IF(ABS(ROUND(((ROUND(N(M197)*100,0))-(ROUND(N(Q197)*100,0))),0)-(ROUND(N(S197)*100,0)))&lt;=0,"OK","ABWEICHUNG"))</f>
        <v/>
      </c>
      <c r="X197" s="50">
        <f>IF(OR(K197="",M197="",N197=""),"",IF(ABS(ROUND(((ROUND(N(K197)*100,0)+ROUND(N(L197)*100,0))-(ROUND(N(M197)*100,0))),0)-(ROUND(N(N197)*100,0)))&lt;=0,"OK",IF(OR(L197=""),"UNVOLLSTÄNDIG","ABWEICHUNG")))</f>
        <v/>
      </c>
      <c r="Y197" s="50">
        <f>IF(OR(K197="",O197="",R197=""),"",IF(ABS(ROUND(((ROUND(N(K197)*100,0))-(ROUND(N(O197)*100,0))),0)-(ROUND(N(R197)*100,0)))&lt;=0,"OK","ABWEICHUNG"))</f>
        <v/>
      </c>
      <c r="Z197" s="50">
        <f>IF(OR(N197="",O197="",P197="",Q197="",T197=""),"",IF(ABS(ROUND(((ROUND(N(N197)*100,0)+ROUND(N(Q197)*100,0))-(ROUND(N(O197)*100,0)+ROUND(N(P197)*100,0))),0)-(ROUND(N(T197)*100,0)))&lt;=0,"OK","ABWEICHUNG"))</f>
        <v/>
      </c>
      <c r="AA197" s="44" t="n"/>
      <c r="AB197" s="44" t="n"/>
      <c r="AC197" s="44" t="n"/>
      <c r="AD197" s="44" t="n"/>
      <c r="AE197" s="85" t="n"/>
      <c r="AF197" s="85" t="n"/>
      <c r="AG197" s="44" t="n"/>
      <c r="AH197" s="44" t="n"/>
    </row>
    <row r="198">
      <c r="A198" s="44" t="n"/>
      <c r="B198" s="44" t="n"/>
      <c r="C198" s="44" t="n"/>
      <c r="D198" s="44" t="n"/>
      <c r="E198" s="44" t="n"/>
      <c r="F198" s="44" t="n"/>
      <c r="G198" s="45" t="n"/>
      <c r="H198" s="44" t="n"/>
      <c r="I198" s="45" t="n"/>
      <c r="J198" s="44" t="n"/>
      <c r="K198" s="85" t="n"/>
      <c r="L198" s="85" t="n"/>
      <c r="M198" s="85" t="n"/>
      <c r="N198" s="85" t="n"/>
      <c r="O198" s="85" t="n"/>
      <c r="P198" s="85" t="n"/>
      <c r="Q198" s="85" t="n"/>
      <c r="R198" s="85" t="n"/>
      <c r="S198" s="85" t="n"/>
      <c r="T198" s="85" t="n"/>
      <c r="U198" s="85" t="n"/>
      <c r="V198" s="44" t="n"/>
      <c r="W198" s="50">
        <f>IF(OR(M198="",Q198="",S198=""),"",IF(ABS(ROUND(((ROUND(N(M198)*100,0))-(ROUND(N(Q198)*100,0))),0)-(ROUND(N(S198)*100,0)))&lt;=0,"OK","ABWEICHUNG"))</f>
        <v/>
      </c>
      <c r="X198" s="50">
        <f>IF(OR(K198="",M198="",N198=""),"",IF(ABS(ROUND(((ROUND(N(K198)*100,0)+ROUND(N(L198)*100,0))-(ROUND(N(M198)*100,0))),0)-(ROUND(N(N198)*100,0)))&lt;=0,"OK",IF(OR(L198=""),"UNVOLLSTÄNDIG","ABWEICHUNG")))</f>
        <v/>
      </c>
      <c r="Y198" s="50">
        <f>IF(OR(K198="",O198="",R198=""),"",IF(ABS(ROUND(((ROUND(N(K198)*100,0))-(ROUND(N(O198)*100,0))),0)-(ROUND(N(R198)*100,0)))&lt;=0,"OK","ABWEICHUNG"))</f>
        <v/>
      </c>
      <c r="Z198" s="50">
        <f>IF(OR(N198="",O198="",P198="",Q198="",T198=""),"",IF(ABS(ROUND(((ROUND(N(N198)*100,0)+ROUND(N(Q198)*100,0))-(ROUND(N(O198)*100,0)+ROUND(N(P198)*100,0))),0)-(ROUND(N(T198)*100,0)))&lt;=0,"OK","ABWEICHUNG"))</f>
        <v/>
      </c>
      <c r="AA198" s="44" t="n"/>
      <c r="AB198" s="44" t="n"/>
      <c r="AC198" s="44" t="n"/>
      <c r="AD198" s="44" t="n"/>
      <c r="AE198" s="85" t="n"/>
      <c r="AF198" s="85" t="n"/>
      <c r="AG198" s="44" t="n"/>
      <c r="AH198" s="44" t="n"/>
    </row>
    <row r="199">
      <c r="A199" s="44" t="n"/>
      <c r="B199" s="44" t="n"/>
      <c r="C199" s="44" t="n"/>
      <c r="D199" s="44" t="n"/>
      <c r="E199" s="44" t="n"/>
      <c r="F199" s="44" t="n"/>
      <c r="G199" s="45" t="n"/>
      <c r="H199" s="44" t="n"/>
      <c r="I199" s="45" t="n"/>
      <c r="J199" s="44" t="n"/>
      <c r="K199" s="85" t="n"/>
      <c r="L199" s="85" t="n"/>
      <c r="M199" s="85" t="n"/>
      <c r="N199" s="85" t="n"/>
      <c r="O199" s="85" t="n"/>
      <c r="P199" s="85" t="n"/>
      <c r="Q199" s="85" t="n"/>
      <c r="R199" s="85" t="n"/>
      <c r="S199" s="85" t="n"/>
      <c r="T199" s="85" t="n"/>
      <c r="U199" s="85" t="n"/>
      <c r="V199" s="44" t="n"/>
      <c r="W199" s="50">
        <f>IF(OR(M199="",Q199="",S199=""),"",IF(ABS(ROUND(((ROUND(N(M199)*100,0))-(ROUND(N(Q199)*100,0))),0)-(ROUND(N(S199)*100,0)))&lt;=0,"OK","ABWEICHUNG"))</f>
        <v/>
      </c>
      <c r="X199" s="50">
        <f>IF(OR(K199="",M199="",N199=""),"",IF(ABS(ROUND(((ROUND(N(K199)*100,0)+ROUND(N(L199)*100,0))-(ROUND(N(M199)*100,0))),0)-(ROUND(N(N199)*100,0)))&lt;=0,"OK",IF(OR(L199=""),"UNVOLLSTÄNDIG","ABWEICHUNG")))</f>
        <v/>
      </c>
      <c r="Y199" s="50">
        <f>IF(OR(K199="",O199="",R199=""),"",IF(ABS(ROUND(((ROUND(N(K199)*100,0))-(ROUND(N(O199)*100,0))),0)-(ROUND(N(R199)*100,0)))&lt;=0,"OK","ABWEICHUNG"))</f>
        <v/>
      </c>
      <c r="Z199" s="50">
        <f>IF(OR(N199="",O199="",P199="",Q199="",T199=""),"",IF(ABS(ROUND(((ROUND(N(N199)*100,0)+ROUND(N(Q199)*100,0))-(ROUND(N(O199)*100,0)+ROUND(N(P199)*100,0))),0)-(ROUND(N(T199)*100,0)))&lt;=0,"OK","ABWEICHUNG"))</f>
        <v/>
      </c>
      <c r="AA199" s="44" t="n"/>
      <c r="AB199" s="44" t="n"/>
      <c r="AC199" s="44" t="n"/>
      <c r="AD199" s="44" t="n"/>
      <c r="AE199" s="85" t="n"/>
      <c r="AF199" s="85" t="n"/>
      <c r="AG199" s="44" t="n"/>
      <c r="AH199" s="44" t="n"/>
    </row>
    <row r="200">
      <c r="A200" s="44" t="n"/>
      <c r="B200" s="44" t="n"/>
      <c r="C200" s="44" t="n"/>
      <c r="D200" s="44" t="n"/>
      <c r="E200" s="44" t="n"/>
      <c r="F200" s="44" t="n"/>
      <c r="G200" s="45" t="n"/>
      <c r="H200" s="44" t="n"/>
      <c r="I200" s="45" t="n"/>
      <c r="J200" s="44" t="n"/>
      <c r="K200" s="85" t="n"/>
      <c r="L200" s="85" t="n"/>
      <c r="M200" s="85" t="n"/>
      <c r="N200" s="85" t="n"/>
      <c r="O200" s="85" t="n"/>
      <c r="P200" s="85" t="n"/>
      <c r="Q200" s="85" t="n"/>
      <c r="R200" s="85" t="n"/>
      <c r="S200" s="85" t="n"/>
      <c r="T200" s="85" t="n"/>
      <c r="U200" s="85" t="n"/>
      <c r="V200" s="44" t="n"/>
      <c r="W200" s="50">
        <f>IF(OR(M200="",Q200="",S200=""),"",IF(ABS(ROUND(((ROUND(N(M200)*100,0))-(ROUND(N(Q200)*100,0))),0)-(ROUND(N(S200)*100,0)))&lt;=0,"OK","ABWEICHUNG"))</f>
        <v/>
      </c>
      <c r="X200" s="50">
        <f>IF(OR(K200="",M200="",N200=""),"",IF(ABS(ROUND(((ROUND(N(K200)*100,0)+ROUND(N(L200)*100,0))-(ROUND(N(M200)*100,0))),0)-(ROUND(N(N200)*100,0)))&lt;=0,"OK",IF(OR(L200=""),"UNVOLLSTÄNDIG","ABWEICHUNG")))</f>
        <v/>
      </c>
      <c r="Y200" s="50">
        <f>IF(OR(K200="",O200="",R200=""),"",IF(ABS(ROUND(((ROUND(N(K200)*100,0))-(ROUND(N(O200)*100,0))),0)-(ROUND(N(R200)*100,0)))&lt;=0,"OK","ABWEICHUNG"))</f>
        <v/>
      </c>
      <c r="Z200" s="50">
        <f>IF(OR(N200="",O200="",P200="",Q200="",T200=""),"",IF(ABS(ROUND(((ROUND(N(N200)*100,0)+ROUND(N(Q200)*100,0))-(ROUND(N(O200)*100,0)+ROUND(N(P200)*100,0))),0)-(ROUND(N(T200)*100,0)))&lt;=0,"OK","ABWEICHUNG"))</f>
        <v/>
      </c>
      <c r="AA200" s="44" t="n"/>
      <c r="AB200" s="44" t="n"/>
      <c r="AC200" s="44" t="n"/>
      <c r="AD200" s="44" t="n"/>
      <c r="AE200" s="85" t="n"/>
      <c r="AF200" s="85" t="n"/>
      <c r="AG200" s="44" t="n"/>
      <c r="AH200" s="44" t="n"/>
    </row>
    <row r="201">
      <c r="A201" s="44" t="n"/>
      <c r="B201" s="44" t="n"/>
      <c r="C201" s="44" t="n"/>
      <c r="D201" s="44" t="n"/>
      <c r="E201" s="44" t="n"/>
      <c r="F201" s="44" t="n"/>
      <c r="G201" s="45" t="n"/>
      <c r="H201" s="44" t="n"/>
      <c r="I201" s="45" t="n"/>
      <c r="J201" s="44" t="n"/>
      <c r="K201" s="85" t="n"/>
      <c r="L201" s="85" t="n"/>
      <c r="M201" s="85" t="n"/>
      <c r="N201" s="85" t="n"/>
      <c r="O201" s="85" t="n"/>
      <c r="P201" s="85" t="n"/>
      <c r="Q201" s="85" t="n"/>
      <c r="R201" s="85" t="n"/>
      <c r="S201" s="85" t="n"/>
      <c r="T201" s="85" t="n"/>
      <c r="U201" s="85" t="n"/>
      <c r="V201" s="44" t="n"/>
      <c r="W201" s="50">
        <f>IF(OR(M201="",Q201="",S201=""),"",IF(ABS(ROUND(((ROUND(N(M201)*100,0))-(ROUND(N(Q201)*100,0))),0)-(ROUND(N(S201)*100,0)))&lt;=0,"OK","ABWEICHUNG"))</f>
        <v/>
      </c>
      <c r="X201" s="50">
        <f>IF(OR(K201="",M201="",N201=""),"",IF(ABS(ROUND(((ROUND(N(K201)*100,0)+ROUND(N(L201)*100,0))-(ROUND(N(M201)*100,0))),0)-(ROUND(N(N201)*100,0)))&lt;=0,"OK",IF(OR(L201=""),"UNVOLLSTÄNDIG","ABWEICHUNG")))</f>
        <v/>
      </c>
      <c r="Y201" s="50">
        <f>IF(OR(K201="",O201="",R201=""),"",IF(ABS(ROUND(((ROUND(N(K201)*100,0))-(ROUND(N(O201)*100,0))),0)-(ROUND(N(R201)*100,0)))&lt;=0,"OK","ABWEICHUNG"))</f>
        <v/>
      </c>
      <c r="Z201" s="50">
        <f>IF(OR(N201="",O201="",P201="",Q201="",T201=""),"",IF(ABS(ROUND(((ROUND(N(N201)*100,0)+ROUND(N(Q201)*100,0))-(ROUND(N(O201)*100,0)+ROUND(N(P201)*100,0))),0)-(ROUND(N(T201)*100,0)))&lt;=0,"OK","ABWEICHUNG"))</f>
        <v/>
      </c>
      <c r="AA201" s="44" t="n"/>
      <c r="AB201" s="44" t="n"/>
      <c r="AC201" s="44" t="n"/>
      <c r="AD201" s="44" t="n"/>
      <c r="AE201" s="85" t="n"/>
      <c r="AF201" s="85" t="n"/>
      <c r="AG201" s="44" t="n"/>
      <c r="AH201" s="44" t="n"/>
    </row>
    <row r="202">
      <c r="A202" s="44" t="n"/>
      <c r="B202" s="44" t="n"/>
      <c r="C202" s="44" t="n"/>
      <c r="D202" s="44" t="n"/>
      <c r="E202" s="44" t="n"/>
      <c r="F202" s="44" t="n"/>
      <c r="G202" s="45" t="n"/>
      <c r="H202" s="44" t="n"/>
      <c r="I202" s="45" t="n"/>
      <c r="J202" s="44" t="n"/>
      <c r="K202" s="85" t="n"/>
      <c r="L202" s="85" t="n"/>
      <c r="M202" s="85" t="n"/>
      <c r="N202" s="85" t="n"/>
      <c r="O202" s="85" t="n"/>
      <c r="P202" s="85" t="n"/>
      <c r="Q202" s="85" t="n"/>
      <c r="R202" s="85" t="n"/>
      <c r="S202" s="85" t="n"/>
      <c r="T202" s="85" t="n"/>
      <c r="U202" s="85" t="n"/>
      <c r="V202" s="44" t="n"/>
      <c r="W202" s="50">
        <f>IF(OR(M202="",Q202="",S202=""),"",IF(ABS(ROUND(((ROUND(N(M202)*100,0))-(ROUND(N(Q202)*100,0))),0)-(ROUND(N(S202)*100,0)))&lt;=0,"OK","ABWEICHUNG"))</f>
        <v/>
      </c>
      <c r="X202" s="50">
        <f>IF(OR(K202="",M202="",N202=""),"",IF(ABS(ROUND(((ROUND(N(K202)*100,0)+ROUND(N(L202)*100,0))-(ROUND(N(M202)*100,0))),0)-(ROUND(N(N202)*100,0)))&lt;=0,"OK",IF(OR(L202=""),"UNVOLLSTÄNDIG","ABWEICHUNG")))</f>
        <v/>
      </c>
      <c r="Y202" s="50">
        <f>IF(OR(K202="",O202="",R202=""),"",IF(ABS(ROUND(((ROUND(N(K202)*100,0))-(ROUND(N(O202)*100,0))),0)-(ROUND(N(R202)*100,0)))&lt;=0,"OK","ABWEICHUNG"))</f>
        <v/>
      </c>
      <c r="Z202" s="50">
        <f>IF(OR(N202="",O202="",P202="",Q202="",T202=""),"",IF(ABS(ROUND(((ROUND(N(N202)*100,0)+ROUND(N(Q202)*100,0))-(ROUND(N(O202)*100,0)+ROUND(N(P202)*100,0))),0)-(ROUND(N(T202)*100,0)))&lt;=0,"OK","ABWEICHUNG"))</f>
        <v/>
      </c>
      <c r="AA202" s="44" t="n"/>
      <c r="AB202" s="44" t="n"/>
      <c r="AC202" s="44" t="n"/>
      <c r="AD202" s="44" t="n"/>
      <c r="AE202" s="85" t="n"/>
      <c r="AF202" s="85" t="n"/>
      <c r="AG202" s="44" t="n"/>
      <c r="AH202" s="44" t="n"/>
    </row>
    <row r="203">
      <c r="A203" s="44" t="n"/>
      <c r="B203" s="44" t="n"/>
      <c r="C203" s="44" t="n"/>
      <c r="D203" s="44" t="n"/>
      <c r="E203" s="44" t="n"/>
      <c r="F203" s="44" t="n"/>
      <c r="G203" s="45" t="n"/>
      <c r="H203" s="44" t="n"/>
      <c r="I203" s="45" t="n"/>
      <c r="J203" s="44" t="n"/>
      <c r="K203" s="85" t="n"/>
      <c r="L203" s="85" t="n"/>
      <c r="M203" s="85" t="n"/>
      <c r="N203" s="85" t="n"/>
      <c r="O203" s="85" t="n"/>
      <c r="P203" s="85" t="n"/>
      <c r="Q203" s="85" t="n"/>
      <c r="R203" s="85" t="n"/>
      <c r="S203" s="85" t="n"/>
      <c r="T203" s="85" t="n"/>
      <c r="U203" s="85" t="n"/>
      <c r="V203" s="44" t="n"/>
      <c r="W203" s="50">
        <f>IF(OR(M203="",Q203="",S203=""),"",IF(ABS(ROUND(((ROUND(N(M203)*100,0))-(ROUND(N(Q203)*100,0))),0)-(ROUND(N(S203)*100,0)))&lt;=0,"OK","ABWEICHUNG"))</f>
        <v/>
      </c>
      <c r="X203" s="50">
        <f>IF(OR(K203="",M203="",N203=""),"",IF(ABS(ROUND(((ROUND(N(K203)*100,0)+ROUND(N(L203)*100,0))-(ROUND(N(M203)*100,0))),0)-(ROUND(N(N203)*100,0)))&lt;=0,"OK",IF(OR(L203=""),"UNVOLLSTÄNDIG","ABWEICHUNG")))</f>
        <v/>
      </c>
      <c r="Y203" s="50">
        <f>IF(OR(K203="",O203="",R203=""),"",IF(ABS(ROUND(((ROUND(N(K203)*100,0))-(ROUND(N(O203)*100,0))),0)-(ROUND(N(R203)*100,0)))&lt;=0,"OK","ABWEICHUNG"))</f>
        <v/>
      </c>
      <c r="Z203" s="50">
        <f>IF(OR(N203="",O203="",P203="",Q203="",T203=""),"",IF(ABS(ROUND(((ROUND(N(N203)*100,0)+ROUND(N(Q203)*100,0))-(ROUND(N(O203)*100,0)+ROUND(N(P203)*100,0))),0)-(ROUND(N(T203)*100,0)))&lt;=0,"OK","ABWEICHUNG"))</f>
        <v/>
      </c>
      <c r="AA203" s="44" t="n"/>
      <c r="AB203" s="44" t="n"/>
      <c r="AC203" s="44" t="n"/>
      <c r="AD203" s="44" t="n"/>
      <c r="AE203" s="85" t="n"/>
      <c r="AF203" s="85" t="n"/>
      <c r="AG203" s="44" t="n"/>
      <c r="AH203" s="44" t="n"/>
    </row>
    <row r="204">
      <c r="A204" s="44" t="n"/>
      <c r="B204" s="44" t="n"/>
      <c r="C204" s="44" t="n"/>
      <c r="D204" s="44" t="n"/>
      <c r="E204" s="44" t="n"/>
      <c r="F204" s="44" t="n"/>
      <c r="G204" s="45" t="n"/>
      <c r="H204" s="44" t="n"/>
      <c r="I204" s="45" t="n"/>
      <c r="J204" s="44" t="n"/>
      <c r="K204" s="85" t="n"/>
      <c r="L204" s="85" t="n"/>
      <c r="M204" s="85" t="n"/>
      <c r="N204" s="85" t="n"/>
      <c r="O204" s="85" t="n"/>
      <c r="P204" s="85" t="n"/>
      <c r="Q204" s="85" t="n"/>
      <c r="R204" s="85" t="n"/>
      <c r="S204" s="85" t="n"/>
      <c r="T204" s="85" t="n"/>
      <c r="U204" s="85" t="n"/>
      <c r="V204" s="44" t="n"/>
      <c r="W204" s="50">
        <f>IF(OR(M204="",Q204="",S204=""),"",IF(ABS(ROUND(((ROUND(N(M204)*100,0))-(ROUND(N(Q204)*100,0))),0)-(ROUND(N(S204)*100,0)))&lt;=0,"OK","ABWEICHUNG"))</f>
        <v/>
      </c>
      <c r="X204" s="50">
        <f>IF(OR(K204="",M204="",N204=""),"",IF(ABS(ROUND(((ROUND(N(K204)*100,0)+ROUND(N(L204)*100,0))-(ROUND(N(M204)*100,0))),0)-(ROUND(N(N204)*100,0)))&lt;=0,"OK",IF(OR(L204=""),"UNVOLLSTÄNDIG","ABWEICHUNG")))</f>
        <v/>
      </c>
      <c r="Y204" s="50">
        <f>IF(OR(K204="",O204="",R204=""),"",IF(ABS(ROUND(((ROUND(N(K204)*100,0))-(ROUND(N(O204)*100,0))),0)-(ROUND(N(R204)*100,0)))&lt;=0,"OK","ABWEICHUNG"))</f>
        <v/>
      </c>
      <c r="Z204" s="50">
        <f>IF(OR(N204="",O204="",P204="",Q204="",T204=""),"",IF(ABS(ROUND(((ROUND(N(N204)*100,0)+ROUND(N(Q204)*100,0))-(ROUND(N(O204)*100,0)+ROUND(N(P204)*100,0))),0)-(ROUND(N(T204)*100,0)))&lt;=0,"OK","ABWEICHUNG"))</f>
        <v/>
      </c>
      <c r="AA204" s="44" t="n"/>
      <c r="AB204" s="44" t="n"/>
      <c r="AC204" s="44" t="n"/>
      <c r="AD204" s="44" t="n"/>
      <c r="AE204" s="85" t="n"/>
      <c r="AF204" s="85" t="n"/>
      <c r="AG204" s="44" t="n"/>
      <c r="AH204" s="44" t="n"/>
    </row>
    <row r="205">
      <c r="A205" s="44" t="n"/>
      <c r="B205" s="44" t="n"/>
      <c r="C205" s="44" t="n"/>
      <c r="D205" s="44" t="n"/>
      <c r="E205" s="44" t="n"/>
      <c r="F205" s="44" t="n"/>
      <c r="G205" s="45" t="n"/>
      <c r="H205" s="44" t="n"/>
      <c r="I205" s="45" t="n"/>
      <c r="J205" s="44" t="n"/>
      <c r="K205" s="85" t="n"/>
      <c r="L205" s="85" t="n"/>
      <c r="M205" s="85" t="n"/>
      <c r="N205" s="85" t="n"/>
      <c r="O205" s="85" t="n"/>
      <c r="P205" s="85" t="n"/>
      <c r="Q205" s="85" t="n"/>
      <c r="R205" s="85" t="n"/>
      <c r="S205" s="85" t="n"/>
      <c r="T205" s="85" t="n"/>
      <c r="U205" s="85" t="n"/>
      <c r="V205" s="44" t="n"/>
      <c r="W205" s="50">
        <f>IF(OR(M205="",Q205="",S205=""),"",IF(ABS(ROUND(((ROUND(N(M205)*100,0))-(ROUND(N(Q205)*100,0))),0)-(ROUND(N(S205)*100,0)))&lt;=0,"OK","ABWEICHUNG"))</f>
        <v/>
      </c>
      <c r="X205" s="50">
        <f>IF(OR(K205="",M205="",N205=""),"",IF(ABS(ROUND(((ROUND(N(K205)*100,0)+ROUND(N(L205)*100,0))-(ROUND(N(M205)*100,0))),0)-(ROUND(N(N205)*100,0)))&lt;=0,"OK",IF(OR(L205=""),"UNVOLLSTÄNDIG","ABWEICHUNG")))</f>
        <v/>
      </c>
      <c r="Y205" s="50">
        <f>IF(OR(K205="",O205="",R205=""),"",IF(ABS(ROUND(((ROUND(N(K205)*100,0))-(ROUND(N(O205)*100,0))),0)-(ROUND(N(R205)*100,0)))&lt;=0,"OK","ABWEICHUNG"))</f>
        <v/>
      </c>
      <c r="Z205" s="50">
        <f>IF(OR(N205="",O205="",P205="",Q205="",T205=""),"",IF(ABS(ROUND(((ROUND(N(N205)*100,0)+ROUND(N(Q205)*100,0))-(ROUND(N(O205)*100,0)+ROUND(N(P205)*100,0))),0)-(ROUND(N(T205)*100,0)))&lt;=0,"OK","ABWEICHUNG"))</f>
        <v/>
      </c>
      <c r="AA205" s="44" t="n"/>
      <c r="AB205" s="44" t="n"/>
      <c r="AC205" s="44" t="n"/>
      <c r="AD205" s="44" t="n"/>
      <c r="AE205" s="85" t="n"/>
      <c r="AF205" s="85" t="n"/>
      <c r="AG205" s="44" t="n"/>
      <c r="AH205" s="44" t="n"/>
    </row>
    <row r="206">
      <c r="A206" s="44" t="n"/>
      <c r="B206" s="44" t="n"/>
      <c r="C206" s="44" t="n"/>
      <c r="D206" s="44" t="n"/>
      <c r="E206" s="44" t="n"/>
      <c r="F206" s="44" t="n"/>
      <c r="G206" s="45" t="n"/>
      <c r="H206" s="44" t="n"/>
      <c r="I206" s="45" t="n"/>
      <c r="J206" s="44" t="n"/>
      <c r="K206" s="85" t="n"/>
      <c r="L206" s="85" t="n"/>
      <c r="M206" s="85" t="n"/>
      <c r="N206" s="85" t="n"/>
      <c r="O206" s="85" t="n"/>
      <c r="P206" s="85" t="n"/>
      <c r="Q206" s="85" t="n"/>
      <c r="R206" s="85" t="n"/>
      <c r="S206" s="85" t="n"/>
      <c r="T206" s="85" t="n"/>
      <c r="U206" s="85" t="n"/>
      <c r="V206" s="44" t="n"/>
      <c r="W206" s="50">
        <f>IF(OR(M206="",Q206="",S206=""),"",IF(ABS(ROUND(((ROUND(N(M206)*100,0))-(ROUND(N(Q206)*100,0))),0)-(ROUND(N(S206)*100,0)))&lt;=0,"OK","ABWEICHUNG"))</f>
        <v/>
      </c>
      <c r="X206" s="50">
        <f>IF(OR(K206="",M206="",N206=""),"",IF(ABS(ROUND(((ROUND(N(K206)*100,0)+ROUND(N(L206)*100,0))-(ROUND(N(M206)*100,0))),0)-(ROUND(N(N206)*100,0)))&lt;=0,"OK",IF(OR(L206=""),"UNVOLLSTÄNDIG","ABWEICHUNG")))</f>
        <v/>
      </c>
      <c r="Y206" s="50">
        <f>IF(OR(K206="",O206="",R206=""),"",IF(ABS(ROUND(((ROUND(N(K206)*100,0))-(ROUND(N(O206)*100,0))),0)-(ROUND(N(R206)*100,0)))&lt;=0,"OK","ABWEICHUNG"))</f>
        <v/>
      </c>
      <c r="Z206" s="50">
        <f>IF(OR(N206="",O206="",P206="",Q206="",T206=""),"",IF(ABS(ROUND(((ROUND(N(N206)*100,0)+ROUND(N(Q206)*100,0))-(ROUND(N(O206)*100,0)+ROUND(N(P206)*100,0))),0)-(ROUND(N(T206)*100,0)))&lt;=0,"OK","ABWEICHUNG"))</f>
        <v/>
      </c>
      <c r="AA206" s="44" t="n"/>
      <c r="AB206" s="44" t="n"/>
      <c r="AC206" s="44" t="n"/>
      <c r="AD206" s="44" t="n"/>
      <c r="AE206" s="85" t="n"/>
      <c r="AF206" s="85" t="n"/>
      <c r="AG206" s="44" t="n"/>
      <c r="AH206" s="44" t="n"/>
    </row>
    <row r="207">
      <c r="A207" s="44" t="n"/>
      <c r="B207" s="44" t="n"/>
      <c r="C207" s="44" t="n"/>
      <c r="D207" s="44" t="n"/>
      <c r="E207" s="44" t="n"/>
      <c r="F207" s="44" t="n"/>
      <c r="G207" s="45" t="n"/>
      <c r="H207" s="44" t="n"/>
      <c r="I207" s="45" t="n"/>
      <c r="J207" s="44" t="n"/>
      <c r="K207" s="85" t="n"/>
      <c r="L207" s="85" t="n"/>
      <c r="M207" s="85" t="n"/>
      <c r="N207" s="85" t="n"/>
      <c r="O207" s="85" t="n"/>
      <c r="P207" s="85" t="n"/>
      <c r="Q207" s="85" t="n"/>
      <c r="R207" s="85" t="n"/>
      <c r="S207" s="85" t="n"/>
      <c r="T207" s="85" t="n"/>
      <c r="U207" s="85" t="n"/>
      <c r="V207" s="44" t="n"/>
      <c r="W207" s="50">
        <f>IF(OR(M207="",Q207="",S207=""),"",IF(ABS(ROUND(((ROUND(N(M207)*100,0))-(ROUND(N(Q207)*100,0))),0)-(ROUND(N(S207)*100,0)))&lt;=0,"OK","ABWEICHUNG"))</f>
        <v/>
      </c>
      <c r="X207" s="50">
        <f>IF(OR(K207="",M207="",N207=""),"",IF(ABS(ROUND(((ROUND(N(K207)*100,0)+ROUND(N(L207)*100,0))-(ROUND(N(M207)*100,0))),0)-(ROUND(N(N207)*100,0)))&lt;=0,"OK",IF(OR(L207=""),"UNVOLLSTÄNDIG","ABWEICHUNG")))</f>
        <v/>
      </c>
      <c r="Y207" s="50">
        <f>IF(OR(K207="",O207="",R207=""),"",IF(ABS(ROUND(((ROUND(N(K207)*100,0))-(ROUND(N(O207)*100,0))),0)-(ROUND(N(R207)*100,0)))&lt;=0,"OK","ABWEICHUNG"))</f>
        <v/>
      </c>
      <c r="Z207" s="50">
        <f>IF(OR(N207="",O207="",P207="",Q207="",T207=""),"",IF(ABS(ROUND(((ROUND(N(N207)*100,0)+ROUND(N(Q207)*100,0))-(ROUND(N(O207)*100,0)+ROUND(N(P207)*100,0))),0)-(ROUND(N(T207)*100,0)))&lt;=0,"OK","ABWEICHUNG"))</f>
        <v/>
      </c>
      <c r="AA207" s="44" t="n"/>
      <c r="AB207" s="44" t="n"/>
      <c r="AC207" s="44" t="n"/>
      <c r="AD207" s="44" t="n"/>
      <c r="AE207" s="85" t="n"/>
      <c r="AF207" s="85" t="n"/>
      <c r="AG207" s="44" t="n"/>
      <c r="AH207" s="44" t="n"/>
    </row>
    <row r="208">
      <c r="A208" s="44" t="n"/>
      <c r="B208" s="44" t="n"/>
      <c r="C208" s="44" t="n"/>
      <c r="D208" s="44" t="n"/>
      <c r="E208" s="44" t="n"/>
      <c r="F208" s="44" t="n"/>
      <c r="G208" s="45" t="n"/>
      <c r="H208" s="44" t="n"/>
      <c r="I208" s="45" t="n"/>
      <c r="J208" s="44" t="n"/>
      <c r="K208" s="85" t="n"/>
      <c r="L208" s="85" t="n"/>
      <c r="M208" s="85" t="n"/>
      <c r="N208" s="85" t="n"/>
      <c r="O208" s="85" t="n"/>
      <c r="P208" s="85" t="n"/>
      <c r="Q208" s="85" t="n"/>
      <c r="R208" s="85" t="n"/>
      <c r="S208" s="85" t="n"/>
      <c r="T208" s="85" t="n"/>
      <c r="U208" s="85" t="n"/>
      <c r="V208" s="44" t="n"/>
      <c r="W208" s="50">
        <f>IF(OR(M208="",Q208="",S208=""),"",IF(ABS(ROUND(((ROUND(N(M208)*100,0))-(ROUND(N(Q208)*100,0))),0)-(ROUND(N(S208)*100,0)))&lt;=0,"OK","ABWEICHUNG"))</f>
        <v/>
      </c>
      <c r="X208" s="50">
        <f>IF(OR(K208="",M208="",N208=""),"",IF(ABS(ROUND(((ROUND(N(K208)*100,0)+ROUND(N(L208)*100,0))-(ROUND(N(M208)*100,0))),0)-(ROUND(N(N208)*100,0)))&lt;=0,"OK",IF(OR(L208=""),"UNVOLLSTÄNDIG","ABWEICHUNG")))</f>
        <v/>
      </c>
      <c r="Y208" s="50">
        <f>IF(OR(K208="",O208="",R208=""),"",IF(ABS(ROUND(((ROUND(N(K208)*100,0))-(ROUND(N(O208)*100,0))),0)-(ROUND(N(R208)*100,0)))&lt;=0,"OK","ABWEICHUNG"))</f>
        <v/>
      </c>
      <c r="Z208" s="50">
        <f>IF(OR(N208="",O208="",P208="",Q208="",T208=""),"",IF(ABS(ROUND(((ROUND(N(N208)*100,0)+ROUND(N(Q208)*100,0))-(ROUND(N(O208)*100,0)+ROUND(N(P208)*100,0))),0)-(ROUND(N(T208)*100,0)))&lt;=0,"OK","ABWEICHUNG"))</f>
        <v/>
      </c>
      <c r="AA208" s="44" t="n"/>
      <c r="AB208" s="44" t="n"/>
      <c r="AC208" s="44" t="n"/>
      <c r="AD208" s="44" t="n"/>
      <c r="AE208" s="85" t="n"/>
      <c r="AF208" s="85" t="n"/>
      <c r="AG208" s="44" t="n"/>
      <c r="AH208" s="44" t="n"/>
    </row>
    <row r="209">
      <c r="A209" s="44" t="n"/>
      <c r="B209" s="44" t="n"/>
      <c r="C209" s="44" t="n"/>
      <c r="D209" s="44" t="n"/>
      <c r="E209" s="44" t="n"/>
      <c r="F209" s="44" t="n"/>
      <c r="G209" s="45" t="n"/>
      <c r="H209" s="44" t="n"/>
      <c r="I209" s="45" t="n"/>
      <c r="J209" s="44" t="n"/>
      <c r="K209" s="85" t="n"/>
      <c r="L209" s="85" t="n"/>
      <c r="M209" s="85" t="n"/>
      <c r="N209" s="85" t="n"/>
      <c r="O209" s="85" t="n"/>
      <c r="P209" s="85" t="n"/>
      <c r="Q209" s="85" t="n"/>
      <c r="R209" s="85" t="n"/>
      <c r="S209" s="85" t="n"/>
      <c r="T209" s="85" t="n"/>
      <c r="U209" s="85" t="n"/>
      <c r="V209" s="44" t="n"/>
      <c r="W209" s="50">
        <f>IF(OR(M209="",Q209="",S209=""),"",IF(ABS(ROUND(((ROUND(N(M209)*100,0))-(ROUND(N(Q209)*100,0))),0)-(ROUND(N(S209)*100,0)))&lt;=0,"OK","ABWEICHUNG"))</f>
        <v/>
      </c>
      <c r="X209" s="50">
        <f>IF(OR(K209="",M209="",N209=""),"",IF(ABS(ROUND(((ROUND(N(K209)*100,0)+ROUND(N(L209)*100,0))-(ROUND(N(M209)*100,0))),0)-(ROUND(N(N209)*100,0)))&lt;=0,"OK",IF(OR(L209=""),"UNVOLLSTÄNDIG","ABWEICHUNG")))</f>
        <v/>
      </c>
      <c r="Y209" s="50">
        <f>IF(OR(K209="",O209="",R209=""),"",IF(ABS(ROUND(((ROUND(N(K209)*100,0))-(ROUND(N(O209)*100,0))),0)-(ROUND(N(R209)*100,0)))&lt;=0,"OK","ABWEICHUNG"))</f>
        <v/>
      </c>
      <c r="Z209" s="50">
        <f>IF(OR(N209="",O209="",P209="",Q209="",T209=""),"",IF(ABS(ROUND(((ROUND(N(N209)*100,0)+ROUND(N(Q209)*100,0))-(ROUND(N(O209)*100,0)+ROUND(N(P209)*100,0))),0)-(ROUND(N(T209)*100,0)))&lt;=0,"OK","ABWEICHUNG"))</f>
        <v/>
      </c>
      <c r="AA209" s="44" t="n"/>
      <c r="AB209" s="44" t="n"/>
      <c r="AC209" s="44" t="n"/>
      <c r="AD209" s="44" t="n"/>
      <c r="AE209" s="85" t="n"/>
      <c r="AF209" s="85" t="n"/>
      <c r="AG209" s="44" t="n"/>
      <c r="AH209" s="44" t="n"/>
    </row>
    <row r="210">
      <c r="A210" s="44" t="n"/>
      <c r="B210" s="44" t="n"/>
      <c r="C210" s="44" t="n"/>
      <c r="D210" s="44" t="n"/>
      <c r="E210" s="44" t="n"/>
      <c r="F210" s="44" t="n"/>
      <c r="G210" s="45" t="n"/>
      <c r="H210" s="44" t="n"/>
      <c r="I210" s="45" t="n"/>
      <c r="J210" s="44" t="n"/>
      <c r="K210" s="85" t="n"/>
      <c r="L210" s="85" t="n"/>
      <c r="M210" s="85" t="n"/>
      <c r="N210" s="85" t="n"/>
      <c r="O210" s="85" t="n"/>
      <c r="P210" s="85" t="n"/>
      <c r="Q210" s="85" t="n"/>
      <c r="R210" s="85" t="n"/>
      <c r="S210" s="85" t="n"/>
      <c r="T210" s="85" t="n"/>
      <c r="U210" s="85" t="n"/>
      <c r="V210" s="44" t="n"/>
      <c r="W210" s="50">
        <f>IF(OR(M210="",Q210="",S210=""),"",IF(ABS(ROUND(((ROUND(N(M210)*100,0))-(ROUND(N(Q210)*100,0))),0)-(ROUND(N(S210)*100,0)))&lt;=0,"OK","ABWEICHUNG"))</f>
        <v/>
      </c>
      <c r="X210" s="50">
        <f>IF(OR(K210="",M210="",N210=""),"",IF(ABS(ROUND(((ROUND(N(K210)*100,0)+ROUND(N(L210)*100,0))-(ROUND(N(M210)*100,0))),0)-(ROUND(N(N210)*100,0)))&lt;=0,"OK",IF(OR(L210=""),"UNVOLLSTÄNDIG","ABWEICHUNG")))</f>
        <v/>
      </c>
      <c r="Y210" s="50">
        <f>IF(OR(K210="",O210="",R210=""),"",IF(ABS(ROUND(((ROUND(N(K210)*100,0))-(ROUND(N(O210)*100,0))),0)-(ROUND(N(R210)*100,0)))&lt;=0,"OK","ABWEICHUNG"))</f>
        <v/>
      </c>
      <c r="Z210" s="50">
        <f>IF(OR(N210="",O210="",P210="",Q210="",T210=""),"",IF(ABS(ROUND(((ROUND(N(N210)*100,0)+ROUND(N(Q210)*100,0))-(ROUND(N(O210)*100,0)+ROUND(N(P210)*100,0))),0)-(ROUND(N(T210)*100,0)))&lt;=0,"OK","ABWEICHUNG"))</f>
        <v/>
      </c>
      <c r="AA210" s="44" t="n"/>
      <c r="AB210" s="44" t="n"/>
      <c r="AC210" s="44" t="n"/>
      <c r="AD210" s="44" t="n"/>
      <c r="AE210" s="85" t="n"/>
      <c r="AF210" s="85" t="n"/>
      <c r="AG210" s="44" t="n"/>
      <c r="AH210" s="44" t="n"/>
    </row>
    <row r="211">
      <c r="A211" s="44" t="n"/>
      <c r="B211" s="44" t="n"/>
      <c r="C211" s="44" t="n"/>
      <c r="D211" s="44" t="n"/>
      <c r="E211" s="44" t="n"/>
      <c r="F211" s="44" t="n"/>
      <c r="G211" s="45" t="n"/>
      <c r="H211" s="44" t="n"/>
      <c r="I211" s="45" t="n"/>
      <c r="J211" s="44" t="n"/>
      <c r="K211" s="85" t="n"/>
      <c r="L211" s="85" t="n"/>
      <c r="M211" s="85" t="n"/>
      <c r="N211" s="85" t="n"/>
      <c r="O211" s="85" t="n"/>
      <c r="P211" s="85" t="n"/>
      <c r="Q211" s="85" t="n"/>
      <c r="R211" s="85" t="n"/>
      <c r="S211" s="85" t="n"/>
      <c r="T211" s="85" t="n"/>
      <c r="U211" s="85" t="n"/>
      <c r="V211" s="44" t="n"/>
      <c r="W211" s="50">
        <f>IF(OR(M211="",Q211="",S211=""),"",IF(ABS(ROUND(((ROUND(N(M211)*100,0))-(ROUND(N(Q211)*100,0))),0)-(ROUND(N(S211)*100,0)))&lt;=0,"OK","ABWEICHUNG"))</f>
        <v/>
      </c>
      <c r="X211" s="50">
        <f>IF(OR(K211="",M211="",N211=""),"",IF(ABS(ROUND(((ROUND(N(K211)*100,0)+ROUND(N(L211)*100,0))-(ROUND(N(M211)*100,0))),0)-(ROUND(N(N211)*100,0)))&lt;=0,"OK",IF(OR(L211=""),"UNVOLLSTÄNDIG","ABWEICHUNG")))</f>
        <v/>
      </c>
      <c r="Y211" s="50">
        <f>IF(OR(K211="",O211="",R211=""),"",IF(ABS(ROUND(((ROUND(N(K211)*100,0))-(ROUND(N(O211)*100,0))),0)-(ROUND(N(R211)*100,0)))&lt;=0,"OK","ABWEICHUNG"))</f>
        <v/>
      </c>
      <c r="Z211" s="50">
        <f>IF(OR(N211="",O211="",P211="",Q211="",T211=""),"",IF(ABS(ROUND(((ROUND(N(N211)*100,0)+ROUND(N(Q211)*100,0))-(ROUND(N(O211)*100,0)+ROUND(N(P211)*100,0))),0)-(ROUND(N(T211)*100,0)))&lt;=0,"OK","ABWEICHUNG"))</f>
        <v/>
      </c>
      <c r="AA211" s="44" t="n"/>
      <c r="AB211" s="44" t="n"/>
      <c r="AC211" s="44" t="n"/>
      <c r="AD211" s="44" t="n"/>
      <c r="AE211" s="85" t="n"/>
      <c r="AF211" s="85" t="n"/>
      <c r="AG211" s="44" t="n"/>
      <c r="AH211" s="44" t="n"/>
    </row>
    <row r="212">
      <c r="A212" s="44" t="n"/>
      <c r="B212" s="44" t="n"/>
      <c r="C212" s="44" t="n"/>
      <c r="D212" s="44" t="n"/>
      <c r="E212" s="44" t="n"/>
      <c r="F212" s="44" t="n"/>
      <c r="G212" s="45" t="n"/>
      <c r="H212" s="44" t="n"/>
      <c r="I212" s="45" t="n"/>
      <c r="J212" s="44" t="n"/>
      <c r="K212" s="85" t="n"/>
      <c r="L212" s="85" t="n"/>
      <c r="M212" s="85" t="n"/>
      <c r="N212" s="85" t="n"/>
      <c r="O212" s="85" t="n"/>
      <c r="P212" s="85" t="n"/>
      <c r="Q212" s="85" t="n"/>
      <c r="R212" s="85" t="n"/>
      <c r="S212" s="85" t="n"/>
      <c r="T212" s="85" t="n"/>
      <c r="U212" s="85" t="n"/>
      <c r="V212" s="44" t="n"/>
      <c r="W212" s="50">
        <f>IF(OR(M212="",Q212="",S212=""),"",IF(ABS(ROUND(((ROUND(N(M212)*100,0))-(ROUND(N(Q212)*100,0))),0)-(ROUND(N(S212)*100,0)))&lt;=0,"OK","ABWEICHUNG"))</f>
        <v/>
      </c>
      <c r="X212" s="50">
        <f>IF(OR(K212="",M212="",N212=""),"",IF(ABS(ROUND(((ROUND(N(K212)*100,0)+ROUND(N(L212)*100,0))-(ROUND(N(M212)*100,0))),0)-(ROUND(N(N212)*100,0)))&lt;=0,"OK",IF(OR(L212=""),"UNVOLLSTÄNDIG","ABWEICHUNG")))</f>
        <v/>
      </c>
      <c r="Y212" s="50">
        <f>IF(OR(K212="",O212="",R212=""),"",IF(ABS(ROUND(((ROUND(N(K212)*100,0))-(ROUND(N(O212)*100,0))),0)-(ROUND(N(R212)*100,0)))&lt;=0,"OK","ABWEICHUNG"))</f>
        <v/>
      </c>
      <c r="Z212" s="50">
        <f>IF(OR(N212="",O212="",P212="",Q212="",T212=""),"",IF(ABS(ROUND(((ROUND(N(N212)*100,0)+ROUND(N(Q212)*100,0))-(ROUND(N(O212)*100,0)+ROUND(N(P212)*100,0))),0)-(ROUND(N(T212)*100,0)))&lt;=0,"OK","ABWEICHUNG"))</f>
        <v/>
      </c>
      <c r="AA212" s="44" t="n"/>
      <c r="AB212" s="44" t="n"/>
      <c r="AC212" s="44" t="n"/>
      <c r="AD212" s="44" t="n"/>
      <c r="AE212" s="85" t="n"/>
      <c r="AF212" s="85" t="n"/>
      <c r="AG212" s="44" t="n"/>
      <c r="AH212" s="44" t="n"/>
    </row>
    <row r="213">
      <c r="A213" s="44" t="n"/>
      <c r="B213" s="44" t="n"/>
      <c r="C213" s="44" t="n"/>
      <c r="D213" s="44" t="n"/>
      <c r="E213" s="44" t="n"/>
      <c r="F213" s="44" t="n"/>
      <c r="G213" s="45" t="n"/>
      <c r="H213" s="44" t="n"/>
      <c r="I213" s="45" t="n"/>
      <c r="J213" s="44" t="n"/>
      <c r="K213" s="85" t="n"/>
      <c r="L213" s="85" t="n"/>
      <c r="M213" s="85" t="n"/>
      <c r="N213" s="85" t="n"/>
      <c r="O213" s="85" t="n"/>
      <c r="P213" s="85" t="n"/>
      <c r="Q213" s="85" t="n"/>
      <c r="R213" s="85" t="n"/>
      <c r="S213" s="85" t="n"/>
      <c r="T213" s="85" t="n"/>
      <c r="U213" s="85" t="n"/>
      <c r="V213" s="44" t="n"/>
      <c r="W213" s="50">
        <f>IF(OR(M213="",Q213="",S213=""),"",IF(ABS(ROUND(((ROUND(N(M213)*100,0))-(ROUND(N(Q213)*100,0))),0)-(ROUND(N(S213)*100,0)))&lt;=0,"OK","ABWEICHUNG"))</f>
        <v/>
      </c>
      <c r="X213" s="50">
        <f>IF(OR(K213="",M213="",N213=""),"",IF(ABS(ROUND(((ROUND(N(K213)*100,0)+ROUND(N(L213)*100,0))-(ROUND(N(M213)*100,0))),0)-(ROUND(N(N213)*100,0)))&lt;=0,"OK",IF(OR(L213=""),"UNVOLLSTÄNDIG","ABWEICHUNG")))</f>
        <v/>
      </c>
      <c r="Y213" s="50">
        <f>IF(OR(K213="",O213="",R213=""),"",IF(ABS(ROUND(((ROUND(N(K213)*100,0))-(ROUND(N(O213)*100,0))),0)-(ROUND(N(R213)*100,0)))&lt;=0,"OK","ABWEICHUNG"))</f>
        <v/>
      </c>
      <c r="Z213" s="50">
        <f>IF(OR(N213="",O213="",P213="",Q213="",T213=""),"",IF(ABS(ROUND(((ROUND(N(N213)*100,0)+ROUND(N(Q213)*100,0))-(ROUND(N(O213)*100,0)+ROUND(N(P213)*100,0))),0)-(ROUND(N(T213)*100,0)))&lt;=0,"OK","ABWEICHUNG"))</f>
        <v/>
      </c>
      <c r="AA213" s="44" t="n"/>
      <c r="AB213" s="44" t="n"/>
      <c r="AC213" s="44" t="n"/>
      <c r="AD213" s="44" t="n"/>
      <c r="AE213" s="85" t="n"/>
      <c r="AF213" s="85" t="n"/>
      <c r="AG213" s="44" t="n"/>
      <c r="AH213" s="44" t="n"/>
    </row>
    <row r="214">
      <c r="A214" s="44" t="n"/>
      <c r="B214" s="44" t="n"/>
      <c r="C214" s="44" t="n"/>
      <c r="D214" s="44" t="n"/>
      <c r="E214" s="44" t="n"/>
      <c r="F214" s="44" t="n"/>
      <c r="G214" s="45" t="n"/>
      <c r="H214" s="44" t="n"/>
      <c r="I214" s="45" t="n"/>
      <c r="J214" s="44" t="n"/>
      <c r="K214" s="85" t="n"/>
      <c r="L214" s="85" t="n"/>
      <c r="M214" s="85" t="n"/>
      <c r="N214" s="85" t="n"/>
      <c r="O214" s="85" t="n"/>
      <c r="P214" s="85" t="n"/>
      <c r="Q214" s="85" t="n"/>
      <c r="R214" s="85" t="n"/>
      <c r="S214" s="85" t="n"/>
      <c r="T214" s="85" t="n"/>
      <c r="U214" s="85" t="n"/>
      <c r="V214" s="44" t="n"/>
      <c r="W214" s="50">
        <f>IF(OR(M214="",Q214="",S214=""),"",IF(ABS(ROUND(((ROUND(N(M214)*100,0))-(ROUND(N(Q214)*100,0))),0)-(ROUND(N(S214)*100,0)))&lt;=0,"OK","ABWEICHUNG"))</f>
        <v/>
      </c>
      <c r="X214" s="50">
        <f>IF(OR(K214="",M214="",N214=""),"",IF(ABS(ROUND(((ROUND(N(K214)*100,0)+ROUND(N(L214)*100,0))-(ROUND(N(M214)*100,0))),0)-(ROUND(N(N214)*100,0)))&lt;=0,"OK",IF(OR(L214=""),"UNVOLLSTÄNDIG","ABWEICHUNG")))</f>
        <v/>
      </c>
      <c r="Y214" s="50">
        <f>IF(OR(K214="",O214="",R214=""),"",IF(ABS(ROUND(((ROUND(N(K214)*100,0))-(ROUND(N(O214)*100,0))),0)-(ROUND(N(R214)*100,0)))&lt;=0,"OK","ABWEICHUNG"))</f>
        <v/>
      </c>
      <c r="Z214" s="50">
        <f>IF(OR(N214="",O214="",P214="",Q214="",T214=""),"",IF(ABS(ROUND(((ROUND(N(N214)*100,0)+ROUND(N(Q214)*100,0))-(ROUND(N(O214)*100,0)+ROUND(N(P214)*100,0))),0)-(ROUND(N(T214)*100,0)))&lt;=0,"OK","ABWEICHUNG"))</f>
        <v/>
      </c>
      <c r="AA214" s="44" t="n"/>
      <c r="AB214" s="44" t="n"/>
      <c r="AC214" s="44" t="n"/>
      <c r="AD214" s="44" t="n"/>
      <c r="AE214" s="85" t="n"/>
      <c r="AF214" s="85" t="n"/>
      <c r="AG214" s="44" t="n"/>
      <c r="AH214" s="44" t="n"/>
    </row>
    <row r="215">
      <c r="A215" s="44" t="n"/>
      <c r="B215" s="44" t="n"/>
      <c r="C215" s="44" t="n"/>
      <c r="D215" s="44" t="n"/>
      <c r="E215" s="44" t="n"/>
      <c r="F215" s="44" t="n"/>
      <c r="G215" s="45" t="n"/>
      <c r="H215" s="44" t="n"/>
      <c r="I215" s="45" t="n"/>
      <c r="J215" s="44" t="n"/>
      <c r="K215" s="85" t="n"/>
      <c r="L215" s="85" t="n"/>
      <c r="M215" s="85" t="n"/>
      <c r="N215" s="85" t="n"/>
      <c r="O215" s="85" t="n"/>
      <c r="P215" s="85" t="n"/>
      <c r="Q215" s="85" t="n"/>
      <c r="R215" s="85" t="n"/>
      <c r="S215" s="85" t="n"/>
      <c r="T215" s="85" t="n"/>
      <c r="U215" s="85" t="n"/>
      <c r="V215" s="44" t="n"/>
      <c r="W215" s="50">
        <f>IF(OR(M215="",Q215="",S215=""),"",IF(ABS(ROUND(((ROUND(N(M215)*100,0))-(ROUND(N(Q215)*100,0))),0)-(ROUND(N(S215)*100,0)))&lt;=0,"OK","ABWEICHUNG"))</f>
        <v/>
      </c>
      <c r="X215" s="50">
        <f>IF(OR(K215="",M215="",N215=""),"",IF(ABS(ROUND(((ROUND(N(K215)*100,0)+ROUND(N(L215)*100,0))-(ROUND(N(M215)*100,0))),0)-(ROUND(N(N215)*100,0)))&lt;=0,"OK",IF(OR(L215=""),"UNVOLLSTÄNDIG","ABWEICHUNG")))</f>
        <v/>
      </c>
      <c r="Y215" s="50">
        <f>IF(OR(K215="",O215="",R215=""),"",IF(ABS(ROUND(((ROUND(N(K215)*100,0))-(ROUND(N(O215)*100,0))),0)-(ROUND(N(R215)*100,0)))&lt;=0,"OK","ABWEICHUNG"))</f>
        <v/>
      </c>
      <c r="Z215" s="50">
        <f>IF(OR(N215="",O215="",P215="",Q215="",T215=""),"",IF(ABS(ROUND(((ROUND(N(N215)*100,0)+ROUND(N(Q215)*100,0))-(ROUND(N(O215)*100,0)+ROUND(N(P215)*100,0))),0)-(ROUND(N(T215)*100,0)))&lt;=0,"OK","ABWEICHUNG"))</f>
        <v/>
      </c>
      <c r="AA215" s="44" t="n"/>
      <c r="AB215" s="44" t="n"/>
      <c r="AC215" s="44" t="n"/>
      <c r="AD215" s="44" t="n"/>
      <c r="AE215" s="85" t="n"/>
      <c r="AF215" s="85" t="n"/>
      <c r="AG215" s="44" t="n"/>
      <c r="AH215" s="44" t="n"/>
    </row>
    <row r="216">
      <c r="A216" s="44" t="n"/>
      <c r="B216" s="44" t="n"/>
      <c r="C216" s="44" t="n"/>
      <c r="D216" s="44" t="n"/>
      <c r="E216" s="44" t="n"/>
      <c r="F216" s="44" t="n"/>
      <c r="G216" s="45" t="n"/>
      <c r="H216" s="44" t="n"/>
      <c r="I216" s="45" t="n"/>
      <c r="J216" s="44" t="n"/>
      <c r="K216" s="85" t="n"/>
      <c r="L216" s="85" t="n"/>
      <c r="M216" s="85" t="n"/>
      <c r="N216" s="85" t="n"/>
      <c r="O216" s="85" t="n"/>
      <c r="P216" s="85" t="n"/>
      <c r="Q216" s="85" t="n"/>
      <c r="R216" s="85" t="n"/>
      <c r="S216" s="85" t="n"/>
      <c r="T216" s="85" t="n"/>
      <c r="U216" s="85" t="n"/>
      <c r="V216" s="44" t="n"/>
      <c r="W216" s="50">
        <f>IF(OR(M216="",Q216="",S216=""),"",IF(ABS(ROUND(((ROUND(N(M216)*100,0))-(ROUND(N(Q216)*100,0))),0)-(ROUND(N(S216)*100,0)))&lt;=0,"OK","ABWEICHUNG"))</f>
        <v/>
      </c>
      <c r="X216" s="50">
        <f>IF(OR(K216="",M216="",N216=""),"",IF(ABS(ROUND(((ROUND(N(K216)*100,0)+ROUND(N(L216)*100,0))-(ROUND(N(M216)*100,0))),0)-(ROUND(N(N216)*100,0)))&lt;=0,"OK",IF(OR(L216=""),"UNVOLLSTÄNDIG","ABWEICHUNG")))</f>
        <v/>
      </c>
      <c r="Y216" s="50">
        <f>IF(OR(K216="",O216="",R216=""),"",IF(ABS(ROUND(((ROUND(N(K216)*100,0))-(ROUND(N(O216)*100,0))),0)-(ROUND(N(R216)*100,0)))&lt;=0,"OK","ABWEICHUNG"))</f>
        <v/>
      </c>
      <c r="Z216" s="50">
        <f>IF(OR(N216="",O216="",P216="",Q216="",T216=""),"",IF(ABS(ROUND(((ROUND(N(N216)*100,0)+ROUND(N(Q216)*100,0))-(ROUND(N(O216)*100,0)+ROUND(N(P216)*100,0))),0)-(ROUND(N(T216)*100,0)))&lt;=0,"OK","ABWEICHUNG"))</f>
        <v/>
      </c>
      <c r="AA216" s="44" t="n"/>
      <c r="AB216" s="44" t="n"/>
      <c r="AC216" s="44" t="n"/>
      <c r="AD216" s="44" t="n"/>
      <c r="AE216" s="85" t="n"/>
      <c r="AF216" s="85" t="n"/>
      <c r="AG216" s="44" t="n"/>
      <c r="AH216" s="44" t="n"/>
    </row>
    <row r="217">
      <c r="A217" s="44" t="n"/>
      <c r="B217" s="44" t="n"/>
      <c r="C217" s="44" t="n"/>
      <c r="D217" s="44" t="n"/>
      <c r="E217" s="44" t="n"/>
      <c r="F217" s="44" t="n"/>
      <c r="G217" s="45" t="n"/>
      <c r="H217" s="44" t="n"/>
      <c r="I217" s="45" t="n"/>
      <c r="J217" s="44" t="n"/>
      <c r="K217" s="85" t="n"/>
      <c r="L217" s="85" t="n"/>
      <c r="M217" s="85" t="n"/>
      <c r="N217" s="85" t="n"/>
      <c r="O217" s="85" t="n"/>
      <c r="P217" s="85" t="n"/>
      <c r="Q217" s="85" t="n"/>
      <c r="R217" s="85" t="n"/>
      <c r="S217" s="85" t="n"/>
      <c r="T217" s="85" t="n"/>
      <c r="U217" s="85" t="n"/>
      <c r="V217" s="44" t="n"/>
      <c r="W217" s="50">
        <f>IF(OR(M217="",Q217="",S217=""),"",IF(ABS(ROUND(((ROUND(N(M217)*100,0))-(ROUND(N(Q217)*100,0))),0)-(ROUND(N(S217)*100,0)))&lt;=0,"OK","ABWEICHUNG"))</f>
        <v/>
      </c>
      <c r="X217" s="50">
        <f>IF(OR(K217="",M217="",N217=""),"",IF(ABS(ROUND(((ROUND(N(K217)*100,0)+ROUND(N(L217)*100,0))-(ROUND(N(M217)*100,0))),0)-(ROUND(N(N217)*100,0)))&lt;=0,"OK",IF(OR(L217=""),"UNVOLLSTÄNDIG","ABWEICHUNG")))</f>
        <v/>
      </c>
      <c r="Y217" s="50">
        <f>IF(OR(K217="",O217="",R217=""),"",IF(ABS(ROUND(((ROUND(N(K217)*100,0))-(ROUND(N(O217)*100,0))),0)-(ROUND(N(R217)*100,0)))&lt;=0,"OK","ABWEICHUNG"))</f>
        <v/>
      </c>
      <c r="Z217" s="50">
        <f>IF(OR(N217="",O217="",P217="",Q217="",T217=""),"",IF(ABS(ROUND(((ROUND(N(N217)*100,0)+ROUND(N(Q217)*100,0))-(ROUND(N(O217)*100,0)+ROUND(N(P217)*100,0))),0)-(ROUND(N(T217)*100,0)))&lt;=0,"OK","ABWEICHUNG"))</f>
        <v/>
      </c>
      <c r="AA217" s="44" t="n"/>
      <c r="AB217" s="44" t="n"/>
      <c r="AC217" s="44" t="n"/>
      <c r="AD217" s="44" t="n"/>
      <c r="AE217" s="85" t="n"/>
      <c r="AF217" s="85" t="n"/>
      <c r="AG217" s="44" t="n"/>
      <c r="AH217" s="44" t="n"/>
    </row>
    <row r="218">
      <c r="A218" s="44" t="n"/>
      <c r="B218" s="44" t="n"/>
      <c r="C218" s="44" t="n"/>
      <c r="D218" s="44" t="n"/>
      <c r="E218" s="44" t="n"/>
      <c r="F218" s="44" t="n"/>
      <c r="G218" s="45" t="n"/>
      <c r="H218" s="44" t="n"/>
      <c r="I218" s="45" t="n"/>
      <c r="J218" s="44" t="n"/>
      <c r="K218" s="85" t="n"/>
      <c r="L218" s="85" t="n"/>
      <c r="M218" s="85" t="n"/>
      <c r="N218" s="85" t="n"/>
      <c r="O218" s="85" t="n"/>
      <c r="P218" s="85" t="n"/>
      <c r="Q218" s="85" t="n"/>
      <c r="R218" s="85" t="n"/>
      <c r="S218" s="85" t="n"/>
      <c r="T218" s="85" t="n"/>
      <c r="U218" s="85" t="n"/>
      <c r="V218" s="44" t="n"/>
      <c r="W218" s="50">
        <f>IF(OR(M218="",Q218="",S218=""),"",IF(ABS(ROUND(((ROUND(N(M218)*100,0))-(ROUND(N(Q218)*100,0))),0)-(ROUND(N(S218)*100,0)))&lt;=0,"OK","ABWEICHUNG"))</f>
        <v/>
      </c>
      <c r="X218" s="50">
        <f>IF(OR(K218="",M218="",N218=""),"",IF(ABS(ROUND(((ROUND(N(K218)*100,0)+ROUND(N(L218)*100,0))-(ROUND(N(M218)*100,0))),0)-(ROUND(N(N218)*100,0)))&lt;=0,"OK",IF(OR(L218=""),"UNVOLLSTÄNDIG","ABWEICHUNG")))</f>
        <v/>
      </c>
      <c r="Y218" s="50">
        <f>IF(OR(K218="",O218="",R218=""),"",IF(ABS(ROUND(((ROUND(N(K218)*100,0))-(ROUND(N(O218)*100,0))),0)-(ROUND(N(R218)*100,0)))&lt;=0,"OK","ABWEICHUNG"))</f>
        <v/>
      </c>
      <c r="Z218" s="50">
        <f>IF(OR(N218="",O218="",P218="",Q218="",T218=""),"",IF(ABS(ROUND(((ROUND(N(N218)*100,0)+ROUND(N(Q218)*100,0))-(ROUND(N(O218)*100,0)+ROUND(N(P218)*100,0))),0)-(ROUND(N(T218)*100,0)))&lt;=0,"OK","ABWEICHUNG"))</f>
        <v/>
      </c>
      <c r="AA218" s="44" t="n"/>
      <c r="AB218" s="44" t="n"/>
      <c r="AC218" s="44" t="n"/>
      <c r="AD218" s="44" t="n"/>
      <c r="AE218" s="85" t="n"/>
      <c r="AF218" s="85" t="n"/>
      <c r="AG218" s="44" t="n"/>
      <c r="AH218" s="44" t="n"/>
    </row>
    <row r="219">
      <c r="A219" s="44" t="n"/>
      <c r="B219" s="44" t="n"/>
      <c r="C219" s="44" t="n"/>
      <c r="D219" s="44" t="n"/>
      <c r="E219" s="44" t="n"/>
      <c r="F219" s="44" t="n"/>
      <c r="G219" s="45" t="n"/>
      <c r="H219" s="44" t="n"/>
      <c r="I219" s="45" t="n"/>
      <c r="J219" s="44" t="n"/>
      <c r="K219" s="85" t="n"/>
      <c r="L219" s="85" t="n"/>
      <c r="M219" s="85" t="n"/>
      <c r="N219" s="85" t="n"/>
      <c r="O219" s="85" t="n"/>
      <c r="P219" s="85" t="n"/>
      <c r="Q219" s="85" t="n"/>
      <c r="R219" s="85" t="n"/>
      <c r="S219" s="85" t="n"/>
      <c r="T219" s="85" t="n"/>
      <c r="U219" s="85" t="n"/>
      <c r="V219" s="44" t="n"/>
      <c r="W219" s="50">
        <f>IF(OR(M219="",Q219="",S219=""),"",IF(ABS(ROUND(((ROUND(N(M219)*100,0))-(ROUND(N(Q219)*100,0))),0)-(ROUND(N(S219)*100,0)))&lt;=0,"OK","ABWEICHUNG"))</f>
        <v/>
      </c>
      <c r="X219" s="50">
        <f>IF(OR(K219="",M219="",N219=""),"",IF(ABS(ROUND(((ROUND(N(K219)*100,0)+ROUND(N(L219)*100,0))-(ROUND(N(M219)*100,0))),0)-(ROUND(N(N219)*100,0)))&lt;=0,"OK",IF(OR(L219=""),"UNVOLLSTÄNDIG","ABWEICHUNG")))</f>
        <v/>
      </c>
      <c r="Y219" s="50">
        <f>IF(OR(K219="",O219="",R219=""),"",IF(ABS(ROUND(((ROUND(N(K219)*100,0))-(ROUND(N(O219)*100,0))),0)-(ROUND(N(R219)*100,0)))&lt;=0,"OK","ABWEICHUNG"))</f>
        <v/>
      </c>
      <c r="Z219" s="50">
        <f>IF(OR(N219="",O219="",P219="",Q219="",T219=""),"",IF(ABS(ROUND(((ROUND(N(N219)*100,0)+ROUND(N(Q219)*100,0))-(ROUND(N(O219)*100,0)+ROUND(N(P219)*100,0))),0)-(ROUND(N(T219)*100,0)))&lt;=0,"OK","ABWEICHUNG"))</f>
        <v/>
      </c>
      <c r="AA219" s="44" t="n"/>
      <c r="AB219" s="44" t="n"/>
      <c r="AC219" s="44" t="n"/>
      <c r="AD219" s="44" t="n"/>
      <c r="AE219" s="85" t="n"/>
      <c r="AF219" s="85" t="n"/>
      <c r="AG219" s="44" t="n"/>
      <c r="AH219" s="44" t="n"/>
    </row>
    <row r="220">
      <c r="A220" s="44" t="n"/>
      <c r="B220" s="44" t="n"/>
      <c r="C220" s="44" t="n"/>
      <c r="D220" s="44" t="n"/>
      <c r="E220" s="44" t="n"/>
      <c r="F220" s="44" t="n"/>
      <c r="G220" s="45" t="n"/>
      <c r="H220" s="44" t="n"/>
      <c r="I220" s="45" t="n"/>
      <c r="J220" s="44" t="n"/>
      <c r="K220" s="85" t="n"/>
      <c r="L220" s="85" t="n"/>
      <c r="M220" s="85" t="n"/>
      <c r="N220" s="85" t="n"/>
      <c r="O220" s="85" t="n"/>
      <c r="P220" s="85" t="n"/>
      <c r="Q220" s="85" t="n"/>
      <c r="R220" s="85" t="n"/>
      <c r="S220" s="85" t="n"/>
      <c r="T220" s="85" t="n"/>
      <c r="U220" s="85" t="n"/>
      <c r="V220" s="44" t="n"/>
      <c r="W220" s="50">
        <f>IF(OR(M220="",Q220="",S220=""),"",IF(ABS(ROUND(((ROUND(N(M220)*100,0))-(ROUND(N(Q220)*100,0))),0)-(ROUND(N(S220)*100,0)))&lt;=0,"OK","ABWEICHUNG"))</f>
        <v/>
      </c>
      <c r="X220" s="50">
        <f>IF(OR(K220="",M220="",N220=""),"",IF(ABS(ROUND(((ROUND(N(K220)*100,0)+ROUND(N(L220)*100,0))-(ROUND(N(M220)*100,0))),0)-(ROUND(N(N220)*100,0)))&lt;=0,"OK",IF(OR(L220=""),"UNVOLLSTÄNDIG","ABWEICHUNG")))</f>
        <v/>
      </c>
      <c r="Y220" s="50">
        <f>IF(OR(K220="",O220="",R220=""),"",IF(ABS(ROUND(((ROUND(N(K220)*100,0))-(ROUND(N(O220)*100,0))),0)-(ROUND(N(R220)*100,0)))&lt;=0,"OK","ABWEICHUNG"))</f>
        <v/>
      </c>
      <c r="Z220" s="50">
        <f>IF(OR(N220="",O220="",P220="",Q220="",T220=""),"",IF(ABS(ROUND(((ROUND(N(N220)*100,0)+ROUND(N(Q220)*100,0))-(ROUND(N(O220)*100,0)+ROUND(N(P220)*100,0))),0)-(ROUND(N(T220)*100,0)))&lt;=0,"OK","ABWEICHUNG"))</f>
        <v/>
      </c>
      <c r="AA220" s="44" t="n"/>
      <c r="AB220" s="44" t="n"/>
      <c r="AC220" s="44" t="n"/>
      <c r="AD220" s="44" t="n"/>
      <c r="AE220" s="85" t="n"/>
      <c r="AF220" s="85" t="n"/>
      <c r="AG220" s="44" t="n"/>
      <c r="AH220" s="44" t="n"/>
    </row>
    <row r="221">
      <c r="A221" s="44" t="n"/>
      <c r="B221" s="44" t="n"/>
      <c r="C221" s="44" t="n"/>
      <c r="D221" s="44" t="n"/>
      <c r="E221" s="44" t="n"/>
      <c r="F221" s="44" t="n"/>
      <c r="G221" s="45" t="n"/>
      <c r="H221" s="44" t="n"/>
      <c r="I221" s="45" t="n"/>
      <c r="J221" s="44" t="n"/>
      <c r="K221" s="85" t="n"/>
      <c r="L221" s="85" t="n"/>
      <c r="M221" s="85" t="n"/>
      <c r="N221" s="85" t="n"/>
      <c r="O221" s="85" t="n"/>
      <c r="P221" s="85" t="n"/>
      <c r="Q221" s="85" t="n"/>
      <c r="R221" s="85" t="n"/>
      <c r="S221" s="85" t="n"/>
      <c r="T221" s="85" t="n"/>
      <c r="U221" s="85" t="n"/>
      <c r="V221" s="44" t="n"/>
      <c r="W221" s="50">
        <f>IF(OR(M221="",Q221="",S221=""),"",IF(ABS(ROUND(((ROUND(N(M221)*100,0))-(ROUND(N(Q221)*100,0))),0)-(ROUND(N(S221)*100,0)))&lt;=0,"OK","ABWEICHUNG"))</f>
        <v/>
      </c>
      <c r="X221" s="50">
        <f>IF(OR(K221="",M221="",N221=""),"",IF(ABS(ROUND(((ROUND(N(K221)*100,0)+ROUND(N(L221)*100,0))-(ROUND(N(M221)*100,0))),0)-(ROUND(N(N221)*100,0)))&lt;=0,"OK",IF(OR(L221=""),"UNVOLLSTÄNDIG","ABWEICHUNG")))</f>
        <v/>
      </c>
      <c r="Y221" s="50">
        <f>IF(OR(K221="",O221="",R221=""),"",IF(ABS(ROUND(((ROUND(N(K221)*100,0))-(ROUND(N(O221)*100,0))),0)-(ROUND(N(R221)*100,0)))&lt;=0,"OK","ABWEICHUNG"))</f>
        <v/>
      </c>
      <c r="Z221" s="50">
        <f>IF(OR(N221="",O221="",P221="",Q221="",T221=""),"",IF(ABS(ROUND(((ROUND(N(N221)*100,0)+ROUND(N(Q221)*100,0))-(ROUND(N(O221)*100,0)+ROUND(N(P221)*100,0))),0)-(ROUND(N(T221)*100,0)))&lt;=0,"OK","ABWEICHUNG"))</f>
        <v/>
      </c>
      <c r="AA221" s="44" t="n"/>
      <c r="AB221" s="44" t="n"/>
      <c r="AC221" s="44" t="n"/>
      <c r="AD221" s="44" t="n"/>
      <c r="AE221" s="85" t="n"/>
      <c r="AF221" s="85" t="n"/>
      <c r="AG221" s="44" t="n"/>
      <c r="AH221" s="44" t="n"/>
    </row>
    <row r="222">
      <c r="A222" s="44" t="n"/>
      <c r="B222" s="44" t="n"/>
      <c r="C222" s="44" t="n"/>
      <c r="D222" s="44" t="n"/>
      <c r="E222" s="44" t="n"/>
      <c r="F222" s="44" t="n"/>
      <c r="G222" s="45" t="n"/>
      <c r="H222" s="44" t="n"/>
      <c r="I222" s="45" t="n"/>
      <c r="J222" s="44" t="n"/>
      <c r="K222" s="85" t="n"/>
      <c r="L222" s="85" t="n"/>
      <c r="M222" s="85" t="n"/>
      <c r="N222" s="85" t="n"/>
      <c r="O222" s="85" t="n"/>
      <c r="P222" s="85" t="n"/>
      <c r="Q222" s="85" t="n"/>
      <c r="R222" s="85" t="n"/>
      <c r="S222" s="85" t="n"/>
      <c r="T222" s="85" t="n"/>
      <c r="U222" s="85" t="n"/>
      <c r="V222" s="44" t="n"/>
      <c r="W222" s="50">
        <f>IF(OR(M222="",Q222="",S222=""),"",IF(ABS(ROUND(((ROUND(N(M222)*100,0))-(ROUND(N(Q222)*100,0))),0)-(ROUND(N(S222)*100,0)))&lt;=0,"OK","ABWEICHUNG"))</f>
        <v/>
      </c>
      <c r="X222" s="50">
        <f>IF(OR(K222="",M222="",N222=""),"",IF(ABS(ROUND(((ROUND(N(K222)*100,0)+ROUND(N(L222)*100,0))-(ROUND(N(M222)*100,0))),0)-(ROUND(N(N222)*100,0)))&lt;=0,"OK",IF(OR(L222=""),"UNVOLLSTÄNDIG","ABWEICHUNG")))</f>
        <v/>
      </c>
      <c r="Y222" s="50">
        <f>IF(OR(K222="",O222="",R222=""),"",IF(ABS(ROUND(((ROUND(N(K222)*100,0))-(ROUND(N(O222)*100,0))),0)-(ROUND(N(R222)*100,0)))&lt;=0,"OK","ABWEICHUNG"))</f>
        <v/>
      </c>
      <c r="Z222" s="50">
        <f>IF(OR(N222="",O222="",P222="",Q222="",T222=""),"",IF(ABS(ROUND(((ROUND(N(N222)*100,0)+ROUND(N(Q222)*100,0))-(ROUND(N(O222)*100,0)+ROUND(N(P222)*100,0))),0)-(ROUND(N(T222)*100,0)))&lt;=0,"OK","ABWEICHUNG"))</f>
        <v/>
      </c>
      <c r="AA222" s="44" t="n"/>
      <c r="AB222" s="44" t="n"/>
      <c r="AC222" s="44" t="n"/>
      <c r="AD222" s="44" t="n"/>
      <c r="AE222" s="85" t="n"/>
      <c r="AF222" s="85" t="n"/>
      <c r="AG222" s="44" t="n"/>
      <c r="AH222" s="44" t="n"/>
    </row>
    <row r="223">
      <c r="A223" s="44" t="n"/>
      <c r="B223" s="44" t="n"/>
      <c r="C223" s="44" t="n"/>
      <c r="D223" s="44" t="n"/>
      <c r="E223" s="44" t="n"/>
      <c r="F223" s="44" t="n"/>
      <c r="G223" s="45" t="n"/>
      <c r="H223" s="44" t="n"/>
      <c r="I223" s="45" t="n"/>
      <c r="J223" s="44" t="n"/>
      <c r="K223" s="85" t="n"/>
      <c r="L223" s="85" t="n"/>
      <c r="M223" s="85" t="n"/>
      <c r="N223" s="85" t="n"/>
      <c r="O223" s="85" t="n"/>
      <c r="P223" s="85" t="n"/>
      <c r="Q223" s="85" t="n"/>
      <c r="R223" s="85" t="n"/>
      <c r="S223" s="85" t="n"/>
      <c r="T223" s="85" t="n"/>
      <c r="U223" s="85" t="n"/>
      <c r="V223" s="44" t="n"/>
      <c r="W223" s="50">
        <f>IF(OR(M223="",Q223="",S223=""),"",IF(ABS(ROUND(((ROUND(N(M223)*100,0))-(ROUND(N(Q223)*100,0))),0)-(ROUND(N(S223)*100,0)))&lt;=0,"OK","ABWEICHUNG"))</f>
        <v/>
      </c>
      <c r="X223" s="50">
        <f>IF(OR(K223="",M223="",N223=""),"",IF(ABS(ROUND(((ROUND(N(K223)*100,0)+ROUND(N(L223)*100,0))-(ROUND(N(M223)*100,0))),0)-(ROUND(N(N223)*100,0)))&lt;=0,"OK",IF(OR(L223=""),"UNVOLLSTÄNDIG","ABWEICHUNG")))</f>
        <v/>
      </c>
      <c r="Y223" s="50">
        <f>IF(OR(K223="",O223="",R223=""),"",IF(ABS(ROUND(((ROUND(N(K223)*100,0))-(ROUND(N(O223)*100,0))),0)-(ROUND(N(R223)*100,0)))&lt;=0,"OK","ABWEICHUNG"))</f>
        <v/>
      </c>
      <c r="Z223" s="50">
        <f>IF(OR(N223="",O223="",P223="",Q223="",T223=""),"",IF(ABS(ROUND(((ROUND(N(N223)*100,0)+ROUND(N(Q223)*100,0))-(ROUND(N(O223)*100,0)+ROUND(N(P223)*100,0))),0)-(ROUND(N(T223)*100,0)))&lt;=0,"OK","ABWEICHUNG"))</f>
        <v/>
      </c>
      <c r="AA223" s="44" t="n"/>
      <c r="AB223" s="44" t="n"/>
      <c r="AC223" s="44" t="n"/>
      <c r="AD223" s="44" t="n"/>
      <c r="AE223" s="85" t="n"/>
      <c r="AF223" s="85" t="n"/>
      <c r="AG223" s="44" t="n"/>
      <c r="AH223" s="44" t="n"/>
    </row>
    <row r="224">
      <c r="A224" s="44" t="n"/>
      <c r="B224" s="44" t="n"/>
      <c r="C224" s="44" t="n"/>
      <c r="D224" s="44" t="n"/>
      <c r="E224" s="44" t="n"/>
      <c r="F224" s="44" t="n"/>
      <c r="G224" s="45" t="n"/>
      <c r="H224" s="44" t="n"/>
      <c r="I224" s="45" t="n"/>
      <c r="J224" s="44" t="n"/>
      <c r="K224" s="85" t="n"/>
      <c r="L224" s="85" t="n"/>
      <c r="M224" s="85" t="n"/>
      <c r="N224" s="85" t="n"/>
      <c r="O224" s="85" t="n"/>
      <c r="P224" s="85" t="n"/>
      <c r="Q224" s="85" t="n"/>
      <c r="R224" s="85" t="n"/>
      <c r="S224" s="85" t="n"/>
      <c r="T224" s="85" t="n"/>
      <c r="U224" s="85" t="n"/>
      <c r="V224" s="44" t="n"/>
      <c r="W224" s="50">
        <f>IF(OR(M224="",Q224="",S224=""),"",IF(ABS(ROUND(((ROUND(N(M224)*100,0))-(ROUND(N(Q224)*100,0))),0)-(ROUND(N(S224)*100,0)))&lt;=0,"OK","ABWEICHUNG"))</f>
        <v/>
      </c>
      <c r="X224" s="50">
        <f>IF(OR(K224="",M224="",N224=""),"",IF(ABS(ROUND(((ROUND(N(K224)*100,0)+ROUND(N(L224)*100,0))-(ROUND(N(M224)*100,0))),0)-(ROUND(N(N224)*100,0)))&lt;=0,"OK",IF(OR(L224=""),"UNVOLLSTÄNDIG","ABWEICHUNG")))</f>
        <v/>
      </c>
      <c r="Y224" s="50">
        <f>IF(OR(K224="",O224="",R224=""),"",IF(ABS(ROUND(((ROUND(N(K224)*100,0))-(ROUND(N(O224)*100,0))),0)-(ROUND(N(R224)*100,0)))&lt;=0,"OK","ABWEICHUNG"))</f>
        <v/>
      </c>
      <c r="Z224" s="50">
        <f>IF(OR(N224="",O224="",P224="",Q224="",T224=""),"",IF(ABS(ROUND(((ROUND(N(N224)*100,0)+ROUND(N(Q224)*100,0))-(ROUND(N(O224)*100,0)+ROUND(N(P224)*100,0))),0)-(ROUND(N(T224)*100,0)))&lt;=0,"OK","ABWEICHUNG"))</f>
        <v/>
      </c>
      <c r="AA224" s="44" t="n"/>
      <c r="AB224" s="44" t="n"/>
      <c r="AC224" s="44" t="n"/>
      <c r="AD224" s="44" t="n"/>
      <c r="AE224" s="85" t="n"/>
      <c r="AF224" s="85" t="n"/>
      <c r="AG224" s="44" t="n"/>
      <c r="AH224" s="44" t="n"/>
    </row>
    <row r="225">
      <c r="A225" s="44" t="n"/>
      <c r="B225" s="44" t="n"/>
      <c r="C225" s="44" t="n"/>
      <c r="D225" s="44" t="n"/>
      <c r="E225" s="44" t="n"/>
      <c r="F225" s="44" t="n"/>
      <c r="G225" s="45" t="n"/>
      <c r="H225" s="44" t="n"/>
      <c r="I225" s="45" t="n"/>
      <c r="J225" s="44" t="n"/>
      <c r="K225" s="85" t="n"/>
      <c r="L225" s="85" t="n"/>
      <c r="M225" s="85" t="n"/>
      <c r="N225" s="85" t="n"/>
      <c r="O225" s="85" t="n"/>
      <c r="P225" s="85" t="n"/>
      <c r="Q225" s="85" t="n"/>
      <c r="R225" s="85" t="n"/>
      <c r="S225" s="85" t="n"/>
      <c r="T225" s="85" t="n"/>
      <c r="U225" s="85" t="n"/>
      <c r="V225" s="44" t="n"/>
      <c r="W225" s="50">
        <f>IF(OR(M225="",Q225="",S225=""),"",IF(ABS(ROUND(((ROUND(N(M225)*100,0))-(ROUND(N(Q225)*100,0))),0)-(ROUND(N(S225)*100,0)))&lt;=0,"OK","ABWEICHUNG"))</f>
        <v/>
      </c>
      <c r="X225" s="50">
        <f>IF(OR(K225="",M225="",N225=""),"",IF(ABS(ROUND(((ROUND(N(K225)*100,0)+ROUND(N(L225)*100,0))-(ROUND(N(M225)*100,0))),0)-(ROUND(N(N225)*100,0)))&lt;=0,"OK",IF(OR(L225=""),"UNVOLLSTÄNDIG","ABWEICHUNG")))</f>
        <v/>
      </c>
      <c r="Y225" s="50">
        <f>IF(OR(K225="",O225="",R225=""),"",IF(ABS(ROUND(((ROUND(N(K225)*100,0))-(ROUND(N(O225)*100,0))),0)-(ROUND(N(R225)*100,0)))&lt;=0,"OK","ABWEICHUNG"))</f>
        <v/>
      </c>
      <c r="Z225" s="50">
        <f>IF(OR(N225="",O225="",P225="",Q225="",T225=""),"",IF(ABS(ROUND(((ROUND(N(N225)*100,0)+ROUND(N(Q225)*100,0))-(ROUND(N(O225)*100,0)+ROUND(N(P225)*100,0))),0)-(ROUND(N(T225)*100,0)))&lt;=0,"OK","ABWEICHUNG"))</f>
        <v/>
      </c>
      <c r="AA225" s="44" t="n"/>
      <c r="AB225" s="44" t="n"/>
      <c r="AC225" s="44" t="n"/>
      <c r="AD225" s="44" t="n"/>
      <c r="AE225" s="85" t="n"/>
      <c r="AF225" s="85" t="n"/>
      <c r="AG225" s="44" t="n"/>
      <c r="AH225" s="44" t="n"/>
    </row>
    <row r="226">
      <c r="A226" s="44" t="n"/>
      <c r="B226" s="44" t="n"/>
      <c r="C226" s="44" t="n"/>
      <c r="D226" s="44" t="n"/>
      <c r="E226" s="44" t="n"/>
      <c r="F226" s="44" t="n"/>
      <c r="G226" s="45" t="n"/>
      <c r="H226" s="44" t="n"/>
      <c r="I226" s="45" t="n"/>
      <c r="J226" s="44" t="n"/>
      <c r="K226" s="85" t="n"/>
      <c r="L226" s="85" t="n"/>
      <c r="M226" s="85" t="n"/>
      <c r="N226" s="85" t="n"/>
      <c r="O226" s="85" t="n"/>
      <c r="P226" s="85" t="n"/>
      <c r="Q226" s="85" t="n"/>
      <c r="R226" s="85" t="n"/>
      <c r="S226" s="85" t="n"/>
      <c r="T226" s="85" t="n"/>
      <c r="U226" s="85" t="n"/>
      <c r="V226" s="44" t="n"/>
      <c r="W226" s="50">
        <f>IF(OR(M226="",Q226="",S226=""),"",IF(ABS(ROUND(((ROUND(N(M226)*100,0))-(ROUND(N(Q226)*100,0))),0)-(ROUND(N(S226)*100,0)))&lt;=0,"OK","ABWEICHUNG"))</f>
        <v/>
      </c>
      <c r="X226" s="50">
        <f>IF(OR(K226="",M226="",N226=""),"",IF(ABS(ROUND(((ROUND(N(K226)*100,0)+ROUND(N(L226)*100,0))-(ROUND(N(M226)*100,0))),0)-(ROUND(N(N226)*100,0)))&lt;=0,"OK",IF(OR(L226=""),"UNVOLLSTÄNDIG","ABWEICHUNG")))</f>
        <v/>
      </c>
      <c r="Y226" s="50">
        <f>IF(OR(K226="",O226="",R226=""),"",IF(ABS(ROUND(((ROUND(N(K226)*100,0))-(ROUND(N(O226)*100,0))),0)-(ROUND(N(R226)*100,0)))&lt;=0,"OK","ABWEICHUNG"))</f>
        <v/>
      </c>
      <c r="Z226" s="50">
        <f>IF(OR(N226="",O226="",P226="",Q226="",T226=""),"",IF(ABS(ROUND(((ROUND(N(N226)*100,0)+ROUND(N(Q226)*100,0))-(ROUND(N(O226)*100,0)+ROUND(N(P226)*100,0))),0)-(ROUND(N(T226)*100,0)))&lt;=0,"OK","ABWEICHUNG"))</f>
        <v/>
      </c>
      <c r="AA226" s="44" t="n"/>
      <c r="AB226" s="44" t="n"/>
      <c r="AC226" s="44" t="n"/>
      <c r="AD226" s="44" t="n"/>
      <c r="AE226" s="85" t="n"/>
      <c r="AF226" s="85" t="n"/>
      <c r="AG226" s="44" t="n"/>
      <c r="AH226" s="44" t="n"/>
    </row>
    <row r="227">
      <c r="A227" s="44" t="n"/>
      <c r="B227" s="44" t="n"/>
      <c r="C227" s="44" t="n"/>
      <c r="D227" s="44" t="n"/>
      <c r="E227" s="44" t="n"/>
      <c r="F227" s="44" t="n"/>
      <c r="G227" s="45" t="n"/>
      <c r="H227" s="44" t="n"/>
      <c r="I227" s="45" t="n"/>
      <c r="J227" s="44" t="n"/>
      <c r="K227" s="85" t="n"/>
      <c r="L227" s="85" t="n"/>
      <c r="M227" s="85" t="n"/>
      <c r="N227" s="85" t="n"/>
      <c r="O227" s="85" t="n"/>
      <c r="P227" s="85" t="n"/>
      <c r="Q227" s="85" t="n"/>
      <c r="R227" s="85" t="n"/>
      <c r="S227" s="85" t="n"/>
      <c r="T227" s="85" t="n"/>
      <c r="U227" s="85" t="n"/>
      <c r="V227" s="44" t="n"/>
      <c r="W227" s="50">
        <f>IF(OR(M227="",Q227="",S227=""),"",IF(ABS(ROUND(((ROUND(N(M227)*100,0))-(ROUND(N(Q227)*100,0))),0)-(ROUND(N(S227)*100,0)))&lt;=0,"OK","ABWEICHUNG"))</f>
        <v/>
      </c>
      <c r="X227" s="50">
        <f>IF(OR(K227="",M227="",N227=""),"",IF(ABS(ROUND(((ROUND(N(K227)*100,0)+ROUND(N(L227)*100,0))-(ROUND(N(M227)*100,0))),0)-(ROUND(N(N227)*100,0)))&lt;=0,"OK",IF(OR(L227=""),"UNVOLLSTÄNDIG","ABWEICHUNG")))</f>
        <v/>
      </c>
      <c r="Y227" s="50">
        <f>IF(OR(K227="",O227="",R227=""),"",IF(ABS(ROUND(((ROUND(N(K227)*100,0))-(ROUND(N(O227)*100,0))),0)-(ROUND(N(R227)*100,0)))&lt;=0,"OK","ABWEICHUNG"))</f>
        <v/>
      </c>
      <c r="Z227" s="50">
        <f>IF(OR(N227="",O227="",P227="",Q227="",T227=""),"",IF(ABS(ROUND(((ROUND(N(N227)*100,0)+ROUND(N(Q227)*100,0))-(ROUND(N(O227)*100,0)+ROUND(N(P227)*100,0))),0)-(ROUND(N(T227)*100,0)))&lt;=0,"OK","ABWEICHUNG"))</f>
        <v/>
      </c>
      <c r="AA227" s="44" t="n"/>
      <c r="AB227" s="44" t="n"/>
      <c r="AC227" s="44" t="n"/>
      <c r="AD227" s="44" t="n"/>
      <c r="AE227" s="85" t="n"/>
      <c r="AF227" s="85" t="n"/>
      <c r="AG227" s="44" t="n"/>
      <c r="AH227" s="44" t="n"/>
    </row>
    <row r="228">
      <c r="A228" s="44" t="n"/>
      <c r="B228" s="44" t="n"/>
      <c r="C228" s="44" t="n"/>
      <c r="D228" s="44" t="n"/>
      <c r="E228" s="44" t="n"/>
      <c r="F228" s="44" t="n"/>
      <c r="G228" s="45" t="n"/>
      <c r="H228" s="44" t="n"/>
      <c r="I228" s="45" t="n"/>
      <c r="J228" s="44" t="n"/>
      <c r="K228" s="85" t="n"/>
      <c r="L228" s="85" t="n"/>
      <c r="M228" s="85" t="n"/>
      <c r="N228" s="85" t="n"/>
      <c r="O228" s="85" t="n"/>
      <c r="P228" s="85" t="n"/>
      <c r="Q228" s="85" t="n"/>
      <c r="R228" s="85" t="n"/>
      <c r="S228" s="85" t="n"/>
      <c r="T228" s="85" t="n"/>
      <c r="U228" s="85" t="n"/>
      <c r="V228" s="44" t="n"/>
      <c r="W228" s="50">
        <f>IF(OR(M228="",Q228="",S228=""),"",IF(ABS(ROUND(((ROUND(N(M228)*100,0))-(ROUND(N(Q228)*100,0))),0)-(ROUND(N(S228)*100,0)))&lt;=0,"OK","ABWEICHUNG"))</f>
        <v/>
      </c>
      <c r="X228" s="50">
        <f>IF(OR(K228="",M228="",N228=""),"",IF(ABS(ROUND(((ROUND(N(K228)*100,0)+ROUND(N(L228)*100,0))-(ROUND(N(M228)*100,0))),0)-(ROUND(N(N228)*100,0)))&lt;=0,"OK",IF(OR(L228=""),"UNVOLLSTÄNDIG","ABWEICHUNG")))</f>
        <v/>
      </c>
      <c r="Y228" s="50">
        <f>IF(OR(K228="",O228="",R228=""),"",IF(ABS(ROUND(((ROUND(N(K228)*100,0))-(ROUND(N(O228)*100,0))),0)-(ROUND(N(R228)*100,0)))&lt;=0,"OK","ABWEICHUNG"))</f>
        <v/>
      </c>
      <c r="Z228" s="50">
        <f>IF(OR(N228="",O228="",P228="",Q228="",T228=""),"",IF(ABS(ROUND(((ROUND(N(N228)*100,0)+ROUND(N(Q228)*100,0))-(ROUND(N(O228)*100,0)+ROUND(N(P228)*100,0))),0)-(ROUND(N(T228)*100,0)))&lt;=0,"OK","ABWEICHUNG"))</f>
        <v/>
      </c>
      <c r="AA228" s="44" t="n"/>
      <c r="AB228" s="44" t="n"/>
      <c r="AC228" s="44" t="n"/>
      <c r="AD228" s="44" t="n"/>
      <c r="AE228" s="85" t="n"/>
      <c r="AF228" s="85" t="n"/>
      <c r="AG228" s="44" t="n"/>
      <c r="AH228" s="44" t="n"/>
    </row>
    <row r="229">
      <c r="A229" s="44" t="n"/>
      <c r="B229" s="44" t="n"/>
      <c r="C229" s="44" t="n"/>
      <c r="D229" s="44" t="n"/>
      <c r="E229" s="44" t="n"/>
      <c r="F229" s="44" t="n"/>
      <c r="G229" s="45" t="n"/>
      <c r="H229" s="44" t="n"/>
      <c r="I229" s="45" t="n"/>
      <c r="J229" s="44" t="n"/>
      <c r="K229" s="85" t="n"/>
      <c r="L229" s="85" t="n"/>
      <c r="M229" s="85" t="n"/>
      <c r="N229" s="85" t="n"/>
      <c r="O229" s="85" t="n"/>
      <c r="P229" s="85" t="n"/>
      <c r="Q229" s="85" t="n"/>
      <c r="R229" s="85" t="n"/>
      <c r="S229" s="85" t="n"/>
      <c r="T229" s="85" t="n"/>
      <c r="U229" s="85" t="n"/>
      <c r="V229" s="44" t="n"/>
      <c r="W229" s="50">
        <f>IF(OR(M229="",Q229="",S229=""),"",IF(ABS(ROUND(((ROUND(N(M229)*100,0))-(ROUND(N(Q229)*100,0))),0)-(ROUND(N(S229)*100,0)))&lt;=0,"OK","ABWEICHUNG"))</f>
        <v/>
      </c>
      <c r="X229" s="50">
        <f>IF(OR(K229="",M229="",N229=""),"",IF(ABS(ROUND(((ROUND(N(K229)*100,0)+ROUND(N(L229)*100,0))-(ROUND(N(M229)*100,0))),0)-(ROUND(N(N229)*100,0)))&lt;=0,"OK",IF(OR(L229=""),"UNVOLLSTÄNDIG","ABWEICHUNG")))</f>
        <v/>
      </c>
      <c r="Y229" s="50">
        <f>IF(OR(K229="",O229="",R229=""),"",IF(ABS(ROUND(((ROUND(N(K229)*100,0))-(ROUND(N(O229)*100,0))),0)-(ROUND(N(R229)*100,0)))&lt;=0,"OK","ABWEICHUNG"))</f>
        <v/>
      </c>
      <c r="Z229" s="50">
        <f>IF(OR(N229="",O229="",P229="",Q229="",T229=""),"",IF(ABS(ROUND(((ROUND(N(N229)*100,0)+ROUND(N(Q229)*100,0))-(ROUND(N(O229)*100,0)+ROUND(N(P229)*100,0))),0)-(ROUND(N(T229)*100,0)))&lt;=0,"OK","ABWEICHUNG"))</f>
        <v/>
      </c>
      <c r="AA229" s="44" t="n"/>
      <c r="AB229" s="44" t="n"/>
      <c r="AC229" s="44" t="n"/>
      <c r="AD229" s="44" t="n"/>
      <c r="AE229" s="85" t="n"/>
      <c r="AF229" s="85" t="n"/>
      <c r="AG229" s="44" t="n"/>
      <c r="AH229" s="44" t="n"/>
    </row>
    <row r="230">
      <c r="A230" s="44" t="n"/>
      <c r="B230" s="44" t="n"/>
      <c r="C230" s="44" t="n"/>
      <c r="D230" s="44" t="n"/>
      <c r="E230" s="44" t="n"/>
      <c r="F230" s="44" t="n"/>
      <c r="G230" s="45" t="n"/>
      <c r="H230" s="44" t="n"/>
      <c r="I230" s="45" t="n"/>
      <c r="J230" s="44" t="n"/>
      <c r="K230" s="85" t="n"/>
      <c r="L230" s="85" t="n"/>
      <c r="M230" s="85" t="n"/>
      <c r="N230" s="85" t="n"/>
      <c r="O230" s="85" t="n"/>
      <c r="P230" s="85" t="n"/>
      <c r="Q230" s="85" t="n"/>
      <c r="R230" s="85" t="n"/>
      <c r="S230" s="85" t="n"/>
      <c r="T230" s="85" t="n"/>
      <c r="U230" s="85" t="n"/>
      <c r="V230" s="44" t="n"/>
      <c r="W230" s="50">
        <f>IF(OR(M230="",Q230="",S230=""),"",IF(ABS(ROUND(((ROUND(N(M230)*100,0))-(ROUND(N(Q230)*100,0))),0)-(ROUND(N(S230)*100,0)))&lt;=0,"OK","ABWEICHUNG"))</f>
        <v/>
      </c>
      <c r="X230" s="50">
        <f>IF(OR(K230="",M230="",N230=""),"",IF(ABS(ROUND(((ROUND(N(K230)*100,0)+ROUND(N(L230)*100,0))-(ROUND(N(M230)*100,0))),0)-(ROUND(N(N230)*100,0)))&lt;=0,"OK",IF(OR(L230=""),"UNVOLLSTÄNDIG","ABWEICHUNG")))</f>
        <v/>
      </c>
      <c r="Y230" s="50">
        <f>IF(OR(K230="",O230="",R230=""),"",IF(ABS(ROUND(((ROUND(N(K230)*100,0))-(ROUND(N(O230)*100,0))),0)-(ROUND(N(R230)*100,0)))&lt;=0,"OK","ABWEICHUNG"))</f>
        <v/>
      </c>
      <c r="Z230" s="50">
        <f>IF(OR(N230="",O230="",P230="",Q230="",T230=""),"",IF(ABS(ROUND(((ROUND(N(N230)*100,0)+ROUND(N(Q230)*100,0))-(ROUND(N(O230)*100,0)+ROUND(N(P230)*100,0))),0)-(ROUND(N(T230)*100,0)))&lt;=0,"OK","ABWEICHUNG"))</f>
        <v/>
      </c>
      <c r="AA230" s="44" t="n"/>
      <c r="AB230" s="44" t="n"/>
      <c r="AC230" s="44" t="n"/>
      <c r="AD230" s="44" t="n"/>
      <c r="AE230" s="85" t="n"/>
      <c r="AF230" s="85" t="n"/>
      <c r="AG230" s="44" t="n"/>
      <c r="AH230" s="44" t="n"/>
    </row>
    <row r="231">
      <c r="A231" s="44" t="n"/>
      <c r="B231" s="44" t="n"/>
      <c r="C231" s="44" t="n"/>
      <c r="D231" s="44" t="n"/>
      <c r="E231" s="44" t="n"/>
      <c r="F231" s="44" t="n"/>
      <c r="G231" s="45" t="n"/>
      <c r="H231" s="44" t="n"/>
      <c r="I231" s="45" t="n"/>
      <c r="J231" s="44" t="n"/>
      <c r="K231" s="85" t="n"/>
      <c r="L231" s="85" t="n"/>
      <c r="M231" s="85" t="n"/>
      <c r="N231" s="85" t="n"/>
      <c r="O231" s="85" t="n"/>
      <c r="P231" s="85" t="n"/>
      <c r="Q231" s="85" t="n"/>
      <c r="R231" s="85" t="n"/>
      <c r="S231" s="85" t="n"/>
      <c r="T231" s="85" t="n"/>
      <c r="U231" s="85" t="n"/>
      <c r="V231" s="44" t="n"/>
      <c r="W231" s="50">
        <f>IF(OR(M231="",Q231="",S231=""),"",IF(ABS(ROUND(((ROUND(N(M231)*100,0))-(ROUND(N(Q231)*100,0))),0)-(ROUND(N(S231)*100,0)))&lt;=0,"OK","ABWEICHUNG"))</f>
        <v/>
      </c>
      <c r="X231" s="50">
        <f>IF(OR(K231="",M231="",N231=""),"",IF(ABS(ROUND(((ROUND(N(K231)*100,0)+ROUND(N(L231)*100,0))-(ROUND(N(M231)*100,0))),0)-(ROUND(N(N231)*100,0)))&lt;=0,"OK",IF(OR(L231=""),"UNVOLLSTÄNDIG","ABWEICHUNG")))</f>
        <v/>
      </c>
      <c r="Y231" s="50">
        <f>IF(OR(K231="",O231="",R231=""),"",IF(ABS(ROUND(((ROUND(N(K231)*100,0))-(ROUND(N(O231)*100,0))),0)-(ROUND(N(R231)*100,0)))&lt;=0,"OK","ABWEICHUNG"))</f>
        <v/>
      </c>
      <c r="Z231" s="50">
        <f>IF(OR(N231="",O231="",P231="",Q231="",T231=""),"",IF(ABS(ROUND(((ROUND(N(N231)*100,0)+ROUND(N(Q231)*100,0))-(ROUND(N(O231)*100,0)+ROUND(N(P231)*100,0))),0)-(ROUND(N(T231)*100,0)))&lt;=0,"OK","ABWEICHUNG"))</f>
        <v/>
      </c>
      <c r="AA231" s="44" t="n"/>
      <c r="AB231" s="44" t="n"/>
      <c r="AC231" s="44" t="n"/>
      <c r="AD231" s="44" t="n"/>
      <c r="AE231" s="85" t="n"/>
      <c r="AF231" s="85" t="n"/>
      <c r="AG231" s="44" t="n"/>
      <c r="AH231" s="44" t="n"/>
    </row>
    <row r="232">
      <c r="A232" s="44" t="n"/>
      <c r="B232" s="44" t="n"/>
      <c r="C232" s="44" t="n"/>
      <c r="D232" s="44" t="n"/>
      <c r="E232" s="44" t="n"/>
      <c r="F232" s="44" t="n"/>
      <c r="G232" s="45" t="n"/>
      <c r="H232" s="44" t="n"/>
      <c r="I232" s="45" t="n"/>
      <c r="J232" s="44" t="n"/>
      <c r="K232" s="85" t="n"/>
      <c r="L232" s="85" t="n"/>
      <c r="M232" s="85" t="n"/>
      <c r="N232" s="85" t="n"/>
      <c r="O232" s="85" t="n"/>
      <c r="P232" s="85" t="n"/>
      <c r="Q232" s="85" t="n"/>
      <c r="R232" s="85" t="n"/>
      <c r="S232" s="85" t="n"/>
      <c r="T232" s="85" t="n"/>
      <c r="U232" s="85" t="n"/>
      <c r="V232" s="44" t="n"/>
      <c r="W232" s="50">
        <f>IF(OR(M232="",Q232="",S232=""),"",IF(ABS(ROUND(((ROUND(N(M232)*100,0))-(ROUND(N(Q232)*100,0))),0)-(ROUND(N(S232)*100,0)))&lt;=0,"OK","ABWEICHUNG"))</f>
        <v/>
      </c>
      <c r="X232" s="50">
        <f>IF(OR(K232="",M232="",N232=""),"",IF(ABS(ROUND(((ROUND(N(K232)*100,0)+ROUND(N(L232)*100,0))-(ROUND(N(M232)*100,0))),0)-(ROUND(N(N232)*100,0)))&lt;=0,"OK",IF(OR(L232=""),"UNVOLLSTÄNDIG","ABWEICHUNG")))</f>
        <v/>
      </c>
      <c r="Y232" s="50">
        <f>IF(OR(K232="",O232="",R232=""),"",IF(ABS(ROUND(((ROUND(N(K232)*100,0))-(ROUND(N(O232)*100,0))),0)-(ROUND(N(R232)*100,0)))&lt;=0,"OK","ABWEICHUNG"))</f>
        <v/>
      </c>
      <c r="Z232" s="50">
        <f>IF(OR(N232="",O232="",P232="",Q232="",T232=""),"",IF(ABS(ROUND(((ROUND(N(N232)*100,0)+ROUND(N(Q232)*100,0))-(ROUND(N(O232)*100,0)+ROUND(N(P232)*100,0))),0)-(ROUND(N(T232)*100,0)))&lt;=0,"OK","ABWEICHUNG"))</f>
        <v/>
      </c>
      <c r="AA232" s="44" t="n"/>
      <c r="AB232" s="44" t="n"/>
      <c r="AC232" s="44" t="n"/>
      <c r="AD232" s="44" t="n"/>
      <c r="AE232" s="85" t="n"/>
      <c r="AF232" s="85" t="n"/>
      <c r="AG232" s="44" t="n"/>
      <c r="AH232" s="44" t="n"/>
    </row>
    <row r="233">
      <c r="A233" s="44" t="n"/>
      <c r="B233" s="44" t="n"/>
      <c r="C233" s="44" t="n"/>
      <c r="D233" s="44" t="n"/>
      <c r="E233" s="44" t="n"/>
      <c r="F233" s="44" t="n"/>
      <c r="G233" s="45" t="n"/>
      <c r="H233" s="44" t="n"/>
      <c r="I233" s="45" t="n"/>
      <c r="J233" s="44" t="n"/>
      <c r="K233" s="85" t="n"/>
      <c r="L233" s="85" t="n"/>
      <c r="M233" s="85" t="n"/>
      <c r="N233" s="85" t="n"/>
      <c r="O233" s="85" t="n"/>
      <c r="P233" s="85" t="n"/>
      <c r="Q233" s="85" t="n"/>
      <c r="R233" s="85" t="n"/>
      <c r="S233" s="85" t="n"/>
      <c r="T233" s="85" t="n"/>
      <c r="U233" s="85" t="n"/>
      <c r="V233" s="44" t="n"/>
      <c r="W233" s="50">
        <f>IF(OR(M233="",Q233="",S233=""),"",IF(ABS(ROUND(((ROUND(N(M233)*100,0))-(ROUND(N(Q233)*100,0))),0)-(ROUND(N(S233)*100,0)))&lt;=0,"OK","ABWEICHUNG"))</f>
        <v/>
      </c>
      <c r="X233" s="50">
        <f>IF(OR(K233="",M233="",N233=""),"",IF(ABS(ROUND(((ROUND(N(K233)*100,0)+ROUND(N(L233)*100,0))-(ROUND(N(M233)*100,0))),0)-(ROUND(N(N233)*100,0)))&lt;=0,"OK",IF(OR(L233=""),"UNVOLLSTÄNDIG","ABWEICHUNG")))</f>
        <v/>
      </c>
      <c r="Y233" s="50">
        <f>IF(OR(K233="",O233="",R233=""),"",IF(ABS(ROUND(((ROUND(N(K233)*100,0))-(ROUND(N(O233)*100,0))),0)-(ROUND(N(R233)*100,0)))&lt;=0,"OK","ABWEICHUNG"))</f>
        <v/>
      </c>
      <c r="Z233" s="50">
        <f>IF(OR(N233="",O233="",P233="",Q233="",T233=""),"",IF(ABS(ROUND(((ROUND(N(N233)*100,0)+ROUND(N(Q233)*100,0))-(ROUND(N(O233)*100,0)+ROUND(N(P233)*100,0))),0)-(ROUND(N(T233)*100,0)))&lt;=0,"OK","ABWEICHUNG"))</f>
        <v/>
      </c>
      <c r="AA233" s="44" t="n"/>
      <c r="AB233" s="44" t="n"/>
      <c r="AC233" s="44" t="n"/>
      <c r="AD233" s="44" t="n"/>
      <c r="AE233" s="85" t="n"/>
      <c r="AF233" s="85" t="n"/>
      <c r="AG233" s="44" t="n"/>
      <c r="AH233" s="44" t="n"/>
    </row>
    <row r="234">
      <c r="A234" s="44" t="n"/>
      <c r="B234" s="44" t="n"/>
      <c r="C234" s="44" t="n"/>
      <c r="D234" s="44" t="n"/>
      <c r="E234" s="44" t="n"/>
      <c r="F234" s="44" t="n"/>
      <c r="G234" s="45" t="n"/>
      <c r="H234" s="44" t="n"/>
      <c r="I234" s="45" t="n"/>
      <c r="J234" s="44" t="n"/>
      <c r="K234" s="85" t="n"/>
      <c r="L234" s="85" t="n"/>
      <c r="M234" s="85" t="n"/>
      <c r="N234" s="85" t="n"/>
      <c r="O234" s="85" t="n"/>
      <c r="P234" s="85" t="n"/>
      <c r="Q234" s="85" t="n"/>
      <c r="R234" s="85" t="n"/>
      <c r="S234" s="85" t="n"/>
      <c r="T234" s="85" t="n"/>
      <c r="U234" s="85" t="n"/>
      <c r="V234" s="44" t="n"/>
      <c r="W234" s="50">
        <f>IF(OR(M234="",Q234="",S234=""),"",IF(ABS(ROUND(((ROUND(N(M234)*100,0))-(ROUND(N(Q234)*100,0))),0)-(ROUND(N(S234)*100,0)))&lt;=0,"OK","ABWEICHUNG"))</f>
        <v/>
      </c>
      <c r="X234" s="50">
        <f>IF(OR(K234="",M234="",N234=""),"",IF(ABS(ROUND(((ROUND(N(K234)*100,0)+ROUND(N(L234)*100,0))-(ROUND(N(M234)*100,0))),0)-(ROUND(N(N234)*100,0)))&lt;=0,"OK",IF(OR(L234=""),"UNVOLLSTÄNDIG","ABWEICHUNG")))</f>
        <v/>
      </c>
      <c r="Y234" s="50">
        <f>IF(OR(K234="",O234="",R234=""),"",IF(ABS(ROUND(((ROUND(N(K234)*100,0))-(ROUND(N(O234)*100,0))),0)-(ROUND(N(R234)*100,0)))&lt;=0,"OK","ABWEICHUNG"))</f>
        <v/>
      </c>
      <c r="Z234" s="50">
        <f>IF(OR(N234="",O234="",P234="",Q234="",T234=""),"",IF(ABS(ROUND(((ROUND(N(N234)*100,0)+ROUND(N(Q234)*100,0))-(ROUND(N(O234)*100,0)+ROUND(N(P234)*100,0))),0)-(ROUND(N(T234)*100,0)))&lt;=0,"OK","ABWEICHUNG"))</f>
        <v/>
      </c>
      <c r="AA234" s="44" t="n"/>
      <c r="AB234" s="44" t="n"/>
      <c r="AC234" s="44" t="n"/>
      <c r="AD234" s="44" t="n"/>
      <c r="AE234" s="85" t="n"/>
      <c r="AF234" s="85" t="n"/>
      <c r="AG234" s="44" t="n"/>
      <c r="AH234" s="44" t="n"/>
    </row>
    <row r="235">
      <c r="A235" s="44" t="n"/>
      <c r="B235" s="44" t="n"/>
      <c r="C235" s="44" t="n"/>
      <c r="D235" s="44" t="n"/>
      <c r="E235" s="44" t="n"/>
      <c r="F235" s="44" t="n"/>
      <c r="G235" s="45" t="n"/>
      <c r="H235" s="44" t="n"/>
      <c r="I235" s="45" t="n"/>
      <c r="J235" s="44" t="n"/>
      <c r="K235" s="85" t="n"/>
      <c r="L235" s="85" t="n"/>
      <c r="M235" s="85" t="n"/>
      <c r="N235" s="85" t="n"/>
      <c r="O235" s="85" t="n"/>
      <c r="P235" s="85" t="n"/>
      <c r="Q235" s="85" t="n"/>
      <c r="R235" s="85" t="n"/>
      <c r="S235" s="85" t="n"/>
      <c r="T235" s="85" t="n"/>
      <c r="U235" s="85" t="n"/>
      <c r="V235" s="44" t="n"/>
      <c r="W235" s="50">
        <f>IF(OR(M235="",Q235="",S235=""),"",IF(ABS(ROUND(((ROUND(N(M235)*100,0))-(ROUND(N(Q235)*100,0))),0)-(ROUND(N(S235)*100,0)))&lt;=0,"OK","ABWEICHUNG"))</f>
        <v/>
      </c>
      <c r="X235" s="50">
        <f>IF(OR(K235="",M235="",N235=""),"",IF(ABS(ROUND(((ROUND(N(K235)*100,0)+ROUND(N(L235)*100,0))-(ROUND(N(M235)*100,0))),0)-(ROUND(N(N235)*100,0)))&lt;=0,"OK",IF(OR(L235=""),"UNVOLLSTÄNDIG","ABWEICHUNG")))</f>
        <v/>
      </c>
      <c r="Y235" s="50">
        <f>IF(OR(K235="",O235="",R235=""),"",IF(ABS(ROUND(((ROUND(N(K235)*100,0))-(ROUND(N(O235)*100,0))),0)-(ROUND(N(R235)*100,0)))&lt;=0,"OK","ABWEICHUNG"))</f>
        <v/>
      </c>
      <c r="Z235" s="50">
        <f>IF(OR(N235="",O235="",P235="",Q235="",T235=""),"",IF(ABS(ROUND(((ROUND(N(N235)*100,0)+ROUND(N(Q235)*100,0))-(ROUND(N(O235)*100,0)+ROUND(N(P235)*100,0))),0)-(ROUND(N(T235)*100,0)))&lt;=0,"OK","ABWEICHUNG"))</f>
        <v/>
      </c>
      <c r="AA235" s="44" t="n"/>
      <c r="AB235" s="44" t="n"/>
      <c r="AC235" s="44" t="n"/>
      <c r="AD235" s="44" t="n"/>
      <c r="AE235" s="85" t="n"/>
      <c r="AF235" s="85" t="n"/>
      <c r="AG235" s="44" t="n"/>
      <c r="AH235" s="44" t="n"/>
    </row>
    <row r="236">
      <c r="A236" s="44" t="n"/>
      <c r="B236" s="44" t="n"/>
      <c r="C236" s="44" t="n"/>
      <c r="D236" s="44" t="n"/>
      <c r="E236" s="44" t="n"/>
      <c r="F236" s="44" t="n"/>
      <c r="G236" s="45" t="n"/>
      <c r="H236" s="44" t="n"/>
      <c r="I236" s="45" t="n"/>
      <c r="J236" s="44" t="n"/>
      <c r="K236" s="85" t="n"/>
      <c r="L236" s="85" t="n"/>
      <c r="M236" s="85" t="n"/>
      <c r="N236" s="85" t="n"/>
      <c r="O236" s="85" t="n"/>
      <c r="P236" s="85" t="n"/>
      <c r="Q236" s="85" t="n"/>
      <c r="R236" s="85" t="n"/>
      <c r="S236" s="85" t="n"/>
      <c r="T236" s="85" t="n"/>
      <c r="U236" s="85" t="n"/>
      <c r="V236" s="44" t="n"/>
      <c r="W236" s="50">
        <f>IF(OR(M236="",Q236="",S236=""),"",IF(ABS(ROUND(((ROUND(N(M236)*100,0))-(ROUND(N(Q236)*100,0))),0)-(ROUND(N(S236)*100,0)))&lt;=0,"OK","ABWEICHUNG"))</f>
        <v/>
      </c>
      <c r="X236" s="50">
        <f>IF(OR(K236="",M236="",N236=""),"",IF(ABS(ROUND(((ROUND(N(K236)*100,0)+ROUND(N(L236)*100,0))-(ROUND(N(M236)*100,0))),0)-(ROUND(N(N236)*100,0)))&lt;=0,"OK",IF(OR(L236=""),"UNVOLLSTÄNDIG","ABWEICHUNG")))</f>
        <v/>
      </c>
      <c r="Y236" s="50">
        <f>IF(OR(K236="",O236="",R236=""),"",IF(ABS(ROUND(((ROUND(N(K236)*100,0))-(ROUND(N(O236)*100,0))),0)-(ROUND(N(R236)*100,0)))&lt;=0,"OK","ABWEICHUNG"))</f>
        <v/>
      </c>
      <c r="Z236" s="50">
        <f>IF(OR(N236="",O236="",P236="",Q236="",T236=""),"",IF(ABS(ROUND(((ROUND(N(N236)*100,0)+ROUND(N(Q236)*100,0))-(ROUND(N(O236)*100,0)+ROUND(N(P236)*100,0))),0)-(ROUND(N(T236)*100,0)))&lt;=0,"OK","ABWEICHUNG"))</f>
        <v/>
      </c>
      <c r="AA236" s="44" t="n"/>
      <c r="AB236" s="44" t="n"/>
      <c r="AC236" s="44" t="n"/>
      <c r="AD236" s="44" t="n"/>
      <c r="AE236" s="85" t="n"/>
      <c r="AF236" s="85" t="n"/>
      <c r="AG236" s="44" t="n"/>
      <c r="AH236" s="44" t="n"/>
    </row>
    <row r="237">
      <c r="A237" s="44" t="n"/>
      <c r="B237" s="44" t="n"/>
      <c r="C237" s="44" t="n"/>
      <c r="D237" s="44" t="n"/>
      <c r="E237" s="44" t="n"/>
      <c r="F237" s="44" t="n"/>
      <c r="G237" s="45" t="n"/>
      <c r="H237" s="44" t="n"/>
      <c r="I237" s="45" t="n"/>
      <c r="J237" s="44" t="n"/>
      <c r="K237" s="85" t="n"/>
      <c r="L237" s="85" t="n"/>
      <c r="M237" s="85" t="n"/>
      <c r="N237" s="85" t="n"/>
      <c r="O237" s="85" t="n"/>
      <c r="P237" s="85" t="n"/>
      <c r="Q237" s="85" t="n"/>
      <c r="R237" s="85" t="n"/>
      <c r="S237" s="85" t="n"/>
      <c r="T237" s="85" t="n"/>
      <c r="U237" s="85" t="n"/>
      <c r="V237" s="44" t="n"/>
      <c r="W237" s="50">
        <f>IF(OR(M237="",Q237="",S237=""),"",IF(ABS(ROUND(((ROUND(N(M237)*100,0))-(ROUND(N(Q237)*100,0))),0)-(ROUND(N(S237)*100,0)))&lt;=0,"OK","ABWEICHUNG"))</f>
        <v/>
      </c>
      <c r="X237" s="50">
        <f>IF(OR(K237="",M237="",N237=""),"",IF(ABS(ROUND(((ROUND(N(K237)*100,0)+ROUND(N(L237)*100,0))-(ROUND(N(M237)*100,0))),0)-(ROUND(N(N237)*100,0)))&lt;=0,"OK",IF(OR(L237=""),"UNVOLLSTÄNDIG","ABWEICHUNG")))</f>
        <v/>
      </c>
      <c r="Y237" s="50">
        <f>IF(OR(K237="",O237="",R237=""),"",IF(ABS(ROUND(((ROUND(N(K237)*100,0))-(ROUND(N(O237)*100,0))),0)-(ROUND(N(R237)*100,0)))&lt;=0,"OK","ABWEICHUNG"))</f>
        <v/>
      </c>
      <c r="Z237" s="50">
        <f>IF(OR(N237="",O237="",P237="",Q237="",T237=""),"",IF(ABS(ROUND(((ROUND(N(N237)*100,0)+ROUND(N(Q237)*100,0))-(ROUND(N(O237)*100,0)+ROUND(N(P237)*100,0))),0)-(ROUND(N(T237)*100,0)))&lt;=0,"OK","ABWEICHUNG"))</f>
        <v/>
      </c>
      <c r="AA237" s="44" t="n"/>
      <c r="AB237" s="44" t="n"/>
      <c r="AC237" s="44" t="n"/>
      <c r="AD237" s="44" t="n"/>
      <c r="AE237" s="85" t="n"/>
      <c r="AF237" s="85" t="n"/>
      <c r="AG237" s="44" t="n"/>
      <c r="AH237" s="44" t="n"/>
    </row>
    <row r="238">
      <c r="A238" s="44" t="n"/>
      <c r="B238" s="44" t="n"/>
      <c r="C238" s="44" t="n"/>
      <c r="D238" s="44" t="n"/>
      <c r="E238" s="44" t="n"/>
      <c r="F238" s="44" t="n"/>
      <c r="G238" s="45" t="n"/>
      <c r="H238" s="44" t="n"/>
      <c r="I238" s="45" t="n"/>
      <c r="J238" s="44" t="n"/>
      <c r="K238" s="85" t="n"/>
      <c r="L238" s="85" t="n"/>
      <c r="M238" s="85" t="n"/>
      <c r="N238" s="85" t="n"/>
      <c r="O238" s="85" t="n"/>
      <c r="P238" s="85" t="n"/>
      <c r="Q238" s="85" t="n"/>
      <c r="R238" s="85" t="n"/>
      <c r="S238" s="85" t="n"/>
      <c r="T238" s="85" t="n"/>
      <c r="U238" s="85" t="n"/>
      <c r="V238" s="44" t="n"/>
      <c r="W238" s="50">
        <f>IF(OR(M238="",Q238="",S238=""),"",IF(ABS(ROUND(((ROUND(N(M238)*100,0))-(ROUND(N(Q238)*100,0))),0)-(ROUND(N(S238)*100,0)))&lt;=0,"OK","ABWEICHUNG"))</f>
        <v/>
      </c>
      <c r="X238" s="50">
        <f>IF(OR(K238="",M238="",N238=""),"",IF(ABS(ROUND(((ROUND(N(K238)*100,0)+ROUND(N(L238)*100,0))-(ROUND(N(M238)*100,0))),0)-(ROUND(N(N238)*100,0)))&lt;=0,"OK",IF(OR(L238=""),"UNVOLLSTÄNDIG","ABWEICHUNG")))</f>
        <v/>
      </c>
      <c r="Y238" s="50">
        <f>IF(OR(K238="",O238="",R238=""),"",IF(ABS(ROUND(((ROUND(N(K238)*100,0))-(ROUND(N(O238)*100,0))),0)-(ROUND(N(R238)*100,0)))&lt;=0,"OK","ABWEICHUNG"))</f>
        <v/>
      </c>
      <c r="Z238" s="50">
        <f>IF(OR(N238="",O238="",P238="",Q238="",T238=""),"",IF(ABS(ROUND(((ROUND(N(N238)*100,0)+ROUND(N(Q238)*100,0))-(ROUND(N(O238)*100,0)+ROUND(N(P238)*100,0))),0)-(ROUND(N(T238)*100,0)))&lt;=0,"OK","ABWEICHUNG"))</f>
        <v/>
      </c>
      <c r="AA238" s="44" t="n"/>
      <c r="AB238" s="44" t="n"/>
      <c r="AC238" s="44" t="n"/>
      <c r="AD238" s="44" t="n"/>
      <c r="AE238" s="85" t="n"/>
      <c r="AF238" s="85" t="n"/>
      <c r="AG238" s="44" t="n"/>
      <c r="AH238" s="44" t="n"/>
    </row>
    <row r="239">
      <c r="A239" s="44" t="n"/>
      <c r="B239" s="44" t="n"/>
      <c r="C239" s="44" t="n"/>
      <c r="D239" s="44" t="n"/>
      <c r="E239" s="44" t="n"/>
      <c r="F239" s="44" t="n"/>
      <c r="G239" s="45" t="n"/>
      <c r="H239" s="44" t="n"/>
      <c r="I239" s="45" t="n"/>
      <c r="J239" s="44" t="n"/>
      <c r="K239" s="85" t="n"/>
      <c r="L239" s="85" t="n"/>
      <c r="M239" s="85" t="n"/>
      <c r="N239" s="85" t="n"/>
      <c r="O239" s="85" t="n"/>
      <c r="P239" s="85" t="n"/>
      <c r="Q239" s="85" t="n"/>
      <c r="R239" s="85" t="n"/>
      <c r="S239" s="85" t="n"/>
      <c r="T239" s="85" t="n"/>
      <c r="U239" s="85" t="n"/>
      <c r="V239" s="44" t="n"/>
      <c r="W239" s="50">
        <f>IF(OR(M239="",Q239="",S239=""),"",IF(ABS(ROUND(((ROUND(N(M239)*100,0))-(ROUND(N(Q239)*100,0))),0)-(ROUND(N(S239)*100,0)))&lt;=0,"OK","ABWEICHUNG"))</f>
        <v/>
      </c>
      <c r="X239" s="50">
        <f>IF(OR(K239="",M239="",N239=""),"",IF(ABS(ROUND(((ROUND(N(K239)*100,0)+ROUND(N(L239)*100,0))-(ROUND(N(M239)*100,0))),0)-(ROUND(N(N239)*100,0)))&lt;=0,"OK",IF(OR(L239=""),"UNVOLLSTÄNDIG","ABWEICHUNG")))</f>
        <v/>
      </c>
      <c r="Y239" s="50">
        <f>IF(OR(K239="",O239="",R239=""),"",IF(ABS(ROUND(((ROUND(N(K239)*100,0))-(ROUND(N(O239)*100,0))),0)-(ROUND(N(R239)*100,0)))&lt;=0,"OK","ABWEICHUNG"))</f>
        <v/>
      </c>
      <c r="Z239" s="50">
        <f>IF(OR(N239="",O239="",P239="",Q239="",T239=""),"",IF(ABS(ROUND(((ROUND(N(N239)*100,0)+ROUND(N(Q239)*100,0))-(ROUND(N(O239)*100,0)+ROUND(N(P239)*100,0))),0)-(ROUND(N(T239)*100,0)))&lt;=0,"OK","ABWEICHUNG"))</f>
        <v/>
      </c>
      <c r="AA239" s="44" t="n"/>
      <c r="AB239" s="44" t="n"/>
      <c r="AC239" s="44" t="n"/>
      <c r="AD239" s="44" t="n"/>
      <c r="AE239" s="85" t="n"/>
      <c r="AF239" s="85" t="n"/>
      <c r="AG239" s="44" t="n"/>
      <c r="AH239" s="44" t="n"/>
    </row>
    <row r="240">
      <c r="A240" s="44" t="n"/>
      <c r="B240" s="44" t="n"/>
      <c r="C240" s="44" t="n"/>
      <c r="D240" s="44" t="n"/>
      <c r="E240" s="44" t="n"/>
      <c r="F240" s="44" t="n"/>
      <c r="G240" s="45" t="n"/>
      <c r="H240" s="44" t="n"/>
      <c r="I240" s="45" t="n"/>
      <c r="J240" s="44" t="n"/>
      <c r="K240" s="85" t="n"/>
      <c r="L240" s="85" t="n"/>
      <c r="M240" s="85" t="n"/>
      <c r="N240" s="85" t="n"/>
      <c r="O240" s="85" t="n"/>
      <c r="P240" s="85" t="n"/>
      <c r="Q240" s="85" t="n"/>
      <c r="R240" s="85" t="n"/>
      <c r="S240" s="85" t="n"/>
      <c r="T240" s="85" t="n"/>
      <c r="U240" s="85" t="n"/>
      <c r="V240" s="44" t="n"/>
      <c r="W240" s="50">
        <f>IF(OR(M240="",Q240="",S240=""),"",IF(ABS(ROUND(((ROUND(N(M240)*100,0))-(ROUND(N(Q240)*100,0))),0)-(ROUND(N(S240)*100,0)))&lt;=0,"OK","ABWEICHUNG"))</f>
        <v/>
      </c>
      <c r="X240" s="50">
        <f>IF(OR(K240="",M240="",N240=""),"",IF(ABS(ROUND(((ROUND(N(K240)*100,0)+ROUND(N(L240)*100,0))-(ROUND(N(M240)*100,0))),0)-(ROUND(N(N240)*100,0)))&lt;=0,"OK",IF(OR(L240=""),"UNVOLLSTÄNDIG","ABWEICHUNG")))</f>
        <v/>
      </c>
      <c r="Y240" s="50">
        <f>IF(OR(K240="",O240="",R240=""),"",IF(ABS(ROUND(((ROUND(N(K240)*100,0))-(ROUND(N(O240)*100,0))),0)-(ROUND(N(R240)*100,0)))&lt;=0,"OK","ABWEICHUNG"))</f>
        <v/>
      </c>
      <c r="Z240" s="50">
        <f>IF(OR(N240="",O240="",P240="",Q240="",T240=""),"",IF(ABS(ROUND(((ROUND(N(N240)*100,0)+ROUND(N(Q240)*100,0))-(ROUND(N(O240)*100,0)+ROUND(N(P240)*100,0))),0)-(ROUND(N(T240)*100,0)))&lt;=0,"OK","ABWEICHUNG"))</f>
        <v/>
      </c>
      <c r="AA240" s="44" t="n"/>
      <c r="AB240" s="44" t="n"/>
      <c r="AC240" s="44" t="n"/>
      <c r="AD240" s="44" t="n"/>
      <c r="AE240" s="85" t="n"/>
      <c r="AF240" s="85" t="n"/>
      <c r="AG240" s="44" t="n"/>
      <c r="AH240" s="44" t="n"/>
    </row>
    <row r="241">
      <c r="A241" s="44" t="n"/>
      <c r="B241" s="44" t="n"/>
      <c r="C241" s="44" t="n"/>
      <c r="D241" s="44" t="n"/>
      <c r="E241" s="44" t="n"/>
      <c r="F241" s="44" t="n"/>
      <c r="G241" s="45" t="n"/>
      <c r="H241" s="44" t="n"/>
      <c r="I241" s="45" t="n"/>
      <c r="J241" s="44" t="n"/>
      <c r="K241" s="85" t="n"/>
      <c r="L241" s="85" t="n"/>
      <c r="M241" s="85" t="n"/>
      <c r="N241" s="85" t="n"/>
      <c r="O241" s="85" t="n"/>
      <c r="P241" s="85" t="n"/>
      <c r="Q241" s="85" t="n"/>
      <c r="R241" s="85" t="n"/>
      <c r="S241" s="85" t="n"/>
      <c r="T241" s="85" t="n"/>
      <c r="U241" s="85" t="n"/>
      <c r="V241" s="44" t="n"/>
      <c r="W241" s="50">
        <f>IF(OR(M241="",Q241="",S241=""),"",IF(ABS(ROUND(((ROUND(N(M241)*100,0))-(ROUND(N(Q241)*100,0))),0)-(ROUND(N(S241)*100,0)))&lt;=0,"OK","ABWEICHUNG"))</f>
        <v/>
      </c>
      <c r="X241" s="50">
        <f>IF(OR(K241="",M241="",N241=""),"",IF(ABS(ROUND(((ROUND(N(K241)*100,0)+ROUND(N(L241)*100,0))-(ROUND(N(M241)*100,0))),0)-(ROUND(N(N241)*100,0)))&lt;=0,"OK",IF(OR(L241=""),"UNVOLLSTÄNDIG","ABWEICHUNG")))</f>
        <v/>
      </c>
      <c r="Y241" s="50">
        <f>IF(OR(K241="",O241="",R241=""),"",IF(ABS(ROUND(((ROUND(N(K241)*100,0))-(ROUND(N(O241)*100,0))),0)-(ROUND(N(R241)*100,0)))&lt;=0,"OK","ABWEICHUNG"))</f>
        <v/>
      </c>
      <c r="Z241" s="50">
        <f>IF(OR(N241="",O241="",P241="",Q241="",T241=""),"",IF(ABS(ROUND(((ROUND(N(N241)*100,0)+ROUND(N(Q241)*100,0))-(ROUND(N(O241)*100,0)+ROUND(N(P241)*100,0))),0)-(ROUND(N(T241)*100,0)))&lt;=0,"OK","ABWEICHUNG"))</f>
        <v/>
      </c>
      <c r="AA241" s="44" t="n"/>
      <c r="AB241" s="44" t="n"/>
      <c r="AC241" s="44" t="n"/>
      <c r="AD241" s="44" t="n"/>
      <c r="AE241" s="85" t="n"/>
      <c r="AF241" s="85" t="n"/>
      <c r="AG241" s="44" t="n"/>
      <c r="AH241" s="44" t="n"/>
    </row>
    <row r="242">
      <c r="A242" s="44" t="n"/>
      <c r="B242" s="44" t="n"/>
      <c r="C242" s="44" t="n"/>
      <c r="D242" s="44" t="n"/>
      <c r="E242" s="44" t="n"/>
      <c r="F242" s="44" t="n"/>
      <c r="G242" s="45" t="n"/>
      <c r="H242" s="44" t="n"/>
      <c r="I242" s="45" t="n"/>
      <c r="J242" s="44" t="n"/>
      <c r="K242" s="85" t="n"/>
      <c r="L242" s="85" t="n"/>
      <c r="M242" s="85" t="n"/>
      <c r="N242" s="85" t="n"/>
      <c r="O242" s="85" t="n"/>
      <c r="P242" s="85" t="n"/>
      <c r="Q242" s="85" t="n"/>
      <c r="R242" s="85" t="n"/>
      <c r="S242" s="85" t="n"/>
      <c r="T242" s="85" t="n"/>
      <c r="U242" s="85" t="n"/>
      <c r="V242" s="44" t="n"/>
      <c r="W242" s="50">
        <f>IF(OR(M242="",Q242="",S242=""),"",IF(ABS(ROUND(((ROUND(N(M242)*100,0))-(ROUND(N(Q242)*100,0))),0)-(ROUND(N(S242)*100,0)))&lt;=0,"OK","ABWEICHUNG"))</f>
        <v/>
      </c>
      <c r="X242" s="50">
        <f>IF(OR(K242="",M242="",N242=""),"",IF(ABS(ROUND(((ROUND(N(K242)*100,0)+ROUND(N(L242)*100,0))-(ROUND(N(M242)*100,0))),0)-(ROUND(N(N242)*100,0)))&lt;=0,"OK",IF(OR(L242=""),"UNVOLLSTÄNDIG","ABWEICHUNG")))</f>
        <v/>
      </c>
      <c r="Y242" s="50">
        <f>IF(OR(K242="",O242="",R242=""),"",IF(ABS(ROUND(((ROUND(N(K242)*100,0))-(ROUND(N(O242)*100,0))),0)-(ROUND(N(R242)*100,0)))&lt;=0,"OK","ABWEICHUNG"))</f>
        <v/>
      </c>
      <c r="Z242" s="50">
        <f>IF(OR(N242="",O242="",P242="",Q242="",T242=""),"",IF(ABS(ROUND(((ROUND(N(N242)*100,0)+ROUND(N(Q242)*100,0))-(ROUND(N(O242)*100,0)+ROUND(N(P242)*100,0))),0)-(ROUND(N(T242)*100,0)))&lt;=0,"OK","ABWEICHUNG"))</f>
        <v/>
      </c>
      <c r="AA242" s="44" t="n"/>
      <c r="AB242" s="44" t="n"/>
      <c r="AC242" s="44" t="n"/>
      <c r="AD242" s="44" t="n"/>
      <c r="AE242" s="85" t="n"/>
      <c r="AF242" s="85" t="n"/>
      <c r="AG242" s="44" t="n"/>
      <c r="AH242" s="44" t="n"/>
    </row>
    <row r="243">
      <c r="A243" s="44" t="n"/>
      <c r="B243" s="44" t="n"/>
      <c r="C243" s="44" t="n"/>
      <c r="D243" s="44" t="n"/>
      <c r="E243" s="44" t="n"/>
      <c r="F243" s="44" t="n"/>
      <c r="G243" s="45" t="n"/>
      <c r="H243" s="44" t="n"/>
      <c r="I243" s="45" t="n"/>
      <c r="J243" s="44" t="n"/>
      <c r="K243" s="85" t="n"/>
      <c r="L243" s="85" t="n"/>
      <c r="M243" s="85" t="n"/>
      <c r="N243" s="85" t="n"/>
      <c r="O243" s="85" t="n"/>
      <c r="P243" s="85" t="n"/>
      <c r="Q243" s="85" t="n"/>
      <c r="R243" s="85" t="n"/>
      <c r="S243" s="85" t="n"/>
      <c r="T243" s="85" t="n"/>
      <c r="U243" s="85" t="n"/>
      <c r="V243" s="44" t="n"/>
      <c r="W243" s="50">
        <f>IF(OR(M243="",Q243="",S243=""),"",IF(ABS(ROUND(((ROUND(N(M243)*100,0))-(ROUND(N(Q243)*100,0))),0)-(ROUND(N(S243)*100,0)))&lt;=0,"OK","ABWEICHUNG"))</f>
        <v/>
      </c>
      <c r="X243" s="50">
        <f>IF(OR(K243="",M243="",N243=""),"",IF(ABS(ROUND(((ROUND(N(K243)*100,0)+ROUND(N(L243)*100,0))-(ROUND(N(M243)*100,0))),0)-(ROUND(N(N243)*100,0)))&lt;=0,"OK",IF(OR(L243=""),"UNVOLLSTÄNDIG","ABWEICHUNG")))</f>
        <v/>
      </c>
      <c r="Y243" s="50">
        <f>IF(OR(K243="",O243="",R243=""),"",IF(ABS(ROUND(((ROUND(N(K243)*100,0))-(ROUND(N(O243)*100,0))),0)-(ROUND(N(R243)*100,0)))&lt;=0,"OK","ABWEICHUNG"))</f>
        <v/>
      </c>
      <c r="Z243" s="50">
        <f>IF(OR(N243="",O243="",P243="",Q243="",T243=""),"",IF(ABS(ROUND(((ROUND(N(N243)*100,0)+ROUND(N(Q243)*100,0))-(ROUND(N(O243)*100,0)+ROUND(N(P243)*100,0))),0)-(ROUND(N(T243)*100,0)))&lt;=0,"OK","ABWEICHUNG"))</f>
        <v/>
      </c>
      <c r="AA243" s="44" t="n"/>
      <c r="AB243" s="44" t="n"/>
      <c r="AC243" s="44" t="n"/>
      <c r="AD243" s="44" t="n"/>
      <c r="AE243" s="85" t="n"/>
      <c r="AF243" s="85" t="n"/>
      <c r="AG243" s="44" t="n"/>
      <c r="AH243" s="44" t="n"/>
    </row>
    <row r="244">
      <c r="A244" s="44" t="n"/>
      <c r="B244" s="44" t="n"/>
      <c r="C244" s="44" t="n"/>
      <c r="D244" s="44" t="n"/>
      <c r="E244" s="44" t="n"/>
      <c r="F244" s="44" t="n"/>
      <c r="G244" s="45" t="n"/>
      <c r="H244" s="44" t="n"/>
      <c r="I244" s="45" t="n"/>
      <c r="J244" s="44" t="n"/>
      <c r="K244" s="85" t="n"/>
      <c r="L244" s="85" t="n"/>
      <c r="M244" s="85" t="n"/>
      <c r="N244" s="85" t="n"/>
      <c r="O244" s="85" t="n"/>
      <c r="P244" s="85" t="n"/>
      <c r="Q244" s="85" t="n"/>
      <c r="R244" s="85" t="n"/>
      <c r="S244" s="85" t="n"/>
      <c r="T244" s="85" t="n"/>
      <c r="U244" s="85" t="n"/>
      <c r="V244" s="44" t="n"/>
      <c r="W244" s="50">
        <f>IF(OR(M244="",Q244="",S244=""),"",IF(ABS(ROUND(((ROUND(N(M244)*100,0))-(ROUND(N(Q244)*100,0))),0)-(ROUND(N(S244)*100,0)))&lt;=0,"OK","ABWEICHUNG"))</f>
        <v/>
      </c>
      <c r="X244" s="50">
        <f>IF(OR(K244="",M244="",N244=""),"",IF(ABS(ROUND(((ROUND(N(K244)*100,0)+ROUND(N(L244)*100,0))-(ROUND(N(M244)*100,0))),0)-(ROUND(N(N244)*100,0)))&lt;=0,"OK",IF(OR(L244=""),"UNVOLLSTÄNDIG","ABWEICHUNG")))</f>
        <v/>
      </c>
      <c r="Y244" s="50">
        <f>IF(OR(K244="",O244="",R244=""),"",IF(ABS(ROUND(((ROUND(N(K244)*100,0))-(ROUND(N(O244)*100,0))),0)-(ROUND(N(R244)*100,0)))&lt;=0,"OK","ABWEICHUNG"))</f>
        <v/>
      </c>
      <c r="Z244" s="50">
        <f>IF(OR(N244="",O244="",P244="",Q244="",T244=""),"",IF(ABS(ROUND(((ROUND(N(N244)*100,0)+ROUND(N(Q244)*100,0))-(ROUND(N(O244)*100,0)+ROUND(N(P244)*100,0))),0)-(ROUND(N(T244)*100,0)))&lt;=0,"OK","ABWEICHUNG"))</f>
        <v/>
      </c>
      <c r="AA244" s="44" t="n"/>
      <c r="AB244" s="44" t="n"/>
      <c r="AC244" s="44" t="n"/>
      <c r="AD244" s="44" t="n"/>
      <c r="AE244" s="85" t="n"/>
      <c r="AF244" s="85" t="n"/>
      <c r="AG244" s="44" t="n"/>
      <c r="AH244" s="44" t="n"/>
    </row>
    <row r="245">
      <c r="A245" s="44" t="n"/>
      <c r="B245" s="44" t="n"/>
      <c r="C245" s="44" t="n"/>
      <c r="D245" s="44" t="n"/>
      <c r="E245" s="44" t="n"/>
      <c r="F245" s="44" t="n"/>
      <c r="G245" s="45" t="n"/>
      <c r="H245" s="44" t="n"/>
      <c r="I245" s="45" t="n"/>
      <c r="J245" s="44" t="n"/>
      <c r="K245" s="85" t="n"/>
      <c r="L245" s="85" t="n"/>
      <c r="M245" s="85" t="n"/>
      <c r="N245" s="85" t="n"/>
      <c r="O245" s="85" t="n"/>
      <c r="P245" s="85" t="n"/>
      <c r="Q245" s="85" t="n"/>
      <c r="R245" s="85" t="n"/>
      <c r="S245" s="85" t="n"/>
      <c r="T245" s="85" t="n"/>
      <c r="U245" s="85" t="n"/>
      <c r="V245" s="44" t="n"/>
      <c r="W245" s="50">
        <f>IF(OR(M245="",Q245="",S245=""),"",IF(ABS(ROUND(((ROUND(N(M245)*100,0))-(ROUND(N(Q245)*100,0))),0)-(ROUND(N(S245)*100,0)))&lt;=0,"OK","ABWEICHUNG"))</f>
        <v/>
      </c>
      <c r="X245" s="50">
        <f>IF(OR(K245="",M245="",N245=""),"",IF(ABS(ROUND(((ROUND(N(K245)*100,0)+ROUND(N(L245)*100,0))-(ROUND(N(M245)*100,0))),0)-(ROUND(N(N245)*100,0)))&lt;=0,"OK",IF(OR(L245=""),"UNVOLLSTÄNDIG","ABWEICHUNG")))</f>
        <v/>
      </c>
      <c r="Y245" s="50">
        <f>IF(OR(K245="",O245="",R245=""),"",IF(ABS(ROUND(((ROUND(N(K245)*100,0))-(ROUND(N(O245)*100,0))),0)-(ROUND(N(R245)*100,0)))&lt;=0,"OK","ABWEICHUNG"))</f>
        <v/>
      </c>
      <c r="Z245" s="50">
        <f>IF(OR(N245="",O245="",P245="",Q245="",T245=""),"",IF(ABS(ROUND(((ROUND(N(N245)*100,0)+ROUND(N(Q245)*100,0))-(ROUND(N(O245)*100,0)+ROUND(N(P245)*100,0))),0)-(ROUND(N(T245)*100,0)))&lt;=0,"OK","ABWEICHUNG"))</f>
        <v/>
      </c>
      <c r="AA245" s="44" t="n"/>
      <c r="AB245" s="44" t="n"/>
      <c r="AC245" s="44" t="n"/>
      <c r="AD245" s="44" t="n"/>
      <c r="AE245" s="85" t="n"/>
      <c r="AF245" s="85" t="n"/>
      <c r="AG245" s="44" t="n"/>
      <c r="AH245" s="44" t="n"/>
    </row>
    <row r="246">
      <c r="A246" s="44" t="n"/>
      <c r="B246" s="44" t="n"/>
      <c r="C246" s="44" t="n"/>
      <c r="D246" s="44" t="n"/>
      <c r="E246" s="44" t="n"/>
      <c r="F246" s="44" t="n"/>
      <c r="G246" s="45" t="n"/>
      <c r="H246" s="44" t="n"/>
      <c r="I246" s="45" t="n"/>
      <c r="J246" s="44" t="n"/>
      <c r="K246" s="85" t="n"/>
      <c r="L246" s="85" t="n"/>
      <c r="M246" s="85" t="n"/>
      <c r="N246" s="85" t="n"/>
      <c r="O246" s="85" t="n"/>
      <c r="P246" s="85" t="n"/>
      <c r="Q246" s="85" t="n"/>
      <c r="R246" s="85" t="n"/>
      <c r="S246" s="85" t="n"/>
      <c r="T246" s="85" t="n"/>
      <c r="U246" s="85" t="n"/>
      <c r="V246" s="44" t="n"/>
      <c r="W246" s="50">
        <f>IF(OR(M246="",Q246="",S246=""),"",IF(ABS(ROUND(((ROUND(N(M246)*100,0))-(ROUND(N(Q246)*100,0))),0)-(ROUND(N(S246)*100,0)))&lt;=0,"OK","ABWEICHUNG"))</f>
        <v/>
      </c>
      <c r="X246" s="50">
        <f>IF(OR(K246="",M246="",N246=""),"",IF(ABS(ROUND(((ROUND(N(K246)*100,0)+ROUND(N(L246)*100,0))-(ROUND(N(M246)*100,0))),0)-(ROUND(N(N246)*100,0)))&lt;=0,"OK",IF(OR(L246=""),"UNVOLLSTÄNDIG","ABWEICHUNG")))</f>
        <v/>
      </c>
      <c r="Y246" s="50">
        <f>IF(OR(K246="",O246="",R246=""),"",IF(ABS(ROUND(((ROUND(N(K246)*100,0))-(ROUND(N(O246)*100,0))),0)-(ROUND(N(R246)*100,0)))&lt;=0,"OK","ABWEICHUNG"))</f>
        <v/>
      </c>
      <c r="Z246" s="50">
        <f>IF(OR(N246="",O246="",P246="",Q246="",T246=""),"",IF(ABS(ROUND(((ROUND(N(N246)*100,0)+ROUND(N(Q246)*100,0))-(ROUND(N(O246)*100,0)+ROUND(N(P246)*100,0))),0)-(ROUND(N(T246)*100,0)))&lt;=0,"OK","ABWEICHUNG"))</f>
        <v/>
      </c>
      <c r="AA246" s="44" t="n"/>
      <c r="AB246" s="44" t="n"/>
      <c r="AC246" s="44" t="n"/>
      <c r="AD246" s="44" t="n"/>
      <c r="AE246" s="85" t="n"/>
      <c r="AF246" s="85" t="n"/>
      <c r="AG246" s="44" t="n"/>
      <c r="AH246" s="44" t="n"/>
    </row>
    <row r="247">
      <c r="A247" s="44" t="n"/>
      <c r="B247" s="44" t="n"/>
      <c r="C247" s="44" t="n"/>
      <c r="D247" s="44" t="n"/>
      <c r="E247" s="44" t="n"/>
      <c r="F247" s="44" t="n"/>
      <c r="G247" s="45" t="n"/>
      <c r="H247" s="44" t="n"/>
      <c r="I247" s="45" t="n"/>
      <c r="J247" s="44" t="n"/>
      <c r="K247" s="85" t="n"/>
      <c r="L247" s="85" t="n"/>
      <c r="M247" s="85" t="n"/>
      <c r="N247" s="85" t="n"/>
      <c r="O247" s="85" t="n"/>
      <c r="P247" s="85" t="n"/>
      <c r="Q247" s="85" t="n"/>
      <c r="R247" s="85" t="n"/>
      <c r="S247" s="85" t="n"/>
      <c r="T247" s="85" t="n"/>
      <c r="U247" s="85" t="n"/>
      <c r="V247" s="44" t="n"/>
      <c r="W247" s="50">
        <f>IF(OR(M247="",Q247="",S247=""),"",IF(ABS(ROUND(((ROUND(N(M247)*100,0))-(ROUND(N(Q247)*100,0))),0)-(ROUND(N(S247)*100,0)))&lt;=0,"OK","ABWEICHUNG"))</f>
        <v/>
      </c>
      <c r="X247" s="50">
        <f>IF(OR(K247="",M247="",N247=""),"",IF(ABS(ROUND(((ROUND(N(K247)*100,0)+ROUND(N(L247)*100,0))-(ROUND(N(M247)*100,0))),0)-(ROUND(N(N247)*100,0)))&lt;=0,"OK",IF(OR(L247=""),"UNVOLLSTÄNDIG","ABWEICHUNG")))</f>
        <v/>
      </c>
      <c r="Y247" s="50">
        <f>IF(OR(K247="",O247="",R247=""),"",IF(ABS(ROUND(((ROUND(N(K247)*100,0))-(ROUND(N(O247)*100,0))),0)-(ROUND(N(R247)*100,0)))&lt;=0,"OK","ABWEICHUNG"))</f>
        <v/>
      </c>
      <c r="Z247" s="50">
        <f>IF(OR(N247="",O247="",P247="",Q247="",T247=""),"",IF(ABS(ROUND(((ROUND(N(N247)*100,0)+ROUND(N(Q247)*100,0))-(ROUND(N(O247)*100,0)+ROUND(N(P247)*100,0))),0)-(ROUND(N(T247)*100,0)))&lt;=0,"OK","ABWEICHUNG"))</f>
        <v/>
      </c>
      <c r="AA247" s="44" t="n"/>
      <c r="AB247" s="44" t="n"/>
      <c r="AC247" s="44" t="n"/>
      <c r="AD247" s="44" t="n"/>
      <c r="AE247" s="85" t="n"/>
      <c r="AF247" s="85" t="n"/>
      <c r="AG247" s="44" t="n"/>
      <c r="AH247" s="44" t="n"/>
    </row>
    <row r="248">
      <c r="A248" s="44" t="n"/>
      <c r="B248" s="44" t="n"/>
      <c r="C248" s="44" t="n"/>
      <c r="D248" s="44" t="n"/>
      <c r="E248" s="44" t="n"/>
      <c r="F248" s="44" t="n"/>
      <c r="G248" s="45" t="n"/>
      <c r="H248" s="44" t="n"/>
      <c r="I248" s="45" t="n"/>
      <c r="J248" s="44" t="n"/>
      <c r="K248" s="85" t="n"/>
      <c r="L248" s="85" t="n"/>
      <c r="M248" s="85" t="n"/>
      <c r="N248" s="85" t="n"/>
      <c r="O248" s="85" t="n"/>
      <c r="P248" s="85" t="n"/>
      <c r="Q248" s="85" t="n"/>
      <c r="R248" s="85" t="n"/>
      <c r="S248" s="85" t="n"/>
      <c r="T248" s="85" t="n"/>
      <c r="U248" s="85" t="n"/>
      <c r="V248" s="44" t="n"/>
      <c r="W248" s="50">
        <f>IF(OR(M248="",Q248="",S248=""),"",IF(ABS(ROUND(((ROUND(N(M248)*100,0))-(ROUND(N(Q248)*100,0))),0)-(ROUND(N(S248)*100,0)))&lt;=0,"OK","ABWEICHUNG"))</f>
        <v/>
      </c>
      <c r="X248" s="50">
        <f>IF(OR(K248="",M248="",N248=""),"",IF(ABS(ROUND(((ROUND(N(K248)*100,0)+ROUND(N(L248)*100,0))-(ROUND(N(M248)*100,0))),0)-(ROUND(N(N248)*100,0)))&lt;=0,"OK",IF(OR(L248=""),"UNVOLLSTÄNDIG","ABWEICHUNG")))</f>
        <v/>
      </c>
      <c r="Y248" s="50">
        <f>IF(OR(K248="",O248="",R248=""),"",IF(ABS(ROUND(((ROUND(N(K248)*100,0))-(ROUND(N(O248)*100,0))),0)-(ROUND(N(R248)*100,0)))&lt;=0,"OK","ABWEICHUNG"))</f>
        <v/>
      </c>
      <c r="Z248" s="50">
        <f>IF(OR(N248="",O248="",P248="",Q248="",T248=""),"",IF(ABS(ROUND(((ROUND(N(N248)*100,0)+ROUND(N(Q248)*100,0))-(ROUND(N(O248)*100,0)+ROUND(N(P248)*100,0))),0)-(ROUND(N(T248)*100,0)))&lt;=0,"OK","ABWEICHUNG"))</f>
        <v/>
      </c>
      <c r="AA248" s="44" t="n"/>
      <c r="AB248" s="44" t="n"/>
      <c r="AC248" s="44" t="n"/>
      <c r="AD248" s="44" t="n"/>
      <c r="AE248" s="85" t="n"/>
      <c r="AF248" s="85" t="n"/>
      <c r="AG248" s="44" t="n"/>
      <c r="AH248" s="44" t="n"/>
    </row>
    <row r="249">
      <c r="A249" s="44" t="n"/>
      <c r="B249" s="44" t="n"/>
      <c r="C249" s="44" t="n"/>
      <c r="D249" s="44" t="n"/>
      <c r="E249" s="44" t="n"/>
      <c r="F249" s="44" t="n"/>
      <c r="G249" s="45" t="n"/>
      <c r="H249" s="44" t="n"/>
      <c r="I249" s="45" t="n"/>
      <c r="J249" s="44" t="n"/>
      <c r="K249" s="85" t="n"/>
      <c r="L249" s="85" t="n"/>
      <c r="M249" s="85" t="n"/>
      <c r="N249" s="85" t="n"/>
      <c r="O249" s="85" t="n"/>
      <c r="P249" s="85" t="n"/>
      <c r="Q249" s="85" t="n"/>
      <c r="R249" s="85" t="n"/>
      <c r="S249" s="85" t="n"/>
      <c r="T249" s="85" t="n"/>
      <c r="U249" s="85" t="n"/>
      <c r="V249" s="44" t="n"/>
      <c r="W249" s="50">
        <f>IF(OR(M249="",Q249="",S249=""),"",IF(ABS(ROUND(((ROUND(N(M249)*100,0))-(ROUND(N(Q249)*100,0))),0)-(ROUND(N(S249)*100,0)))&lt;=0,"OK","ABWEICHUNG"))</f>
        <v/>
      </c>
      <c r="X249" s="50">
        <f>IF(OR(K249="",M249="",N249=""),"",IF(ABS(ROUND(((ROUND(N(K249)*100,0)+ROUND(N(L249)*100,0))-(ROUND(N(M249)*100,0))),0)-(ROUND(N(N249)*100,0)))&lt;=0,"OK",IF(OR(L249=""),"UNVOLLSTÄNDIG","ABWEICHUNG")))</f>
        <v/>
      </c>
      <c r="Y249" s="50">
        <f>IF(OR(K249="",O249="",R249=""),"",IF(ABS(ROUND(((ROUND(N(K249)*100,0))-(ROUND(N(O249)*100,0))),0)-(ROUND(N(R249)*100,0)))&lt;=0,"OK","ABWEICHUNG"))</f>
        <v/>
      </c>
      <c r="Z249" s="50">
        <f>IF(OR(N249="",O249="",P249="",Q249="",T249=""),"",IF(ABS(ROUND(((ROUND(N(N249)*100,0)+ROUND(N(Q249)*100,0))-(ROUND(N(O249)*100,0)+ROUND(N(P249)*100,0))),0)-(ROUND(N(T249)*100,0)))&lt;=0,"OK","ABWEICHUNG"))</f>
        <v/>
      </c>
      <c r="AA249" s="44" t="n"/>
      <c r="AB249" s="44" t="n"/>
      <c r="AC249" s="44" t="n"/>
      <c r="AD249" s="44" t="n"/>
      <c r="AE249" s="85" t="n"/>
      <c r="AF249" s="85" t="n"/>
      <c r="AG249" s="44" t="n"/>
      <c r="AH249" s="44" t="n"/>
    </row>
    <row r="250">
      <c r="A250" s="44" t="n"/>
      <c r="B250" s="44" t="n"/>
      <c r="C250" s="44" t="n"/>
      <c r="D250" s="44" t="n"/>
      <c r="E250" s="44" t="n"/>
      <c r="F250" s="44" t="n"/>
      <c r="G250" s="45" t="n"/>
      <c r="H250" s="44" t="n"/>
      <c r="I250" s="45" t="n"/>
      <c r="J250" s="44" t="n"/>
      <c r="K250" s="85" t="n"/>
      <c r="L250" s="85" t="n"/>
      <c r="M250" s="85" t="n"/>
      <c r="N250" s="85" t="n"/>
      <c r="O250" s="85" t="n"/>
      <c r="P250" s="85" t="n"/>
      <c r="Q250" s="85" t="n"/>
      <c r="R250" s="85" t="n"/>
      <c r="S250" s="85" t="n"/>
      <c r="T250" s="85" t="n"/>
      <c r="U250" s="85" t="n"/>
      <c r="V250" s="44" t="n"/>
      <c r="W250" s="50">
        <f>IF(OR(M250="",Q250="",S250=""),"",IF(ABS(ROUND(((ROUND(N(M250)*100,0))-(ROUND(N(Q250)*100,0))),0)-(ROUND(N(S250)*100,0)))&lt;=0,"OK","ABWEICHUNG"))</f>
        <v/>
      </c>
      <c r="X250" s="50">
        <f>IF(OR(K250="",M250="",N250=""),"",IF(ABS(ROUND(((ROUND(N(K250)*100,0)+ROUND(N(L250)*100,0))-(ROUND(N(M250)*100,0))),0)-(ROUND(N(N250)*100,0)))&lt;=0,"OK",IF(OR(L250=""),"UNVOLLSTÄNDIG","ABWEICHUNG")))</f>
        <v/>
      </c>
      <c r="Y250" s="50">
        <f>IF(OR(K250="",O250="",R250=""),"",IF(ABS(ROUND(((ROUND(N(K250)*100,0))-(ROUND(N(O250)*100,0))),0)-(ROUND(N(R250)*100,0)))&lt;=0,"OK","ABWEICHUNG"))</f>
        <v/>
      </c>
      <c r="Z250" s="50">
        <f>IF(OR(N250="",O250="",P250="",Q250="",T250=""),"",IF(ABS(ROUND(((ROUND(N(N250)*100,0)+ROUND(N(Q250)*100,0))-(ROUND(N(O250)*100,0)+ROUND(N(P250)*100,0))),0)-(ROUND(N(T250)*100,0)))&lt;=0,"OK","ABWEICHUNG"))</f>
        <v/>
      </c>
      <c r="AA250" s="44" t="n"/>
      <c r="AB250" s="44" t="n"/>
      <c r="AC250" s="44" t="n"/>
      <c r="AD250" s="44" t="n"/>
      <c r="AE250" s="85" t="n"/>
      <c r="AF250" s="85" t="n"/>
      <c r="AG250" s="44" t="n"/>
      <c r="AH250" s="44" t="n"/>
    </row>
    <row r="251">
      <c r="A251" s="44" t="n"/>
      <c r="B251" s="44" t="n"/>
      <c r="C251" s="44" t="n"/>
      <c r="D251" s="44" t="n"/>
      <c r="E251" s="44" t="n"/>
      <c r="F251" s="44" t="n"/>
      <c r="G251" s="45" t="n"/>
      <c r="H251" s="44" t="n"/>
      <c r="I251" s="45" t="n"/>
      <c r="J251" s="44" t="n"/>
      <c r="K251" s="85" t="n"/>
      <c r="L251" s="85" t="n"/>
      <c r="M251" s="85" t="n"/>
      <c r="N251" s="85" t="n"/>
      <c r="O251" s="85" t="n"/>
      <c r="P251" s="85" t="n"/>
      <c r="Q251" s="85" t="n"/>
      <c r="R251" s="85" t="n"/>
      <c r="S251" s="85" t="n"/>
      <c r="T251" s="85" t="n"/>
      <c r="U251" s="85" t="n"/>
      <c r="V251" s="44" t="n"/>
      <c r="W251" s="50">
        <f>IF(OR(M251="",Q251="",S251=""),"",IF(ABS(ROUND(((ROUND(N(M251)*100,0))-(ROUND(N(Q251)*100,0))),0)-(ROUND(N(S251)*100,0)))&lt;=0,"OK","ABWEICHUNG"))</f>
        <v/>
      </c>
      <c r="X251" s="50">
        <f>IF(OR(K251="",M251="",N251=""),"",IF(ABS(ROUND(((ROUND(N(K251)*100,0)+ROUND(N(L251)*100,0))-(ROUND(N(M251)*100,0))),0)-(ROUND(N(N251)*100,0)))&lt;=0,"OK",IF(OR(L251=""),"UNVOLLSTÄNDIG","ABWEICHUNG")))</f>
        <v/>
      </c>
      <c r="Y251" s="50">
        <f>IF(OR(K251="",O251="",R251=""),"",IF(ABS(ROUND(((ROUND(N(K251)*100,0))-(ROUND(N(O251)*100,0))),0)-(ROUND(N(R251)*100,0)))&lt;=0,"OK","ABWEICHUNG"))</f>
        <v/>
      </c>
      <c r="Z251" s="50">
        <f>IF(OR(N251="",O251="",P251="",Q251="",T251=""),"",IF(ABS(ROUND(((ROUND(N(N251)*100,0)+ROUND(N(Q251)*100,0))-(ROUND(N(O251)*100,0)+ROUND(N(P251)*100,0))),0)-(ROUND(N(T251)*100,0)))&lt;=0,"OK","ABWEICHUNG"))</f>
        <v/>
      </c>
      <c r="AA251" s="44" t="n"/>
      <c r="AB251" s="44" t="n"/>
      <c r="AC251" s="44" t="n"/>
      <c r="AD251" s="44" t="n"/>
      <c r="AE251" s="85" t="n"/>
      <c r="AF251" s="85" t="n"/>
      <c r="AG251" s="44" t="n"/>
      <c r="AH251" s="44" t="n"/>
    </row>
    <row r="252">
      <c r="A252" s="44" t="n"/>
      <c r="B252" s="44" t="n"/>
      <c r="C252" s="44" t="n"/>
      <c r="D252" s="44" t="n"/>
      <c r="E252" s="44" t="n"/>
      <c r="F252" s="44" t="n"/>
      <c r="G252" s="45" t="n"/>
      <c r="H252" s="44" t="n"/>
      <c r="I252" s="45" t="n"/>
      <c r="J252" s="44" t="n"/>
      <c r="K252" s="85" t="n"/>
      <c r="L252" s="85" t="n"/>
      <c r="M252" s="85" t="n"/>
      <c r="N252" s="85" t="n"/>
      <c r="O252" s="85" t="n"/>
      <c r="P252" s="85" t="n"/>
      <c r="Q252" s="85" t="n"/>
      <c r="R252" s="85" t="n"/>
      <c r="S252" s="85" t="n"/>
      <c r="T252" s="85" t="n"/>
      <c r="U252" s="85" t="n"/>
      <c r="V252" s="44" t="n"/>
      <c r="W252" s="50">
        <f>IF(OR(M252="",Q252="",S252=""),"",IF(ABS(ROUND(((ROUND(N(M252)*100,0))-(ROUND(N(Q252)*100,0))),0)-(ROUND(N(S252)*100,0)))&lt;=0,"OK","ABWEICHUNG"))</f>
        <v/>
      </c>
      <c r="X252" s="50">
        <f>IF(OR(K252="",M252="",N252=""),"",IF(ABS(ROUND(((ROUND(N(K252)*100,0)+ROUND(N(L252)*100,0))-(ROUND(N(M252)*100,0))),0)-(ROUND(N(N252)*100,0)))&lt;=0,"OK",IF(OR(L252=""),"UNVOLLSTÄNDIG","ABWEICHUNG")))</f>
        <v/>
      </c>
      <c r="Y252" s="50">
        <f>IF(OR(K252="",O252="",R252=""),"",IF(ABS(ROUND(((ROUND(N(K252)*100,0))-(ROUND(N(O252)*100,0))),0)-(ROUND(N(R252)*100,0)))&lt;=0,"OK","ABWEICHUNG"))</f>
        <v/>
      </c>
      <c r="Z252" s="50">
        <f>IF(OR(N252="",O252="",P252="",Q252="",T252=""),"",IF(ABS(ROUND(((ROUND(N(N252)*100,0)+ROUND(N(Q252)*100,0))-(ROUND(N(O252)*100,0)+ROUND(N(P252)*100,0))),0)-(ROUND(N(T252)*100,0)))&lt;=0,"OK","ABWEICHUNG"))</f>
        <v/>
      </c>
      <c r="AA252" s="44" t="n"/>
      <c r="AB252" s="44" t="n"/>
      <c r="AC252" s="44" t="n"/>
      <c r="AD252" s="44" t="n"/>
      <c r="AE252" s="85" t="n"/>
      <c r="AF252" s="85" t="n"/>
      <c r="AG252" s="44" t="n"/>
      <c r="AH252" s="44" t="n"/>
    </row>
    <row r="253">
      <c r="A253" s="44" t="n"/>
      <c r="B253" s="44" t="n"/>
      <c r="C253" s="44" t="n"/>
      <c r="D253" s="44" t="n"/>
      <c r="E253" s="44" t="n"/>
      <c r="F253" s="44" t="n"/>
      <c r="G253" s="45" t="n"/>
      <c r="H253" s="44" t="n"/>
      <c r="I253" s="45" t="n"/>
      <c r="J253" s="44" t="n"/>
      <c r="K253" s="85" t="n"/>
      <c r="L253" s="85" t="n"/>
      <c r="M253" s="85" t="n"/>
      <c r="N253" s="85" t="n"/>
      <c r="O253" s="85" t="n"/>
      <c r="P253" s="85" t="n"/>
      <c r="Q253" s="85" t="n"/>
      <c r="R253" s="85" t="n"/>
      <c r="S253" s="85" t="n"/>
      <c r="T253" s="85" t="n"/>
      <c r="U253" s="85" t="n"/>
      <c r="V253" s="44" t="n"/>
      <c r="W253" s="50">
        <f>IF(OR(M253="",Q253="",S253=""),"",IF(ABS(ROUND(((ROUND(N(M253)*100,0))-(ROUND(N(Q253)*100,0))),0)-(ROUND(N(S253)*100,0)))&lt;=0,"OK","ABWEICHUNG"))</f>
        <v/>
      </c>
      <c r="X253" s="50">
        <f>IF(OR(K253="",M253="",N253=""),"",IF(ABS(ROUND(((ROUND(N(K253)*100,0)+ROUND(N(L253)*100,0))-(ROUND(N(M253)*100,0))),0)-(ROUND(N(N253)*100,0)))&lt;=0,"OK",IF(OR(L253=""),"UNVOLLSTÄNDIG","ABWEICHUNG")))</f>
        <v/>
      </c>
      <c r="Y253" s="50">
        <f>IF(OR(K253="",O253="",R253=""),"",IF(ABS(ROUND(((ROUND(N(K253)*100,0))-(ROUND(N(O253)*100,0))),0)-(ROUND(N(R253)*100,0)))&lt;=0,"OK","ABWEICHUNG"))</f>
        <v/>
      </c>
      <c r="Z253" s="50">
        <f>IF(OR(N253="",O253="",P253="",Q253="",T253=""),"",IF(ABS(ROUND(((ROUND(N(N253)*100,0)+ROUND(N(Q253)*100,0))-(ROUND(N(O253)*100,0)+ROUND(N(P253)*100,0))),0)-(ROUND(N(T253)*100,0)))&lt;=0,"OK","ABWEICHUNG"))</f>
        <v/>
      </c>
      <c r="AA253" s="44" t="n"/>
      <c r="AB253" s="44" t="n"/>
      <c r="AC253" s="44" t="n"/>
      <c r="AD253" s="44" t="n"/>
      <c r="AE253" s="85" t="n"/>
      <c r="AF253" s="85" t="n"/>
      <c r="AG253" s="44" t="n"/>
      <c r="AH253" s="44" t="n"/>
    </row>
    <row r="254">
      <c r="A254" s="44" t="n"/>
      <c r="B254" s="44" t="n"/>
      <c r="C254" s="44" t="n"/>
      <c r="D254" s="44" t="n"/>
      <c r="E254" s="44" t="n"/>
      <c r="F254" s="44" t="n"/>
      <c r="G254" s="45" t="n"/>
      <c r="H254" s="44" t="n"/>
      <c r="I254" s="45" t="n"/>
      <c r="J254" s="44" t="n"/>
      <c r="K254" s="85" t="n"/>
      <c r="L254" s="85" t="n"/>
      <c r="M254" s="85" t="n"/>
      <c r="N254" s="85" t="n"/>
      <c r="O254" s="85" t="n"/>
      <c r="P254" s="85" t="n"/>
      <c r="Q254" s="85" t="n"/>
      <c r="R254" s="85" t="n"/>
      <c r="S254" s="85" t="n"/>
      <c r="T254" s="85" t="n"/>
      <c r="U254" s="85" t="n"/>
      <c r="V254" s="44" t="n"/>
      <c r="W254" s="50">
        <f>IF(OR(M254="",Q254="",S254=""),"",IF(ABS(ROUND(((ROUND(N(M254)*100,0))-(ROUND(N(Q254)*100,0))),0)-(ROUND(N(S254)*100,0)))&lt;=0,"OK","ABWEICHUNG"))</f>
        <v/>
      </c>
      <c r="X254" s="50">
        <f>IF(OR(K254="",M254="",N254=""),"",IF(ABS(ROUND(((ROUND(N(K254)*100,0)+ROUND(N(L254)*100,0))-(ROUND(N(M254)*100,0))),0)-(ROUND(N(N254)*100,0)))&lt;=0,"OK",IF(OR(L254=""),"UNVOLLSTÄNDIG","ABWEICHUNG")))</f>
        <v/>
      </c>
      <c r="Y254" s="50">
        <f>IF(OR(K254="",O254="",R254=""),"",IF(ABS(ROUND(((ROUND(N(K254)*100,0))-(ROUND(N(O254)*100,0))),0)-(ROUND(N(R254)*100,0)))&lt;=0,"OK","ABWEICHUNG"))</f>
        <v/>
      </c>
      <c r="Z254" s="50">
        <f>IF(OR(N254="",O254="",P254="",Q254="",T254=""),"",IF(ABS(ROUND(((ROUND(N(N254)*100,0)+ROUND(N(Q254)*100,0))-(ROUND(N(O254)*100,0)+ROUND(N(P254)*100,0))),0)-(ROUND(N(T254)*100,0)))&lt;=0,"OK","ABWEICHUNG"))</f>
        <v/>
      </c>
      <c r="AA254" s="44" t="n"/>
      <c r="AB254" s="44" t="n"/>
      <c r="AC254" s="44" t="n"/>
      <c r="AD254" s="44" t="n"/>
      <c r="AE254" s="85" t="n"/>
      <c r="AF254" s="85" t="n"/>
      <c r="AG254" s="44" t="n"/>
      <c r="AH254" s="44" t="n"/>
    </row>
    <row r="255">
      <c r="A255" s="44" t="n"/>
      <c r="B255" s="44" t="n"/>
      <c r="C255" s="44" t="n"/>
      <c r="D255" s="44" t="n"/>
      <c r="E255" s="44" t="n"/>
      <c r="F255" s="44" t="n"/>
      <c r="G255" s="45" t="n"/>
      <c r="H255" s="44" t="n"/>
      <c r="I255" s="45" t="n"/>
      <c r="J255" s="44" t="n"/>
      <c r="K255" s="85" t="n"/>
      <c r="L255" s="85" t="n"/>
      <c r="M255" s="85" t="n"/>
      <c r="N255" s="85" t="n"/>
      <c r="O255" s="85" t="n"/>
      <c r="P255" s="85" t="n"/>
      <c r="Q255" s="85" t="n"/>
      <c r="R255" s="85" t="n"/>
      <c r="S255" s="85" t="n"/>
      <c r="T255" s="85" t="n"/>
      <c r="U255" s="85" t="n"/>
      <c r="V255" s="44" t="n"/>
      <c r="W255" s="50">
        <f>IF(OR(M255="",Q255="",S255=""),"",IF(ABS(ROUND(((ROUND(N(M255)*100,0))-(ROUND(N(Q255)*100,0))),0)-(ROUND(N(S255)*100,0)))&lt;=0,"OK","ABWEICHUNG"))</f>
        <v/>
      </c>
      <c r="X255" s="50">
        <f>IF(OR(K255="",M255="",N255=""),"",IF(ABS(ROUND(((ROUND(N(K255)*100,0)+ROUND(N(L255)*100,0))-(ROUND(N(M255)*100,0))),0)-(ROUND(N(N255)*100,0)))&lt;=0,"OK",IF(OR(L255=""),"UNVOLLSTÄNDIG","ABWEICHUNG")))</f>
        <v/>
      </c>
      <c r="Y255" s="50">
        <f>IF(OR(K255="",O255="",R255=""),"",IF(ABS(ROUND(((ROUND(N(K255)*100,0))-(ROUND(N(O255)*100,0))),0)-(ROUND(N(R255)*100,0)))&lt;=0,"OK","ABWEICHUNG"))</f>
        <v/>
      </c>
      <c r="Z255" s="50">
        <f>IF(OR(N255="",O255="",P255="",Q255="",T255=""),"",IF(ABS(ROUND(((ROUND(N(N255)*100,0)+ROUND(N(Q255)*100,0))-(ROUND(N(O255)*100,0)+ROUND(N(P255)*100,0))),0)-(ROUND(N(T255)*100,0)))&lt;=0,"OK","ABWEICHUNG"))</f>
        <v/>
      </c>
      <c r="AA255" s="44" t="n"/>
      <c r="AB255" s="44" t="n"/>
      <c r="AC255" s="44" t="n"/>
      <c r="AD255" s="44" t="n"/>
      <c r="AE255" s="85" t="n"/>
      <c r="AF255" s="85" t="n"/>
      <c r="AG255" s="44" t="n"/>
      <c r="AH255" s="44" t="n"/>
    </row>
    <row r="256">
      <c r="A256" s="44" t="n"/>
      <c r="B256" s="44" t="n"/>
      <c r="C256" s="44" t="n"/>
      <c r="D256" s="44" t="n"/>
      <c r="E256" s="44" t="n"/>
      <c r="F256" s="44" t="n"/>
      <c r="G256" s="45" t="n"/>
      <c r="H256" s="44" t="n"/>
      <c r="I256" s="45" t="n"/>
      <c r="J256" s="44" t="n"/>
      <c r="K256" s="85" t="n"/>
      <c r="L256" s="85" t="n"/>
      <c r="M256" s="85" t="n"/>
      <c r="N256" s="85" t="n"/>
      <c r="O256" s="85" t="n"/>
      <c r="P256" s="85" t="n"/>
      <c r="Q256" s="85" t="n"/>
      <c r="R256" s="85" t="n"/>
      <c r="S256" s="85" t="n"/>
      <c r="T256" s="85" t="n"/>
      <c r="U256" s="85" t="n"/>
      <c r="V256" s="44" t="n"/>
      <c r="W256" s="50">
        <f>IF(OR(M256="",Q256="",S256=""),"",IF(ABS(ROUND(((ROUND(N(M256)*100,0))-(ROUND(N(Q256)*100,0))),0)-(ROUND(N(S256)*100,0)))&lt;=0,"OK","ABWEICHUNG"))</f>
        <v/>
      </c>
      <c r="X256" s="50">
        <f>IF(OR(K256="",M256="",N256=""),"",IF(ABS(ROUND(((ROUND(N(K256)*100,0)+ROUND(N(L256)*100,0))-(ROUND(N(M256)*100,0))),0)-(ROUND(N(N256)*100,0)))&lt;=0,"OK",IF(OR(L256=""),"UNVOLLSTÄNDIG","ABWEICHUNG")))</f>
        <v/>
      </c>
      <c r="Y256" s="50">
        <f>IF(OR(K256="",O256="",R256=""),"",IF(ABS(ROUND(((ROUND(N(K256)*100,0))-(ROUND(N(O256)*100,0))),0)-(ROUND(N(R256)*100,0)))&lt;=0,"OK","ABWEICHUNG"))</f>
        <v/>
      </c>
      <c r="Z256" s="50">
        <f>IF(OR(N256="",O256="",P256="",Q256="",T256=""),"",IF(ABS(ROUND(((ROUND(N(N256)*100,0)+ROUND(N(Q256)*100,0))-(ROUND(N(O256)*100,0)+ROUND(N(P256)*100,0))),0)-(ROUND(N(T256)*100,0)))&lt;=0,"OK","ABWEICHUNG"))</f>
        <v/>
      </c>
      <c r="AA256" s="44" t="n"/>
      <c r="AB256" s="44" t="n"/>
      <c r="AC256" s="44" t="n"/>
      <c r="AD256" s="44" t="n"/>
      <c r="AE256" s="85" t="n"/>
      <c r="AF256" s="85" t="n"/>
      <c r="AG256" s="44" t="n"/>
      <c r="AH256" s="44" t="n"/>
    </row>
    <row r="257">
      <c r="A257" s="44" t="n"/>
      <c r="B257" s="44" t="n"/>
      <c r="C257" s="44" t="n"/>
      <c r="D257" s="44" t="n"/>
      <c r="E257" s="44" t="n"/>
      <c r="F257" s="44" t="n"/>
      <c r="G257" s="45" t="n"/>
      <c r="H257" s="44" t="n"/>
      <c r="I257" s="45" t="n"/>
      <c r="J257" s="44" t="n"/>
      <c r="K257" s="85" t="n"/>
      <c r="L257" s="85" t="n"/>
      <c r="M257" s="85" t="n"/>
      <c r="N257" s="85" t="n"/>
      <c r="O257" s="85" t="n"/>
      <c r="P257" s="85" t="n"/>
      <c r="Q257" s="85" t="n"/>
      <c r="R257" s="85" t="n"/>
      <c r="S257" s="85" t="n"/>
      <c r="T257" s="85" t="n"/>
      <c r="U257" s="85" t="n"/>
      <c r="V257" s="44" t="n"/>
      <c r="W257" s="50">
        <f>IF(OR(M257="",Q257="",S257=""),"",IF(ABS(ROUND(((ROUND(N(M257)*100,0))-(ROUND(N(Q257)*100,0))),0)-(ROUND(N(S257)*100,0)))&lt;=0,"OK","ABWEICHUNG"))</f>
        <v/>
      </c>
      <c r="X257" s="50">
        <f>IF(OR(K257="",M257="",N257=""),"",IF(ABS(ROUND(((ROUND(N(K257)*100,0)+ROUND(N(L257)*100,0))-(ROUND(N(M257)*100,0))),0)-(ROUND(N(N257)*100,0)))&lt;=0,"OK",IF(OR(L257=""),"UNVOLLSTÄNDIG","ABWEICHUNG")))</f>
        <v/>
      </c>
      <c r="Y257" s="50">
        <f>IF(OR(K257="",O257="",R257=""),"",IF(ABS(ROUND(((ROUND(N(K257)*100,0))-(ROUND(N(O257)*100,0))),0)-(ROUND(N(R257)*100,0)))&lt;=0,"OK","ABWEICHUNG"))</f>
        <v/>
      </c>
      <c r="Z257" s="50">
        <f>IF(OR(N257="",O257="",P257="",Q257="",T257=""),"",IF(ABS(ROUND(((ROUND(N(N257)*100,0)+ROUND(N(Q257)*100,0))-(ROUND(N(O257)*100,0)+ROUND(N(P257)*100,0))),0)-(ROUND(N(T257)*100,0)))&lt;=0,"OK","ABWEICHUNG"))</f>
        <v/>
      </c>
      <c r="AA257" s="44" t="n"/>
      <c r="AB257" s="44" t="n"/>
      <c r="AC257" s="44" t="n"/>
      <c r="AD257" s="44" t="n"/>
      <c r="AE257" s="85" t="n"/>
      <c r="AF257" s="85" t="n"/>
      <c r="AG257" s="44" t="n"/>
      <c r="AH257" s="44" t="n"/>
    </row>
    <row r="258">
      <c r="A258" s="44" t="n"/>
      <c r="B258" s="44" t="n"/>
      <c r="C258" s="44" t="n"/>
      <c r="D258" s="44" t="n"/>
      <c r="E258" s="44" t="n"/>
      <c r="F258" s="44" t="n"/>
      <c r="G258" s="45" t="n"/>
      <c r="H258" s="44" t="n"/>
      <c r="I258" s="45" t="n"/>
      <c r="J258" s="44" t="n"/>
      <c r="K258" s="85" t="n"/>
      <c r="L258" s="85" t="n"/>
      <c r="M258" s="85" t="n"/>
      <c r="N258" s="85" t="n"/>
      <c r="O258" s="85" t="n"/>
      <c r="P258" s="85" t="n"/>
      <c r="Q258" s="85" t="n"/>
      <c r="R258" s="85" t="n"/>
      <c r="S258" s="85" t="n"/>
      <c r="T258" s="85" t="n"/>
      <c r="U258" s="85" t="n"/>
      <c r="V258" s="44" t="n"/>
      <c r="W258" s="50">
        <f>IF(OR(M258="",Q258="",S258=""),"",IF(ABS(ROUND(((ROUND(N(M258)*100,0))-(ROUND(N(Q258)*100,0))),0)-(ROUND(N(S258)*100,0)))&lt;=0,"OK","ABWEICHUNG"))</f>
        <v/>
      </c>
      <c r="X258" s="50">
        <f>IF(OR(K258="",M258="",N258=""),"",IF(ABS(ROUND(((ROUND(N(K258)*100,0)+ROUND(N(L258)*100,0))-(ROUND(N(M258)*100,0))),0)-(ROUND(N(N258)*100,0)))&lt;=0,"OK",IF(OR(L258=""),"UNVOLLSTÄNDIG","ABWEICHUNG")))</f>
        <v/>
      </c>
      <c r="Y258" s="50">
        <f>IF(OR(K258="",O258="",R258=""),"",IF(ABS(ROUND(((ROUND(N(K258)*100,0))-(ROUND(N(O258)*100,0))),0)-(ROUND(N(R258)*100,0)))&lt;=0,"OK","ABWEICHUNG"))</f>
        <v/>
      </c>
      <c r="Z258" s="50">
        <f>IF(OR(N258="",O258="",P258="",Q258="",T258=""),"",IF(ABS(ROUND(((ROUND(N(N258)*100,0)+ROUND(N(Q258)*100,0))-(ROUND(N(O258)*100,0)+ROUND(N(P258)*100,0))),0)-(ROUND(N(T258)*100,0)))&lt;=0,"OK","ABWEICHUNG"))</f>
        <v/>
      </c>
      <c r="AA258" s="44" t="n"/>
      <c r="AB258" s="44" t="n"/>
      <c r="AC258" s="44" t="n"/>
      <c r="AD258" s="44" t="n"/>
      <c r="AE258" s="85" t="n"/>
      <c r="AF258" s="85" t="n"/>
      <c r="AG258" s="44" t="n"/>
      <c r="AH258" s="44" t="n"/>
    </row>
    <row r="259">
      <c r="A259" s="44" t="n"/>
      <c r="B259" s="44" t="n"/>
      <c r="C259" s="44" t="n"/>
      <c r="D259" s="44" t="n"/>
      <c r="E259" s="44" t="n"/>
      <c r="F259" s="44" t="n"/>
      <c r="G259" s="45" t="n"/>
      <c r="H259" s="44" t="n"/>
      <c r="I259" s="45" t="n"/>
      <c r="J259" s="44" t="n"/>
      <c r="K259" s="85" t="n"/>
      <c r="L259" s="85" t="n"/>
      <c r="M259" s="85" t="n"/>
      <c r="N259" s="85" t="n"/>
      <c r="O259" s="85" t="n"/>
      <c r="P259" s="85" t="n"/>
      <c r="Q259" s="85" t="n"/>
      <c r="R259" s="85" t="n"/>
      <c r="S259" s="85" t="n"/>
      <c r="T259" s="85" t="n"/>
      <c r="U259" s="85" t="n"/>
      <c r="V259" s="44" t="n"/>
      <c r="W259" s="50">
        <f>IF(OR(M259="",Q259="",S259=""),"",IF(ABS(ROUND(((ROUND(N(M259)*100,0))-(ROUND(N(Q259)*100,0))),0)-(ROUND(N(S259)*100,0)))&lt;=0,"OK","ABWEICHUNG"))</f>
        <v/>
      </c>
      <c r="X259" s="50">
        <f>IF(OR(K259="",M259="",N259=""),"",IF(ABS(ROUND(((ROUND(N(K259)*100,0)+ROUND(N(L259)*100,0))-(ROUND(N(M259)*100,0))),0)-(ROUND(N(N259)*100,0)))&lt;=0,"OK",IF(OR(L259=""),"UNVOLLSTÄNDIG","ABWEICHUNG")))</f>
        <v/>
      </c>
      <c r="Y259" s="50">
        <f>IF(OR(K259="",O259="",R259=""),"",IF(ABS(ROUND(((ROUND(N(K259)*100,0))-(ROUND(N(O259)*100,0))),0)-(ROUND(N(R259)*100,0)))&lt;=0,"OK","ABWEICHUNG"))</f>
        <v/>
      </c>
      <c r="Z259" s="50">
        <f>IF(OR(N259="",O259="",P259="",Q259="",T259=""),"",IF(ABS(ROUND(((ROUND(N(N259)*100,0)+ROUND(N(Q259)*100,0))-(ROUND(N(O259)*100,0)+ROUND(N(P259)*100,0))),0)-(ROUND(N(T259)*100,0)))&lt;=0,"OK","ABWEICHUNG"))</f>
        <v/>
      </c>
      <c r="AA259" s="44" t="n"/>
      <c r="AB259" s="44" t="n"/>
      <c r="AC259" s="44" t="n"/>
      <c r="AD259" s="44" t="n"/>
      <c r="AE259" s="85" t="n"/>
      <c r="AF259" s="85" t="n"/>
      <c r="AG259" s="44" t="n"/>
      <c r="AH259" s="44" t="n"/>
    </row>
    <row r="260">
      <c r="A260" s="44" t="n"/>
      <c r="B260" s="44" t="n"/>
      <c r="C260" s="44" t="n"/>
      <c r="D260" s="44" t="n"/>
      <c r="E260" s="44" t="n"/>
      <c r="F260" s="44" t="n"/>
      <c r="G260" s="45" t="n"/>
      <c r="H260" s="44" t="n"/>
      <c r="I260" s="45" t="n"/>
      <c r="J260" s="44" t="n"/>
      <c r="K260" s="85" t="n"/>
      <c r="L260" s="85" t="n"/>
      <c r="M260" s="85" t="n"/>
      <c r="N260" s="85" t="n"/>
      <c r="O260" s="85" t="n"/>
      <c r="P260" s="85" t="n"/>
      <c r="Q260" s="85" t="n"/>
      <c r="R260" s="85" t="n"/>
      <c r="S260" s="85" t="n"/>
      <c r="T260" s="85" t="n"/>
      <c r="U260" s="85" t="n"/>
      <c r="V260" s="44" t="n"/>
      <c r="W260" s="50">
        <f>IF(OR(M260="",Q260="",S260=""),"",IF(ABS(ROUND(((ROUND(N(M260)*100,0))-(ROUND(N(Q260)*100,0))),0)-(ROUND(N(S260)*100,0)))&lt;=0,"OK","ABWEICHUNG"))</f>
        <v/>
      </c>
      <c r="X260" s="50">
        <f>IF(OR(K260="",M260="",N260=""),"",IF(ABS(ROUND(((ROUND(N(K260)*100,0)+ROUND(N(L260)*100,0))-(ROUND(N(M260)*100,0))),0)-(ROUND(N(N260)*100,0)))&lt;=0,"OK",IF(OR(L260=""),"UNVOLLSTÄNDIG","ABWEICHUNG")))</f>
        <v/>
      </c>
      <c r="Y260" s="50">
        <f>IF(OR(K260="",O260="",R260=""),"",IF(ABS(ROUND(((ROUND(N(K260)*100,0))-(ROUND(N(O260)*100,0))),0)-(ROUND(N(R260)*100,0)))&lt;=0,"OK","ABWEICHUNG"))</f>
        <v/>
      </c>
      <c r="Z260" s="50">
        <f>IF(OR(N260="",O260="",P260="",Q260="",T260=""),"",IF(ABS(ROUND(((ROUND(N(N260)*100,0)+ROUND(N(Q260)*100,0))-(ROUND(N(O260)*100,0)+ROUND(N(P260)*100,0))),0)-(ROUND(N(T260)*100,0)))&lt;=0,"OK","ABWEICHUNG"))</f>
        <v/>
      </c>
      <c r="AA260" s="44" t="n"/>
      <c r="AB260" s="44" t="n"/>
      <c r="AC260" s="44" t="n"/>
      <c r="AD260" s="44" t="n"/>
      <c r="AE260" s="85" t="n"/>
      <c r="AF260" s="85" t="n"/>
      <c r="AG260" s="44" t="n"/>
      <c r="AH260" s="44" t="n"/>
    </row>
    <row r="261">
      <c r="A261" s="44" t="n"/>
      <c r="B261" s="44" t="n"/>
      <c r="C261" s="44" t="n"/>
      <c r="D261" s="44" t="n"/>
      <c r="E261" s="44" t="n"/>
      <c r="F261" s="44" t="n"/>
      <c r="G261" s="45" t="n"/>
      <c r="H261" s="44" t="n"/>
      <c r="I261" s="45" t="n"/>
      <c r="J261" s="44" t="n"/>
      <c r="K261" s="85" t="n"/>
      <c r="L261" s="85" t="n"/>
      <c r="M261" s="85" t="n"/>
      <c r="N261" s="85" t="n"/>
      <c r="O261" s="85" t="n"/>
      <c r="P261" s="85" t="n"/>
      <c r="Q261" s="85" t="n"/>
      <c r="R261" s="85" t="n"/>
      <c r="S261" s="85" t="n"/>
      <c r="T261" s="85" t="n"/>
      <c r="U261" s="85" t="n"/>
      <c r="V261" s="44" t="n"/>
      <c r="W261" s="50">
        <f>IF(OR(M261="",Q261="",S261=""),"",IF(ABS(ROUND(((ROUND(N(M261)*100,0))-(ROUND(N(Q261)*100,0))),0)-(ROUND(N(S261)*100,0)))&lt;=0,"OK","ABWEICHUNG"))</f>
        <v/>
      </c>
      <c r="X261" s="50">
        <f>IF(OR(K261="",M261="",N261=""),"",IF(ABS(ROUND(((ROUND(N(K261)*100,0)+ROUND(N(L261)*100,0))-(ROUND(N(M261)*100,0))),0)-(ROUND(N(N261)*100,0)))&lt;=0,"OK",IF(OR(L261=""),"UNVOLLSTÄNDIG","ABWEICHUNG")))</f>
        <v/>
      </c>
      <c r="Y261" s="50">
        <f>IF(OR(K261="",O261="",R261=""),"",IF(ABS(ROUND(((ROUND(N(K261)*100,0))-(ROUND(N(O261)*100,0))),0)-(ROUND(N(R261)*100,0)))&lt;=0,"OK","ABWEICHUNG"))</f>
        <v/>
      </c>
      <c r="Z261" s="50">
        <f>IF(OR(N261="",O261="",P261="",Q261="",T261=""),"",IF(ABS(ROUND(((ROUND(N(N261)*100,0)+ROUND(N(Q261)*100,0))-(ROUND(N(O261)*100,0)+ROUND(N(P261)*100,0))),0)-(ROUND(N(T261)*100,0)))&lt;=0,"OK","ABWEICHUNG"))</f>
        <v/>
      </c>
      <c r="AA261" s="44" t="n"/>
      <c r="AB261" s="44" t="n"/>
      <c r="AC261" s="44" t="n"/>
      <c r="AD261" s="44" t="n"/>
      <c r="AE261" s="85" t="n"/>
      <c r="AF261" s="85" t="n"/>
      <c r="AG261" s="44" t="n"/>
      <c r="AH261" s="44" t="n"/>
    </row>
    <row r="262">
      <c r="A262" s="44" t="n"/>
      <c r="B262" s="44" t="n"/>
      <c r="C262" s="44" t="n"/>
      <c r="D262" s="44" t="n"/>
      <c r="E262" s="44" t="n"/>
      <c r="F262" s="44" t="n"/>
      <c r="G262" s="45" t="n"/>
      <c r="H262" s="44" t="n"/>
      <c r="I262" s="45" t="n"/>
      <c r="J262" s="44" t="n"/>
      <c r="K262" s="85" t="n"/>
      <c r="L262" s="85" t="n"/>
      <c r="M262" s="85" t="n"/>
      <c r="N262" s="85" t="n"/>
      <c r="O262" s="85" t="n"/>
      <c r="P262" s="85" t="n"/>
      <c r="Q262" s="85" t="n"/>
      <c r="R262" s="85" t="n"/>
      <c r="S262" s="85" t="n"/>
      <c r="T262" s="85" t="n"/>
      <c r="U262" s="85" t="n"/>
      <c r="V262" s="44" t="n"/>
      <c r="W262" s="50">
        <f>IF(OR(M262="",Q262="",S262=""),"",IF(ABS(ROUND(((ROUND(N(M262)*100,0))-(ROUND(N(Q262)*100,0))),0)-(ROUND(N(S262)*100,0)))&lt;=0,"OK","ABWEICHUNG"))</f>
        <v/>
      </c>
      <c r="X262" s="50">
        <f>IF(OR(K262="",M262="",N262=""),"",IF(ABS(ROUND(((ROUND(N(K262)*100,0)+ROUND(N(L262)*100,0))-(ROUND(N(M262)*100,0))),0)-(ROUND(N(N262)*100,0)))&lt;=0,"OK",IF(OR(L262=""),"UNVOLLSTÄNDIG","ABWEICHUNG")))</f>
        <v/>
      </c>
      <c r="Y262" s="50">
        <f>IF(OR(K262="",O262="",R262=""),"",IF(ABS(ROUND(((ROUND(N(K262)*100,0))-(ROUND(N(O262)*100,0))),0)-(ROUND(N(R262)*100,0)))&lt;=0,"OK","ABWEICHUNG"))</f>
        <v/>
      </c>
      <c r="Z262" s="50">
        <f>IF(OR(N262="",O262="",P262="",Q262="",T262=""),"",IF(ABS(ROUND(((ROUND(N(N262)*100,0)+ROUND(N(Q262)*100,0))-(ROUND(N(O262)*100,0)+ROUND(N(P262)*100,0))),0)-(ROUND(N(T262)*100,0)))&lt;=0,"OK","ABWEICHUNG"))</f>
        <v/>
      </c>
      <c r="AA262" s="44" t="n"/>
      <c r="AB262" s="44" t="n"/>
      <c r="AC262" s="44" t="n"/>
      <c r="AD262" s="44" t="n"/>
      <c r="AE262" s="85" t="n"/>
      <c r="AF262" s="85" t="n"/>
      <c r="AG262" s="44" t="n"/>
      <c r="AH262" s="44" t="n"/>
    </row>
    <row r="263">
      <c r="A263" s="44" t="n"/>
      <c r="B263" s="44" t="n"/>
      <c r="C263" s="44" t="n"/>
      <c r="D263" s="44" t="n"/>
      <c r="E263" s="44" t="n"/>
      <c r="F263" s="44" t="n"/>
      <c r="G263" s="45" t="n"/>
      <c r="H263" s="44" t="n"/>
      <c r="I263" s="45" t="n"/>
      <c r="J263" s="44" t="n"/>
      <c r="K263" s="85" t="n"/>
      <c r="L263" s="85" t="n"/>
      <c r="M263" s="85" t="n"/>
      <c r="N263" s="85" t="n"/>
      <c r="O263" s="85" t="n"/>
      <c r="P263" s="85" t="n"/>
      <c r="Q263" s="85" t="n"/>
      <c r="R263" s="85" t="n"/>
      <c r="S263" s="85" t="n"/>
      <c r="T263" s="85" t="n"/>
      <c r="U263" s="85" t="n"/>
      <c r="V263" s="44" t="n"/>
      <c r="W263" s="50">
        <f>IF(OR(M263="",Q263="",S263=""),"",IF(ABS(ROUND(((ROUND(N(M263)*100,0))-(ROUND(N(Q263)*100,0))),0)-(ROUND(N(S263)*100,0)))&lt;=0,"OK","ABWEICHUNG"))</f>
        <v/>
      </c>
      <c r="X263" s="50">
        <f>IF(OR(K263="",M263="",N263=""),"",IF(ABS(ROUND(((ROUND(N(K263)*100,0)+ROUND(N(L263)*100,0))-(ROUND(N(M263)*100,0))),0)-(ROUND(N(N263)*100,0)))&lt;=0,"OK",IF(OR(L263=""),"UNVOLLSTÄNDIG","ABWEICHUNG")))</f>
        <v/>
      </c>
      <c r="Y263" s="50">
        <f>IF(OR(K263="",O263="",R263=""),"",IF(ABS(ROUND(((ROUND(N(K263)*100,0))-(ROUND(N(O263)*100,0))),0)-(ROUND(N(R263)*100,0)))&lt;=0,"OK","ABWEICHUNG"))</f>
        <v/>
      </c>
      <c r="Z263" s="50">
        <f>IF(OR(N263="",O263="",P263="",Q263="",T263=""),"",IF(ABS(ROUND(((ROUND(N(N263)*100,0)+ROUND(N(Q263)*100,0))-(ROUND(N(O263)*100,0)+ROUND(N(P263)*100,0))),0)-(ROUND(N(T263)*100,0)))&lt;=0,"OK","ABWEICHUNG"))</f>
        <v/>
      </c>
      <c r="AA263" s="44" t="n"/>
      <c r="AB263" s="44" t="n"/>
      <c r="AC263" s="44" t="n"/>
      <c r="AD263" s="44" t="n"/>
      <c r="AE263" s="85" t="n"/>
      <c r="AF263" s="85" t="n"/>
      <c r="AG263" s="44" t="n"/>
      <c r="AH263" s="44" t="n"/>
    </row>
    <row r="264">
      <c r="A264" s="44" t="n"/>
      <c r="B264" s="44" t="n"/>
      <c r="C264" s="44" t="n"/>
      <c r="D264" s="44" t="n"/>
      <c r="E264" s="44" t="n"/>
      <c r="F264" s="44" t="n"/>
      <c r="G264" s="45" t="n"/>
      <c r="H264" s="44" t="n"/>
      <c r="I264" s="45" t="n"/>
      <c r="J264" s="44" t="n"/>
      <c r="K264" s="85" t="n"/>
      <c r="L264" s="85" t="n"/>
      <c r="M264" s="85" t="n"/>
      <c r="N264" s="85" t="n"/>
      <c r="O264" s="85" t="n"/>
      <c r="P264" s="85" t="n"/>
      <c r="Q264" s="85" t="n"/>
      <c r="R264" s="85" t="n"/>
      <c r="S264" s="85" t="n"/>
      <c r="T264" s="85" t="n"/>
      <c r="U264" s="85" t="n"/>
      <c r="V264" s="44" t="n"/>
      <c r="W264" s="50">
        <f>IF(OR(M264="",Q264="",S264=""),"",IF(ABS(ROUND(((ROUND(N(M264)*100,0))-(ROUND(N(Q264)*100,0))),0)-(ROUND(N(S264)*100,0)))&lt;=0,"OK","ABWEICHUNG"))</f>
        <v/>
      </c>
      <c r="X264" s="50">
        <f>IF(OR(K264="",M264="",N264=""),"",IF(ABS(ROUND(((ROUND(N(K264)*100,0)+ROUND(N(L264)*100,0))-(ROUND(N(M264)*100,0))),0)-(ROUND(N(N264)*100,0)))&lt;=0,"OK",IF(OR(L264=""),"UNVOLLSTÄNDIG","ABWEICHUNG")))</f>
        <v/>
      </c>
      <c r="Y264" s="50">
        <f>IF(OR(K264="",O264="",R264=""),"",IF(ABS(ROUND(((ROUND(N(K264)*100,0))-(ROUND(N(O264)*100,0))),0)-(ROUND(N(R264)*100,0)))&lt;=0,"OK","ABWEICHUNG"))</f>
        <v/>
      </c>
      <c r="Z264" s="50">
        <f>IF(OR(N264="",O264="",P264="",Q264="",T264=""),"",IF(ABS(ROUND(((ROUND(N(N264)*100,0)+ROUND(N(Q264)*100,0))-(ROUND(N(O264)*100,0)+ROUND(N(P264)*100,0))),0)-(ROUND(N(T264)*100,0)))&lt;=0,"OK","ABWEICHUNG"))</f>
        <v/>
      </c>
      <c r="AA264" s="44" t="n"/>
      <c r="AB264" s="44" t="n"/>
      <c r="AC264" s="44" t="n"/>
      <c r="AD264" s="44" t="n"/>
      <c r="AE264" s="85" t="n"/>
      <c r="AF264" s="85" t="n"/>
      <c r="AG264" s="44" t="n"/>
      <c r="AH264" s="44" t="n"/>
    </row>
    <row r="265">
      <c r="A265" s="44" t="n"/>
      <c r="B265" s="44" t="n"/>
      <c r="C265" s="44" t="n"/>
      <c r="D265" s="44" t="n"/>
      <c r="E265" s="44" t="n"/>
      <c r="F265" s="44" t="n"/>
      <c r="G265" s="45" t="n"/>
      <c r="H265" s="44" t="n"/>
      <c r="I265" s="45" t="n"/>
      <c r="J265" s="44" t="n"/>
      <c r="K265" s="85" t="n"/>
      <c r="L265" s="85" t="n"/>
      <c r="M265" s="85" t="n"/>
      <c r="N265" s="85" t="n"/>
      <c r="O265" s="85" t="n"/>
      <c r="P265" s="85" t="n"/>
      <c r="Q265" s="85" t="n"/>
      <c r="R265" s="85" t="n"/>
      <c r="S265" s="85" t="n"/>
      <c r="T265" s="85" t="n"/>
      <c r="U265" s="85" t="n"/>
      <c r="V265" s="44" t="n"/>
      <c r="W265" s="50">
        <f>IF(OR(M265="",Q265="",S265=""),"",IF(ABS(ROUND(((ROUND(N(M265)*100,0))-(ROUND(N(Q265)*100,0))),0)-(ROUND(N(S265)*100,0)))&lt;=0,"OK","ABWEICHUNG"))</f>
        <v/>
      </c>
      <c r="X265" s="50">
        <f>IF(OR(K265="",M265="",N265=""),"",IF(ABS(ROUND(((ROUND(N(K265)*100,0)+ROUND(N(L265)*100,0))-(ROUND(N(M265)*100,0))),0)-(ROUND(N(N265)*100,0)))&lt;=0,"OK",IF(OR(L265=""),"UNVOLLSTÄNDIG","ABWEICHUNG")))</f>
        <v/>
      </c>
      <c r="Y265" s="50">
        <f>IF(OR(K265="",O265="",R265=""),"",IF(ABS(ROUND(((ROUND(N(K265)*100,0))-(ROUND(N(O265)*100,0))),0)-(ROUND(N(R265)*100,0)))&lt;=0,"OK","ABWEICHUNG"))</f>
        <v/>
      </c>
      <c r="Z265" s="50">
        <f>IF(OR(N265="",O265="",P265="",Q265="",T265=""),"",IF(ABS(ROUND(((ROUND(N(N265)*100,0)+ROUND(N(Q265)*100,0))-(ROUND(N(O265)*100,0)+ROUND(N(P265)*100,0))),0)-(ROUND(N(T265)*100,0)))&lt;=0,"OK","ABWEICHUNG"))</f>
        <v/>
      </c>
      <c r="AA265" s="44" t="n"/>
      <c r="AB265" s="44" t="n"/>
      <c r="AC265" s="44" t="n"/>
      <c r="AD265" s="44" t="n"/>
      <c r="AE265" s="85" t="n"/>
      <c r="AF265" s="85" t="n"/>
      <c r="AG265" s="44" t="n"/>
      <c r="AH265" s="44" t="n"/>
    </row>
    <row r="266">
      <c r="A266" s="44" t="n"/>
      <c r="B266" s="44" t="n"/>
      <c r="C266" s="44" t="n"/>
      <c r="D266" s="44" t="n"/>
      <c r="E266" s="44" t="n"/>
      <c r="F266" s="44" t="n"/>
      <c r="G266" s="45" t="n"/>
      <c r="H266" s="44" t="n"/>
      <c r="I266" s="45" t="n"/>
      <c r="J266" s="44" t="n"/>
      <c r="K266" s="85" t="n"/>
      <c r="L266" s="85" t="n"/>
      <c r="M266" s="85" t="n"/>
      <c r="N266" s="85" t="n"/>
      <c r="O266" s="85" t="n"/>
      <c r="P266" s="85" t="n"/>
      <c r="Q266" s="85" t="n"/>
      <c r="R266" s="85" t="n"/>
      <c r="S266" s="85" t="n"/>
      <c r="T266" s="85" t="n"/>
      <c r="U266" s="85" t="n"/>
      <c r="V266" s="44" t="n"/>
      <c r="W266" s="50">
        <f>IF(OR(M266="",Q266="",S266=""),"",IF(ABS(ROUND(((ROUND(N(M266)*100,0))-(ROUND(N(Q266)*100,0))),0)-(ROUND(N(S266)*100,0)))&lt;=0,"OK","ABWEICHUNG"))</f>
        <v/>
      </c>
      <c r="X266" s="50">
        <f>IF(OR(K266="",M266="",N266=""),"",IF(ABS(ROUND(((ROUND(N(K266)*100,0)+ROUND(N(L266)*100,0))-(ROUND(N(M266)*100,0))),0)-(ROUND(N(N266)*100,0)))&lt;=0,"OK",IF(OR(L266=""),"UNVOLLSTÄNDIG","ABWEICHUNG")))</f>
        <v/>
      </c>
      <c r="Y266" s="50">
        <f>IF(OR(K266="",O266="",R266=""),"",IF(ABS(ROUND(((ROUND(N(K266)*100,0))-(ROUND(N(O266)*100,0))),0)-(ROUND(N(R266)*100,0)))&lt;=0,"OK","ABWEICHUNG"))</f>
        <v/>
      </c>
      <c r="Z266" s="50">
        <f>IF(OR(N266="",O266="",P266="",Q266="",T266=""),"",IF(ABS(ROUND(((ROUND(N(N266)*100,0)+ROUND(N(Q266)*100,0))-(ROUND(N(O266)*100,0)+ROUND(N(P266)*100,0))),0)-(ROUND(N(T266)*100,0)))&lt;=0,"OK","ABWEICHUNG"))</f>
        <v/>
      </c>
      <c r="AA266" s="44" t="n"/>
      <c r="AB266" s="44" t="n"/>
      <c r="AC266" s="44" t="n"/>
      <c r="AD266" s="44" t="n"/>
      <c r="AE266" s="85" t="n"/>
      <c r="AF266" s="85" t="n"/>
      <c r="AG266" s="44" t="n"/>
      <c r="AH266" s="44" t="n"/>
    </row>
    <row r="267">
      <c r="A267" s="44" t="n"/>
      <c r="B267" s="44" t="n"/>
      <c r="C267" s="44" t="n"/>
      <c r="D267" s="44" t="n"/>
      <c r="E267" s="44" t="n"/>
      <c r="F267" s="44" t="n"/>
      <c r="G267" s="45" t="n"/>
      <c r="H267" s="44" t="n"/>
      <c r="I267" s="45" t="n"/>
      <c r="J267" s="44" t="n"/>
      <c r="K267" s="85" t="n"/>
      <c r="L267" s="85" t="n"/>
      <c r="M267" s="85" t="n"/>
      <c r="N267" s="85" t="n"/>
      <c r="O267" s="85" t="n"/>
      <c r="P267" s="85" t="n"/>
      <c r="Q267" s="85" t="n"/>
      <c r="R267" s="85" t="n"/>
      <c r="S267" s="85" t="n"/>
      <c r="T267" s="85" t="n"/>
      <c r="U267" s="85" t="n"/>
      <c r="V267" s="44" t="n"/>
      <c r="W267" s="50">
        <f>IF(OR(M267="",Q267="",S267=""),"",IF(ABS(ROUND(((ROUND(N(M267)*100,0))-(ROUND(N(Q267)*100,0))),0)-(ROUND(N(S267)*100,0)))&lt;=0,"OK","ABWEICHUNG"))</f>
        <v/>
      </c>
      <c r="X267" s="50">
        <f>IF(OR(K267="",M267="",N267=""),"",IF(ABS(ROUND(((ROUND(N(K267)*100,0)+ROUND(N(L267)*100,0))-(ROUND(N(M267)*100,0))),0)-(ROUND(N(N267)*100,0)))&lt;=0,"OK",IF(OR(L267=""),"UNVOLLSTÄNDIG","ABWEICHUNG")))</f>
        <v/>
      </c>
      <c r="Y267" s="50">
        <f>IF(OR(K267="",O267="",R267=""),"",IF(ABS(ROUND(((ROUND(N(K267)*100,0))-(ROUND(N(O267)*100,0))),0)-(ROUND(N(R267)*100,0)))&lt;=0,"OK","ABWEICHUNG"))</f>
        <v/>
      </c>
      <c r="Z267" s="50">
        <f>IF(OR(N267="",O267="",P267="",Q267="",T267=""),"",IF(ABS(ROUND(((ROUND(N(N267)*100,0)+ROUND(N(Q267)*100,0))-(ROUND(N(O267)*100,0)+ROUND(N(P267)*100,0))),0)-(ROUND(N(T267)*100,0)))&lt;=0,"OK","ABWEICHUNG"))</f>
        <v/>
      </c>
      <c r="AA267" s="44" t="n"/>
      <c r="AB267" s="44" t="n"/>
      <c r="AC267" s="44" t="n"/>
      <c r="AD267" s="44" t="n"/>
      <c r="AE267" s="85" t="n"/>
      <c r="AF267" s="85" t="n"/>
      <c r="AG267" s="44" t="n"/>
      <c r="AH267" s="44" t="n"/>
    </row>
    <row r="268">
      <c r="A268" s="44" t="n"/>
      <c r="B268" s="44" t="n"/>
      <c r="C268" s="44" t="n"/>
      <c r="D268" s="44" t="n"/>
      <c r="E268" s="44" t="n"/>
      <c r="F268" s="44" t="n"/>
      <c r="G268" s="45" t="n"/>
      <c r="H268" s="44" t="n"/>
      <c r="I268" s="45" t="n"/>
      <c r="J268" s="44" t="n"/>
      <c r="K268" s="85" t="n"/>
      <c r="L268" s="85" t="n"/>
      <c r="M268" s="85" t="n"/>
      <c r="N268" s="85" t="n"/>
      <c r="O268" s="85" t="n"/>
      <c r="P268" s="85" t="n"/>
      <c r="Q268" s="85" t="n"/>
      <c r="R268" s="85" t="n"/>
      <c r="S268" s="85" t="n"/>
      <c r="T268" s="85" t="n"/>
      <c r="U268" s="85" t="n"/>
      <c r="V268" s="44" t="n"/>
      <c r="W268" s="50">
        <f>IF(OR(M268="",Q268="",S268=""),"",IF(ABS(ROUND(((ROUND(N(M268)*100,0))-(ROUND(N(Q268)*100,0))),0)-(ROUND(N(S268)*100,0)))&lt;=0,"OK","ABWEICHUNG"))</f>
        <v/>
      </c>
      <c r="X268" s="50">
        <f>IF(OR(K268="",M268="",N268=""),"",IF(ABS(ROUND(((ROUND(N(K268)*100,0)+ROUND(N(L268)*100,0))-(ROUND(N(M268)*100,0))),0)-(ROUND(N(N268)*100,0)))&lt;=0,"OK",IF(OR(L268=""),"UNVOLLSTÄNDIG","ABWEICHUNG")))</f>
        <v/>
      </c>
      <c r="Y268" s="50">
        <f>IF(OR(K268="",O268="",R268=""),"",IF(ABS(ROUND(((ROUND(N(K268)*100,0))-(ROUND(N(O268)*100,0))),0)-(ROUND(N(R268)*100,0)))&lt;=0,"OK","ABWEICHUNG"))</f>
        <v/>
      </c>
      <c r="Z268" s="50">
        <f>IF(OR(N268="",O268="",P268="",Q268="",T268=""),"",IF(ABS(ROUND(((ROUND(N(N268)*100,0)+ROUND(N(Q268)*100,0))-(ROUND(N(O268)*100,0)+ROUND(N(P268)*100,0))),0)-(ROUND(N(T268)*100,0)))&lt;=0,"OK","ABWEICHUNG"))</f>
        <v/>
      </c>
      <c r="AA268" s="44" t="n"/>
      <c r="AB268" s="44" t="n"/>
      <c r="AC268" s="44" t="n"/>
      <c r="AD268" s="44" t="n"/>
      <c r="AE268" s="85" t="n"/>
      <c r="AF268" s="85" t="n"/>
      <c r="AG268" s="44" t="n"/>
      <c r="AH268" s="44" t="n"/>
    </row>
    <row r="269">
      <c r="A269" s="44" t="n"/>
      <c r="B269" s="44" t="n"/>
      <c r="C269" s="44" t="n"/>
      <c r="D269" s="44" t="n"/>
      <c r="E269" s="44" t="n"/>
      <c r="F269" s="44" t="n"/>
      <c r="G269" s="45" t="n"/>
      <c r="H269" s="44" t="n"/>
      <c r="I269" s="45" t="n"/>
      <c r="J269" s="44" t="n"/>
      <c r="K269" s="85" t="n"/>
      <c r="L269" s="85" t="n"/>
      <c r="M269" s="85" t="n"/>
      <c r="N269" s="85" t="n"/>
      <c r="O269" s="85" t="n"/>
      <c r="P269" s="85" t="n"/>
      <c r="Q269" s="85" t="n"/>
      <c r="R269" s="85" t="n"/>
      <c r="S269" s="85" t="n"/>
      <c r="T269" s="85" t="n"/>
      <c r="U269" s="85" t="n"/>
      <c r="V269" s="44" t="n"/>
      <c r="W269" s="50">
        <f>IF(OR(M269="",Q269="",S269=""),"",IF(ABS(ROUND(((ROUND(N(M269)*100,0))-(ROUND(N(Q269)*100,0))),0)-(ROUND(N(S269)*100,0)))&lt;=0,"OK","ABWEICHUNG"))</f>
        <v/>
      </c>
      <c r="X269" s="50">
        <f>IF(OR(K269="",M269="",N269=""),"",IF(ABS(ROUND(((ROUND(N(K269)*100,0)+ROUND(N(L269)*100,0))-(ROUND(N(M269)*100,0))),0)-(ROUND(N(N269)*100,0)))&lt;=0,"OK",IF(OR(L269=""),"UNVOLLSTÄNDIG","ABWEICHUNG")))</f>
        <v/>
      </c>
      <c r="Y269" s="50">
        <f>IF(OR(K269="",O269="",R269=""),"",IF(ABS(ROUND(((ROUND(N(K269)*100,0))-(ROUND(N(O269)*100,0))),0)-(ROUND(N(R269)*100,0)))&lt;=0,"OK","ABWEICHUNG"))</f>
        <v/>
      </c>
      <c r="Z269" s="50">
        <f>IF(OR(N269="",O269="",P269="",Q269="",T269=""),"",IF(ABS(ROUND(((ROUND(N(N269)*100,0)+ROUND(N(Q269)*100,0))-(ROUND(N(O269)*100,0)+ROUND(N(P269)*100,0))),0)-(ROUND(N(T269)*100,0)))&lt;=0,"OK","ABWEICHUNG"))</f>
        <v/>
      </c>
      <c r="AA269" s="44" t="n"/>
      <c r="AB269" s="44" t="n"/>
      <c r="AC269" s="44" t="n"/>
      <c r="AD269" s="44" t="n"/>
      <c r="AE269" s="85" t="n"/>
      <c r="AF269" s="85" t="n"/>
      <c r="AG269" s="44" t="n"/>
      <c r="AH269" s="44" t="n"/>
    </row>
    <row r="270">
      <c r="A270" s="44" t="n"/>
      <c r="B270" s="44" t="n"/>
      <c r="C270" s="44" t="n"/>
      <c r="D270" s="44" t="n"/>
      <c r="E270" s="44" t="n"/>
      <c r="F270" s="44" t="n"/>
      <c r="G270" s="45" t="n"/>
      <c r="H270" s="44" t="n"/>
      <c r="I270" s="45" t="n"/>
      <c r="J270" s="44" t="n"/>
      <c r="K270" s="85" t="n"/>
      <c r="L270" s="85" t="n"/>
      <c r="M270" s="85" t="n"/>
      <c r="N270" s="85" t="n"/>
      <c r="O270" s="85" t="n"/>
      <c r="P270" s="85" t="n"/>
      <c r="Q270" s="85" t="n"/>
      <c r="R270" s="85" t="n"/>
      <c r="S270" s="85" t="n"/>
      <c r="T270" s="85" t="n"/>
      <c r="U270" s="85" t="n"/>
      <c r="V270" s="44" t="n"/>
      <c r="W270" s="50">
        <f>IF(OR(M270="",Q270="",S270=""),"",IF(ABS(ROUND(((ROUND(N(M270)*100,0))-(ROUND(N(Q270)*100,0))),0)-(ROUND(N(S270)*100,0)))&lt;=0,"OK","ABWEICHUNG"))</f>
        <v/>
      </c>
      <c r="X270" s="50">
        <f>IF(OR(K270="",M270="",N270=""),"",IF(ABS(ROUND(((ROUND(N(K270)*100,0)+ROUND(N(L270)*100,0))-(ROUND(N(M270)*100,0))),0)-(ROUND(N(N270)*100,0)))&lt;=0,"OK",IF(OR(L270=""),"UNVOLLSTÄNDIG","ABWEICHUNG")))</f>
        <v/>
      </c>
      <c r="Y270" s="50">
        <f>IF(OR(K270="",O270="",R270=""),"",IF(ABS(ROUND(((ROUND(N(K270)*100,0))-(ROUND(N(O270)*100,0))),0)-(ROUND(N(R270)*100,0)))&lt;=0,"OK","ABWEICHUNG"))</f>
        <v/>
      </c>
      <c r="Z270" s="50">
        <f>IF(OR(N270="",O270="",P270="",Q270="",T270=""),"",IF(ABS(ROUND(((ROUND(N(N270)*100,0)+ROUND(N(Q270)*100,0))-(ROUND(N(O270)*100,0)+ROUND(N(P270)*100,0))),0)-(ROUND(N(T270)*100,0)))&lt;=0,"OK","ABWEICHUNG"))</f>
        <v/>
      </c>
      <c r="AA270" s="44" t="n"/>
      <c r="AB270" s="44" t="n"/>
      <c r="AC270" s="44" t="n"/>
      <c r="AD270" s="44" t="n"/>
      <c r="AE270" s="85" t="n"/>
      <c r="AF270" s="85" t="n"/>
      <c r="AG270" s="44" t="n"/>
      <c r="AH270" s="44" t="n"/>
    </row>
    <row r="271">
      <c r="A271" s="44" t="n"/>
      <c r="B271" s="44" t="n"/>
      <c r="C271" s="44" t="n"/>
      <c r="D271" s="44" t="n"/>
      <c r="E271" s="44" t="n"/>
      <c r="F271" s="44" t="n"/>
      <c r="G271" s="45" t="n"/>
      <c r="H271" s="44" t="n"/>
      <c r="I271" s="45" t="n"/>
      <c r="J271" s="44" t="n"/>
      <c r="K271" s="85" t="n"/>
      <c r="L271" s="85" t="n"/>
      <c r="M271" s="85" t="n"/>
      <c r="N271" s="85" t="n"/>
      <c r="O271" s="85" t="n"/>
      <c r="P271" s="85" t="n"/>
      <c r="Q271" s="85" t="n"/>
      <c r="R271" s="85" t="n"/>
      <c r="S271" s="85" t="n"/>
      <c r="T271" s="85" t="n"/>
      <c r="U271" s="85" t="n"/>
      <c r="V271" s="44" t="n"/>
      <c r="W271" s="50">
        <f>IF(OR(M271="",Q271="",S271=""),"",IF(ABS(ROUND(((ROUND(N(M271)*100,0))-(ROUND(N(Q271)*100,0))),0)-(ROUND(N(S271)*100,0)))&lt;=0,"OK","ABWEICHUNG"))</f>
        <v/>
      </c>
      <c r="X271" s="50">
        <f>IF(OR(K271="",M271="",N271=""),"",IF(ABS(ROUND(((ROUND(N(K271)*100,0)+ROUND(N(L271)*100,0))-(ROUND(N(M271)*100,0))),0)-(ROUND(N(N271)*100,0)))&lt;=0,"OK",IF(OR(L271=""),"UNVOLLSTÄNDIG","ABWEICHUNG")))</f>
        <v/>
      </c>
      <c r="Y271" s="50">
        <f>IF(OR(K271="",O271="",R271=""),"",IF(ABS(ROUND(((ROUND(N(K271)*100,0))-(ROUND(N(O271)*100,0))),0)-(ROUND(N(R271)*100,0)))&lt;=0,"OK","ABWEICHUNG"))</f>
        <v/>
      </c>
      <c r="Z271" s="50">
        <f>IF(OR(N271="",O271="",P271="",Q271="",T271=""),"",IF(ABS(ROUND(((ROUND(N(N271)*100,0)+ROUND(N(Q271)*100,0))-(ROUND(N(O271)*100,0)+ROUND(N(P271)*100,0))),0)-(ROUND(N(T271)*100,0)))&lt;=0,"OK","ABWEICHUNG"))</f>
        <v/>
      </c>
      <c r="AA271" s="44" t="n"/>
      <c r="AB271" s="44" t="n"/>
      <c r="AC271" s="44" t="n"/>
      <c r="AD271" s="44" t="n"/>
      <c r="AE271" s="85" t="n"/>
      <c r="AF271" s="85" t="n"/>
      <c r="AG271" s="44" t="n"/>
      <c r="AH271" s="44" t="n"/>
    </row>
    <row r="272">
      <c r="A272" s="44" t="n"/>
      <c r="B272" s="44" t="n"/>
      <c r="C272" s="44" t="n"/>
      <c r="D272" s="44" t="n"/>
      <c r="E272" s="44" t="n"/>
      <c r="F272" s="44" t="n"/>
      <c r="G272" s="45" t="n"/>
      <c r="H272" s="44" t="n"/>
      <c r="I272" s="45" t="n"/>
      <c r="J272" s="44" t="n"/>
      <c r="K272" s="85" t="n"/>
      <c r="L272" s="85" t="n"/>
      <c r="M272" s="85" t="n"/>
      <c r="N272" s="85" t="n"/>
      <c r="O272" s="85" t="n"/>
      <c r="P272" s="85" t="n"/>
      <c r="Q272" s="85" t="n"/>
      <c r="R272" s="85" t="n"/>
      <c r="S272" s="85" t="n"/>
      <c r="T272" s="85" t="n"/>
      <c r="U272" s="85" t="n"/>
      <c r="V272" s="44" t="n"/>
      <c r="W272" s="50">
        <f>IF(OR(M272="",Q272="",S272=""),"",IF(ABS(ROUND(((ROUND(N(M272)*100,0))-(ROUND(N(Q272)*100,0))),0)-(ROUND(N(S272)*100,0)))&lt;=0,"OK","ABWEICHUNG"))</f>
        <v/>
      </c>
      <c r="X272" s="50">
        <f>IF(OR(K272="",M272="",N272=""),"",IF(ABS(ROUND(((ROUND(N(K272)*100,0)+ROUND(N(L272)*100,0))-(ROUND(N(M272)*100,0))),0)-(ROUND(N(N272)*100,0)))&lt;=0,"OK",IF(OR(L272=""),"UNVOLLSTÄNDIG","ABWEICHUNG")))</f>
        <v/>
      </c>
      <c r="Y272" s="50">
        <f>IF(OR(K272="",O272="",R272=""),"",IF(ABS(ROUND(((ROUND(N(K272)*100,0))-(ROUND(N(O272)*100,0))),0)-(ROUND(N(R272)*100,0)))&lt;=0,"OK","ABWEICHUNG"))</f>
        <v/>
      </c>
      <c r="Z272" s="50">
        <f>IF(OR(N272="",O272="",P272="",Q272="",T272=""),"",IF(ABS(ROUND(((ROUND(N(N272)*100,0)+ROUND(N(Q272)*100,0))-(ROUND(N(O272)*100,0)+ROUND(N(P272)*100,0))),0)-(ROUND(N(T272)*100,0)))&lt;=0,"OK","ABWEICHUNG"))</f>
        <v/>
      </c>
      <c r="AA272" s="44" t="n"/>
      <c r="AB272" s="44" t="n"/>
      <c r="AC272" s="44" t="n"/>
      <c r="AD272" s="44" t="n"/>
      <c r="AE272" s="85" t="n"/>
      <c r="AF272" s="85" t="n"/>
      <c r="AG272" s="44" t="n"/>
      <c r="AH272" s="44" t="n"/>
    </row>
    <row r="273">
      <c r="A273" s="44" t="n"/>
      <c r="B273" s="44" t="n"/>
      <c r="C273" s="44" t="n"/>
      <c r="D273" s="44" t="n"/>
      <c r="E273" s="44" t="n"/>
      <c r="F273" s="44" t="n"/>
      <c r="G273" s="45" t="n"/>
      <c r="H273" s="44" t="n"/>
      <c r="I273" s="45" t="n"/>
      <c r="J273" s="44" t="n"/>
      <c r="K273" s="85" t="n"/>
      <c r="L273" s="85" t="n"/>
      <c r="M273" s="85" t="n"/>
      <c r="N273" s="85" t="n"/>
      <c r="O273" s="85" t="n"/>
      <c r="P273" s="85" t="n"/>
      <c r="Q273" s="85" t="n"/>
      <c r="R273" s="85" t="n"/>
      <c r="S273" s="85" t="n"/>
      <c r="T273" s="85" t="n"/>
      <c r="U273" s="85" t="n"/>
      <c r="V273" s="44" t="n"/>
      <c r="W273" s="50">
        <f>IF(OR(M273="",Q273="",S273=""),"",IF(ABS(ROUND(((ROUND(N(M273)*100,0))-(ROUND(N(Q273)*100,0))),0)-(ROUND(N(S273)*100,0)))&lt;=0,"OK","ABWEICHUNG"))</f>
        <v/>
      </c>
      <c r="X273" s="50">
        <f>IF(OR(K273="",M273="",N273=""),"",IF(ABS(ROUND(((ROUND(N(K273)*100,0)+ROUND(N(L273)*100,0))-(ROUND(N(M273)*100,0))),0)-(ROUND(N(N273)*100,0)))&lt;=0,"OK",IF(OR(L273=""),"UNVOLLSTÄNDIG","ABWEICHUNG")))</f>
        <v/>
      </c>
      <c r="Y273" s="50">
        <f>IF(OR(K273="",O273="",R273=""),"",IF(ABS(ROUND(((ROUND(N(K273)*100,0))-(ROUND(N(O273)*100,0))),0)-(ROUND(N(R273)*100,0)))&lt;=0,"OK","ABWEICHUNG"))</f>
        <v/>
      </c>
      <c r="Z273" s="50">
        <f>IF(OR(N273="",O273="",P273="",Q273="",T273=""),"",IF(ABS(ROUND(((ROUND(N(N273)*100,0)+ROUND(N(Q273)*100,0))-(ROUND(N(O273)*100,0)+ROUND(N(P273)*100,0))),0)-(ROUND(N(T273)*100,0)))&lt;=0,"OK","ABWEICHUNG"))</f>
        <v/>
      </c>
      <c r="AA273" s="44" t="n"/>
      <c r="AB273" s="44" t="n"/>
      <c r="AC273" s="44" t="n"/>
      <c r="AD273" s="44" t="n"/>
      <c r="AE273" s="85" t="n"/>
      <c r="AF273" s="85" t="n"/>
      <c r="AG273" s="44" t="n"/>
      <c r="AH273" s="44" t="n"/>
    </row>
    <row r="274">
      <c r="A274" s="44" t="n"/>
      <c r="B274" s="44" t="n"/>
      <c r="C274" s="44" t="n"/>
      <c r="D274" s="44" t="n"/>
      <c r="E274" s="44" t="n"/>
      <c r="F274" s="44" t="n"/>
      <c r="G274" s="45" t="n"/>
      <c r="H274" s="44" t="n"/>
      <c r="I274" s="45" t="n"/>
      <c r="J274" s="44" t="n"/>
      <c r="K274" s="85" t="n"/>
      <c r="L274" s="85" t="n"/>
      <c r="M274" s="85" t="n"/>
      <c r="N274" s="85" t="n"/>
      <c r="O274" s="85" t="n"/>
      <c r="P274" s="85" t="n"/>
      <c r="Q274" s="85" t="n"/>
      <c r="R274" s="85" t="n"/>
      <c r="S274" s="85" t="n"/>
      <c r="T274" s="85" t="n"/>
      <c r="U274" s="85" t="n"/>
      <c r="V274" s="44" t="n"/>
      <c r="W274" s="50">
        <f>IF(OR(M274="",Q274="",S274=""),"",IF(ABS(ROUND(((ROUND(N(M274)*100,0))-(ROUND(N(Q274)*100,0))),0)-(ROUND(N(S274)*100,0)))&lt;=0,"OK","ABWEICHUNG"))</f>
        <v/>
      </c>
      <c r="X274" s="50">
        <f>IF(OR(K274="",M274="",N274=""),"",IF(ABS(ROUND(((ROUND(N(K274)*100,0)+ROUND(N(L274)*100,0))-(ROUND(N(M274)*100,0))),0)-(ROUND(N(N274)*100,0)))&lt;=0,"OK",IF(OR(L274=""),"UNVOLLSTÄNDIG","ABWEICHUNG")))</f>
        <v/>
      </c>
      <c r="Y274" s="50">
        <f>IF(OR(K274="",O274="",R274=""),"",IF(ABS(ROUND(((ROUND(N(K274)*100,0))-(ROUND(N(O274)*100,0))),0)-(ROUND(N(R274)*100,0)))&lt;=0,"OK","ABWEICHUNG"))</f>
        <v/>
      </c>
      <c r="Z274" s="50">
        <f>IF(OR(N274="",O274="",P274="",Q274="",T274=""),"",IF(ABS(ROUND(((ROUND(N(N274)*100,0)+ROUND(N(Q274)*100,0))-(ROUND(N(O274)*100,0)+ROUND(N(P274)*100,0))),0)-(ROUND(N(T274)*100,0)))&lt;=0,"OK","ABWEICHUNG"))</f>
        <v/>
      </c>
      <c r="AA274" s="44" t="n"/>
      <c r="AB274" s="44" t="n"/>
      <c r="AC274" s="44" t="n"/>
      <c r="AD274" s="44" t="n"/>
      <c r="AE274" s="85" t="n"/>
      <c r="AF274" s="85" t="n"/>
      <c r="AG274" s="44" t="n"/>
      <c r="AH274" s="44" t="n"/>
    </row>
    <row r="275">
      <c r="A275" s="44" t="n"/>
      <c r="B275" s="44" t="n"/>
      <c r="C275" s="44" t="n"/>
      <c r="D275" s="44" t="n"/>
      <c r="E275" s="44" t="n"/>
      <c r="F275" s="44" t="n"/>
      <c r="G275" s="45" t="n"/>
      <c r="H275" s="44" t="n"/>
      <c r="I275" s="45" t="n"/>
      <c r="J275" s="44" t="n"/>
      <c r="K275" s="85" t="n"/>
      <c r="L275" s="85" t="n"/>
      <c r="M275" s="85" t="n"/>
      <c r="N275" s="85" t="n"/>
      <c r="O275" s="85" t="n"/>
      <c r="P275" s="85" t="n"/>
      <c r="Q275" s="85" t="n"/>
      <c r="R275" s="85" t="n"/>
      <c r="S275" s="85" t="n"/>
      <c r="T275" s="85" t="n"/>
      <c r="U275" s="85" t="n"/>
      <c r="V275" s="44" t="n"/>
      <c r="W275" s="50">
        <f>IF(OR(M275="",Q275="",S275=""),"",IF(ABS(ROUND(((ROUND(N(M275)*100,0))-(ROUND(N(Q275)*100,0))),0)-(ROUND(N(S275)*100,0)))&lt;=0,"OK","ABWEICHUNG"))</f>
        <v/>
      </c>
      <c r="X275" s="50">
        <f>IF(OR(K275="",M275="",N275=""),"",IF(ABS(ROUND(((ROUND(N(K275)*100,0)+ROUND(N(L275)*100,0))-(ROUND(N(M275)*100,0))),0)-(ROUND(N(N275)*100,0)))&lt;=0,"OK",IF(OR(L275=""),"UNVOLLSTÄNDIG","ABWEICHUNG")))</f>
        <v/>
      </c>
      <c r="Y275" s="50">
        <f>IF(OR(K275="",O275="",R275=""),"",IF(ABS(ROUND(((ROUND(N(K275)*100,0))-(ROUND(N(O275)*100,0))),0)-(ROUND(N(R275)*100,0)))&lt;=0,"OK","ABWEICHUNG"))</f>
        <v/>
      </c>
      <c r="Z275" s="50">
        <f>IF(OR(N275="",O275="",P275="",Q275="",T275=""),"",IF(ABS(ROUND(((ROUND(N(N275)*100,0)+ROUND(N(Q275)*100,0))-(ROUND(N(O275)*100,0)+ROUND(N(P275)*100,0))),0)-(ROUND(N(T275)*100,0)))&lt;=0,"OK","ABWEICHUNG"))</f>
        <v/>
      </c>
      <c r="AA275" s="44" t="n"/>
      <c r="AB275" s="44" t="n"/>
      <c r="AC275" s="44" t="n"/>
      <c r="AD275" s="44" t="n"/>
      <c r="AE275" s="85" t="n"/>
      <c r="AF275" s="85" t="n"/>
      <c r="AG275" s="44" t="n"/>
      <c r="AH275" s="44" t="n"/>
    </row>
    <row r="276">
      <c r="A276" s="44" t="n"/>
      <c r="B276" s="44" t="n"/>
      <c r="C276" s="44" t="n"/>
      <c r="D276" s="44" t="n"/>
      <c r="E276" s="44" t="n"/>
      <c r="F276" s="44" t="n"/>
      <c r="G276" s="45" t="n"/>
      <c r="H276" s="44" t="n"/>
      <c r="I276" s="45" t="n"/>
      <c r="J276" s="44" t="n"/>
      <c r="K276" s="85" t="n"/>
      <c r="L276" s="85" t="n"/>
      <c r="M276" s="85" t="n"/>
      <c r="N276" s="85" t="n"/>
      <c r="O276" s="85" t="n"/>
      <c r="P276" s="85" t="n"/>
      <c r="Q276" s="85" t="n"/>
      <c r="R276" s="85" t="n"/>
      <c r="S276" s="85" t="n"/>
      <c r="T276" s="85" t="n"/>
      <c r="U276" s="85" t="n"/>
      <c r="V276" s="44" t="n"/>
      <c r="W276" s="50">
        <f>IF(OR(M276="",Q276="",S276=""),"",IF(ABS(ROUND(((ROUND(N(M276)*100,0))-(ROUND(N(Q276)*100,0))),0)-(ROUND(N(S276)*100,0)))&lt;=0,"OK","ABWEICHUNG"))</f>
        <v/>
      </c>
      <c r="X276" s="50">
        <f>IF(OR(K276="",M276="",N276=""),"",IF(ABS(ROUND(((ROUND(N(K276)*100,0)+ROUND(N(L276)*100,0))-(ROUND(N(M276)*100,0))),0)-(ROUND(N(N276)*100,0)))&lt;=0,"OK",IF(OR(L276=""),"UNVOLLSTÄNDIG","ABWEICHUNG")))</f>
        <v/>
      </c>
      <c r="Y276" s="50">
        <f>IF(OR(K276="",O276="",R276=""),"",IF(ABS(ROUND(((ROUND(N(K276)*100,0))-(ROUND(N(O276)*100,0))),0)-(ROUND(N(R276)*100,0)))&lt;=0,"OK","ABWEICHUNG"))</f>
        <v/>
      </c>
      <c r="Z276" s="50">
        <f>IF(OR(N276="",O276="",P276="",Q276="",T276=""),"",IF(ABS(ROUND(((ROUND(N(N276)*100,0)+ROUND(N(Q276)*100,0))-(ROUND(N(O276)*100,0)+ROUND(N(P276)*100,0))),0)-(ROUND(N(T276)*100,0)))&lt;=0,"OK","ABWEICHUNG"))</f>
        <v/>
      </c>
      <c r="AA276" s="44" t="n"/>
      <c r="AB276" s="44" t="n"/>
      <c r="AC276" s="44" t="n"/>
      <c r="AD276" s="44" t="n"/>
      <c r="AE276" s="85" t="n"/>
      <c r="AF276" s="85" t="n"/>
      <c r="AG276" s="44" t="n"/>
      <c r="AH276" s="44" t="n"/>
    </row>
    <row r="277">
      <c r="A277" s="44" t="n"/>
      <c r="B277" s="44" t="n"/>
      <c r="C277" s="44" t="n"/>
      <c r="D277" s="44" t="n"/>
      <c r="E277" s="44" t="n"/>
      <c r="F277" s="44" t="n"/>
      <c r="G277" s="45" t="n"/>
      <c r="H277" s="44" t="n"/>
      <c r="I277" s="45" t="n"/>
      <c r="J277" s="44" t="n"/>
      <c r="K277" s="85" t="n"/>
      <c r="L277" s="85" t="n"/>
      <c r="M277" s="85" t="n"/>
      <c r="N277" s="85" t="n"/>
      <c r="O277" s="85" t="n"/>
      <c r="P277" s="85" t="n"/>
      <c r="Q277" s="85" t="n"/>
      <c r="R277" s="85" t="n"/>
      <c r="S277" s="85" t="n"/>
      <c r="T277" s="85" t="n"/>
      <c r="U277" s="85" t="n"/>
      <c r="V277" s="44" t="n"/>
      <c r="W277" s="50">
        <f>IF(OR(M277="",Q277="",S277=""),"",IF(ABS(ROUND(((ROUND(N(M277)*100,0))-(ROUND(N(Q277)*100,0))),0)-(ROUND(N(S277)*100,0)))&lt;=0,"OK","ABWEICHUNG"))</f>
        <v/>
      </c>
      <c r="X277" s="50">
        <f>IF(OR(K277="",M277="",N277=""),"",IF(ABS(ROUND(((ROUND(N(K277)*100,0)+ROUND(N(L277)*100,0))-(ROUND(N(M277)*100,0))),0)-(ROUND(N(N277)*100,0)))&lt;=0,"OK",IF(OR(L277=""),"UNVOLLSTÄNDIG","ABWEICHUNG")))</f>
        <v/>
      </c>
      <c r="Y277" s="50">
        <f>IF(OR(K277="",O277="",R277=""),"",IF(ABS(ROUND(((ROUND(N(K277)*100,0))-(ROUND(N(O277)*100,0))),0)-(ROUND(N(R277)*100,0)))&lt;=0,"OK","ABWEICHUNG"))</f>
        <v/>
      </c>
      <c r="Z277" s="50">
        <f>IF(OR(N277="",O277="",P277="",Q277="",T277=""),"",IF(ABS(ROUND(((ROUND(N(N277)*100,0)+ROUND(N(Q277)*100,0))-(ROUND(N(O277)*100,0)+ROUND(N(P277)*100,0))),0)-(ROUND(N(T277)*100,0)))&lt;=0,"OK","ABWEICHUNG"))</f>
        <v/>
      </c>
      <c r="AA277" s="44" t="n"/>
      <c r="AB277" s="44" t="n"/>
      <c r="AC277" s="44" t="n"/>
      <c r="AD277" s="44" t="n"/>
      <c r="AE277" s="85" t="n"/>
      <c r="AF277" s="85" t="n"/>
      <c r="AG277" s="44" t="n"/>
      <c r="AH277" s="44" t="n"/>
    </row>
    <row r="278">
      <c r="A278" s="44" t="n"/>
      <c r="B278" s="44" t="n"/>
      <c r="C278" s="44" t="n"/>
      <c r="D278" s="44" t="n"/>
      <c r="E278" s="44" t="n"/>
      <c r="F278" s="44" t="n"/>
      <c r="G278" s="45" t="n"/>
      <c r="H278" s="44" t="n"/>
      <c r="I278" s="45" t="n"/>
      <c r="J278" s="44" t="n"/>
      <c r="K278" s="85" t="n"/>
      <c r="L278" s="85" t="n"/>
      <c r="M278" s="85" t="n"/>
      <c r="N278" s="85" t="n"/>
      <c r="O278" s="85" t="n"/>
      <c r="P278" s="85" t="n"/>
      <c r="Q278" s="85" t="n"/>
      <c r="R278" s="85" t="n"/>
      <c r="S278" s="85" t="n"/>
      <c r="T278" s="85" t="n"/>
      <c r="U278" s="85" t="n"/>
      <c r="V278" s="44" t="n"/>
      <c r="W278" s="50">
        <f>IF(OR(M278="",Q278="",S278=""),"",IF(ABS(ROUND(((ROUND(N(M278)*100,0))-(ROUND(N(Q278)*100,0))),0)-(ROUND(N(S278)*100,0)))&lt;=0,"OK","ABWEICHUNG"))</f>
        <v/>
      </c>
      <c r="X278" s="50">
        <f>IF(OR(K278="",M278="",N278=""),"",IF(ABS(ROUND(((ROUND(N(K278)*100,0)+ROUND(N(L278)*100,0))-(ROUND(N(M278)*100,0))),0)-(ROUND(N(N278)*100,0)))&lt;=0,"OK",IF(OR(L278=""),"UNVOLLSTÄNDIG","ABWEICHUNG")))</f>
        <v/>
      </c>
      <c r="Y278" s="50">
        <f>IF(OR(K278="",O278="",R278=""),"",IF(ABS(ROUND(((ROUND(N(K278)*100,0))-(ROUND(N(O278)*100,0))),0)-(ROUND(N(R278)*100,0)))&lt;=0,"OK","ABWEICHUNG"))</f>
        <v/>
      </c>
      <c r="Z278" s="50">
        <f>IF(OR(N278="",O278="",P278="",Q278="",T278=""),"",IF(ABS(ROUND(((ROUND(N(N278)*100,0)+ROUND(N(Q278)*100,0))-(ROUND(N(O278)*100,0)+ROUND(N(P278)*100,0))),0)-(ROUND(N(T278)*100,0)))&lt;=0,"OK","ABWEICHUNG"))</f>
        <v/>
      </c>
      <c r="AA278" s="44" t="n"/>
      <c r="AB278" s="44" t="n"/>
      <c r="AC278" s="44" t="n"/>
      <c r="AD278" s="44" t="n"/>
      <c r="AE278" s="85" t="n"/>
      <c r="AF278" s="85" t="n"/>
      <c r="AG278" s="44" t="n"/>
      <c r="AH278" s="44" t="n"/>
    </row>
    <row r="279">
      <c r="A279" s="44" t="n"/>
      <c r="B279" s="44" t="n"/>
      <c r="C279" s="44" t="n"/>
      <c r="D279" s="44" t="n"/>
      <c r="E279" s="44" t="n"/>
      <c r="F279" s="44" t="n"/>
      <c r="G279" s="45" t="n"/>
      <c r="H279" s="44" t="n"/>
      <c r="I279" s="45" t="n"/>
      <c r="J279" s="44" t="n"/>
      <c r="K279" s="85" t="n"/>
      <c r="L279" s="85" t="n"/>
      <c r="M279" s="85" t="n"/>
      <c r="N279" s="85" t="n"/>
      <c r="O279" s="85" t="n"/>
      <c r="P279" s="85" t="n"/>
      <c r="Q279" s="85" t="n"/>
      <c r="R279" s="85" t="n"/>
      <c r="S279" s="85" t="n"/>
      <c r="T279" s="85" t="n"/>
      <c r="U279" s="85" t="n"/>
      <c r="V279" s="44" t="n"/>
      <c r="W279" s="50">
        <f>IF(OR(M279="",Q279="",S279=""),"",IF(ABS(ROUND(((ROUND(N(M279)*100,0))-(ROUND(N(Q279)*100,0))),0)-(ROUND(N(S279)*100,0)))&lt;=0,"OK","ABWEICHUNG"))</f>
        <v/>
      </c>
      <c r="X279" s="50">
        <f>IF(OR(K279="",M279="",N279=""),"",IF(ABS(ROUND(((ROUND(N(K279)*100,0)+ROUND(N(L279)*100,0))-(ROUND(N(M279)*100,0))),0)-(ROUND(N(N279)*100,0)))&lt;=0,"OK",IF(OR(L279=""),"UNVOLLSTÄNDIG","ABWEICHUNG")))</f>
        <v/>
      </c>
      <c r="Y279" s="50">
        <f>IF(OR(K279="",O279="",R279=""),"",IF(ABS(ROUND(((ROUND(N(K279)*100,0))-(ROUND(N(O279)*100,0))),0)-(ROUND(N(R279)*100,0)))&lt;=0,"OK","ABWEICHUNG"))</f>
        <v/>
      </c>
      <c r="Z279" s="50">
        <f>IF(OR(N279="",O279="",P279="",Q279="",T279=""),"",IF(ABS(ROUND(((ROUND(N(N279)*100,0)+ROUND(N(Q279)*100,0))-(ROUND(N(O279)*100,0)+ROUND(N(P279)*100,0))),0)-(ROUND(N(T279)*100,0)))&lt;=0,"OK","ABWEICHUNG"))</f>
        <v/>
      </c>
      <c r="AA279" s="44" t="n"/>
      <c r="AB279" s="44" t="n"/>
      <c r="AC279" s="44" t="n"/>
      <c r="AD279" s="44" t="n"/>
      <c r="AE279" s="85" t="n"/>
      <c r="AF279" s="85" t="n"/>
      <c r="AG279" s="44" t="n"/>
      <c r="AH279" s="44" t="n"/>
    </row>
    <row r="280">
      <c r="A280" s="44" t="n"/>
      <c r="B280" s="44" t="n"/>
      <c r="C280" s="44" t="n"/>
      <c r="D280" s="44" t="n"/>
      <c r="E280" s="44" t="n"/>
      <c r="F280" s="44" t="n"/>
      <c r="G280" s="45" t="n"/>
      <c r="H280" s="44" t="n"/>
      <c r="I280" s="45" t="n"/>
      <c r="J280" s="44" t="n"/>
      <c r="K280" s="85" t="n"/>
      <c r="L280" s="85" t="n"/>
      <c r="M280" s="85" t="n"/>
      <c r="N280" s="85" t="n"/>
      <c r="O280" s="85" t="n"/>
      <c r="P280" s="85" t="n"/>
      <c r="Q280" s="85" t="n"/>
      <c r="R280" s="85" t="n"/>
      <c r="S280" s="85" t="n"/>
      <c r="T280" s="85" t="n"/>
      <c r="U280" s="85" t="n"/>
      <c r="V280" s="44" t="n"/>
      <c r="W280" s="50">
        <f>IF(OR(M280="",Q280="",S280=""),"",IF(ABS(ROUND(((ROUND(N(M280)*100,0))-(ROUND(N(Q280)*100,0))),0)-(ROUND(N(S280)*100,0)))&lt;=0,"OK","ABWEICHUNG"))</f>
        <v/>
      </c>
      <c r="X280" s="50">
        <f>IF(OR(K280="",M280="",N280=""),"",IF(ABS(ROUND(((ROUND(N(K280)*100,0)+ROUND(N(L280)*100,0))-(ROUND(N(M280)*100,0))),0)-(ROUND(N(N280)*100,0)))&lt;=0,"OK",IF(OR(L280=""),"UNVOLLSTÄNDIG","ABWEICHUNG")))</f>
        <v/>
      </c>
      <c r="Y280" s="50">
        <f>IF(OR(K280="",O280="",R280=""),"",IF(ABS(ROUND(((ROUND(N(K280)*100,0))-(ROUND(N(O280)*100,0))),0)-(ROUND(N(R280)*100,0)))&lt;=0,"OK","ABWEICHUNG"))</f>
        <v/>
      </c>
      <c r="Z280" s="50">
        <f>IF(OR(N280="",O280="",P280="",Q280="",T280=""),"",IF(ABS(ROUND(((ROUND(N(N280)*100,0)+ROUND(N(Q280)*100,0))-(ROUND(N(O280)*100,0)+ROUND(N(P280)*100,0))),0)-(ROUND(N(T280)*100,0)))&lt;=0,"OK","ABWEICHUNG"))</f>
        <v/>
      </c>
      <c r="AA280" s="44" t="n"/>
      <c r="AB280" s="44" t="n"/>
      <c r="AC280" s="44" t="n"/>
      <c r="AD280" s="44" t="n"/>
      <c r="AE280" s="85" t="n"/>
      <c r="AF280" s="85" t="n"/>
      <c r="AG280" s="44" t="n"/>
      <c r="AH280" s="44" t="n"/>
    </row>
    <row r="281">
      <c r="A281" s="44" t="n"/>
      <c r="B281" s="44" t="n"/>
      <c r="C281" s="44" t="n"/>
      <c r="D281" s="44" t="n"/>
      <c r="E281" s="44" t="n"/>
      <c r="F281" s="44" t="n"/>
      <c r="G281" s="45" t="n"/>
      <c r="H281" s="44" t="n"/>
      <c r="I281" s="45" t="n"/>
      <c r="J281" s="44" t="n"/>
      <c r="K281" s="85" t="n"/>
      <c r="L281" s="85" t="n"/>
      <c r="M281" s="85" t="n"/>
      <c r="N281" s="85" t="n"/>
      <c r="O281" s="85" t="n"/>
      <c r="P281" s="85" t="n"/>
      <c r="Q281" s="85" t="n"/>
      <c r="R281" s="85" t="n"/>
      <c r="S281" s="85" t="n"/>
      <c r="T281" s="85" t="n"/>
      <c r="U281" s="85" t="n"/>
      <c r="V281" s="44" t="n"/>
      <c r="W281" s="50">
        <f>IF(OR(M281="",Q281="",S281=""),"",IF(ABS(ROUND(((ROUND(N(M281)*100,0))-(ROUND(N(Q281)*100,0))),0)-(ROUND(N(S281)*100,0)))&lt;=0,"OK","ABWEICHUNG"))</f>
        <v/>
      </c>
      <c r="X281" s="50">
        <f>IF(OR(K281="",M281="",N281=""),"",IF(ABS(ROUND(((ROUND(N(K281)*100,0)+ROUND(N(L281)*100,0))-(ROUND(N(M281)*100,0))),0)-(ROUND(N(N281)*100,0)))&lt;=0,"OK",IF(OR(L281=""),"UNVOLLSTÄNDIG","ABWEICHUNG")))</f>
        <v/>
      </c>
      <c r="Y281" s="50">
        <f>IF(OR(K281="",O281="",R281=""),"",IF(ABS(ROUND(((ROUND(N(K281)*100,0))-(ROUND(N(O281)*100,0))),0)-(ROUND(N(R281)*100,0)))&lt;=0,"OK","ABWEICHUNG"))</f>
        <v/>
      </c>
      <c r="Z281" s="50">
        <f>IF(OR(N281="",O281="",P281="",Q281="",T281=""),"",IF(ABS(ROUND(((ROUND(N(N281)*100,0)+ROUND(N(Q281)*100,0))-(ROUND(N(O281)*100,0)+ROUND(N(P281)*100,0))),0)-(ROUND(N(T281)*100,0)))&lt;=0,"OK","ABWEICHUNG"))</f>
        <v/>
      </c>
      <c r="AA281" s="44" t="n"/>
      <c r="AB281" s="44" t="n"/>
      <c r="AC281" s="44" t="n"/>
      <c r="AD281" s="44" t="n"/>
      <c r="AE281" s="85" t="n"/>
      <c r="AF281" s="85" t="n"/>
      <c r="AG281" s="44" t="n"/>
      <c r="AH281" s="44" t="n"/>
    </row>
    <row r="282">
      <c r="A282" s="44" t="n"/>
      <c r="B282" s="44" t="n"/>
      <c r="C282" s="44" t="n"/>
      <c r="D282" s="44" t="n"/>
      <c r="E282" s="44" t="n"/>
      <c r="F282" s="44" t="n"/>
      <c r="G282" s="45" t="n"/>
      <c r="H282" s="44" t="n"/>
      <c r="I282" s="45" t="n"/>
      <c r="J282" s="44" t="n"/>
      <c r="K282" s="85" t="n"/>
      <c r="L282" s="85" t="n"/>
      <c r="M282" s="85" t="n"/>
      <c r="N282" s="85" t="n"/>
      <c r="O282" s="85" t="n"/>
      <c r="P282" s="85" t="n"/>
      <c r="Q282" s="85" t="n"/>
      <c r="R282" s="85" t="n"/>
      <c r="S282" s="85" t="n"/>
      <c r="T282" s="85" t="n"/>
      <c r="U282" s="85" t="n"/>
      <c r="V282" s="44" t="n"/>
      <c r="W282" s="50">
        <f>IF(OR(M282="",Q282="",S282=""),"",IF(ABS(ROUND(((ROUND(N(M282)*100,0))-(ROUND(N(Q282)*100,0))),0)-(ROUND(N(S282)*100,0)))&lt;=0,"OK","ABWEICHUNG"))</f>
        <v/>
      </c>
      <c r="X282" s="50">
        <f>IF(OR(K282="",M282="",N282=""),"",IF(ABS(ROUND(((ROUND(N(K282)*100,0)+ROUND(N(L282)*100,0))-(ROUND(N(M282)*100,0))),0)-(ROUND(N(N282)*100,0)))&lt;=0,"OK",IF(OR(L282=""),"UNVOLLSTÄNDIG","ABWEICHUNG")))</f>
        <v/>
      </c>
      <c r="Y282" s="50">
        <f>IF(OR(K282="",O282="",R282=""),"",IF(ABS(ROUND(((ROUND(N(K282)*100,0))-(ROUND(N(O282)*100,0))),0)-(ROUND(N(R282)*100,0)))&lt;=0,"OK","ABWEICHUNG"))</f>
        <v/>
      </c>
      <c r="Z282" s="50">
        <f>IF(OR(N282="",O282="",P282="",Q282="",T282=""),"",IF(ABS(ROUND(((ROUND(N(N282)*100,0)+ROUND(N(Q282)*100,0))-(ROUND(N(O282)*100,0)+ROUND(N(P282)*100,0))),0)-(ROUND(N(T282)*100,0)))&lt;=0,"OK","ABWEICHUNG"))</f>
        <v/>
      </c>
      <c r="AA282" s="44" t="n"/>
      <c r="AB282" s="44" t="n"/>
      <c r="AC282" s="44" t="n"/>
      <c r="AD282" s="44" t="n"/>
      <c r="AE282" s="85" t="n"/>
      <c r="AF282" s="85" t="n"/>
      <c r="AG282" s="44" t="n"/>
      <c r="AH282" s="44" t="n"/>
    </row>
    <row r="283">
      <c r="A283" s="44" t="n"/>
      <c r="B283" s="44" t="n"/>
      <c r="C283" s="44" t="n"/>
      <c r="D283" s="44" t="n"/>
      <c r="E283" s="44" t="n"/>
      <c r="F283" s="44" t="n"/>
      <c r="G283" s="45" t="n"/>
      <c r="H283" s="44" t="n"/>
      <c r="I283" s="45" t="n"/>
      <c r="J283" s="44" t="n"/>
      <c r="K283" s="85" t="n"/>
      <c r="L283" s="85" t="n"/>
      <c r="M283" s="85" t="n"/>
      <c r="N283" s="85" t="n"/>
      <c r="O283" s="85" t="n"/>
      <c r="P283" s="85" t="n"/>
      <c r="Q283" s="85" t="n"/>
      <c r="R283" s="85" t="n"/>
      <c r="S283" s="85" t="n"/>
      <c r="T283" s="85" t="n"/>
      <c r="U283" s="85" t="n"/>
      <c r="V283" s="44" t="n"/>
      <c r="W283" s="50">
        <f>IF(OR(M283="",Q283="",S283=""),"",IF(ABS(ROUND(((ROUND(N(M283)*100,0))-(ROUND(N(Q283)*100,0))),0)-(ROUND(N(S283)*100,0)))&lt;=0,"OK","ABWEICHUNG"))</f>
        <v/>
      </c>
      <c r="X283" s="50">
        <f>IF(OR(K283="",M283="",N283=""),"",IF(ABS(ROUND(((ROUND(N(K283)*100,0)+ROUND(N(L283)*100,0))-(ROUND(N(M283)*100,0))),0)-(ROUND(N(N283)*100,0)))&lt;=0,"OK",IF(OR(L283=""),"UNVOLLSTÄNDIG","ABWEICHUNG")))</f>
        <v/>
      </c>
      <c r="Y283" s="50">
        <f>IF(OR(K283="",O283="",R283=""),"",IF(ABS(ROUND(((ROUND(N(K283)*100,0))-(ROUND(N(O283)*100,0))),0)-(ROUND(N(R283)*100,0)))&lt;=0,"OK","ABWEICHUNG"))</f>
        <v/>
      </c>
      <c r="Z283" s="50">
        <f>IF(OR(N283="",O283="",P283="",Q283="",T283=""),"",IF(ABS(ROUND(((ROUND(N(N283)*100,0)+ROUND(N(Q283)*100,0))-(ROUND(N(O283)*100,0)+ROUND(N(P283)*100,0))),0)-(ROUND(N(T283)*100,0)))&lt;=0,"OK","ABWEICHUNG"))</f>
        <v/>
      </c>
      <c r="AA283" s="44" t="n"/>
      <c r="AB283" s="44" t="n"/>
      <c r="AC283" s="44" t="n"/>
      <c r="AD283" s="44" t="n"/>
      <c r="AE283" s="85" t="n"/>
      <c r="AF283" s="85" t="n"/>
      <c r="AG283" s="44" t="n"/>
      <c r="AH283" s="44" t="n"/>
    </row>
    <row r="284">
      <c r="A284" s="44" t="n"/>
      <c r="B284" s="44" t="n"/>
      <c r="C284" s="44" t="n"/>
      <c r="D284" s="44" t="n"/>
      <c r="E284" s="44" t="n"/>
      <c r="F284" s="44" t="n"/>
      <c r="G284" s="45" t="n"/>
      <c r="H284" s="44" t="n"/>
      <c r="I284" s="45" t="n"/>
      <c r="J284" s="44" t="n"/>
      <c r="K284" s="85" t="n"/>
      <c r="L284" s="85" t="n"/>
      <c r="M284" s="85" t="n"/>
      <c r="N284" s="85" t="n"/>
      <c r="O284" s="85" t="n"/>
      <c r="P284" s="85" t="n"/>
      <c r="Q284" s="85" t="n"/>
      <c r="R284" s="85" t="n"/>
      <c r="S284" s="85" t="n"/>
      <c r="T284" s="85" t="n"/>
      <c r="U284" s="85" t="n"/>
      <c r="V284" s="44" t="n"/>
      <c r="W284" s="50">
        <f>IF(OR(M284="",Q284="",S284=""),"",IF(ABS(ROUND(((ROUND(N(M284)*100,0))-(ROUND(N(Q284)*100,0))),0)-(ROUND(N(S284)*100,0)))&lt;=0,"OK","ABWEICHUNG"))</f>
        <v/>
      </c>
      <c r="X284" s="50">
        <f>IF(OR(K284="",M284="",N284=""),"",IF(ABS(ROUND(((ROUND(N(K284)*100,0)+ROUND(N(L284)*100,0))-(ROUND(N(M284)*100,0))),0)-(ROUND(N(N284)*100,0)))&lt;=0,"OK",IF(OR(L284=""),"UNVOLLSTÄNDIG","ABWEICHUNG")))</f>
        <v/>
      </c>
      <c r="Y284" s="50">
        <f>IF(OR(K284="",O284="",R284=""),"",IF(ABS(ROUND(((ROUND(N(K284)*100,0))-(ROUND(N(O284)*100,0))),0)-(ROUND(N(R284)*100,0)))&lt;=0,"OK","ABWEICHUNG"))</f>
        <v/>
      </c>
      <c r="Z284" s="50">
        <f>IF(OR(N284="",O284="",P284="",Q284="",T284=""),"",IF(ABS(ROUND(((ROUND(N(N284)*100,0)+ROUND(N(Q284)*100,0))-(ROUND(N(O284)*100,0)+ROUND(N(P284)*100,0))),0)-(ROUND(N(T284)*100,0)))&lt;=0,"OK","ABWEICHUNG"))</f>
        <v/>
      </c>
      <c r="AA284" s="44" t="n"/>
      <c r="AB284" s="44" t="n"/>
      <c r="AC284" s="44" t="n"/>
      <c r="AD284" s="44" t="n"/>
      <c r="AE284" s="85" t="n"/>
      <c r="AF284" s="85" t="n"/>
      <c r="AG284" s="44" t="n"/>
      <c r="AH284" s="44" t="n"/>
    </row>
    <row r="285">
      <c r="A285" s="44" t="n"/>
      <c r="B285" s="44" t="n"/>
      <c r="C285" s="44" t="n"/>
      <c r="D285" s="44" t="n"/>
      <c r="E285" s="44" t="n"/>
      <c r="F285" s="44" t="n"/>
      <c r="G285" s="45" t="n"/>
      <c r="H285" s="44" t="n"/>
      <c r="I285" s="45" t="n"/>
      <c r="J285" s="44" t="n"/>
      <c r="K285" s="85" t="n"/>
      <c r="L285" s="85" t="n"/>
      <c r="M285" s="85" t="n"/>
      <c r="N285" s="85" t="n"/>
      <c r="O285" s="85" t="n"/>
      <c r="P285" s="85" t="n"/>
      <c r="Q285" s="85" t="n"/>
      <c r="R285" s="85" t="n"/>
      <c r="S285" s="85" t="n"/>
      <c r="T285" s="85" t="n"/>
      <c r="U285" s="85" t="n"/>
      <c r="V285" s="44" t="n"/>
      <c r="W285" s="50">
        <f>IF(OR(M285="",Q285="",S285=""),"",IF(ABS(ROUND(((ROUND(N(M285)*100,0))-(ROUND(N(Q285)*100,0))),0)-(ROUND(N(S285)*100,0)))&lt;=0,"OK","ABWEICHUNG"))</f>
        <v/>
      </c>
      <c r="X285" s="50">
        <f>IF(OR(K285="",M285="",N285=""),"",IF(ABS(ROUND(((ROUND(N(K285)*100,0)+ROUND(N(L285)*100,0))-(ROUND(N(M285)*100,0))),0)-(ROUND(N(N285)*100,0)))&lt;=0,"OK",IF(OR(L285=""),"UNVOLLSTÄNDIG","ABWEICHUNG")))</f>
        <v/>
      </c>
      <c r="Y285" s="50">
        <f>IF(OR(K285="",O285="",R285=""),"",IF(ABS(ROUND(((ROUND(N(K285)*100,0))-(ROUND(N(O285)*100,0))),0)-(ROUND(N(R285)*100,0)))&lt;=0,"OK","ABWEICHUNG"))</f>
        <v/>
      </c>
      <c r="Z285" s="50">
        <f>IF(OR(N285="",O285="",P285="",Q285="",T285=""),"",IF(ABS(ROUND(((ROUND(N(N285)*100,0)+ROUND(N(Q285)*100,0))-(ROUND(N(O285)*100,0)+ROUND(N(P285)*100,0))),0)-(ROUND(N(T285)*100,0)))&lt;=0,"OK","ABWEICHUNG"))</f>
        <v/>
      </c>
      <c r="AA285" s="44" t="n"/>
      <c r="AB285" s="44" t="n"/>
      <c r="AC285" s="44" t="n"/>
      <c r="AD285" s="44" t="n"/>
      <c r="AE285" s="85" t="n"/>
      <c r="AF285" s="85" t="n"/>
      <c r="AG285" s="44" t="n"/>
      <c r="AH285" s="44" t="n"/>
    </row>
    <row r="286">
      <c r="A286" s="44" t="n"/>
      <c r="B286" s="44" t="n"/>
      <c r="C286" s="44" t="n"/>
      <c r="D286" s="44" t="n"/>
      <c r="E286" s="44" t="n"/>
      <c r="F286" s="44" t="n"/>
      <c r="G286" s="45" t="n"/>
      <c r="H286" s="44" t="n"/>
      <c r="I286" s="45" t="n"/>
      <c r="J286" s="44" t="n"/>
      <c r="K286" s="85" t="n"/>
      <c r="L286" s="85" t="n"/>
      <c r="M286" s="85" t="n"/>
      <c r="N286" s="85" t="n"/>
      <c r="O286" s="85" t="n"/>
      <c r="P286" s="85" t="n"/>
      <c r="Q286" s="85" t="n"/>
      <c r="R286" s="85" t="n"/>
      <c r="S286" s="85" t="n"/>
      <c r="T286" s="85" t="n"/>
      <c r="U286" s="85" t="n"/>
      <c r="V286" s="44" t="n"/>
      <c r="W286" s="50">
        <f>IF(OR(M286="",Q286="",S286=""),"",IF(ABS(ROUND(((ROUND(N(M286)*100,0))-(ROUND(N(Q286)*100,0))),0)-(ROUND(N(S286)*100,0)))&lt;=0,"OK","ABWEICHUNG"))</f>
        <v/>
      </c>
      <c r="X286" s="50">
        <f>IF(OR(K286="",M286="",N286=""),"",IF(ABS(ROUND(((ROUND(N(K286)*100,0)+ROUND(N(L286)*100,0))-(ROUND(N(M286)*100,0))),0)-(ROUND(N(N286)*100,0)))&lt;=0,"OK",IF(OR(L286=""),"UNVOLLSTÄNDIG","ABWEICHUNG")))</f>
        <v/>
      </c>
      <c r="Y286" s="50">
        <f>IF(OR(K286="",O286="",R286=""),"",IF(ABS(ROUND(((ROUND(N(K286)*100,0))-(ROUND(N(O286)*100,0))),0)-(ROUND(N(R286)*100,0)))&lt;=0,"OK","ABWEICHUNG"))</f>
        <v/>
      </c>
      <c r="Z286" s="50">
        <f>IF(OR(N286="",O286="",P286="",Q286="",T286=""),"",IF(ABS(ROUND(((ROUND(N(N286)*100,0)+ROUND(N(Q286)*100,0))-(ROUND(N(O286)*100,0)+ROUND(N(P286)*100,0))),0)-(ROUND(N(T286)*100,0)))&lt;=0,"OK","ABWEICHUNG"))</f>
        <v/>
      </c>
      <c r="AA286" s="44" t="n"/>
      <c r="AB286" s="44" t="n"/>
      <c r="AC286" s="44" t="n"/>
      <c r="AD286" s="44" t="n"/>
      <c r="AE286" s="85" t="n"/>
      <c r="AF286" s="85" t="n"/>
      <c r="AG286" s="44" t="n"/>
      <c r="AH286" s="44" t="n"/>
    </row>
    <row r="287">
      <c r="A287" s="44" t="n"/>
      <c r="B287" s="44" t="n"/>
      <c r="C287" s="44" t="n"/>
      <c r="D287" s="44" t="n"/>
      <c r="E287" s="44" t="n"/>
      <c r="F287" s="44" t="n"/>
      <c r="G287" s="45" t="n"/>
      <c r="H287" s="44" t="n"/>
      <c r="I287" s="45" t="n"/>
      <c r="J287" s="44" t="n"/>
      <c r="K287" s="85" t="n"/>
      <c r="L287" s="85" t="n"/>
      <c r="M287" s="85" t="n"/>
      <c r="N287" s="85" t="n"/>
      <c r="O287" s="85" t="n"/>
      <c r="P287" s="85" t="n"/>
      <c r="Q287" s="85" t="n"/>
      <c r="R287" s="85" t="n"/>
      <c r="S287" s="85" t="n"/>
      <c r="T287" s="85" t="n"/>
      <c r="U287" s="85" t="n"/>
      <c r="V287" s="44" t="n"/>
      <c r="W287" s="50">
        <f>IF(OR(M287="",Q287="",S287=""),"",IF(ABS(ROUND(((ROUND(N(M287)*100,0))-(ROUND(N(Q287)*100,0))),0)-(ROUND(N(S287)*100,0)))&lt;=0,"OK","ABWEICHUNG"))</f>
        <v/>
      </c>
      <c r="X287" s="50">
        <f>IF(OR(K287="",M287="",N287=""),"",IF(ABS(ROUND(((ROUND(N(K287)*100,0)+ROUND(N(L287)*100,0))-(ROUND(N(M287)*100,0))),0)-(ROUND(N(N287)*100,0)))&lt;=0,"OK",IF(OR(L287=""),"UNVOLLSTÄNDIG","ABWEICHUNG")))</f>
        <v/>
      </c>
      <c r="Y287" s="50">
        <f>IF(OR(K287="",O287="",R287=""),"",IF(ABS(ROUND(((ROUND(N(K287)*100,0))-(ROUND(N(O287)*100,0))),0)-(ROUND(N(R287)*100,0)))&lt;=0,"OK","ABWEICHUNG"))</f>
        <v/>
      </c>
      <c r="Z287" s="50">
        <f>IF(OR(N287="",O287="",P287="",Q287="",T287=""),"",IF(ABS(ROUND(((ROUND(N(N287)*100,0)+ROUND(N(Q287)*100,0))-(ROUND(N(O287)*100,0)+ROUND(N(P287)*100,0))),0)-(ROUND(N(T287)*100,0)))&lt;=0,"OK","ABWEICHUNG"))</f>
        <v/>
      </c>
      <c r="AA287" s="44" t="n"/>
      <c r="AB287" s="44" t="n"/>
      <c r="AC287" s="44" t="n"/>
      <c r="AD287" s="44" t="n"/>
      <c r="AE287" s="85" t="n"/>
      <c r="AF287" s="85" t="n"/>
      <c r="AG287" s="44" t="n"/>
      <c r="AH287" s="44" t="n"/>
    </row>
    <row r="288">
      <c r="A288" s="44" t="n"/>
      <c r="B288" s="44" t="n"/>
      <c r="C288" s="44" t="n"/>
      <c r="D288" s="44" t="n"/>
      <c r="E288" s="44" t="n"/>
      <c r="F288" s="44" t="n"/>
      <c r="G288" s="45" t="n"/>
      <c r="H288" s="44" t="n"/>
      <c r="I288" s="45" t="n"/>
      <c r="J288" s="44" t="n"/>
      <c r="K288" s="85" t="n"/>
      <c r="L288" s="85" t="n"/>
      <c r="M288" s="85" t="n"/>
      <c r="N288" s="85" t="n"/>
      <c r="O288" s="85" t="n"/>
      <c r="P288" s="85" t="n"/>
      <c r="Q288" s="85" t="n"/>
      <c r="R288" s="85" t="n"/>
      <c r="S288" s="85" t="n"/>
      <c r="T288" s="85" t="n"/>
      <c r="U288" s="85" t="n"/>
      <c r="V288" s="44" t="n"/>
      <c r="W288" s="50">
        <f>IF(OR(M288="",Q288="",S288=""),"",IF(ABS(ROUND(((ROUND(N(M288)*100,0))-(ROUND(N(Q288)*100,0))),0)-(ROUND(N(S288)*100,0)))&lt;=0,"OK","ABWEICHUNG"))</f>
        <v/>
      </c>
      <c r="X288" s="50">
        <f>IF(OR(K288="",M288="",N288=""),"",IF(ABS(ROUND(((ROUND(N(K288)*100,0)+ROUND(N(L288)*100,0))-(ROUND(N(M288)*100,0))),0)-(ROUND(N(N288)*100,0)))&lt;=0,"OK",IF(OR(L288=""),"UNVOLLSTÄNDIG","ABWEICHUNG")))</f>
        <v/>
      </c>
      <c r="Y288" s="50">
        <f>IF(OR(K288="",O288="",R288=""),"",IF(ABS(ROUND(((ROUND(N(K288)*100,0))-(ROUND(N(O288)*100,0))),0)-(ROUND(N(R288)*100,0)))&lt;=0,"OK","ABWEICHUNG"))</f>
        <v/>
      </c>
      <c r="Z288" s="50">
        <f>IF(OR(N288="",O288="",P288="",Q288="",T288=""),"",IF(ABS(ROUND(((ROUND(N(N288)*100,0)+ROUND(N(Q288)*100,0))-(ROUND(N(O288)*100,0)+ROUND(N(P288)*100,0))),0)-(ROUND(N(T288)*100,0)))&lt;=0,"OK","ABWEICHUNG"))</f>
        <v/>
      </c>
      <c r="AA288" s="44" t="n"/>
      <c r="AB288" s="44" t="n"/>
      <c r="AC288" s="44" t="n"/>
      <c r="AD288" s="44" t="n"/>
      <c r="AE288" s="85" t="n"/>
      <c r="AF288" s="85" t="n"/>
      <c r="AG288" s="44" t="n"/>
      <c r="AH288" s="44" t="n"/>
    </row>
    <row r="289">
      <c r="A289" s="44" t="n"/>
      <c r="B289" s="44" t="n"/>
      <c r="C289" s="44" t="n"/>
      <c r="D289" s="44" t="n"/>
      <c r="E289" s="44" t="n"/>
      <c r="F289" s="44" t="n"/>
      <c r="G289" s="45" t="n"/>
      <c r="H289" s="44" t="n"/>
      <c r="I289" s="45" t="n"/>
      <c r="J289" s="44" t="n"/>
      <c r="K289" s="85" t="n"/>
      <c r="L289" s="85" t="n"/>
      <c r="M289" s="85" t="n"/>
      <c r="N289" s="85" t="n"/>
      <c r="O289" s="85" t="n"/>
      <c r="P289" s="85" t="n"/>
      <c r="Q289" s="85" t="n"/>
      <c r="R289" s="85" t="n"/>
      <c r="S289" s="85" t="n"/>
      <c r="T289" s="85" t="n"/>
      <c r="U289" s="85" t="n"/>
      <c r="V289" s="44" t="n"/>
      <c r="W289" s="50">
        <f>IF(OR(M289="",Q289="",S289=""),"",IF(ABS(ROUND(((ROUND(N(M289)*100,0))-(ROUND(N(Q289)*100,0))),0)-(ROUND(N(S289)*100,0)))&lt;=0,"OK","ABWEICHUNG"))</f>
        <v/>
      </c>
      <c r="X289" s="50">
        <f>IF(OR(K289="",M289="",N289=""),"",IF(ABS(ROUND(((ROUND(N(K289)*100,0)+ROUND(N(L289)*100,0))-(ROUND(N(M289)*100,0))),0)-(ROUND(N(N289)*100,0)))&lt;=0,"OK",IF(OR(L289=""),"UNVOLLSTÄNDIG","ABWEICHUNG")))</f>
        <v/>
      </c>
      <c r="Y289" s="50">
        <f>IF(OR(K289="",O289="",R289=""),"",IF(ABS(ROUND(((ROUND(N(K289)*100,0))-(ROUND(N(O289)*100,0))),0)-(ROUND(N(R289)*100,0)))&lt;=0,"OK","ABWEICHUNG"))</f>
        <v/>
      </c>
      <c r="Z289" s="50">
        <f>IF(OR(N289="",O289="",P289="",Q289="",T289=""),"",IF(ABS(ROUND(((ROUND(N(N289)*100,0)+ROUND(N(Q289)*100,0))-(ROUND(N(O289)*100,0)+ROUND(N(P289)*100,0))),0)-(ROUND(N(T289)*100,0)))&lt;=0,"OK","ABWEICHUNG"))</f>
        <v/>
      </c>
      <c r="AA289" s="44" t="n"/>
      <c r="AB289" s="44" t="n"/>
      <c r="AC289" s="44" t="n"/>
      <c r="AD289" s="44" t="n"/>
      <c r="AE289" s="85" t="n"/>
      <c r="AF289" s="85" t="n"/>
      <c r="AG289" s="44" t="n"/>
      <c r="AH289" s="44" t="n"/>
    </row>
    <row r="290">
      <c r="A290" s="44" t="n"/>
      <c r="B290" s="44" t="n"/>
      <c r="C290" s="44" t="n"/>
      <c r="D290" s="44" t="n"/>
      <c r="E290" s="44" t="n"/>
      <c r="F290" s="44" t="n"/>
      <c r="G290" s="45" t="n"/>
      <c r="H290" s="44" t="n"/>
      <c r="I290" s="45" t="n"/>
      <c r="J290" s="44" t="n"/>
      <c r="K290" s="85" t="n"/>
      <c r="L290" s="85" t="n"/>
      <c r="M290" s="85" t="n"/>
      <c r="N290" s="85" t="n"/>
      <c r="O290" s="85" t="n"/>
      <c r="P290" s="85" t="n"/>
      <c r="Q290" s="85" t="n"/>
      <c r="R290" s="85" t="n"/>
      <c r="S290" s="85" t="n"/>
      <c r="T290" s="85" t="n"/>
      <c r="U290" s="85" t="n"/>
      <c r="V290" s="44" t="n"/>
      <c r="W290" s="50">
        <f>IF(OR(M290="",Q290="",S290=""),"",IF(ABS(ROUND(((ROUND(N(M290)*100,0))-(ROUND(N(Q290)*100,0))),0)-(ROUND(N(S290)*100,0)))&lt;=0,"OK","ABWEICHUNG"))</f>
        <v/>
      </c>
      <c r="X290" s="50">
        <f>IF(OR(K290="",M290="",N290=""),"",IF(ABS(ROUND(((ROUND(N(K290)*100,0)+ROUND(N(L290)*100,0))-(ROUND(N(M290)*100,0))),0)-(ROUND(N(N290)*100,0)))&lt;=0,"OK",IF(OR(L290=""),"UNVOLLSTÄNDIG","ABWEICHUNG")))</f>
        <v/>
      </c>
      <c r="Y290" s="50">
        <f>IF(OR(K290="",O290="",R290=""),"",IF(ABS(ROUND(((ROUND(N(K290)*100,0))-(ROUND(N(O290)*100,0))),0)-(ROUND(N(R290)*100,0)))&lt;=0,"OK","ABWEICHUNG"))</f>
        <v/>
      </c>
      <c r="Z290" s="50">
        <f>IF(OR(N290="",O290="",P290="",Q290="",T290=""),"",IF(ABS(ROUND(((ROUND(N(N290)*100,0)+ROUND(N(Q290)*100,0))-(ROUND(N(O290)*100,0)+ROUND(N(P290)*100,0))),0)-(ROUND(N(T290)*100,0)))&lt;=0,"OK","ABWEICHUNG"))</f>
        <v/>
      </c>
      <c r="AA290" s="44" t="n"/>
      <c r="AB290" s="44" t="n"/>
      <c r="AC290" s="44" t="n"/>
      <c r="AD290" s="44" t="n"/>
      <c r="AE290" s="85" t="n"/>
      <c r="AF290" s="85" t="n"/>
      <c r="AG290" s="44" t="n"/>
      <c r="AH290" s="44" t="n"/>
    </row>
    <row r="291">
      <c r="A291" s="44" t="n"/>
      <c r="B291" s="44" t="n"/>
      <c r="C291" s="44" t="n"/>
      <c r="D291" s="44" t="n"/>
      <c r="E291" s="44" t="n"/>
      <c r="F291" s="44" t="n"/>
      <c r="G291" s="45" t="n"/>
      <c r="H291" s="44" t="n"/>
      <c r="I291" s="45" t="n"/>
      <c r="J291" s="44" t="n"/>
      <c r="K291" s="85" t="n"/>
      <c r="L291" s="85" t="n"/>
      <c r="M291" s="85" t="n"/>
      <c r="N291" s="85" t="n"/>
      <c r="O291" s="85" t="n"/>
      <c r="P291" s="85" t="n"/>
      <c r="Q291" s="85" t="n"/>
      <c r="R291" s="85" t="n"/>
      <c r="S291" s="85" t="n"/>
      <c r="T291" s="85" t="n"/>
      <c r="U291" s="85" t="n"/>
      <c r="V291" s="44" t="n"/>
      <c r="W291" s="50">
        <f>IF(OR(M291="",Q291="",S291=""),"",IF(ABS(ROUND(((ROUND(N(M291)*100,0))-(ROUND(N(Q291)*100,0))),0)-(ROUND(N(S291)*100,0)))&lt;=0,"OK","ABWEICHUNG"))</f>
        <v/>
      </c>
      <c r="X291" s="50">
        <f>IF(OR(K291="",M291="",N291=""),"",IF(ABS(ROUND(((ROUND(N(K291)*100,0)+ROUND(N(L291)*100,0))-(ROUND(N(M291)*100,0))),0)-(ROUND(N(N291)*100,0)))&lt;=0,"OK",IF(OR(L291=""),"UNVOLLSTÄNDIG","ABWEICHUNG")))</f>
        <v/>
      </c>
      <c r="Y291" s="50">
        <f>IF(OR(K291="",O291="",R291=""),"",IF(ABS(ROUND(((ROUND(N(K291)*100,0))-(ROUND(N(O291)*100,0))),0)-(ROUND(N(R291)*100,0)))&lt;=0,"OK","ABWEICHUNG"))</f>
        <v/>
      </c>
      <c r="Z291" s="50">
        <f>IF(OR(N291="",O291="",P291="",Q291="",T291=""),"",IF(ABS(ROUND(((ROUND(N(N291)*100,0)+ROUND(N(Q291)*100,0))-(ROUND(N(O291)*100,0)+ROUND(N(P291)*100,0))),0)-(ROUND(N(T291)*100,0)))&lt;=0,"OK","ABWEICHUNG"))</f>
        <v/>
      </c>
      <c r="AA291" s="44" t="n"/>
      <c r="AB291" s="44" t="n"/>
      <c r="AC291" s="44" t="n"/>
      <c r="AD291" s="44" t="n"/>
      <c r="AE291" s="85" t="n"/>
      <c r="AF291" s="85" t="n"/>
      <c r="AG291" s="44" t="n"/>
      <c r="AH291" s="44" t="n"/>
    </row>
    <row r="292">
      <c r="A292" s="44" t="n"/>
      <c r="B292" s="44" t="n"/>
      <c r="C292" s="44" t="n"/>
      <c r="D292" s="44" t="n"/>
      <c r="E292" s="44" t="n"/>
      <c r="F292" s="44" t="n"/>
      <c r="G292" s="45" t="n"/>
      <c r="H292" s="44" t="n"/>
      <c r="I292" s="45" t="n"/>
      <c r="J292" s="44" t="n"/>
      <c r="K292" s="85" t="n"/>
      <c r="L292" s="85" t="n"/>
      <c r="M292" s="85" t="n"/>
      <c r="N292" s="85" t="n"/>
      <c r="O292" s="85" t="n"/>
      <c r="P292" s="85" t="n"/>
      <c r="Q292" s="85" t="n"/>
      <c r="R292" s="85" t="n"/>
      <c r="S292" s="85" t="n"/>
      <c r="T292" s="85" t="n"/>
      <c r="U292" s="85" t="n"/>
      <c r="V292" s="44" t="n"/>
      <c r="W292" s="50">
        <f>IF(OR(M292="",Q292="",S292=""),"",IF(ABS(ROUND(((ROUND(N(M292)*100,0))-(ROUND(N(Q292)*100,0))),0)-(ROUND(N(S292)*100,0)))&lt;=0,"OK","ABWEICHUNG"))</f>
        <v/>
      </c>
      <c r="X292" s="50">
        <f>IF(OR(K292="",M292="",N292=""),"",IF(ABS(ROUND(((ROUND(N(K292)*100,0)+ROUND(N(L292)*100,0))-(ROUND(N(M292)*100,0))),0)-(ROUND(N(N292)*100,0)))&lt;=0,"OK",IF(OR(L292=""),"UNVOLLSTÄNDIG","ABWEICHUNG")))</f>
        <v/>
      </c>
      <c r="Y292" s="50">
        <f>IF(OR(K292="",O292="",R292=""),"",IF(ABS(ROUND(((ROUND(N(K292)*100,0))-(ROUND(N(O292)*100,0))),0)-(ROUND(N(R292)*100,0)))&lt;=0,"OK","ABWEICHUNG"))</f>
        <v/>
      </c>
      <c r="Z292" s="50">
        <f>IF(OR(N292="",O292="",P292="",Q292="",T292=""),"",IF(ABS(ROUND(((ROUND(N(N292)*100,0)+ROUND(N(Q292)*100,0))-(ROUND(N(O292)*100,0)+ROUND(N(P292)*100,0))),0)-(ROUND(N(T292)*100,0)))&lt;=0,"OK","ABWEICHUNG"))</f>
        <v/>
      </c>
      <c r="AA292" s="44" t="n"/>
      <c r="AB292" s="44" t="n"/>
      <c r="AC292" s="44" t="n"/>
      <c r="AD292" s="44" t="n"/>
      <c r="AE292" s="85" t="n"/>
      <c r="AF292" s="85" t="n"/>
      <c r="AG292" s="44" t="n"/>
      <c r="AH292" s="44" t="n"/>
    </row>
    <row r="293">
      <c r="A293" s="44" t="n"/>
      <c r="B293" s="44" t="n"/>
      <c r="C293" s="44" t="n"/>
      <c r="D293" s="44" t="n"/>
      <c r="E293" s="44" t="n"/>
      <c r="F293" s="44" t="n"/>
      <c r="G293" s="45" t="n"/>
      <c r="H293" s="44" t="n"/>
      <c r="I293" s="45" t="n"/>
      <c r="J293" s="44" t="n"/>
      <c r="K293" s="85" t="n"/>
      <c r="L293" s="85" t="n"/>
      <c r="M293" s="85" t="n"/>
      <c r="N293" s="85" t="n"/>
      <c r="O293" s="85" t="n"/>
      <c r="P293" s="85" t="n"/>
      <c r="Q293" s="85" t="n"/>
      <c r="R293" s="85" t="n"/>
      <c r="S293" s="85" t="n"/>
      <c r="T293" s="85" t="n"/>
      <c r="U293" s="85" t="n"/>
      <c r="V293" s="44" t="n"/>
      <c r="W293" s="50">
        <f>IF(OR(M293="",Q293="",S293=""),"",IF(ABS(ROUND(((ROUND(N(M293)*100,0))-(ROUND(N(Q293)*100,0))),0)-(ROUND(N(S293)*100,0)))&lt;=0,"OK","ABWEICHUNG"))</f>
        <v/>
      </c>
      <c r="X293" s="50">
        <f>IF(OR(K293="",M293="",N293=""),"",IF(ABS(ROUND(((ROUND(N(K293)*100,0)+ROUND(N(L293)*100,0))-(ROUND(N(M293)*100,0))),0)-(ROUND(N(N293)*100,0)))&lt;=0,"OK",IF(OR(L293=""),"UNVOLLSTÄNDIG","ABWEICHUNG")))</f>
        <v/>
      </c>
      <c r="Y293" s="50">
        <f>IF(OR(K293="",O293="",R293=""),"",IF(ABS(ROUND(((ROUND(N(K293)*100,0))-(ROUND(N(O293)*100,0))),0)-(ROUND(N(R293)*100,0)))&lt;=0,"OK","ABWEICHUNG"))</f>
        <v/>
      </c>
      <c r="Z293" s="50">
        <f>IF(OR(N293="",O293="",P293="",Q293="",T293=""),"",IF(ABS(ROUND(((ROUND(N(N293)*100,0)+ROUND(N(Q293)*100,0))-(ROUND(N(O293)*100,0)+ROUND(N(P293)*100,0))),0)-(ROUND(N(T293)*100,0)))&lt;=0,"OK","ABWEICHUNG"))</f>
        <v/>
      </c>
      <c r="AA293" s="44" t="n"/>
      <c r="AB293" s="44" t="n"/>
      <c r="AC293" s="44" t="n"/>
      <c r="AD293" s="44" t="n"/>
      <c r="AE293" s="85" t="n"/>
      <c r="AF293" s="85" t="n"/>
      <c r="AG293" s="44" t="n"/>
      <c r="AH293" s="44" t="n"/>
    </row>
    <row r="294">
      <c r="A294" s="44" t="n"/>
      <c r="B294" s="44" t="n"/>
      <c r="C294" s="44" t="n"/>
      <c r="D294" s="44" t="n"/>
      <c r="E294" s="44" t="n"/>
      <c r="F294" s="44" t="n"/>
      <c r="G294" s="45" t="n"/>
      <c r="H294" s="44" t="n"/>
      <c r="I294" s="45" t="n"/>
      <c r="J294" s="44" t="n"/>
      <c r="K294" s="85" t="n"/>
      <c r="L294" s="85" t="n"/>
      <c r="M294" s="85" t="n"/>
      <c r="N294" s="85" t="n"/>
      <c r="O294" s="85" t="n"/>
      <c r="P294" s="85" t="n"/>
      <c r="Q294" s="85" t="n"/>
      <c r="R294" s="85" t="n"/>
      <c r="S294" s="85" t="n"/>
      <c r="T294" s="85" t="n"/>
      <c r="U294" s="85" t="n"/>
      <c r="V294" s="44" t="n"/>
      <c r="W294" s="50">
        <f>IF(OR(M294="",Q294="",S294=""),"",IF(ABS(ROUND(((ROUND(N(M294)*100,0))-(ROUND(N(Q294)*100,0))),0)-(ROUND(N(S294)*100,0)))&lt;=0,"OK","ABWEICHUNG"))</f>
        <v/>
      </c>
      <c r="X294" s="50">
        <f>IF(OR(K294="",M294="",N294=""),"",IF(ABS(ROUND(((ROUND(N(K294)*100,0)+ROUND(N(L294)*100,0))-(ROUND(N(M294)*100,0))),0)-(ROUND(N(N294)*100,0)))&lt;=0,"OK",IF(OR(L294=""),"UNVOLLSTÄNDIG","ABWEICHUNG")))</f>
        <v/>
      </c>
      <c r="Y294" s="50">
        <f>IF(OR(K294="",O294="",R294=""),"",IF(ABS(ROUND(((ROUND(N(K294)*100,0))-(ROUND(N(O294)*100,0))),0)-(ROUND(N(R294)*100,0)))&lt;=0,"OK","ABWEICHUNG"))</f>
        <v/>
      </c>
      <c r="Z294" s="50">
        <f>IF(OR(N294="",O294="",P294="",Q294="",T294=""),"",IF(ABS(ROUND(((ROUND(N(N294)*100,0)+ROUND(N(Q294)*100,0))-(ROUND(N(O294)*100,0)+ROUND(N(P294)*100,0))),0)-(ROUND(N(T294)*100,0)))&lt;=0,"OK","ABWEICHUNG"))</f>
        <v/>
      </c>
      <c r="AA294" s="44" t="n"/>
      <c r="AB294" s="44" t="n"/>
      <c r="AC294" s="44" t="n"/>
      <c r="AD294" s="44" t="n"/>
      <c r="AE294" s="85" t="n"/>
      <c r="AF294" s="85" t="n"/>
      <c r="AG294" s="44" t="n"/>
      <c r="AH294" s="44" t="n"/>
    </row>
    <row r="295">
      <c r="A295" s="44" t="n"/>
      <c r="B295" s="44" t="n"/>
      <c r="C295" s="44" t="n"/>
      <c r="D295" s="44" t="n"/>
      <c r="E295" s="44" t="n"/>
      <c r="F295" s="44" t="n"/>
      <c r="G295" s="45" t="n"/>
      <c r="H295" s="44" t="n"/>
      <c r="I295" s="45" t="n"/>
      <c r="J295" s="44" t="n"/>
      <c r="K295" s="85" t="n"/>
      <c r="L295" s="85" t="n"/>
      <c r="M295" s="85" t="n"/>
      <c r="N295" s="85" t="n"/>
      <c r="O295" s="85" t="n"/>
      <c r="P295" s="85" t="n"/>
      <c r="Q295" s="85" t="n"/>
      <c r="R295" s="85" t="n"/>
      <c r="S295" s="85" t="n"/>
      <c r="T295" s="85" t="n"/>
      <c r="U295" s="85" t="n"/>
      <c r="V295" s="44" t="n"/>
      <c r="W295" s="50">
        <f>IF(OR(M295="",Q295="",S295=""),"",IF(ABS(ROUND(((ROUND(N(M295)*100,0))-(ROUND(N(Q295)*100,0))),0)-(ROUND(N(S295)*100,0)))&lt;=0,"OK","ABWEICHUNG"))</f>
        <v/>
      </c>
      <c r="X295" s="50">
        <f>IF(OR(K295="",M295="",N295=""),"",IF(ABS(ROUND(((ROUND(N(K295)*100,0)+ROUND(N(L295)*100,0))-(ROUND(N(M295)*100,0))),0)-(ROUND(N(N295)*100,0)))&lt;=0,"OK",IF(OR(L295=""),"UNVOLLSTÄNDIG","ABWEICHUNG")))</f>
        <v/>
      </c>
      <c r="Y295" s="50">
        <f>IF(OR(K295="",O295="",R295=""),"",IF(ABS(ROUND(((ROUND(N(K295)*100,0))-(ROUND(N(O295)*100,0))),0)-(ROUND(N(R295)*100,0)))&lt;=0,"OK","ABWEICHUNG"))</f>
        <v/>
      </c>
      <c r="Z295" s="50">
        <f>IF(OR(N295="",O295="",P295="",Q295="",T295=""),"",IF(ABS(ROUND(((ROUND(N(N295)*100,0)+ROUND(N(Q295)*100,0))-(ROUND(N(O295)*100,0)+ROUND(N(P295)*100,0))),0)-(ROUND(N(T295)*100,0)))&lt;=0,"OK","ABWEICHUNG"))</f>
        <v/>
      </c>
      <c r="AA295" s="44" t="n"/>
      <c r="AB295" s="44" t="n"/>
      <c r="AC295" s="44" t="n"/>
      <c r="AD295" s="44" t="n"/>
      <c r="AE295" s="85" t="n"/>
      <c r="AF295" s="85" t="n"/>
      <c r="AG295" s="44" t="n"/>
      <c r="AH295" s="44" t="n"/>
    </row>
    <row r="296">
      <c r="A296" s="44" t="n"/>
      <c r="B296" s="44" t="n"/>
      <c r="C296" s="44" t="n"/>
      <c r="D296" s="44" t="n"/>
      <c r="E296" s="44" t="n"/>
      <c r="F296" s="44" t="n"/>
      <c r="G296" s="45" t="n"/>
      <c r="H296" s="44" t="n"/>
      <c r="I296" s="45" t="n"/>
      <c r="J296" s="44" t="n"/>
      <c r="K296" s="85" t="n"/>
      <c r="L296" s="85" t="n"/>
      <c r="M296" s="85" t="n"/>
      <c r="N296" s="85" t="n"/>
      <c r="O296" s="85" t="n"/>
      <c r="P296" s="85" t="n"/>
      <c r="Q296" s="85" t="n"/>
      <c r="R296" s="85" t="n"/>
      <c r="S296" s="85" t="n"/>
      <c r="T296" s="85" t="n"/>
      <c r="U296" s="85" t="n"/>
      <c r="V296" s="44" t="n"/>
      <c r="W296" s="50">
        <f>IF(OR(M296="",Q296="",S296=""),"",IF(ABS(ROUND(((ROUND(N(M296)*100,0))-(ROUND(N(Q296)*100,0))),0)-(ROUND(N(S296)*100,0)))&lt;=0,"OK","ABWEICHUNG"))</f>
        <v/>
      </c>
      <c r="X296" s="50">
        <f>IF(OR(K296="",M296="",N296=""),"",IF(ABS(ROUND(((ROUND(N(K296)*100,0)+ROUND(N(L296)*100,0))-(ROUND(N(M296)*100,0))),0)-(ROUND(N(N296)*100,0)))&lt;=0,"OK",IF(OR(L296=""),"UNVOLLSTÄNDIG","ABWEICHUNG")))</f>
        <v/>
      </c>
      <c r="Y296" s="50">
        <f>IF(OR(K296="",O296="",R296=""),"",IF(ABS(ROUND(((ROUND(N(K296)*100,0))-(ROUND(N(O296)*100,0))),0)-(ROUND(N(R296)*100,0)))&lt;=0,"OK","ABWEICHUNG"))</f>
        <v/>
      </c>
      <c r="Z296" s="50">
        <f>IF(OR(N296="",O296="",P296="",Q296="",T296=""),"",IF(ABS(ROUND(((ROUND(N(N296)*100,0)+ROUND(N(Q296)*100,0))-(ROUND(N(O296)*100,0)+ROUND(N(P296)*100,0))),0)-(ROUND(N(T296)*100,0)))&lt;=0,"OK","ABWEICHUNG"))</f>
        <v/>
      </c>
      <c r="AA296" s="44" t="n"/>
      <c r="AB296" s="44" t="n"/>
      <c r="AC296" s="44" t="n"/>
      <c r="AD296" s="44" t="n"/>
      <c r="AE296" s="85" t="n"/>
      <c r="AF296" s="85" t="n"/>
      <c r="AG296" s="44" t="n"/>
      <c r="AH296" s="44" t="n"/>
    </row>
    <row r="297">
      <c r="A297" s="44" t="n"/>
      <c r="B297" s="44" t="n"/>
      <c r="C297" s="44" t="n"/>
      <c r="D297" s="44" t="n"/>
      <c r="E297" s="44" t="n"/>
      <c r="F297" s="44" t="n"/>
      <c r="G297" s="45" t="n"/>
      <c r="H297" s="44" t="n"/>
      <c r="I297" s="45" t="n"/>
      <c r="J297" s="44" t="n"/>
      <c r="K297" s="85" t="n"/>
      <c r="L297" s="85" t="n"/>
      <c r="M297" s="85" t="n"/>
      <c r="N297" s="85" t="n"/>
      <c r="O297" s="85" t="n"/>
      <c r="P297" s="85" t="n"/>
      <c r="Q297" s="85" t="n"/>
      <c r="R297" s="85" t="n"/>
      <c r="S297" s="85" t="n"/>
      <c r="T297" s="85" t="n"/>
      <c r="U297" s="85" t="n"/>
      <c r="V297" s="44" t="n"/>
      <c r="W297" s="50">
        <f>IF(OR(M297="",Q297="",S297=""),"",IF(ABS(ROUND(((ROUND(N(M297)*100,0))-(ROUND(N(Q297)*100,0))),0)-(ROUND(N(S297)*100,0)))&lt;=0,"OK","ABWEICHUNG"))</f>
        <v/>
      </c>
      <c r="X297" s="50">
        <f>IF(OR(K297="",M297="",N297=""),"",IF(ABS(ROUND(((ROUND(N(K297)*100,0)+ROUND(N(L297)*100,0))-(ROUND(N(M297)*100,0))),0)-(ROUND(N(N297)*100,0)))&lt;=0,"OK",IF(OR(L297=""),"UNVOLLSTÄNDIG","ABWEICHUNG")))</f>
        <v/>
      </c>
      <c r="Y297" s="50">
        <f>IF(OR(K297="",O297="",R297=""),"",IF(ABS(ROUND(((ROUND(N(K297)*100,0))-(ROUND(N(O297)*100,0))),0)-(ROUND(N(R297)*100,0)))&lt;=0,"OK","ABWEICHUNG"))</f>
        <v/>
      </c>
      <c r="Z297" s="50">
        <f>IF(OR(N297="",O297="",P297="",Q297="",T297=""),"",IF(ABS(ROUND(((ROUND(N(N297)*100,0)+ROUND(N(Q297)*100,0))-(ROUND(N(O297)*100,0)+ROUND(N(P297)*100,0))),0)-(ROUND(N(T297)*100,0)))&lt;=0,"OK","ABWEICHUNG"))</f>
        <v/>
      </c>
      <c r="AA297" s="44" t="n"/>
      <c r="AB297" s="44" t="n"/>
      <c r="AC297" s="44" t="n"/>
      <c r="AD297" s="44" t="n"/>
      <c r="AE297" s="85" t="n"/>
      <c r="AF297" s="85" t="n"/>
      <c r="AG297" s="44" t="n"/>
      <c r="AH297" s="44" t="n"/>
    </row>
    <row r="298">
      <c r="A298" s="44" t="n"/>
      <c r="B298" s="44" t="n"/>
      <c r="C298" s="44" t="n"/>
      <c r="D298" s="44" t="n"/>
      <c r="E298" s="44" t="n"/>
      <c r="F298" s="44" t="n"/>
      <c r="G298" s="45" t="n"/>
      <c r="H298" s="44" t="n"/>
      <c r="I298" s="45" t="n"/>
      <c r="J298" s="44" t="n"/>
      <c r="K298" s="85" t="n"/>
      <c r="L298" s="85" t="n"/>
      <c r="M298" s="85" t="n"/>
      <c r="N298" s="85" t="n"/>
      <c r="O298" s="85" t="n"/>
      <c r="P298" s="85" t="n"/>
      <c r="Q298" s="85" t="n"/>
      <c r="R298" s="85" t="n"/>
      <c r="S298" s="85" t="n"/>
      <c r="T298" s="85" t="n"/>
      <c r="U298" s="85" t="n"/>
      <c r="V298" s="44" t="n"/>
      <c r="W298" s="50">
        <f>IF(OR(M298="",Q298="",S298=""),"",IF(ABS(ROUND(((ROUND(N(M298)*100,0))-(ROUND(N(Q298)*100,0))),0)-(ROUND(N(S298)*100,0)))&lt;=0,"OK","ABWEICHUNG"))</f>
        <v/>
      </c>
      <c r="X298" s="50">
        <f>IF(OR(K298="",M298="",N298=""),"",IF(ABS(ROUND(((ROUND(N(K298)*100,0)+ROUND(N(L298)*100,0))-(ROUND(N(M298)*100,0))),0)-(ROUND(N(N298)*100,0)))&lt;=0,"OK",IF(OR(L298=""),"UNVOLLSTÄNDIG","ABWEICHUNG")))</f>
        <v/>
      </c>
      <c r="Y298" s="50">
        <f>IF(OR(K298="",O298="",R298=""),"",IF(ABS(ROUND(((ROUND(N(K298)*100,0))-(ROUND(N(O298)*100,0))),0)-(ROUND(N(R298)*100,0)))&lt;=0,"OK","ABWEICHUNG"))</f>
        <v/>
      </c>
      <c r="Z298" s="50">
        <f>IF(OR(N298="",O298="",P298="",Q298="",T298=""),"",IF(ABS(ROUND(((ROUND(N(N298)*100,0)+ROUND(N(Q298)*100,0))-(ROUND(N(O298)*100,0)+ROUND(N(P298)*100,0))),0)-(ROUND(N(T298)*100,0)))&lt;=0,"OK","ABWEICHUNG"))</f>
        <v/>
      </c>
      <c r="AA298" s="44" t="n"/>
      <c r="AB298" s="44" t="n"/>
      <c r="AC298" s="44" t="n"/>
      <c r="AD298" s="44" t="n"/>
      <c r="AE298" s="85" t="n"/>
      <c r="AF298" s="85" t="n"/>
      <c r="AG298" s="44" t="n"/>
      <c r="AH298" s="44" t="n"/>
    </row>
    <row r="299">
      <c r="A299" s="44" t="n"/>
      <c r="B299" s="44" t="n"/>
      <c r="C299" s="44" t="n"/>
      <c r="D299" s="44" t="n"/>
      <c r="E299" s="44" t="n"/>
      <c r="F299" s="44" t="n"/>
      <c r="G299" s="45" t="n"/>
      <c r="H299" s="44" t="n"/>
      <c r="I299" s="45" t="n"/>
      <c r="J299" s="44" t="n"/>
      <c r="K299" s="85" t="n"/>
      <c r="L299" s="85" t="n"/>
      <c r="M299" s="85" t="n"/>
      <c r="N299" s="85" t="n"/>
      <c r="O299" s="85" t="n"/>
      <c r="P299" s="85" t="n"/>
      <c r="Q299" s="85" t="n"/>
      <c r="R299" s="85" t="n"/>
      <c r="S299" s="85" t="n"/>
      <c r="T299" s="85" t="n"/>
      <c r="U299" s="85" t="n"/>
      <c r="V299" s="44" t="n"/>
      <c r="W299" s="50">
        <f>IF(OR(M299="",Q299="",S299=""),"",IF(ABS(ROUND(((ROUND(N(M299)*100,0))-(ROUND(N(Q299)*100,0))),0)-(ROUND(N(S299)*100,0)))&lt;=0,"OK","ABWEICHUNG"))</f>
        <v/>
      </c>
      <c r="X299" s="50">
        <f>IF(OR(K299="",M299="",N299=""),"",IF(ABS(ROUND(((ROUND(N(K299)*100,0)+ROUND(N(L299)*100,0))-(ROUND(N(M299)*100,0))),0)-(ROUND(N(N299)*100,0)))&lt;=0,"OK",IF(OR(L299=""),"UNVOLLSTÄNDIG","ABWEICHUNG")))</f>
        <v/>
      </c>
      <c r="Y299" s="50">
        <f>IF(OR(K299="",O299="",R299=""),"",IF(ABS(ROUND(((ROUND(N(K299)*100,0))-(ROUND(N(O299)*100,0))),0)-(ROUND(N(R299)*100,0)))&lt;=0,"OK","ABWEICHUNG"))</f>
        <v/>
      </c>
      <c r="Z299" s="50">
        <f>IF(OR(N299="",O299="",P299="",Q299="",T299=""),"",IF(ABS(ROUND(((ROUND(N(N299)*100,0)+ROUND(N(Q299)*100,0))-(ROUND(N(O299)*100,0)+ROUND(N(P299)*100,0))),0)-(ROUND(N(T299)*100,0)))&lt;=0,"OK","ABWEICHUNG"))</f>
        <v/>
      </c>
      <c r="AA299" s="44" t="n"/>
      <c r="AB299" s="44" t="n"/>
      <c r="AC299" s="44" t="n"/>
      <c r="AD299" s="44" t="n"/>
      <c r="AE299" s="85" t="n"/>
      <c r="AF299" s="85" t="n"/>
      <c r="AG299" s="44" t="n"/>
      <c r="AH299" s="44" t="n"/>
    </row>
    <row r="300">
      <c r="A300" s="44" t="n"/>
      <c r="B300" s="44" t="n"/>
      <c r="C300" s="44" t="n"/>
      <c r="D300" s="44" t="n"/>
      <c r="E300" s="44" t="n"/>
      <c r="F300" s="44" t="n"/>
      <c r="G300" s="45" t="n"/>
      <c r="H300" s="44" t="n"/>
      <c r="I300" s="45" t="n"/>
      <c r="J300" s="44" t="n"/>
      <c r="K300" s="85" t="n"/>
      <c r="L300" s="85" t="n"/>
      <c r="M300" s="85" t="n"/>
      <c r="N300" s="85" t="n"/>
      <c r="O300" s="85" t="n"/>
      <c r="P300" s="85" t="n"/>
      <c r="Q300" s="85" t="n"/>
      <c r="R300" s="85" t="n"/>
      <c r="S300" s="85" t="n"/>
      <c r="T300" s="85" t="n"/>
      <c r="U300" s="85" t="n"/>
      <c r="V300" s="44" t="n"/>
      <c r="W300" s="50">
        <f>IF(OR(M300="",Q300="",S300=""),"",IF(ABS(ROUND(((ROUND(N(M300)*100,0))-(ROUND(N(Q300)*100,0))),0)-(ROUND(N(S300)*100,0)))&lt;=0,"OK","ABWEICHUNG"))</f>
        <v/>
      </c>
      <c r="X300" s="50">
        <f>IF(OR(K300="",M300="",N300=""),"",IF(ABS(ROUND(((ROUND(N(K300)*100,0)+ROUND(N(L300)*100,0))-(ROUND(N(M300)*100,0))),0)-(ROUND(N(N300)*100,0)))&lt;=0,"OK",IF(OR(L300=""),"UNVOLLSTÄNDIG","ABWEICHUNG")))</f>
        <v/>
      </c>
      <c r="Y300" s="50">
        <f>IF(OR(K300="",O300="",R300=""),"",IF(ABS(ROUND(((ROUND(N(K300)*100,0))-(ROUND(N(O300)*100,0))),0)-(ROUND(N(R300)*100,0)))&lt;=0,"OK","ABWEICHUNG"))</f>
        <v/>
      </c>
      <c r="Z300" s="50">
        <f>IF(OR(N300="",O300="",P300="",Q300="",T300=""),"",IF(ABS(ROUND(((ROUND(N(N300)*100,0)+ROUND(N(Q300)*100,0))-(ROUND(N(O300)*100,0)+ROUND(N(P300)*100,0))),0)-(ROUND(N(T300)*100,0)))&lt;=0,"OK","ABWEICHUNG"))</f>
        <v/>
      </c>
      <c r="AA300" s="44" t="n"/>
      <c r="AB300" s="44" t="n"/>
      <c r="AC300" s="44" t="n"/>
      <c r="AD300" s="44" t="n"/>
      <c r="AE300" s="85" t="n"/>
      <c r="AF300" s="85" t="n"/>
      <c r="AG300" s="44" t="n"/>
      <c r="AH300" s="44" t="n"/>
    </row>
    <row r="301">
      <c r="A301" s="44" t="n"/>
      <c r="B301" s="44" t="n"/>
      <c r="C301" s="44" t="n"/>
      <c r="D301" s="44" t="n"/>
      <c r="E301" s="44" t="n"/>
      <c r="F301" s="44" t="n"/>
      <c r="G301" s="45" t="n"/>
      <c r="H301" s="44" t="n"/>
      <c r="I301" s="45" t="n"/>
      <c r="J301" s="44" t="n"/>
      <c r="K301" s="85" t="n"/>
      <c r="L301" s="85" t="n"/>
      <c r="M301" s="85" t="n"/>
      <c r="N301" s="85" t="n"/>
      <c r="O301" s="85" t="n"/>
      <c r="P301" s="85" t="n"/>
      <c r="Q301" s="85" t="n"/>
      <c r="R301" s="85" t="n"/>
      <c r="S301" s="85" t="n"/>
      <c r="T301" s="85" t="n"/>
      <c r="U301" s="85" t="n"/>
      <c r="V301" s="44" t="n"/>
      <c r="W301" s="50">
        <f>IF(OR(M301="",Q301="",S301=""),"",IF(ABS(ROUND(((ROUND(N(M301)*100,0))-(ROUND(N(Q301)*100,0))),0)-(ROUND(N(S301)*100,0)))&lt;=0,"OK","ABWEICHUNG"))</f>
        <v/>
      </c>
      <c r="X301" s="50">
        <f>IF(OR(K301="",M301="",N301=""),"",IF(ABS(ROUND(((ROUND(N(K301)*100,0)+ROUND(N(L301)*100,0))-(ROUND(N(M301)*100,0))),0)-(ROUND(N(N301)*100,0)))&lt;=0,"OK",IF(OR(L301=""),"UNVOLLSTÄNDIG","ABWEICHUNG")))</f>
        <v/>
      </c>
      <c r="Y301" s="50">
        <f>IF(OR(K301="",O301="",R301=""),"",IF(ABS(ROUND(((ROUND(N(K301)*100,0))-(ROUND(N(O301)*100,0))),0)-(ROUND(N(R301)*100,0)))&lt;=0,"OK","ABWEICHUNG"))</f>
        <v/>
      </c>
      <c r="Z301" s="50">
        <f>IF(OR(N301="",O301="",P301="",Q301="",T301=""),"",IF(ABS(ROUND(((ROUND(N(N301)*100,0)+ROUND(N(Q301)*100,0))-(ROUND(N(O301)*100,0)+ROUND(N(P301)*100,0))),0)-(ROUND(N(T301)*100,0)))&lt;=0,"OK","ABWEICHUNG"))</f>
        <v/>
      </c>
      <c r="AA301" s="44" t="n"/>
      <c r="AB301" s="44" t="n"/>
      <c r="AC301" s="44" t="n"/>
      <c r="AD301" s="44" t="n"/>
      <c r="AE301" s="85" t="n"/>
      <c r="AF301" s="85" t="n"/>
      <c r="AG301" s="44" t="n"/>
      <c r="AH301" s="44" t="n"/>
    </row>
    <row r="302">
      <c r="A302" s="44" t="n"/>
      <c r="B302" s="44" t="n"/>
      <c r="C302" s="44" t="n"/>
      <c r="D302" s="44" t="n"/>
      <c r="E302" s="44" t="n"/>
      <c r="F302" s="44" t="n"/>
      <c r="G302" s="45" t="n"/>
      <c r="H302" s="44" t="n"/>
      <c r="I302" s="45" t="n"/>
      <c r="J302" s="44" t="n"/>
      <c r="K302" s="85" t="n"/>
      <c r="L302" s="85" t="n"/>
      <c r="M302" s="85" t="n"/>
      <c r="N302" s="85" t="n"/>
      <c r="O302" s="85" t="n"/>
      <c r="P302" s="85" t="n"/>
      <c r="Q302" s="85" t="n"/>
      <c r="R302" s="85" t="n"/>
      <c r="S302" s="85" t="n"/>
      <c r="T302" s="85" t="n"/>
      <c r="U302" s="85" t="n"/>
      <c r="V302" s="44" t="n"/>
      <c r="W302" s="50">
        <f>IF(OR(M302="",Q302="",S302=""),"",IF(ABS(ROUND(((ROUND(N(M302)*100,0))-(ROUND(N(Q302)*100,0))),0)-(ROUND(N(S302)*100,0)))&lt;=0,"OK","ABWEICHUNG"))</f>
        <v/>
      </c>
      <c r="X302" s="50">
        <f>IF(OR(K302="",M302="",N302=""),"",IF(ABS(ROUND(((ROUND(N(K302)*100,0)+ROUND(N(L302)*100,0))-(ROUND(N(M302)*100,0))),0)-(ROUND(N(N302)*100,0)))&lt;=0,"OK",IF(OR(L302=""),"UNVOLLSTÄNDIG","ABWEICHUNG")))</f>
        <v/>
      </c>
      <c r="Y302" s="50">
        <f>IF(OR(K302="",O302="",R302=""),"",IF(ABS(ROUND(((ROUND(N(K302)*100,0))-(ROUND(N(O302)*100,0))),0)-(ROUND(N(R302)*100,0)))&lt;=0,"OK","ABWEICHUNG"))</f>
        <v/>
      </c>
      <c r="Z302" s="50">
        <f>IF(OR(N302="",O302="",P302="",Q302="",T302=""),"",IF(ABS(ROUND(((ROUND(N(N302)*100,0)+ROUND(N(Q302)*100,0))-(ROUND(N(O302)*100,0)+ROUND(N(P302)*100,0))),0)-(ROUND(N(T302)*100,0)))&lt;=0,"OK","ABWEICHUNG"))</f>
        <v/>
      </c>
      <c r="AA302" s="44" t="n"/>
      <c r="AB302" s="44" t="n"/>
      <c r="AC302" s="44" t="n"/>
      <c r="AD302" s="44" t="n"/>
      <c r="AE302" s="85" t="n"/>
      <c r="AF302" s="85" t="n"/>
      <c r="AG302" s="44" t="n"/>
      <c r="AH302" s="44" t="n"/>
    </row>
    <row r="303">
      <c r="A303" s="44" t="n"/>
      <c r="B303" s="44" t="n"/>
      <c r="C303" s="44" t="n"/>
      <c r="D303" s="44" t="n"/>
      <c r="E303" s="44" t="n"/>
      <c r="F303" s="44" t="n"/>
      <c r="G303" s="45" t="n"/>
      <c r="H303" s="44" t="n"/>
      <c r="I303" s="45" t="n"/>
      <c r="J303" s="44" t="n"/>
      <c r="K303" s="85" t="n"/>
      <c r="L303" s="85" t="n"/>
      <c r="M303" s="85" t="n"/>
      <c r="N303" s="85" t="n"/>
      <c r="O303" s="85" t="n"/>
      <c r="P303" s="85" t="n"/>
      <c r="Q303" s="85" t="n"/>
      <c r="R303" s="85" t="n"/>
      <c r="S303" s="85" t="n"/>
      <c r="T303" s="85" t="n"/>
      <c r="U303" s="85" t="n"/>
      <c r="V303" s="44" t="n"/>
      <c r="W303" s="50">
        <f>IF(OR(M303="",Q303="",S303=""),"",IF(ABS(ROUND(((ROUND(N(M303)*100,0))-(ROUND(N(Q303)*100,0))),0)-(ROUND(N(S303)*100,0)))&lt;=0,"OK","ABWEICHUNG"))</f>
        <v/>
      </c>
      <c r="X303" s="50">
        <f>IF(OR(K303="",M303="",N303=""),"",IF(ABS(ROUND(((ROUND(N(K303)*100,0)+ROUND(N(L303)*100,0))-(ROUND(N(M303)*100,0))),0)-(ROUND(N(N303)*100,0)))&lt;=0,"OK",IF(OR(L303=""),"UNVOLLSTÄNDIG","ABWEICHUNG")))</f>
        <v/>
      </c>
      <c r="Y303" s="50">
        <f>IF(OR(K303="",O303="",R303=""),"",IF(ABS(ROUND(((ROUND(N(K303)*100,0))-(ROUND(N(O303)*100,0))),0)-(ROUND(N(R303)*100,0)))&lt;=0,"OK","ABWEICHUNG"))</f>
        <v/>
      </c>
      <c r="Z303" s="50">
        <f>IF(OR(N303="",O303="",P303="",Q303="",T303=""),"",IF(ABS(ROUND(((ROUND(N(N303)*100,0)+ROUND(N(Q303)*100,0))-(ROUND(N(O303)*100,0)+ROUND(N(P303)*100,0))),0)-(ROUND(N(T303)*100,0)))&lt;=0,"OK","ABWEICHUNG"))</f>
        <v/>
      </c>
      <c r="AA303" s="44" t="n"/>
      <c r="AB303" s="44" t="n"/>
      <c r="AC303" s="44" t="n"/>
      <c r="AD303" s="44" t="n"/>
      <c r="AE303" s="85" t="n"/>
      <c r="AF303" s="85" t="n"/>
      <c r="AG303" s="44" t="n"/>
      <c r="AH303" s="44" t="n"/>
    </row>
    <row r="304">
      <c r="A304" s="44" t="n"/>
      <c r="B304" s="44" t="n"/>
      <c r="C304" s="44" t="n"/>
      <c r="D304" s="44" t="n"/>
      <c r="E304" s="44" t="n"/>
      <c r="F304" s="44" t="n"/>
      <c r="G304" s="45" t="n"/>
      <c r="H304" s="44" t="n"/>
      <c r="I304" s="45" t="n"/>
      <c r="J304" s="44" t="n"/>
      <c r="K304" s="85" t="n"/>
      <c r="L304" s="85" t="n"/>
      <c r="M304" s="85" t="n"/>
      <c r="N304" s="85" t="n"/>
      <c r="O304" s="85" t="n"/>
      <c r="P304" s="85" t="n"/>
      <c r="Q304" s="85" t="n"/>
      <c r="R304" s="85" t="n"/>
      <c r="S304" s="85" t="n"/>
      <c r="T304" s="85" t="n"/>
      <c r="U304" s="85" t="n"/>
      <c r="V304" s="44" t="n"/>
      <c r="W304" s="50">
        <f>IF(OR(M304="",Q304="",S304=""),"",IF(ABS(ROUND(((ROUND(N(M304)*100,0))-(ROUND(N(Q304)*100,0))),0)-(ROUND(N(S304)*100,0)))&lt;=0,"OK","ABWEICHUNG"))</f>
        <v/>
      </c>
      <c r="X304" s="50">
        <f>IF(OR(K304="",M304="",N304=""),"",IF(ABS(ROUND(((ROUND(N(K304)*100,0)+ROUND(N(L304)*100,0))-(ROUND(N(M304)*100,0))),0)-(ROUND(N(N304)*100,0)))&lt;=0,"OK",IF(OR(L304=""),"UNVOLLSTÄNDIG","ABWEICHUNG")))</f>
        <v/>
      </c>
      <c r="Y304" s="50">
        <f>IF(OR(K304="",O304="",R304=""),"",IF(ABS(ROUND(((ROUND(N(K304)*100,0))-(ROUND(N(O304)*100,0))),0)-(ROUND(N(R304)*100,0)))&lt;=0,"OK","ABWEICHUNG"))</f>
        <v/>
      </c>
      <c r="Z304" s="50">
        <f>IF(OR(N304="",O304="",P304="",Q304="",T304=""),"",IF(ABS(ROUND(((ROUND(N(N304)*100,0)+ROUND(N(Q304)*100,0))-(ROUND(N(O304)*100,0)+ROUND(N(P304)*100,0))),0)-(ROUND(N(T304)*100,0)))&lt;=0,"OK","ABWEICHUNG"))</f>
        <v/>
      </c>
      <c r="AA304" s="44" t="n"/>
      <c r="AB304" s="44" t="n"/>
      <c r="AC304" s="44" t="n"/>
      <c r="AD304" s="44" t="n"/>
      <c r="AE304" s="85" t="n"/>
      <c r="AF304" s="85" t="n"/>
      <c r="AG304" s="44" t="n"/>
      <c r="AH304" s="44" t="n"/>
    </row>
    <row r="305">
      <c r="A305" s="44" t="n"/>
      <c r="B305" s="44" t="n"/>
      <c r="C305" s="44" t="n"/>
      <c r="D305" s="44" t="n"/>
      <c r="E305" s="44" t="n"/>
      <c r="F305" s="44" t="n"/>
      <c r="G305" s="45" t="n"/>
      <c r="H305" s="44" t="n"/>
      <c r="I305" s="45" t="n"/>
      <c r="J305" s="44" t="n"/>
      <c r="K305" s="85" t="n"/>
      <c r="L305" s="85" t="n"/>
      <c r="M305" s="85" t="n"/>
      <c r="N305" s="85" t="n"/>
      <c r="O305" s="85" t="n"/>
      <c r="P305" s="85" t="n"/>
      <c r="Q305" s="85" t="n"/>
      <c r="R305" s="85" t="n"/>
      <c r="S305" s="85" t="n"/>
      <c r="T305" s="85" t="n"/>
      <c r="U305" s="85" t="n"/>
      <c r="V305" s="44" t="n"/>
      <c r="W305" s="50">
        <f>IF(OR(M305="",Q305="",S305=""),"",IF(ABS(ROUND(((ROUND(N(M305)*100,0))-(ROUND(N(Q305)*100,0))),0)-(ROUND(N(S305)*100,0)))&lt;=0,"OK","ABWEICHUNG"))</f>
        <v/>
      </c>
      <c r="X305" s="50">
        <f>IF(OR(K305="",M305="",N305=""),"",IF(ABS(ROUND(((ROUND(N(K305)*100,0)+ROUND(N(L305)*100,0))-(ROUND(N(M305)*100,0))),0)-(ROUND(N(N305)*100,0)))&lt;=0,"OK",IF(OR(L305=""),"UNVOLLSTÄNDIG","ABWEICHUNG")))</f>
        <v/>
      </c>
      <c r="Y305" s="50">
        <f>IF(OR(K305="",O305="",R305=""),"",IF(ABS(ROUND(((ROUND(N(K305)*100,0))-(ROUND(N(O305)*100,0))),0)-(ROUND(N(R305)*100,0)))&lt;=0,"OK","ABWEICHUNG"))</f>
        <v/>
      </c>
      <c r="Z305" s="50">
        <f>IF(OR(N305="",O305="",P305="",Q305="",T305=""),"",IF(ABS(ROUND(((ROUND(N(N305)*100,0)+ROUND(N(Q305)*100,0))-(ROUND(N(O305)*100,0)+ROUND(N(P305)*100,0))),0)-(ROUND(N(T305)*100,0)))&lt;=0,"OK","ABWEICHUNG"))</f>
        <v/>
      </c>
      <c r="AA305" s="44" t="n"/>
      <c r="AB305" s="44" t="n"/>
      <c r="AC305" s="44" t="n"/>
      <c r="AD305" s="44" t="n"/>
      <c r="AE305" s="85" t="n"/>
      <c r="AF305" s="85" t="n"/>
      <c r="AG305" s="44" t="n"/>
      <c r="AH305" s="44" t="n"/>
    </row>
    <row r="306">
      <c r="A306" s="44" t="n"/>
      <c r="B306" s="44" t="n"/>
      <c r="C306" s="44" t="n"/>
      <c r="D306" s="44" t="n"/>
      <c r="E306" s="44" t="n"/>
      <c r="F306" s="44" t="n"/>
      <c r="G306" s="45" t="n"/>
      <c r="H306" s="44" t="n"/>
      <c r="I306" s="45" t="n"/>
      <c r="J306" s="44" t="n"/>
      <c r="K306" s="85" t="n"/>
      <c r="L306" s="85" t="n"/>
      <c r="M306" s="85" t="n"/>
      <c r="N306" s="85" t="n"/>
      <c r="O306" s="85" t="n"/>
      <c r="P306" s="85" t="n"/>
      <c r="Q306" s="85" t="n"/>
      <c r="R306" s="85" t="n"/>
      <c r="S306" s="85" t="n"/>
      <c r="T306" s="85" t="n"/>
      <c r="U306" s="85" t="n"/>
      <c r="V306" s="44" t="n"/>
      <c r="W306" s="50">
        <f>IF(OR(M306="",Q306="",S306=""),"",IF(ABS(ROUND(((ROUND(N(M306)*100,0))-(ROUND(N(Q306)*100,0))),0)-(ROUND(N(S306)*100,0)))&lt;=0,"OK","ABWEICHUNG"))</f>
        <v/>
      </c>
      <c r="X306" s="50">
        <f>IF(OR(K306="",M306="",N306=""),"",IF(ABS(ROUND(((ROUND(N(K306)*100,0)+ROUND(N(L306)*100,0))-(ROUND(N(M306)*100,0))),0)-(ROUND(N(N306)*100,0)))&lt;=0,"OK",IF(OR(L306=""),"UNVOLLSTÄNDIG","ABWEICHUNG")))</f>
        <v/>
      </c>
      <c r="Y306" s="50">
        <f>IF(OR(K306="",O306="",R306=""),"",IF(ABS(ROUND(((ROUND(N(K306)*100,0))-(ROUND(N(O306)*100,0))),0)-(ROUND(N(R306)*100,0)))&lt;=0,"OK","ABWEICHUNG"))</f>
        <v/>
      </c>
      <c r="Z306" s="50">
        <f>IF(OR(N306="",O306="",P306="",Q306="",T306=""),"",IF(ABS(ROUND(((ROUND(N(N306)*100,0)+ROUND(N(Q306)*100,0))-(ROUND(N(O306)*100,0)+ROUND(N(P306)*100,0))),0)-(ROUND(N(T306)*100,0)))&lt;=0,"OK","ABWEICHUNG"))</f>
        <v/>
      </c>
      <c r="AA306" s="44" t="n"/>
      <c r="AB306" s="44" t="n"/>
      <c r="AC306" s="44" t="n"/>
      <c r="AD306" s="44" t="n"/>
      <c r="AE306" s="85" t="n"/>
      <c r="AF306" s="85" t="n"/>
      <c r="AG306" s="44" t="n"/>
      <c r="AH306" s="44" t="n"/>
    </row>
    <row r="307">
      <c r="A307" s="44" t="n"/>
      <c r="B307" s="44" t="n"/>
      <c r="C307" s="44" t="n"/>
      <c r="D307" s="44" t="n"/>
      <c r="E307" s="44" t="n"/>
      <c r="F307" s="44" t="n"/>
      <c r="G307" s="45" t="n"/>
      <c r="H307" s="44" t="n"/>
      <c r="I307" s="45" t="n"/>
      <c r="J307" s="44" t="n"/>
      <c r="K307" s="85" t="n"/>
      <c r="L307" s="85" t="n"/>
      <c r="M307" s="85" t="n"/>
      <c r="N307" s="85" t="n"/>
      <c r="O307" s="85" t="n"/>
      <c r="P307" s="85" t="n"/>
      <c r="Q307" s="85" t="n"/>
      <c r="R307" s="85" t="n"/>
      <c r="S307" s="85" t="n"/>
      <c r="T307" s="85" t="n"/>
      <c r="U307" s="85" t="n"/>
      <c r="V307" s="44" t="n"/>
      <c r="W307" s="50">
        <f>IF(OR(M307="",Q307="",S307=""),"",IF(ABS(ROUND(((ROUND(N(M307)*100,0))-(ROUND(N(Q307)*100,0))),0)-(ROUND(N(S307)*100,0)))&lt;=0,"OK","ABWEICHUNG"))</f>
        <v/>
      </c>
      <c r="X307" s="50">
        <f>IF(OR(K307="",M307="",N307=""),"",IF(ABS(ROUND(((ROUND(N(K307)*100,0)+ROUND(N(L307)*100,0))-(ROUND(N(M307)*100,0))),0)-(ROUND(N(N307)*100,0)))&lt;=0,"OK",IF(OR(L307=""),"UNVOLLSTÄNDIG","ABWEICHUNG")))</f>
        <v/>
      </c>
      <c r="Y307" s="50">
        <f>IF(OR(K307="",O307="",R307=""),"",IF(ABS(ROUND(((ROUND(N(K307)*100,0))-(ROUND(N(O307)*100,0))),0)-(ROUND(N(R307)*100,0)))&lt;=0,"OK","ABWEICHUNG"))</f>
        <v/>
      </c>
      <c r="Z307" s="50">
        <f>IF(OR(N307="",O307="",P307="",Q307="",T307=""),"",IF(ABS(ROUND(((ROUND(N(N307)*100,0)+ROUND(N(Q307)*100,0))-(ROUND(N(O307)*100,0)+ROUND(N(P307)*100,0))),0)-(ROUND(N(T307)*100,0)))&lt;=0,"OK","ABWEICHUNG"))</f>
        <v/>
      </c>
      <c r="AA307" s="44" t="n"/>
      <c r="AB307" s="44" t="n"/>
      <c r="AC307" s="44" t="n"/>
      <c r="AD307" s="44" t="n"/>
      <c r="AE307" s="85" t="n"/>
      <c r="AF307" s="85" t="n"/>
      <c r="AG307" s="44" t="n"/>
      <c r="AH307" s="44" t="n"/>
    </row>
    <row r="308">
      <c r="A308" s="44" t="n"/>
      <c r="B308" s="44" t="n"/>
      <c r="C308" s="44" t="n"/>
      <c r="D308" s="44" t="n"/>
      <c r="E308" s="44" t="n"/>
      <c r="F308" s="44" t="n"/>
      <c r="G308" s="45" t="n"/>
      <c r="H308" s="44" t="n"/>
      <c r="I308" s="45" t="n"/>
      <c r="J308" s="44" t="n"/>
      <c r="K308" s="85" t="n"/>
      <c r="L308" s="85" t="n"/>
      <c r="M308" s="85" t="n"/>
      <c r="N308" s="85" t="n"/>
      <c r="O308" s="85" t="n"/>
      <c r="P308" s="85" t="n"/>
      <c r="Q308" s="85" t="n"/>
      <c r="R308" s="85" t="n"/>
      <c r="S308" s="85" t="n"/>
      <c r="T308" s="85" t="n"/>
      <c r="U308" s="85" t="n"/>
      <c r="V308" s="44" t="n"/>
      <c r="W308" s="50">
        <f>IF(OR(M308="",Q308="",S308=""),"",IF(ABS(ROUND(((ROUND(N(M308)*100,0))-(ROUND(N(Q308)*100,0))),0)-(ROUND(N(S308)*100,0)))&lt;=0,"OK","ABWEICHUNG"))</f>
        <v/>
      </c>
      <c r="X308" s="50">
        <f>IF(OR(K308="",M308="",N308=""),"",IF(ABS(ROUND(((ROUND(N(K308)*100,0)+ROUND(N(L308)*100,0))-(ROUND(N(M308)*100,0))),0)-(ROUND(N(N308)*100,0)))&lt;=0,"OK",IF(OR(L308=""),"UNVOLLSTÄNDIG","ABWEICHUNG")))</f>
        <v/>
      </c>
      <c r="Y308" s="50">
        <f>IF(OR(K308="",O308="",R308=""),"",IF(ABS(ROUND(((ROUND(N(K308)*100,0))-(ROUND(N(O308)*100,0))),0)-(ROUND(N(R308)*100,0)))&lt;=0,"OK","ABWEICHUNG"))</f>
        <v/>
      </c>
      <c r="Z308" s="50">
        <f>IF(OR(N308="",O308="",P308="",Q308="",T308=""),"",IF(ABS(ROUND(((ROUND(N(N308)*100,0)+ROUND(N(Q308)*100,0))-(ROUND(N(O308)*100,0)+ROUND(N(P308)*100,0))),0)-(ROUND(N(T308)*100,0)))&lt;=0,"OK","ABWEICHUNG"))</f>
        <v/>
      </c>
      <c r="AA308" s="44" t="n"/>
      <c r="AB308" s="44" t="n"/>
      <c r="AC308" s="44" t="n"/>
      <c r="AD308" s="44" t="n"/>
      <c r="AE308" s="85" t="n"/>
      <c r="AF308" s="85" t="n"/>
      <c r="AG308" s="44" t="n"/>
      <c r="AH308" s="44" t="n"/>
    </row>
    <row r="309">
      <c r="A309" s="44" t="n"/>
      <c r="B309" s="44" t="n"/>
      <c r="C309" s="44" t="n"/>
      <c r="D309" s="44" t="n"/>
      <c r="E309" s="44" t="n"/>
      <c r="F309" s="44" t="n"/>
      <c r="G309" s="45" t="n"/>
      <c r="H309" s="44" t="n"/>
      <c r="I309" s="45" t="n"/>
      <c r="J309" s="44" t="n"/>
      <c r="K309" s="85" t="n"/>
      <c r="L309" s="85" t="n"/>
      <c r="M309" s="85" t="n"/>
      <c r="N309" s="85" t="n"/>
      <c r="O309" s="85" t="n"/>
      <c r="P309" s="85" t="n"/>
      <c r="Q309" s="85" t="n"/>
      <c r="R309" s="85" t="n"/>
      <c r="S309" s="85" t="n"/>
      <c r="T309" s="85" t="n"/>
      <c r="U309" s="85" t="n"/>
      <c r="V309" s="44" t="n"/>
      <c r="W309" s="50">
        <f>IF(OR(M309="",Q309="",S309=""),"",IF(ABS(ROUND(((ROUND(N(M309)*100,0))-(ROUND(N(Q309)*100,0))),0)-(ROUND(N(S309)*100,0)))&lt;=0,"OK","ABWEICHUNG"))</f>
        <v/>
      </c>
      <c r="X309" s="50">
        <f>IF(OR(K309="",M309="",N309=""),"",IF(ABS(ROUND(((ROUND(N(K309)*100,0)+ROUND(N(L309)*100,0))-(ROUND(N(M309)*100,0))),0)-(ROUND(N(N309)*100,0)))&lt;=0,"OK",IF(OR(L309=""),"UNVOLLSTÄNDIG","ABWEICHUNG")))</f>
        <v/>
      </c>
      <c r="Y309" s="50">
        <f>IF(OR(K309="",O309="",R309=""),"",IF(ABS(ROUND(((ROUND(N(K309)*100,0))-(ROUND(N(O309)*100,0))),0)-(ROUND(N(R309)*100,0)))&lt;=0,"OK","ABWEICHUNG"))</f>
        <v/>
      </c>
      <c r="Z309" s="50">
        <f>IF(OR(N309="",O309="",P309="",Q309="",T309=""),"",IF(ABS(ROUND(((ROUND(N(N309)*100,0)+ROUND(N(Q309)*100,0))-(ROUND(N(O309)*100,0)+ROUND(N(P309)*100,0))),0)-(ROUND(N(T309)*100,0)))&lt;=0,"OK","ABWEICHUNG"))</f>
        <v/>
      </c>
      <c r="AA309" s="44" t="n"/>
      <c r="AB309" s="44" t="n"/>
      <c r="AC309" s="44" t="n"/>
      <c r="AD309" s="44" t="n"/>
      <c r="AE309" s="85" t="n"/>
      <c r="AF309" s="85" t="n"/>
      <c r="AG309" s="44" t="n"/>
      <c r="AH309" s="44" t="n"/>
    </row>
    <row r="310">
      <c r="A310" s="44" t="n"/>
      <c r="B310" s="44" t="n"/>
      <c r="C310" s="44" t="n"/>
      <c r="D310" s="44" t="n"/>
      <c r="E310" s="44" t="n"/>
      <c r="F310" s="44" t="n"/>
      <c r="G310" s="45" t="n"/>
      <c r="H310" s="44" t="n"/>
      <c r="I310" s="45" t="n"/>
      <c r="J310" s="44" t="n"/>
      <c r="K310" s="85" t="n"/>
      <c r="L310" s="85" t="n"/>
      <c r="M310" s="85" t="n"/>
      <c r="N310" s="85" t="n"/>
      <c r="O310" s="85" t="n"/>
      <c r="P310" s="85" t="n"/>
      <c r="Q310" s="85" t="n"/>
      <c r="R310" s="85" t="n"/>
      <c r="S310" s="85" t="n"/>
      <c r="T310" s="85" t="n"/>
      <c r="U310" s="85" t="n"/>
      <c r="V310" s="44" t="n"/>
      <c r="W310" s="50">
        <f>IF(OR(M310="",Q310="",S310=""),"",IF(ABS(ROUND(((ROUND(N(M310)*100,0))-(ROUND(N(Q310)*100,0))),0)-(ROUND(N(S310)*100,0)))&lt;=0,"OK","ABWEICHUNG"))</f>
        <v/>
      </c>
      <c r="X310" s="50">
        <f>IF(OR(K310="",M310="",N310=""),"",IF(ABS(ROUND(((ROUND(N(K310)*100,0)+ROUND(N(L310)*100,0))-(ROUND(N(M310)*100,0))),0)-(ROUND(N(N310)*100,0)))&lt;=0,"OK",IF(OR(L310=""),"UNVOLLSTÄNDIG","ABWEICHUNG")))</f>
        <v/>
      </c>
      <c r="Y310" s="50">
        <f>IF(OR(K310="",O310="",R310=""),"",IF(ABS(ROUND(((ROUND(N(K310)*100,0))-(ROUND(N(O310)*100,0))),0)-(ROUND(N(R310)*100,0)))&lt;=0,"OK","ABWEICHUNG"))</f>
        <v/>
      </c>
      <c r="Z310" s="50">
        <f>IF(OR(N310="",O310="",P310="",Q310="",T310=""),"",IF(ABS(ROUND(((ROUND(N(N310)*100,0)+ROUND(N(Q310)*100,0))-(ROUND(N(O310)*100,0)+ROUND(N(P310)*100,0))),0)-(ROUND(N(T310)*100,0)))&lt;=0,"OK","ABWEICHUNG"))</f>
        <v/>
      </c>
      <c r="AA310" s="44" t="n"/>
      <c r="AB310" s="44" t="n"/>
      <c r="AC310" s="44" t="n"/>
      <c r="AD310" s="44" t="n"/>
      <c r="AE310" s="85" t="n"/>
      <c r="AF310" s="85" t="n"/>
      <c r="AG310" s="44" t="n"/>
      <c r="AH310" s="44" t="n"/>
    </row>
    <row r="311">
      <c r="A311" s="44" t="n"/>
      <c r="B311" s="44" t="n"/>
      <c r="C311" s="44" t="n"/>
      <c r="D311" s="44" t="n"/>
      <c r="E311" s="44" t="n"/>
      <c r="F311" s="44" t="n"/>
      <c r="G311" s="45" t="n"/>
      <c r="H311" s="44" t="n"/>
      <c r="I311" s="45" t="n"/>
      <c r="J311" s="44" t="n"/>
      <c r="K311" s="85" t="n"/>
      <c r="L311" s="85" t="n"/>
      <c r="M311" s="85" t="n"/>
      <c r="N311" s="85" t="n"/>
      <c r="O311" s="85" t="n"/>
      <c r="P311" s="85" t="n"/>
      <c r="Q311" s="85" t="n"/>
      <c r="R311" s="85" t="n"/>
      <c r="S311" s="85" t="n"/>
      <c r="T311" s="85" t="n"/>
      <c r="U311" s="85" t="n"/>
      <c r="V311" s="44" t="n"/>
      <c r="W311" s="50">
        <f>IF(OR(M311="",Q311="",S311=""),"",IF(ABS(ROUND(((ROUND(N(M311)*100,0))-(ROUND(N(Q311)*100,0))),0)-(ROUND(N(S311)*100,0)))&lt;=0,"OK","ABWEICHUNG"))</f>
        <v/>
      </c>
      <c r="X311" s="50">
        <f>IF(OR(K311="",M311="",N311=""),"",IF(ABS(ROUND(((ROUND(N(K311)*100,0)+ROUND(N(L311)*100,0))-(ROUND(N(M311)*100,0))),0)-(ROUND(N(N311)*100,0)))&lt;=0,"OK",IF(OR(L311=""),"UNVOLLSTÄNDIG","ABWEICHUNG")))</f>
        <v/>
      </c>
      <c r="Y311" s="50">
        <f>IF(OR(K311="",O311="",R311=""),"",IF(ABS(ROUND(((ROUND(N(K311)*100,0))-(ROUND(N(O311)*100,0))),0)-(ROUND(N(R311)*100,0)))&lt;=0,"OK","ABWEICHUNG"))</f>
        <v/>
      </c>
      <c r="Z311" s="50">
        <f>IF(OR(N311="",O311="",P311="",Q311="",T311=""),"",IF(ABS(ROUND(((ROUND(N(N311)*100,0)+ROUND(N(Q311)*100,0))-(ROUND(N(O311)*100,0)+ROUND(N(P311)*100,0))),0)-(ROUND(N(T311)*100,0)))&lt;=0,"OK","ABWEICHUNG"))</f>
        <v/>
      </c>
      <c r="AA311" s="44" t="n"/>
      <c r="AB311" s="44" t="n"/>
      <c r="AC311" s="44" t="n"/>
      <c r="AD311" s="44" t="n"/>
      <c r="AE311" s="85" t="n"/>
      <c r="AF311" s="85" t="n"/>
      <c r="AG311" s="44" t="n"/>
      <c r="AH311" s="44" t="n"/>
    </row>
    <row r="312">
      <c r="A312" s="44" t="n"/>
      <c r="B312" s="44" t="n"/>
      <c r="C312" s="44" t="n"/>
      <c r="D312" s="44" t="n"/>
      <c r="E312" s="44" t="n"/>
      <c r="F312" s="44" t="n"/>
      <c r="G312" s="45" t="n"/>
      <c r="H312" s="44" t="n"/>
      <c r="I312" s="45" t="n"/>
      <c r="J312" s="44" t="n"/>
      <c r="K312" s="85" t="n"/>
      <c r="L312" s="85" t="n"/>
      <c r="M312" s="85" t="n"/>
      <c r="N312" s="85" t="n"/>
      <c r="O312" s="85" t="n"/>
      <c r="P312" s="85" t="n"/>
      <c r="Q312" s="85" t="n"/>
      <c r="R312" s="85" t="n"/>
      <c r="S312" s="85" t="n"/>
      <c r="T312" s="85" t="n"/>
      <c r="U312" s="85" t="n"/>
      <c r="V312" s="44" t="n"/>
      <c r="W312" s="50">
        <f>IF(OR(M312="",Q312="",S312=""),"",IF(ABS(ROUND(((ROUND(N(M312)*100,0))-(ROUND(N(Q312)*100,0))),0)-(ROUND(N(S312)*100,0)))&lt;=0,"OK","ABWEICHUNG"))</f>
        <v/>
      </c>
      <c r="X312" s="50">
        <f>IF(OR(K312="",M312="",N312=""),"",IF(ABS(ROUND(((ROUND(N(K312)*100,0)+ROUND(N(L312)*100,0))-(ROUND(N(M312)*100,0))),0)-(ROUND(N(N312)*100,0)))&lt;=0,"OK",IF(OR(L312=""),"UNVOLLSTÄNDIG","ABWEICHUNG")))</f>
        <v/>
      </c>
      <c r="Y312" s="50">
        <f>IF(OR(K312="",O312="",R312=""),"",IF(ABS(ROUND(((ROUND(N(K312)*100,0))-(ROUND(N(O312)*100,0))),0)-(ROUND(N(R312)*100,0)))&lt;=0,"OK","ABWEICHUNG"))</f>
        <v/>
      </c>
      <c r="Z312" s="50">
        <f>IF(OR(N312="",O312="",P312="",Q312="",T312=""),"",IF(ABS(ROUND(((ROUND(N(N312)*100,0)+ROUND(N(Q312)*100,0))-(ROUND(N(O312)*100,0)+ROUND(N(P312)*100,0))),0)-(ROUND(N(T312)*100,0)))&lt;=0,"OK","ABWEICHUNG"))</f>
        <v/>
      </c>
      <c r="AA312" s="44" t="n"/>
      <c r="AB312" s="44" t="n"/>
      <c r="AC312" s="44" t="n"/>
      <c r="AD312" s="44" t="n"/>
      <c r="AE312" s="85" t="n"/>
      <c r="AF312" s="85" t="n"/>
      <c r="AG312" s="44" t="n"/>
      <c r="AH312" s="44" t="n"/>
    </row>
    <row r="313">
      <c r="A313" s="44" t="n"/>
      <c r="B313" s="44" t="n"/>
      <c r="C313" s="44" t="n"/>
      <c r="D313" s="44" t="n"/>
      <c r="E313" s="44" t="n"/>
      <c r="F313" s="44" t="n"/>
      <c r="G313" s="45" t="n"/>
      <c r="H313" s="44" t="n"/>
      <c r="I313" s="45" t="n"/>
      <c r="J313" s="44" t="n"/>
      <c r="K313" s="85" t="n"/>
      <c r="L313" s="85" t="n"/>
      <c r="M313" s="85" t="n"/>
      <c r="N313" s="85" t="n"/>
      <c r="O313" s="85" t="n"/>
      <c r="P313" s="85" t="n"/>
      <c r="Q313" s="85" t="n"/>
      <c r="R313" s="85" t="n"/>
      <c r="S313" s="85" t="n"/>
      <c r="T313" s="85" t="n"/>
      <c r="U313" s="85" t="n"/>
      <c r="V313" s="44" t="n"/>
      <c r="W313" s="50">
        <f>IF(OR(M313="",Q313="",S313=""),"",IF(ABS(ROUND(((ROUND(N(M313)*100,0))-(ROUND(N(Q313)*100,0))),0)-(ROUND(N(S313)*100,0)))&lt;=0,"OK","ABWEICHUNG"))</f>
        <v/>
      </c>
      <c r="X313" s="50">
        <f>IF(OR(K313="",M313="",N313=""),"",IF(ABS(ROUND(((ROUND(N(K313)*100,0)+ROUND(N(L313)*100,0))-(ROUND(N(M313)*100,0))),0)-(ROUND(N(N313)*100,0)))&lt;=0,"OK",IF(OR(L313=""),"UNVOLLSTÄNDIG","ABWEICHUNG")))</f>
        <v/>
      </c>
      <c r="Y313" s="50">
        <f>IF(OR(K313="",O313="",R313=""),"",IF(ABS(ROUND(((ROUND(N(K313)*100,0))-(ROUND(N(O313)*100,0))),0)-(ROUND(N(R313)*100,0)))&lt;=0,"OK","ABWEICHUNG"))</f>
        <v/>
      </c>
      <c r="Z313" s="50">
        <f>IF(OR(N313="",O313="",P313="",Q313="",T313=""),"",IF(ABS(ROUND(((ROUND(N(N313)*100,0)+ROUND(N(Q313)*100,0))-(ROUND(N(O313)*100,0)+ROUND(N(P313)*100,0))),0)-(ROUND(N(T313)*100,0)))&lt;=0,"OK","ABWEICHUNG"))</f>
        <v/>
      </c>
      <c r="AA313" s="44" t="n"/>
      <c r="AB313" s="44" t="n"/>
      <c r="AC313" s="44" t="n"/>
      <c r="AD313" s="44" t="n"/>
      <c r="AE313" s="85" t="n"/>
      <c r="AF313" s="85" t="n"/>
      <c r="AG313" s="44" t="n"/>
      <c r="AH313" s="44" t="n"/>
    </row>
    <row r="314">
      <c r="A314" s="44" t="n"/>
      <c r="B314" s="44" t="n"/>
      <c r="C314" s="44" t="n"/>
      <c r="D314" s="44" t="n"/>
      <c r="E314" s="44" t="n"/>
      <c r="F314" s="44" t="n"/>
      <c r="G314" s="45" t="n"/>
      <c r="H314" s="44" t="n"/>
      <c r="I314" s="45" t="n"/>
      <c r="J314" s="44" t="n"/>
      <c r="K314" s="85" t="n"/>
      <c r="L314" s="85" t="n"/>
      <c r="M314" s="85" t="n"/>
      <c r="N314" s="85" t="n"/>
      <c r="O314" s="85" t="n"/>
      <c r="P314" s="85" t="n"/>
      <c r="Q314" s="85" t="n"/>
      <c r="R314" s="85" t="n"/>
      <c r="S314" s="85" t="n"/>
      <c r="T314" s="85" t="n"/>
      <c r="U314" s="85" t="n"/>
      <c r="V314" s="44" t="n"/>
      <c r="W314" s="50">
        <f>IF(OR(M314="",Q314="",S314=""),"",IF(ABS(ROUND(((ROUND(N(M314)*100,0))-(ROUND(N(Q314)*100,0))),0)-(ROUND(N(S314)*100,0)))&lt;=0,"OK","ABWEICHUNG"))</f>
        <v/>
      </c>
      <c r="X314" s="50">
        <f>IF(OR(K314="",M314="",N314=""),"",IF(ABS(ROUND(((ROUND(N(K314)*100,0)+ROUND(N(L314)*100,0))-(ROUND(N(M314)*100,0))),0)-(ROUND(N(N314)*100,0)))&lt;=0,"OK",IF(OR(L314=""),"UNVOLLSTÄNDIG","ABWEICHUNG")))</f>
        <v/>
      </c>
      <c r="Y314" s="50">
        <f>IF(OR(K314="",O314="",R314=""),"",IF(ABS(ROUND(((ROUND(N(K314)*100,0))-(ROUND(N(O314)*100,0))),0)-(ROUND(N(R314)*100,0)))&lt;=0,"OK","ABWEICHUNG"))</f>
        <v/>
      </c>
      <c r="Z314" s="50">
        <f>IF(OR(N314="",O314="",P314="",Q314="",T314=""),"",IF(ABS(ROUND(((ROUND(N(N314)*100,0)+ROUND(N(Q314)*100,0))-(ROUND(N(O314)*100,0)+ROUND(N(P314)*100,0))),0)-(ROUND(N(T314)*100,0)))&lt;=0,"OK","ABWEICHUNG"))</f>
        <v/>
      </c>
      <c r="AA314" s="44" t="n"/>
      <c r="AB314" s="44" t="n"/>
      <c r="AC314" s="44" t="n"/>
      <c r="AD314" s="44" t="n"/>
      <c r="AE314" s="85" t="n"/>
      <c r="AF314" s="85" t="n"/>
      <c r="AG314" s="44" t="n"/>
      <c r="AH314" s="44" t="n"/>
    </row>
    <row r="315">
      <c r="A315" s="44" t="n"/>
      <c r="B315" s="44" t="n"/>
      <c r="C315" s="44" t="n"/>
      <c r="D315" s="44" t="n"/>
      <c r="E315" s="44" t="n"/>
      <c r="F315" s="44" t="n"/>
      <c r="G315" s="45" t="n"/>
      <c r="H315" s="44" t="n"/>
      <c r="I315" s="45" t="n"/>
      <c r="J315" s="44" t="n"/>
      <c r="K315" s="85" t="n"/>
      <c r="L315" s="85" t="n"/>
      <c r="M315" s="85" t="n"/>
      <c r="N315" s="85" t="n"/>
      <c r="O315" s="85" t="n"/>
      <c r="P315" s="85" t="n"/>
      <c r="Q315" s="85" t="n"/>
      <c r="R315" s="85" t="n"/>
      <c r="S315" s="85" t="n"/>
      <c r="T315" s="85" t="n"/>
      <c r="U315" s="85" t="n"/>
      <c r="V315" s="44" t="n"/>
      <c r="W315" s="50">
        <f>IF(OR(M315="",Q315="",S315=""),"",IF(ABS(ROUND(((ROUND(N(M315)*100,0))-(ROUND(N(Q315)*100,0))),0)-(ROUND(N(S315)*100,0)))&lt;=0,"OK","ABWEICHUNG"))</f>
        <v/>
      </c>
      <c r="X315" s="50">
        <f>IF(OR(K315="",M315="",N315=""),"",IF(ABS(ROUND(((ROUND(N(K315)*100,0)+ROUND(N(L315)*100,0))-(ROUND(N(M315)*100,0))),0)-(ROUND(N(N315)*100,0)))&lt;=0,"OK",IF(OR(L315=""),"UNVOLLSTÄNDIG","ABWEICHUNG")))</f>
        <v/>
      </c>
      <c r="Y315" s="50">
        <f>IF(OR(K315="",O315="",R315=""),"",IF(ABS(ROUND(((ROUND(N(K315)*100,0))-(ROUND(N(O315)*100,0))),0)-(ROUND(N(R315)*100,0)))&lt;=0,"OK","ABWEICHUNG"))</f>
        <v/>
      </c>
      <c r="Z315" s="50">
        <f>IF(OR(N315="",O315="",P315="",Q315="",T315=""),"",IF(ABS(ROUND(((ROUND(N(N315)*100,0)+ROUND(N(Q315)*100,0))-(ROUND(N(O315)*100,0)+ROUND(N(P315)*100,0))),0)-(ROUND(N(T315)*100,0)))&lt;=0,"OK","ABWEICHUNG"))</f>
        <v/>
      </c>
      <c r="AA315" s="44" t="n"/>
      <c r="AB315" s="44" t="n"/>
      <c r="AC315" s="44" t="n"/>
      <c r="AD315" s="44" t="n"/>
      <c r="AE315" s="85" t="n"/>
      <c r="AF315" s="85" t="n"/>
      <c r="AG315" s="44" t="n"/>
      <c r="AH315" s="44" t="n"/>
    </row>
    <row r="316">
      <c r="A316" s="44" t="n"/>
      <c r="B316" s="44" t="n"/>
      <c r="C316" s="44" t="n"/>
      <c r="D316" s="44" t="n"/>
      <c r="E316" s="44" t="n"/>
      <c r="F316" s="44" t="n"/>
      <c r="G316" s="45" t="n"/>
      <c r="H316" s="44" t="n"/>
      <c r="I316" s="45" t="n"/>
      <c r="J316" s="44" t="n"/>
      <c r="K316" s="85" t="n"/>
      <c r="L316" s="85" t="n"/>
      <c r="M316" s="85" t="n"/>
      <c r="N316" s="85" t="n"/>
      <c r="O316" s="85" t="n"/>
      <c r="P316" s="85" t="n"/>
      <c r="Q316" s="85" t="n"/>
      <c r="R316" s="85" t="n"/>
      <c r="S316" s="85" t="n"/>
      <c r="T316" s="85" t="n"/>
      <c r="U316" s="85" t="n"/>
      <c r="V316" s="44" t="n"/>
      <c r="W316" s="50">
        <f>IF(OR(M316="",Q316="",S316=""),"",IF(ABS(ROUND(((ROUND(N(M316)*100,0))-(ROUND(N(Q316)*100,0))),0)-(ROUND(N(S316)*100,0)))&lt;=0,"OK","ABWEICHUNG"))</f>
        <v/>
      </c>
      <c r="X316" s="50">
        <f>IF(OR(K316="",M316="",N316=""),"",IF(ABS(ROUND(((ROUND(N(K316)*100,0)+ROUND(N(L316)*100,0))-(ROUND(N(M316)*100,0))),0)-(ROUND(N(N316)*100,0)))&lt;=0,"OK",IF(OR(L316=""),"UNVOLLSTÄNDIG","ABWEICHUNG")))</f>
        <v/>
      </c>
      <c r="Y316" s="50">
        <f>IF(OR(K316="",O316="",R316=""),"",IF(ABS(ROUND(((ROUND(N(K316)*100,0))-(ROUND(N(O316)*100,0))),0)-(ROUND(N(R316)*100,0)))&lt;=0,"OK","ABWEICHUNG"))</f>
        <v/>
      </c>
      <c r="Z316" s="50">
        <f>IF(OR(N316="",O316="",P316="",Q316="",T316=""),"",IF(ABS(ROUND(((ROUND(N(N316)*100,0)+ROUND(N(Q316)*100,0))-(ROUND(N(O316)*100,0)+ROUND(N(P316)*100,0))),0)-(ROUND(N(T316)*100,0)))&lt;=0,"OK","ABWEICHUNG"))</f>
        <v/>
      </c>
      <c r="AA316" s="44" t="n"/>
      <c r="AB316" s="44" t="n"/>
      <c r="AC316" s="44" t="n"/>
      <c r="AD316" s="44" t="n"/>
      <c r="AE316" s="85" t="n"/>
      <c r="AF316" s="85" t="n"/>
      <c r="AG316" s="44" t="n"/>
      <c r="AH316" s="44" t="n"/>
    </row>
    <row r="317">
      <c r="A317" s="44" t="n"/>
      <c r="B317" s="44" t="n"/>
      <c r="C317" s="44" t="n"/>
      <c r="D317" s="44" t="n"/>
      <c r="E317" s="44" t="n"/>
      <c r="F317" s="44" t="n"/>
      <c r="G317" s="45" t="n"/>
      <c r="H317" s="44" t="n"/>
      <c r="I317" s="45" t="n"/>
      <c r="J317" s="44" t="n"/>
      <c r="K317" s="85" t="n"/>
      <c r="L317" s="85" t="n"/>
      <c r="M317" s="85" t="n"/>
      <c r="N317" s="85" t="n"/>
      <c r="O317" s="85" t="n"/>
      <c r="P317" s="85" t="n"/>
      <c r="Q317" s="85" t="n"/>
      <c r="R317" s="85" t="n"/>
      <c r="S317" s="85" t="n"/>
      <c r="T317" s="85" t="n"/>
      <c r="U317" s="85" t="n"/>
      <c r="V317" s="44" t="n"/>
      <c r="W317" s="50">
        <f>IF(OR(M317="",Q317="",S317=""),"",IF(ABS(ROUND(((ROUND(N(M317)*100,0))-(ROUND(N(Q317)*100,0))),0)-(ROUND(N(S317)*100,0)))&lt;=0,"OK","ABWEICHUNG"))</f>
        <v/>
      </c>
      <c r="X317" s="50">
        <f>IF(OR(K317="",M317="",N317=""),"",IF(ABS(ROUND(((ROUND(N(K317)*100,0)+ROUND(N(L317)*100,0))-(ROUND(N(M317)*100,0))),0)-(ROUND(N(N317)*100,0)))&lt;=0,"OK",IF(OR(L317=""),"UNVOLLSTÄNDIG","ABWEICHUNG")))</f>
        <v/>
      </c>
      <c r="Y317" s="50">
        <f>IF(OR(K317="",O317="",R317=""),"",IF(ABS(ROUND(((ROUND(N(K317)*100,0))-(ROUND(N(O317)*100,0))),0)-(ROUND(N(R317)*100,0)))&lt;=0,"OK","ABWEICHUNG"))</f>
        <v/>
      </c>
      <c r="Z317" s="50">
        <f>IF(OR(N317="",O317="",P317="",Q317="",T317=""),"",IF(ABS(ROUND(((ROUND(N(N317)*100,0)+ROUND(N(Q317)*100,0))-(ROUND(N(O317)*100,0)+ROUND(N(P317)*100,0))),0)-(ROUND(N(T317)*100,0)))&lt;=0,"OK","ABWEICHUNG"))</f>
        <v/>
      </c>
      <c r="AA317" s="44" t="n"/>
      <c r="AB317" s="44" t="n"/>
      <c r="AC317" s="44" t="n"/>
      <c r="AD317" s="44" t="n"/>
      <c r="AE317" s="85" t="n"/>
      <c r="AF317" s="85" t="n"/>
      <c r="AG317" s="44" t="n"/>
      <c r="AH317" s="44" t="n"/>
    </row>
    <row r="318">
      <c r="A318" s="44" t="n"/>
      <c r="B318" s="44" t="n"/>
      <c r="C318" s="44" t="n"/>
      <c r="D318" s="44" t="n"/>
      <c r="E318" s="44" t="n"/>
      <c r="F318" s="44" t="n"/>
      <c r="G318" s="45" t="n"/>
      <c r="H318" s="44" t="n"/>
      <c r="I318" s="45" t="n"/>
      <c r="J318" s="44" t="n"/>
      <c r="K318" s="85" t="n"/>
      <c r="L318" s="85" t="n"/>
      <c r="M318" s="85" t="n"/>
      <c r="N318" s="85" t="n"/>
      <c r="O318" s="85" t="n"/>
      <c r="P318" s="85" t="n"/>
      <c r="Q318" s="85" t="n"/>
      <c r="R318" s="85" t="n"/>
      <c r="S318" s="85" t="n"/>
      <c r="T318" s="85" t="n"/>
      <c r="U318" s="85" t="n"/>
      <c r="V318" s="44" t="n"/>
      <c r="W318" s="50">
        <f>IF(OR(M318="",Q318="",S318=""),"",IF(ABS(ROUND(((ROUND(N(M318)*100,0))-(ROUND(N(Q318)*100,0))),0)-(ROUND(N(S318)*100,0)))&lt;=0,"OK","ABWEICHUNG"))</f>
        <v/>
      </c>
      <c r="X318" s="50">
        <f>IF(OR(K318="",M318="",N318=""),"",IF(ABS(ROUND(((ROUND(N(K318)*100,0)+ROUND(N(L318)*100,0))-(ROUND(N(M318)*100,0))),0)-(ROUND(N(N318)*100,0)))&lt;=0,"OK",IF(OR(L318=""),"UNVOLLSTÄNDIG","ABWEICHUNG")))</f>
        <v/>
      </c>
      <c r="Y318" s="50">
        <f>IF(OR(K318="",O318="",R318=""),"",IF(ABS(ROUND(((ROUND(N(K318)*100,0))-(ROUND(N(O318)*100,0))),0)-(ROUND(N(R318)*100,0)))&lt;=0,"OK","ABWEICHUNG"))</f>
        <v/>
      </c>
      <c r="Z318" s="50">
        <f>IF(OR(N318="",O318="",P318="",Q318="",T318=""),"",IF(ABS(ROUND(((ROUND(N(N318)*100,0)+ROUND(N(Q318)*100,0))-(ROUND(N(O318)*100,0)+ROUND(N(P318)*100,0))),0)-(ROUND(N(T318)*100,0)))&lt;=0,"OK","ABWEICHUNG"))</f>
        <v/>
      </c>
      <c r="AA318" s="44" t="n"/>
      <c r="AB318" s="44" t="n"/>
      <c r="AC318" s="44" t="n"/>
      <c r="AD318" s="44" t="n"/>
      <c r="AE318" s="85" t="n"/>
      <c r="AF318" s="85" t="n"/>
      <c r="AG318" s="44" t="n"/>
      <c r="AH318" s="44" t="n"/>
    </row>
    <row r="319">
      <c r="A319" s="44" t="n"/>
      <c r="B319" s="44" t="n"/>
      <c r="C319" s="44" t="n"/>
      <c r="D319" s="44" t="n"/>
      <c r="E319" s="44" t="n"/>
      <c r="F319" s="44" t="n"/>
      <c r="G319" s="45" t="n"/>
      <c r="H319" s="44" t="n"/>
      <c r="I319" s="45" t="n"/>
      <c r="J319" s="44" t="n"/>
      <c r="K319" s="85" t="n"/>
      <c r="L319" s="85" t="n"/>
      <c r="M319" s="85" t="n"/>
      <c r="N319" s="85" t="n"/>
      <c r="O319" s="85" t="n"/>
      <c r="P319" s="85" t="n"/>
      <c r="Q319" s="85" t="n"/>
      <c r="R319" s="85" t="n"/>
      <c r="S319" s="85" t="n"/>
      <c r="T319" s="85" t="n"/>
      <c r="U319" s="85" t="n"/>
      <c r="V319" s="44" t="n"/>
      <c r="W319" s="50">
        <f>IF(OR(M319="",Q319="",S319=""),"",IF(ABS(ROUND(((ROUND(N(M319)*100,0))-(ROUND(N(Q319)*100,0))),0)-(ROUND(N(S319)*100,0)))&lt;=0,"OK","ABWEICHUNG"))</f>
        <v/>
      </c>
      <c r="X319" s="50">
        <f>IF(OR(K319="",M319="",N319=""),"",IF(ABS(ROUND(((ROUND(N(K319)*100,0)+ROUND(N(L319)*100,0))-(ROUND(N(M319)*100,0))),0)-(ROUND(N(N319)*100,0)))&lt;=0,"OK",IF(OR(L319=""),"UNVOLLSTÄNDIG","ABWEICHUNG")))</f>
        <v/>
      </c>
      <c r="Y319" s="50">
        <f>IF(OR(K319="",O319="",R319=""),"",IF(ABS(ROUND(((ROUND(N(K319)*100,0))-(ROUND(N(O319)*100,0))),0)-(ROUND(N(R319)*100,0)))&lt;=0,"OK","ABWEICHUNG"))</f>
        <v/>
      </c>
      <c r="Z319" s="50">
        <f>IF(OR(N319="",O319="",P319="",Q319="",T319=""),"",IF(ABS(ROUND(((ROUND(N(N319)*100,0)+ROUND(N(Q319)*100,0))-(ROUND(N(O319)*100,0)+ROUND(N(P319)*100,0))),0)-(ROUND(N(T319)*100,0)))&lt;=0,"OK","ABWEICHUNG"))</f>
        <v/>
      </c>
      <c r="AA319" s="44" t="n"/>
      <c r="AB319" s="44" t="n"/>
      <c r="AC319" s="44" t="n"/>
      <c r="AD319" s="44" t="n"/>
      <c r="AE319" s="85" t="n"/>
      <c r="AF319" s="85" t="n"/>
      <c r="AG319" s="44" t="n"/>
      <c r="AH319" s="44" t="n"/>
    </row>
    <row r="320">
      <c r="A320" s="44" t="n"/>
      <c r="B320" s="44" t="n"/>
      <c r="C320" s="44" t="n"/>
      <c r="D320" s="44" t="n"/>
      <c r="E320" s="44" t="n"/>
      <c r="F320" s="44" t="n"/>
      <c r="G320" s="45" t="n"/>
      <c r="H320" s="44" t="n"/>
      <c r="I320" s="45" t="n"/>
      <c r="J320" s="44" t="n"/>
      <c r="K320" s="85" t="n"/>
      <c r="L320" s="85" t="n"/>
      <c r="M320" s="85" t="n"/>
      <c r="N320" s="85" t="n"/>
      <c r="O320" s="85" t="n"/>
      <c r="P320" s="85" t="n"/>
      <c r="Q320" s="85" t="n"/>
      <c r="R320" s="85" t="n"/>
      <c r="S320" s="85" t="n"/>
      <c r="T320" s="85" t="n"/>
      <c r="U320" s="85" t="n"/>
      <c r="V320" s="44" t="n"/>
      <c r="W320" s="50">
        <f>IF(OR(M320="",Q320="",S320=""),"",IF(ABS(ROUND(((ROUND(N(M320)*100,0))-(ROUND(N(Q320)*100,0))),0)-(ROUND(N(S320)*100,0)))&lt;=0,"OK","ABWEICHUNG"))</f>
        <v/>
      </c>
      <c r="X320" s="50">
        <f>IF(OR(K320="",M320="",N320=""),"",IF(ABS(ROUND(((ROUND(N(K320)*100,0)+ROUND(N(L320)*100,0))-(ROUND(N(M320)*100,0))),0)-(ROUND(N(N320)*100,0)))&lt;=0,"OK",IF(OR(L320=""),"UNVOLLSTÄNDIG","ABWEICHUNG")))</f>
        <v/>
      </c>
      <c r="Y320" s="50">
        <f>IF(OR(K320="",O320="",R320=""),"",IF(ABS(ROUND(((ROUND(N(K320)*100,0))-(ROUND(N(O320)*100,0))),0)-(ROUND(N(R320)*100,0)))&lt;=0,"OK","ABWEICHUNG"))</f>
        <v/>
      </c>
      <c r="Z320" s="50">
        <f>IF(OR(N320="",O320="",P320="",Q320="",T320=""),"",IF(ABS(ROUND(((ROUND(N(N320)*100,0)+ROUND(N(Q320)*100,0))-(ROUND(N(O320)*100,0)+ROUND(N(P320)*100,0))),0)-(ROUND(N(T320)*100,0)))&lt;=0,"OK","ABWEICHUNG"))</f>
        <v/>
      </c>
      <c r="AA320" s="44" t="n"/>
      <c r="AB320" s="44" t="n"/>
      <c r="AC320" s="44" t="n"/>
      <c r="AD320" s="44" t="n"/>
      <c r="AE320" s="85" t="n"/>
      <c r="AF320" s="85" t="n"/>
      <c r="AG320" s="44" t="n"/>
      <c r="AH320" s="44" t="n"/>
    </row>
    <row r="321">
      <c r="A321" s="44" t="n"/>
      <c r="B321" s="44" t="n"/>
      <c r="C321" s="44" t="n"/>
      <c r="D321" s="44" t="n"/>
      <c r="E321" s="44" t="n"/>
      <c r="F321" s="44" t="n"/>
      <c r="G321" s="45" t="n"/>
      <c r="H321" s="44" t="n"/>
      <c r="I321" s="45" t="n"/>
      <c r="J321" s="44" t="n"/>
      <c r="K321" s="85" t="n"/>
      <c r="L321" s="85" t="n"/>
      <c r="M321" s="85" t="n"/>
      <c r="N321" s="85" t="n"/>
      <c r="O321" s="85" t="n"/>
      <c r="P321" s="85" t="n"/>
      <c r="Q321" s="85" t="n"/>
      <c r="R321" s="85" t="n"/>
      <c r="S321" s="85" t="n"/>
      <c r="T321" s="85" t="n"/>
      <c r="U321" s="85" t="n"/>
      <c r="V321" s="44" t="n"/>
      <c r="W321" s="50">
        <f>IF(OR(M321="",Q321="",S321=""),"",IF(ABS(ROUND(((ROUND(N(M321)*100,0))-(ROUND(N(Q321)*100,0))),0)-(ROUND(N(S321)*100,0)))&lt;=0,"OK","ABWEICHUNG"))</f>
        <v/>
      </c>
      <c r="X321" s="50">
        <f>IF(OR(K321="",M321="",N321=""),"",IF(ABS(ROUND(((ROUND(N(K321)*100,0)+ROUND(N(L321)*100,0))-(ROUND(N(M321)*100,0))),0)-(ROUND(N(N321)*100,0)))&lt;=0,"OK",IF(OR(L321=""),"UNVOLLSTÄNDIG","ABWEICHUNG")))</f>
        <v/>
      </c>
      <c r="Y321" s="50">
        <f>IF(OR(K321="",O321="",R321=""),"",IF(ABS(ROUND(((ROUND(N(K321)*100,0))-(ROUND(N(O321)*100,0))),0)-(ROUND(N(R321)*100,0)))&lt;=0,"OK","ABWEICHUNG"))</f>
        <v/>
      </c>
      <c r="Z321" s="50">
        <f>IF(OR(N321="",O321="",P321="",Q321="",T321=""),"",IF(ABS(ROUND(((ROUND(N(N321)*100,0)+ROUND(N(Q321)*100,0))-(ROUND(N(O321)*100,0)+ROUND(N(P321)*100,0))),0)-(ROUND(N(T321)*100,0)))&lt;=0,"OK","ABWEICHUNG"))</f>
        <v/>
      </c>
      <c r="AA321" s="44" t="n"/>
      <c r="AB321" s="44" t="n"/>
      <c r="AC321" s="44" t="n"/>
      <c r="AD321" s="44" t="n"/>
      <c r="AE321" s="85" t="n"/>
      <c r="AF321" s="85" t="n"/>
      <c r="AG321" s="44" t="n"/>
      <c r="AH321" s="44" t="n"/>
    </row>
    <row r="322">
      <c r="A322" s="44" t="n"/>
      <c r="B322" s="44" t="n"/>
      <c r="C322" s="44" t="n"/>
      <c r="D322" s="44" t="n"/>
      <c r="E322" s="44" t="n"/>
      <c r="F322" s="44" t="n"/>
      <c r="G322" s="45" t="n"/>
      <c r="H322" s="44" t="n"/>
      <c r="I322" s="45" t="n"/>
      <c r="J322" s="44" t="n"/>
      <c r="K322" s="85" t="n"/>
      <c r="L322" s="85" t="n"/>
      <c r="M322" s="85" t="n"/>
      <c r="N322" s="85" t="n"/>
      <c r="O322" s="85" t="n"/>
      <c r="P322" s="85" t="n"/>
      <c r="Q322" s="85" t="n"/>
      <c r="R322" s="85" t="n"/>
      <c r="S322" s="85" t="n"/>
      <c r="T322" s="85" t="n"/>
      <c r="U322" s="85" t="n"/>
      <c r="V322" s="44" t="n"/>
      <c r="W322" s="50">
        <f>IF(OR(M322="",Q322="",S322=""),"",IF(ABS(ROUND(((ROUND(N(M322)*100,0))-(ROUND(N(Q322)*100,0))),0)-(ROUND(N(S322)*100,0)))&lt;=0,"OK","ABWEICHUNG"))</f>
        <v/>
      </c>
      <c r="X322" s="50">
        <f>IF(OR(K322="",M322="",N322=""),"",IF(ABS(ROUND(((ROUND(N(K322)*100,0)+ROUND(N(L322)*100,0))-(ROUND(N(M322)*100,0))),0)-(ROUND(N(N322)*100,0)))&lt;=0,"OK",IF(OR(L322=""),"UNVOLLSTÄNDIG","ABWEICHUNG")))</f>
        <v/>
      </c>
      <c r="Y322" s="50">
        <f>IF(OR(K322="",O322="",R322=""),"",IF(ABS(ROUND(((ROUND(N(K322)*100,0))-(ROUND(N(O322)*100,0))),0)-(ROUND(N(R322)*100,0)))&lt;=0,"OK","ABWEICHUNG"))</f>
        <v/>
      </c>
      <c r="Z322" s="50">
        <f>IF(OR(N322="",O322="",P322="",Q322="",T322=""),"",IF(ABS(ROUND(((ROUND(N(N322)*100,0)+ROUND(N(Q322)*100,0))-(ROUND(N(O322)*100,0)+ROUND(N(P322)*100,0))),0)-(ROUND(N(T322)*100,0)))&lt;=0,"OK","ABWEICHUNG"))</f>
        <v/>
      </c>
      <c r="AA322" s="44" t="n"/>
      <c r="AB322" s="44" t="n"/>
      <c r="AC322" s="44" t="n"/>
      <c r="AD322" s="44" t="n"/>
      <c r="AE322" s="85" t="n"/>
      <c r="AF322" s="85" t="n"/>
      <c r="AG322" s="44" t="n"/>
      <c r="AH322" s="44" t="n"/>
    </row>
    <row r="323">
      <c r="A323" s="44" t="n"/>
      <c r="B323" s="44" t="n"/>
      <c r="C323" s="44" t="n"/>
      <c r="D323" s="44" t="n"/>
      <c r="E323" s="44" t="n"/>
      <c r="F323" s="44" t="n"/>
      <c r="G323" s="45" t="n"/>
      <c r="H323" s="44" t="n"/>
      <c r="I323" s="45" t="n"/>
      <c r="J323" s="44" t="n"/>
      <c r="K323" s="85" t="n"/>
      <c r="L323" s="85" t="n"/>
      <c r="M323" s="85" t="n"/>
      <c r="N323" s="85" t="n"/>
      <c r="O323" s="85" t="n"/>
      <c r="P323" s="85" t="n"/>
      <c r="Q323" s="85" t="n"/>
      <c r="R323" s="85" t="n"/>
      <c r="S323" s="85" t="n"/>
      <c r="T323" s="85" t="n"/>
      <c r="U323" s="85" t="n"/>
      <c r="V323" s="44" t="n"/>
      <c r="W323" s="50">
        <f>IF(OR(M323="",Q323="",S323=""),"",IF(ABS(ROUND(((ROUND(N(M323)*100,0))-(ROUND(N(Q323)*100,0))),0)-(ROUND(N(S323)*100,0)))&lt;=0,"OK","ABWEICHUNG"))</f>
        <v/>
      </c>
      <c r="X323" s="50">
        <f>IF(OR(K323="",M323="",N323=""),"",IF(ABS(ROUND(((ROUND(N(K323)*100,0)+ROUND(N(L323)*100,0))-(ROUND(N(M323)*100,0))),0)-(ROUND(N(N323)*100,0)))&lt;=0,"OK",IF(OR(L323=""),"UNVOLLSTÄNDIG","ABWEICHUNG")))</f>
        <v/>
      </c>
      <c r="Y323" s="50">
        <f>IF(OR(K323="",O323="",R323=""),"",IF(ABS(ROUND(((ROUND(N(K323)*100,0))-(ROUND(N(O323)*100,0))),0)-(ROUND(N(R323)*100,0)))&lt;=0,"OK","ABWEICHUNG"))</f>
        <v/>
      </c>
      <c r="Z323" s="50">
        <f>IF(OR(N323="",O323="",P323="",Q323="",T323=""),"",IF(ABS(ROUND(((ROUND(N(N323)*100,0)+ROUND(N(Q323)*100,0))-(ROUND(N(O323)*100,0)+ROUND(N(P323)*100,0))),0)-(ROUND(N(T323)*100,0)))&lt;=0,"OK","ABWEICHUNG"))</f>
        <v/>
      </c>
      <c r="AA323" s="44" t="n"/>
      <c r="AB323" s="44" t="n"/>
      <c r="AC323" s="44" t="n"/>
      <c r="AD323" s="44" t="n"/>
      <c r="AE323" s="85" t="n"/>
      <c r="AF323" s="85" t="n"/>
      <c r="AG323" s="44" t="n"/>
      <c r="AH323" s="44" t="n"/>
    </row>
    <row r="324">
      <c r="A324" s="44" t="n"/>
      <c r="B324" s="44" t="n"/>
      <c r="C324" s="44" t="n"/>
      <c r="D324" s="44" t="n"/>
      <c r="E324" s="44" t="n"/>
      <c r="F324" s="44" t="n"/>
      <c r="G324" s="45" t="n"/>
      <c r="H324" s="44" t="n"/>
      <c r="I324" s="45" t="n"/>
      <c r="J324" s="44" t="n"/>
      <c r="K324" s="85" t="n"/>
      <c r="L324" s="85" t="n"/>
      <c r="M324" s="85" t="n"/>
      <c r="N324" s="85" t="n"/>
      <c r="O324" s="85" t="n"/>
      <c r="P324" s="85" t="n"/>
      <c r="Q324" s="85" t="n"/>
      <c r="R324" s="85" t="n"/>
      <c r="S324" s="85" t="n"/>
      <c r="T324" s="85" t="n"/>
      <c r="U324" s="85" t="n"/>
      <c r="V324" s="44" t="n"/>
      <c r="W324" s="50">
        <f>IF(OR(M324="",Q324="",S324=""),"",IF(ABS(ROUND(((ROUND(N(M324)*100,0))-(ROUND(N(Q324)*100,0))),0)-(ROUND(N(S324)*100,0)))&lt;=0,"OK","ABWEICHUNG"))</f>
        <v/>
      </c>
      <c r="X324" s="50">
        <f>IF(OR(K324="",M324="",N324=""),"",IF(ABS(ROUND(((ROUND(N(K324)*100,0)+ROUND(N(L324)*100,0))-(ROUND(N(M324)*100,0))),0)-(ROUND(N(N324)*100,0)))&lt;=0,"OK",IF(OR(L324=""),"UNVOLLSTÄNDIG","ABWEICHUNG")))</f>
        <v/>
      </c>
      <c r="Y324" s="50">
        <f>IF(OR(K324="",O324="",R324=""),"",IF(ABS(ROUND(((ROUND(N(K324)*100,0))-(ROUND(N(O324)*100,0))),0)-(ROUND(N(R324)*100,0)))&lt;=0,"OK","ABWEICHUNG"))</f>
        <v/>
      </c>
      <c r="Z324" s="50">
        <f>IF(OR(N324="",O324="",P324="",Q324="",T324=""),"",IF(ABS(ROUND(((ROUND(N(N324)*100,0)+ROUND(N(Q324)*100,0))-(ROUND(N(O324)*100,0)+ROUND(N(P324)*100,0))),0)-(ROUND(N(T324)*100,0)))&lt;=0,"OK","ABWEICHUNG"))</f>
        <v/>
      </c>
      <c r="AA324" s="44" t="n"/>
      <c r="AB324" s="44" t="n"/>
      <c r="AC324" s="44" t="n"/>
      <c r="AD324" s="44" t="n"/>
      <c r="AE324" s="85" t="n"/>
      <c r="AF324" s="85" t="n"/>
      <c r="AG324" s="44" t="n"/>
      <c r="AH324" s="44" t="n"/>
    </row>
    <row r="325">
      <c r="A325" s="44" t="n"/>
      <c r="B325" s="44" t="n"/>
      <c r="C325" s="44" t="n"/>
      <c r="D325" s="44" t="n"/>
      <c r="E325" s="44" t="n"/>
      <c r="F325" s="44" t="n"/>
      <c r="G325" s="45" t="n"/>
      <c r="H325" s="44" t="n"/>
      <c r="I325" s="45" t="n"/>
      <c r="J325" s="44" t="n"/>
      <c r="K325" s="85" t="n"/>
      <c r="L325" s="85" t="n"/>
      <c r="M325" s="85" t="n"/>
      <c r="N325" s="85" t="n"/>
      <c r="O325" s="85" t="n"/>
      <c r="P325" s="85" t="n"/>
      <c r="Q325" s="85" t="n"/>
      <c r="R325" s="85" t="n"/>
      <c r="S325" s="85" t="n"/>
      <c r="T325" s="85" t="n"/>
      <c r="U325" s="85" t="n"/>
      <c r="V325" s="44" t="n"/>
      <c r="W325" s="50">
        <f>IF(OR(M325="",Q325="",S325=""),"",IF(ABS(ROUND(((ROUND(N(M325)*100,0))-(ROUND(N(Q325)*100,0))),0)-(ROUND(N(S325)*100,0)))&lt;=0,"OK","ABWEICHUNG"))</f>
        <v/>
      </c>
      <c r="X325" s="50">
        <f>IF(OR(K325="",M325="",N325=""),"",IF(ABS(ROUND(((ROUND(N(K325)*100,0)+ROUND(N(L325)*100,0))-(ROUND(N(M325)*100,0))),0)-(ROUND(N(N325)*100,0)))&lt;=0,"OK",IF(OR(L325=""),"UNVOLLSTÄNDIG","ABWEICHUNG")))</f>
        <v/>
      </c>
      <c r="Y325" s="50">
        <f>IF(OR(K325="",O325="",R325=""),"",IF(ABS(ROUND(((ROUND(N(K325)*100,0))-(ROUND(N(O325)*100,0))),0)-(ROUND(N(R325)*100,0)))&lt;=0,"OK","ABWEICHUNG"))</f>
        <v/>
      </c>
      <c r="Z325" s="50">
        <f>IF(OR(N325="",O325="",P325="",Q325="",T325=""),"",IF(ABS(ROUND(((ROUND(N(N325)*100,0)+ROUND(N(Q325)*100,0))-(ROUND(N(O325)*100,0)+ROUND(N(P325)*100,0))),0)-(ROUND(N(T325)*100,0)))&lt;=0,"OK","ABWEICHUNG"))</f>
        <v/>
      </c>
      <c r="AA325" s="44" t="n"/>
      <c r="AB325" s="44" t="n"/>
      <c r="AC325" s="44" t="n"/>
      <c r="AD325" s="44" t="n"/>
      <c r="AE325" s="85" t="n"/>
      <c r="AF325" s="85" t="n"/>
      <c r="AG325" s="44" t="n"/>
      <c r="AH325" s="44" t="n"/>
    </row>
    <row r="326">
      <c r="A326" s="44" t="n"/>
      <c r="B326" s="44" t="n"/>
      <c r="C326" s="44" t="n"/>
      <c r="D326" s="44" t="n"/>
      <c r="E326" s="44" t="n"/>
      <c r="F326" s="44" t="n"/>
      <c r="G326" s="45" t="n"/>
      <c r="H326" s="44" t="n"/>
      <c r="I326" s="45" t="n"/>
      <c r="J326" s="44" t="n"/>
      <c r="K326" s="85" t="n"/>
      <c r="L326" s="85" t="n"/>
      <c r="M326" s="85" t="n"/>
      <c r="N326" s="85" t="n"/>
      <c r="O326" s="85" t="n"/>
      <c r="P326" s="85" t="n"/>
      <c r="Q326" s="85" t="n"/>
      <c r="R326" s="85" t="n"/>
      <c r="S326" s="85" t="n"/>
      <c r="T326" s="85" t="n"/>
      <c r="U326" s="85" t="n"/>
      <c r="V326" s="44" t="n"/>
      <c r="W326" s="50">
        <f>IF(OR(M326="",Q326="",S326=""),"",IF(ABS(ROUND(((ROUND(N(M326)*100,0))-(ROUND(N(Q326)*100,0))),0)-(ROUND(N(S326)*100,0)))&lt;=0,"OK","ABWEICHUNG"))</f>
        <v/>
      </c>
      <c r="X326" s="50">
        <f>IF(OR(K326="",M326="",N326=""),"",IF(ABS(ROUND(((ROUND(N(K326)*100,0)+ROUND(N(L326)*100,0))-(ROUND(N(M326)*100,0))),0)-(ROUND(N(N326)*100,0)))&lt;=0,"OK",IF(OR(L326=""),"UNVOLLSTÄNDIG","ABWEICHUNG")))</f>
        <v/>
      </c>
      <c r="Y326" s="50">
        <f>IF(OR(K326="",O326="",R326=""),"",IF(ABS(ROUND(((ROUND(N(K326)*100,0))-(ROUND(N(O326)*100,0))),0)-(ROUND(N(R326)*100,0)))&lt;=0,"OK","ABWEICHUNG"))</f>
        <v/>
      </c>
      <c r="Z326" s="50">
        <f>IF(OR(N326="",O326="",P326="",Q326="",T326=""),"",IF(ABS(ROUND(((ROUND(N(N326)*100,0)+ROUND(N(Q326)*100,0))-(ROUND(N(O326)*100,0)+ROUND(N(P326)*100,0))),0)-(ROUND(N(T326)*100,0)))&lt;=0,"OK","ABWEICHUNG"))</f>
        <v/>
      </c>
      <c r="AA326" s="44" t="n"/>
      <c r="AB326" s="44" t="n"/>
      <c r="AC326" s="44" t="n"/>
      <c r="AD326" s="44" t="n"/>
      <c r="AE326" s="85" t="n"/>
      <c r="AF326" s="85" t="n"/>
      <c r="AG326" s="44" t="n"/>
      <c r="AH326" s="44" t="n"/>
    </row>
    <row r="327">
      <c r="A327" s="44" t="n"/>
      <c r="B327" s="44" t="n"/>
      <c r="C327" s="44" t="n"/>
      <c r="D327" s="44" t="n"/>
      <c r="E327" s="44" t="n"/>
      <c r="F327" s="44" t="n"/>
      <c r="G327" s="45" t="n"/>
      <c r="H327" s="44" t="n"/>
      <c r="I327" s="45" t="n"/>
      <c r="J327" s="44" t="n"/>
      <c r="K327" s="85" t="n"/>
      <c r="L327" s="85" t="n"/>
      <c r="M327" s="85" t="n"/>
      <c r="N327" s="85" t="n"/>
      <c r="O327" s="85" t="n"/>
      <c r="P327" s="85" t="n"/>
      <c r="Q327" s="85" t="n"/>
      <c r="R327" s="85" t="n"/>
      <c r="S327" s="85" t="n"/>
      <c r="T327" s="85" t="n"/>
      <c r="U327" s="85" t="n"/>
      <c r="V327" s="44" t="n"/>
      <c r="W327" s="50">
        <f>IF(OR(M327="",Q327="",S327=""),"",IF(ABS(ROUND(((ROUND(N(M327)*100,0))-(ROUND(N(Q327)*100,0))),0)-(ROUND(N(S327)*100,0)))&lt;=0,"OK","ABWEICHUNG"))</f>
        <v/>
      </c>
      <c r="X327" s="50">
        <f>IF(OR(K327="",M327="",N327=""),"",IF(ABS(ROUND(((ROUND(N(K327)*100,0)+ROUND(N(L327)*100,0))-(ROUND(N(M327)*100,0))),0)-(ROUND(N(N327)*100,0)))&lt;=0,"OK",IF(OR(L327=""),"UNVOLLSTÄNDIG","ABWEICHUNG")))</f>
        <v/>
      </c>
      <c r="Y327" s="50">
        <f>IF(OR(K327="",O327="",R327=""),"",IF(ABS(ROUND(((ROUND(N(K327)*100,0))-(ROUND(N(O327)*100,0))),0)-(ROUND(N(R327)*100,0)))&lt;=0,"OK","ABWEICHUNG"))</f>
        <v/>
      </c>
      <c r="Z327" s="50">
        <f>IF(OR(N327="",O327="",P327="",Q327="",T327=""),"",IF(ABS(ROUND(((ROUND(N(N327)*100,0)+ROUND(N(Q327)*100,0))-(ROUND(N(O327)*100,0)+ROUND(N(P327)*100,0))),0)-(ROUND(N(T327)*100,0)))&lt;=0,"OK","ABWEICHUNG"))</f>
        <v/>
      </c>
      <c r="AA327" s="44" t="n"/>
      <c r="AB327" s="44" t="n"/>
      <c r="AC327" s="44" t="n"/>
      <c r="AD327" s="44" t="n"/>
      <c r="AE327" s="85" t="n"/>
      <c r="AF327" s="85" t="n"/>
      <c r="AG327" s="44" t="n"/>
      <c r="AH327" s="44" t="n"/>
    </row>
    <row r="328">
      <c r="A328" s="44" t="n"/>
      <c r="B328" s="44" t="n"/>
      <c r="C328" s="44" t="n"/>
      <c r="D328" s="44" t="n"/>
      <c r="E328" s="44" t="n"/>
      <c r="F328" s="44" t="n"/>
      <c r="G328" s="45" t="n"/>
      <c r="H328" s="44" t="n"/>
      <c r="I328" s="45" t="n"/>
      <c r="J328" s="44" t="n"/>
      <c r="K328" s="85" t="n"/>
      <c r="L328" s="85" t="n"/>
      <c r="M328" s="85" t="n"/>
      <c r="N328" s="85" t="n"/>
      <c r="O328" s="85" t="n"/>
      <c r="P328" s="85" t="n"/>
      <c r="Q328" s="85" t="n"/>
      <c r="R328" s="85" t="n"/>
      <c r="S328" s="85" t="n"/>
      <c r="T328" s="85" t="n"/>
      <c r="U328" s="85" t="n"/>
      <c r="V328" s="44" t="n"/>
      <c r="W328" s="50">
        <f>IF(OR(M328="",Q328="",S328=""),"",IF(ABS(ROUND(((ROUND(N(M328)*100,0))-(ROUND(N(Q328)*100,0))),0)-(ROUND(N(S328)*100,0)))&lt;=0,"OK","ABWEICHUNG"))</f>
        <v/>
      </c>
      <c r="X328" s="50">
        <f>IF(OR(K328="",M328="",N328=""),"",IF(ABS(ROUND(((ROUND(N(K328)*100,0)+ROUND(N(L328)*100,0))-(ROUND(N(M328)*100,0))),0)-(ROUND(N(N328)*100,0)))&lt;=0,"OK",IF(OR(L328=""),"UNVOLLSTÄNDIG","ABWEICHUNG")))</f>
        <v/>
      </c>
      <c r="Y328" s="50">
        <f>IF(OR(K328="",O328="",R328=""),"",IF(ABS(ROUND(((ROUND(N(K328)*100,0))-(ROUND(N(O328)*100,0))),0)-(ROUND(N(R328)*100,0)))&lt;=0,"OK","ABWEICHUNG"))</f>
        <v/>
      </c>
      <c r="Z328" s="50">
        <f>IF(OR(N328="",O328="",P328="",Q328="",T328=""),"",IF(ABS(ROUND(((ROUND(N(N328)*100,0)+ROUND(N(Q328)*100,0))-(ROUND(N(O328)*100,0)+ROUND(N(P328)*100,0))),0)-(ROUND(N(T328)*100,0)))&lt;=0,"OK","ABWEICHUNG"))</f>
        <v/>
      </c>
      <c r="AA328" s="44" t="n"/>
      <c r="AB328" s="44" t="n"/>
      <c r="AC328" s="44" t="n"/>
      <c r="AD328" s="44" t="n"/>
      <c r="AE328" s="85" t="n"/>
      <c r="AF328" s="85" t="n"/>
      <c r="AG328" s="44" t="n"/>
      <c r="AH328" s="44" t="n"/>
    </row>
    <row r="329">
      <c r="A329" s="44" t="n"/>
      <c r="B329" s="44" t="n"/>
      <c r="C329" s="44" t="n"/>
      <c r="D329" s="44" t="n"/>
      <c r="E329" s="44" t="n"/>
      <c r="F329" s="44" t="n"/>
      <c r="G329" s="45" t="n"/>
      <c r="H329" s="44" t="n"/>
      <c r="I329" s="45" t="n"/>
      <c r="J329" s="44" t="n"/>
      <c r="K329" s="85" t="n"/>
      <c r="L329" s="85" t="n"/>
      <c r="M329" s="85" t="n"/>
      <c r="N329" s="85" t="n"/>
      <c r="O329" s="85" t="n"/>
      <c r="P329" s="85" t="n"/>
      <c r="Q329" s="85" t="n"/>
      <c r="R329" s="85" t="n"/>
      <c r="S329" s="85" t="n"/>
      <c r="T329" s="85" t="n"/>
      <c r="U329" s="85" t="n"/>
      <c r="V329" s="44" t="n"/>
      <c r="W329" s="50">
        <f>IF(OR(M329="",Q329="",S329=""),"",IF(ABS(ROUND(((ROUND(N(M329)*100,0))-(ROUND(N(Q329)*100,0))),0)-(ROUND(N(S329)*100,0)))&lt;=0,"OK","ABWEICHUNG"))</f>
        <v/>
      </c>
      <c r="X329" s="50">
        <f>IF(OR(K329="",M329="",N329=""),"",IF(ABS(ROUND(((ROUND(N(K329)*100,0)+ROUND(N(L329)*100,0))-(ROUND(N(M329)*100,0))),0)-(ROUND(N(N329)*100,0)))&lt;=0,"OK",IF(OR(L329=""),"UNVOLLSTÄNDIG","ABWEICHUNG")))</f>
        <v/>
      </c>
      <c r="Y329" s="50">
        <f>IF(OR(K329="",O329="",R329=""),"",IF(ABS(ROUND(((ROUND(N(K329)*100,0))-(ROUND(N(O329)*100,0))),0)-(ROUND(N(R329)*100,0)))&lt;=0,"OK","ABWEICHUNG"))</f>
        <v/>
      </c>
      <c r="Z329" s="50">
        <f>IF(OR(N329="",O329="",P329="",Q329="",T329=""),"",IF(ABS(ROUND(((ROUND(N(N329)*100,0)+ROUND(N(Q329)*100,0))-(ROUND(N(O329)*100,0)+ROUND(N(P329)*100,0))),0)-(ROUND(N(T329)*100,0)))&lt;=0,"OK","ABWEICHUNG"))</f>
        <v/>
      </c>
      <c r="AA329" s="44" t="n"/>
      <c r="AB329" s="44" t="n"/>
      <c r="AC329" s="44" t="n"/>
      <c r="AD329" s="44" t="n"/>
      <c r="AE329" s="85" t="n"/>
      <c r="AF329" s="85" t="n"/>
      <c r="AG329" s="44" t="n"/>
      <c r="AH329" s="44" t="n"/>
    </row>
    <row r="330">
      <c r="A330" s="44" t="n"/>
      <c r="B330" s="44" t="n"/>
      <c r="C330" s="44" t="n"/>
      <c r="D330" s="44" t="n"/>
      <c r="E330" s="44" t="n"/>
      <c r="F330" s="44" t="n"/>
      <c r="G330" s="45" t="n"/>
      <c r="H330" s="44" t="n"/>
      <c r="I330" s="45" t="n"/>
      <c r="J330" s="44" t="n"/>
      <c r="K330" s="85" t="n"/>
      <c r="L330" s="85" t="n"/>
      <c r="M330" s="85" t="n"/>
      <c r="N330" s="85" t="n"/>
      <c r="O330" s="85" t="n"/>
      <c r="P330" s="85" t="n"/>
      <c r="Q330" s="85" t="n"/>
      <c r="R330" s="85" t="n"/>
      <c r="S330" s="85" t="n"/>
      <c r="T330" s="85" t="n"/>
      <c r="U330" s="85" t="n"/>
      <c r="V330" s="44" t="n"/>
      <c r="W330" s="50">
        <f>IF(OR(M330="",Q330="",S330=""),"",IF(ABS(ROUND(((ROUND(N(M330)*100,0))-(ROUND(N(Q330)*100,0))),0)-(ROUND(N(S330)*100,0)))&lt;=0,"OK","ABWEICHUNG"))</f>
        <v/>
      </c>
      <c r="X330" s="50">
        <f>IF(OR(K330="",M330="",N330=""),"",IF(ABS(ROUND(((ROUND(N(K330)*100,0)+ROUND(N(L330)*100,0))-(ROUND(N(M330)*100,0))),0)-(ROUND(N(N330)*100,0)))&lt;=0,"OK",IF(OR(L330=""),"UNVOLLSTÄNDIG","ABWEICHUNG")))</f>
        <v/>
      </c>
      <c r="Y330" s="50">
        <f>IF(OR(K330="",O330="",R330=""),"",IF(ABS(ROUND(((ROUND(N(K330)*100,0))-(ROUND(N(O330)*100,0))),0)-(ROUND(N(R330)*100,0)))&lt;=0,"OK","ABWEICHUNG"))</f>
        <v/>
      </c>
      <c r="Z330" s="50">
        <f>IF(OR(N330="",O330="",P330="",Q330="",T330=""),"",IF(ABS(ROUND(((ROUND(N(N330)*100,0)+ROUND(N(Q330)*100,0))-(ROUND(N(O330)*100,0)+ROUND(N(P330)*100,0))),0)-(ROUND(N(T330)*100,0)))&lt;=0,"OK","ABWEICHUNG"))</f>
        <v/>
      </c>
      <c r="AA330" s="44" t="n"/>
      <c r="AB330" s="44" t="n"/>
      <c r="AC330" s="44" t="n"/>
      <c r="AD330" s="44" t="n"/>
      <c r="AE330" s="85" t="n"/>
      <c r="AF330" s="85" t="n"/>
      <c r="AG330" s="44" t="n"/>
      <c r="AH330" s="44" t="n"/>
    </row>
    <row r="331">
      <c r="A331" s="44" t="n"/>
      <c r="B331" s="44" t="n"/>
      <c r="C331" s="44" t="n"/>
      <c r="D331" s="44" t="n"/>
      <c r="E331" s="44" t="n"/>
      <c r="F331" s="44" t="n"/>
      <c r="G331" s="45" t="n"/>
      <c r="H331" s="44" t="n"/>
      <c r="I331" s="45" t="n"/>
      <c r="J331" s="44" t="n"/>
      <c r="K331" s="85" t="n"/>
      <c r="L331" s="85" t="n"/>
      <c r="M331" s="85" t="n"/>
      <c r="N331" s="85" t="n"/>
      <c r="O331" s="85" t="n"/>
      <c r="P331" s="85" t="n"/>
      <c r="Q331" s="85" t="n"/>
      <c r="R331" s="85" t="n"/>
      <c r="S331" s="85" t="n"/>
      <c r="T331" s="85" t="n"/>
      <c r="U331" s="85" t="n"/>
      <c r="V331" s="44" t="n"/>
      <c r="W331" s="50">
        <f>IF(OR(M331="",Q331="",S331=""),"",IF(ABS(ROUND(((ROUND(N(M331)*100,0))-(ROUND(N(Q331)*100,0))),0)-(ROUND(N(S331)*100,0)))&lt;=0,"OK","ABWEICHUNG"))</f>
        <v/>
      </c>
      <c r="X331" s="50">
        <f>IF(OR(K331="",M331="",N331=""),"",IF(ABS(ROUND(((ROUND(N(K331)*100,0)+ROUND(N(L331)*100,0))-(ROUND(N(M331)*100,0))),0)-(ROUND(N(N331)*100,0)))&lt;=0,"OK",IF(OR(L331=""),"UNVOLLSTÄNDIG","ABWEICHUNG")))</f>
        <v/>
      </c>
      <c r="Y331" s="50">
        <f>IF(OR(K331="",O331="",R331=""),"",IF(ABS(ROUND(((ROUND(N(K331)*100,0))-(ROUND(N(O331)*100,0))),0)-(ROUND(N(R331)*100,0)))&lt;=0,"OK","ABWEICHUNG"))</f>
        <v/>
      </c>
      <c r="Z331" s="50">
        <f>IF(OR(N331="",O331="",P331="",Q331="",T331=""),"",IF(ABS(ROUND(((ROUND(N(N331)*100,0)+ROUND(N(Q331)*100,0))-(ROUND(N(O331)*100,0)+ROUND(N(P331)*100,0))),0)-(ROUND(N(T331)*100,0)))&lt;=0,"OK","ABWEICHUNG"))</f>
        <v/>
      </c>
      <c r="AA331" s="44" t="n"/>
      <c r="AB331" s="44" t="n"/>
      <c r="AC331" s="44" t="n"/>
      <c r="AD331" s="44" t="n"/>
      <c r="AE331" s="85" t="n"/>
      <c r="AF331" s="85" t="n"/>
      <c r="AG331" s="44" t="n"/>
      <c r="AH331" s="44" t="n"/>
    </row>
    <row r="332">
      <c r="A332" s="44" t="n"/>
      <c r="B332" s="44" t="n"/>
      <c r="C332" s="44" t="n"/>
      <c r="D332" s="44" t="n"/>
      <c r="E332" s="44" t="n"/>
      <c r="F332" s="44" t="n"/>
      <c r="G332" s="45" t="n"/>
      <c r="H332" s="44" t="n"/>
      <c r="I332" s="45" t="n"/>
      <c r="J332" s="44" t="n"/>
      <c r="K332" s="85" t="n"/>
      <c r="L332" s="85" t="n"/>
      <c r="M332" s="85" t="n"/>
      <c r="N332" s="85" t="n"/>
      <c r="O332" s="85" t="n"/>
      <c r="P332" s="85" t="n"/>
      <c r="Q332" s="85" t="n"/>
      <c r="R332" s="85" t="n"/>
      <c r="S332" s="85" t="n"/>
      <c r="T332" s="85" t="n"/>
      <c r="U332" s="85" t="n"/>
      <c r="V332" s="44" t="n"/>
      <c r="W332" s="50">
        <f>IF(OR(M332="",Q332="",S332=""),"",IF(ABS(ROUND(((ROUND(N(M332)*100,0))-(ROUND(N(Q332)*100,0))),0)-(ROUND(N(S332)*100,0)))&lt;=0,"OK","ABWEICHUNG"))</f>
        <v/>
      </c>
      <c r="X332" s="50">
        <f>IF(OR(K332="",M332="",N332=""),"",IF(ABS(ROUND(((ROUND(N(K332)*100,0)+ROUND(N(L332)*100,0))-(ROUND(N(M332)*100,0))),0)-(ROUND(N(N332)*100,0)))&lt;=0,"OK",IF(OR(L332=""),"UNVOLLSTÄNDIG","ABWEICHUNG")))</f>
        <v/>
      </c>
      <c r="Y332" s="50">
        <f>IF(OR(K332="",O332="",R332=""),"",IF(ABS(ROUND(((ROUND(N(K332)*100,0))-(ROUND(N(O332)*100,0))),0)-(ROUND(N(R332)*100,0)))&lt;=0,"OK","ABWEICHUNG"))</f>
        <v/>
      </c>
      <c r="Z332" s="50">
        <f>IF(OR(N332="",O332="",P332="",Q332="",T332=""),"",IF(ABS(ROUND(((ROUND(N(N332)*100,0)+ROUND(N(Q332)*100,0))-(ROUND(N(O332)*100,0)+ROUND(N(P332)*100,0))),0)-(ROUND(N(T332)*100,0)))&lt;=0,"OK","ABWEICHUNG"))</f>
        <v/>
      </c>
      <c r="AA332" s="44" t="n"/>
      <c r="AB332" s="44" t="n"/>
      <c r="AC332" s="44" t="n"/>
      <c r="AD332" s="44" t="n"/>
      <c r="AE332" s="85" t="n"/>
      <c r="AF332" s="85" t="n"/>
      <c r="AG332" s="44" t="n"/>
      <c r="AH332" s="44" t="n"/>
    </row>
    <row r="333">
      <c r="A333" s="44" t="n"/>
      <c r="B333" s="44" t="n"/>
      <c r="C333" s="44" t="n"/>
      <c r="D333" s="44" t="n"/>
      <c r="E333" s="44" t="n"/>
      <c r="F333" s="44" t="n"/>
      <c r="G333" s="45" t="n"/>
      <c r="H333" s="44" t="n"/>
      <c r="I333" s="45" t="n"/>
      <c r="J333" s="44" t="n"/>
      <c r="K333" s="85" t="n"/>
      <c r="L333" s="85" t="n"/>
      <c r="M333" s="85" t="n"/>
      <c r="N333" s="85" t="n"/>
      <c r="O333" s="85" t="n"/>
      <c r="P333" s="85" t="n"/>
      <c r="Q333" s="85" t="n"/>
      <c r="R333" s="85" t="n"/>
      <c r="S333" s="85" t="n"/>
      <c r="T333" s="85" t="n"/>
      <c r="U333" s="85" t="n"/>
      <c r="V333" s="44" t="n"/>
      <c r="W333" s="50">
        <f>IF(OR(M333="",Q333="",S333=""),"",IF(ABS(ROUND(((ROUND(N(M333)*100,0))-(ROUND(N(Q333)*100,0))),0)-(ROUND(N(S333)*100,0)))&lt;=0,"OK","ABWEICHUNG"))</f>
        <v/>
      </c>
      <c r="X333" s="50">
        <f>IF(OR(K333="",M333="",N333=""),"",IF(ABS(ROUND(((ROUND(N(K333)*100,0)+ROUND(N(L333)*100,0))-(ROUND(N(M333)*100,0))),0)-(ROUND(N(N333)*100,0)))&lt;=0,"OK",IF(OR(L333=""),"UNVOLLSTÄNDIG","ABWEICHUNG")))</f>
        <v/>
      </c>
      <c r="Y333" s="50">
        <f>IF(OR(K333="",O333="",R333=""),"",IF(ABS(ROUND(((ROUND(N(K333)*100,0))-(ROUND(N(O333)*100,0))),0)-(ROUND(N(R333)*100,0)))&lt;=0,"OK","ABWEICHUNG"))</f>
        <v/>
      </c>
      <c r="Z333" s="50">
        <f>IF(OR(N333="",O333="",P333="",Q333="",T333=""),"",IF(ABS(ROUND(((ROUND(N(N333)*100,0)+ROUND(N(Q333)*100,0))-(ROUND(N(O333)*100,0)+ROUND(N(P333)*100,0))),0)-(ROUND(N(T333)*100,0)))&lt;=0,"OK","ABWEICHUNG"))</f>
        <v/>
      </c>
      <c r="AA333" s="44" t="n"/>
      <c r="AB333" s="44" t="n"/>
      <c r="AC333" s="44" t="n"/>
      <c r="AD333" s="44" t="n"/>
      <c r="AE333" s="85" t="n"/>
      <c r="AF333" s="85" t="n"/>
      <c r="AG333" s="44" t="n"/>
      <c r="AH333" s="44" t="n"/>
    </row>
    <row r="334">
      <c r="A334" s="44" t="n"/>
      <c r="B334" s="44" t="n"/>
      <c r="C334" s="44" t="n"/>
      <c r="D334" s="44" t="n"/>
      <c r="E334" s="44" t="n"/>
      <c r="F334" s="44" t="n"/>
      <c r="G334" s="45" t="n"/>
      <c r="H334" s="44" t="n"/>
      <c r="I334" s="45" t="n"/>
      <c r="J334" s="44" t="n"/>
      <c r="K334" s="85" t="n"/>
      <c r="L334" s="85" t="n"/>
      <c r="M334" s="85" t="n"/>
      <c r="N334" s="85" t="n"/>
      <c r="O334" s="85" t="n"/>
      <c r="P334" s="85" t="n"/>
      <c r="Q334" s="85" t="n"/>
      <c r="R334" s="85" t="n"/>
      <c r="S334" s="85" t="n"/>
      <c r="T334" s="85" t="n"/>
      <c r="U334" s="85" t="n"/>
      <c r="V334" s="44" t="n"/>
      <c r="W334" s="50">
        <f>IF(OR(M334="",Q334="",S334=""),"",IF(ABS(ROUND(((ROUND(N(M334)*100,0))-(ROUND(N(Q334)*100,0))),0)-(ROUND(N(S334)*100,0)))&lt;=0,"OK","ABWEICHUNG"))</f>
        <v/>
      </c>
      <c r="X334" s="50">
        <f>IF(OR(K334="",M334="",N334=""),"",IF(ABS(ROUND(((ROUND(N(K334)*100,0)+ROUND(N(L334)*100,0))-(ROUND(N(M334)*100,0))),0)-(ROUND(N(N334)*100,0)))&lt;=0,"OK",IF(OR(L334=""),"UNVOLLSTÄNDIG","ABWEICHUNG")))</f>
        <v/>
      </c>
      <c r="Y334" s="50">
        <f>IF(OR(K334="",O334="",R334=""),"",IF(ABS(ROUND(((ROUND(N(K334)*100,0))-(ROUND(N(O334)*100,0))),0)-(ROUND(N(R334)*100,0)))&lt;=0,"OK","ABWEICHUNG"))</f>
        <v/>
      </c>
      <c r="Z334" s="50">
        <f>IF(OR(N334="",O334="",P334="",Q334="",T334=""),"",IF(ABS(ROUND(((ROUND(N(N334)*100,0)+ROUND(N(Q334)*100,0))-(ROUND(N(O334)*100,0)+ROUND(N(P334)*100,0))),0)-(ROUND(N(T334)*100,0)))&lt;=0,"OK","ABWEICHUNG"))</f>
        <v/>
      </c>
      <c r="AA334" s="44" t="n"/>
      <c r="AB334" s="44" t="n"/>
      <c r="AC334" s="44" t="n"/>
      <c r="AD334" s="44" t="n"/>
      <c r="AE334" s="85" t="n"/>
      <c r="AF334" s="85" t="n"/>
      <c r="AG334" s="44" t="n"/>
      <c r="AH334" s="44" t="n"/>
    </row>
    <row r="335">
      <c r="A335" s="44" t="n"/>
      <c r="B335" s="44" t="n"/>
      <c r="C335" s="44" t="n"/>
      <c r="D335" s="44" t="n"/>
      <c r="E335" s="44" t="n"/>
      <c r="F335" s="44" t="n"/>
      <c r="G335" s="45" t="n"/>
      <c r="H335" s="44" t="n"/>
      <c r="I335" s="45" t="n"/>
      <c r="J335" s="44" t="n"/>
      <c r="K335" s="85" t="n"/>
      <c r="L335" s="85" t="n"/>
      <c r="M335" s="85" t="n"/>
      <c r="N335" s="85" t="n"/>
      <c r="O335" s="85" t="n"/>
      <c r="P335" s="85" t="n"/>
      <c r="Q335" s="85" t="n"/>
      <c r="R335" s="85" t="n"/>
      <c r="S335" s="85" t="n"/>
      <c r="T335" s="85" t="n"/>
      <c r="U335" s="85" t="n"/>
      <c r="V335" s="44" t="n"/>
      <c r="W335" s="50">
        <f>IF(OR(M335="",Q335="",S335=""),"",IF(ABS(ROUND(((ROUND(N(M335)*100,0))-(ROUND(N(Q335)*100,0))),0)-(ROUND(N(S335)*100,0)))&lt;=0,"OK","ABWEICHUNG"))</f>
        <v/>
      </c>
      <c r="X335" s="50">
        <f>IF(OR(K335="",M335="",N335=""),"",IF(ABS(ROUND(((ROUND(N(K335)*100,0)+ROUND(N(L335)*100,0))-(ROUND(N(M335)*100,0))),0)-(ROUND(N(N335)*100,0)))&lt;=0,"OK",IF(OR(L335=""),"UNVOLLSTÄNDIG","ABWEICHUNG")))</f>
        <v/>
      </c>
      <c r="Y335" s="50">
        <f>IF(OR(K335="",O335="",R335=""),"",IF(ABS(ROUND(((ROUND(N(K335)*100,0))-(ROUND(N(O335)*100,0))),0)-(ROUND(N(R335)*100,0)))&lt;=0,"OK","ABWEICHUNG"))</f>
        <v/>
      </c>
      <c r="Z335" s="50">
        <f>IF(OR(N335="",O335="",P335="",Q335="",T335=""),"",IF(ABS(ROUND(((ROUND(N(N335)*100,0)+ROUND(N(Q335)*100,0))-(ROUND(N(O335)*100,0)+ROUND(N(P335)*100,0))),0)-(ROUND(N(T335)*100,0)))&lt;=0,"OK","ABWEICHUNG"))</f>
        <v/>
      </c>
      <c r="AA335" s="44" t="n"/>
      <c r="AB335" s="44" t="n"/>
      <c r="AC335" s="44" t="n"/>
      <c r="AD335" s="44" t="n"/>
      <c r="AE335" s="85" t="n"/>
      <c r="AF335" s="85" t="n"/>
      <c r="AG335" s="44" t="n"/>
      <c r="AH335" s="44" t="n"/>
    </row>
    <row r="336">
      <c r="A336" s="44" t="n"/>
      <c r="B336" s="44" t="n"/>
      <c r="C336" s="44" t="n"/>
      <c r="D336" s="44" t="n"/>
      <c r="E336" s="44" t="n"/>
      <c r="F336" s="44" t="n"/>
      <c r="G336" s="45" t="n"/>
      <c r="H336" s="44" t="n"/>
      <c r="I336" s="45" t="n"/>
      <c r="J336" s="44" t="n"/>
      <c r="K336" s="85" t="n"/>
      <c r="L336" s="85" t="n"/>
      <c r="M336" s="85" t="n"/>
      <c r="N336" s="85" t="n"/>
      <c r="O336" s="85" t="n"/>
      <c r="P336" s="85" t="n"/>
      <c r="Q336" s="85" t="n"/>
      <c r="R336" s="85" t="n"/>
      <c r="S336" s="85" t="n"/>
      <c r="T336" s="85" t="n"/>
      <c r="U336" s="85" t="n"/>
      <c r="V336" s="44" t="n"/>
      <c r="W336" s="50">
        <f>IF(OR(M336="",Q336="",S336=""),"",IF(ABS(ROUND(((ROUND(N(M336)*100,0))-(ROUND(N(Q336)*100,0))),0)-(ROUND(N(S336)*100,0)))&lt;=0,"OK","ABWEICHUNG"))</f>
        <v/>
      </c>
      <c r="X336" s="50">
        <f>IF(OR(K336="",M336="",N336=""),"",IF(ABS(ROUND(((ROUND(N(K336)*100,0)+ROUND(N(L336)*100,0))-(ROUND(N(M336)*100,0))),0)-(ROUND(N(N336)*100,0)))&lt;=0,"OK",IF(OR(L336=""),"UNVOLLSTÄNDIG","ABWEICHUNG")))</f>
        <v/>
      </c>
      <c r="Y336" s="50">
        <f>IF(OR(K336="",O336="",R336=""),"",IF(ABS(ROUND(((ROUND(N(K336)*100,0))-(ROUND(N(O336)*100,0))),0)-(ROUND(N(R336)*100,0)))&lt;=0,"OK","ABWEICHUNG"))</f>
        <v/>
      </c>
      <c r="Z336" s="50">
        <f>IF(OR(N336="",O336="",P336="",Q336="",T336=""),"",IF(ABS(ROUND(((ROUND(N(N336)*100,0)+ROUND(N(Q336)*100,0))-(ROUND(N(O336)*100,0)+ROUND(N(P336)*100,0))),0)-(ROUND(N(T336)*100,0)))&lt;=0,"OK","ABWEICHUNG"))</f>
        <v/>
      </c>
      <c r="AA336" s="44" t="n"/>
      <c r="AB336" s="44" t="n"/>
      <c r="AC336" s="44" t="n"/>
      <c r="AD336" s="44" t="n"/>
      <c r="AE336" s="85" t="n"/>
      <c r="AF336" s="85" t="n"/>
      <c r="AG336" s="44" t="n"/>
      <c r="AH336" s="44" t="n"/>
    </row>
    <row r="337">
      <c r="A337" s="44" t="n"/>
      <c r="B337" s="44" t="n"/>
      <c r="C337" s="44" t="n"/>
      <c r="D337" s="44" t="n"/>
      <c r="E337" s="44" t="n"/>
      <c r="F337" s="44" t="n"/>
      <c r="G337" s="45" t="n"/>
      <c r="H337" s="44" t="n"/>
      <c r="I337" s="45" t="n"/>
      <c r="J337" s="44" t="n"/>
      <c r="K337" s="85" t="n"/>
      <c r="L337" s="85" t="n"/>
      <c r="M337" s="85" t="n"/>
      <c r="N337" s="85" t="n"/>
      <c r="O337" s="85" t="n"/>
      <c r="P337" s="85" t="n"/>
      <c r="Q337" s="85" t="n"/>
      <c r="R337" s="85" t="n"/>
      <c r="S337" s="85" t="n"/>
      <c r="T337" s="85" t="n"/>
      <c r="U337" s="85" t="n"/>
      <c r="V337" s="44" t="n"/>
      <c r="W337" s="50">
        <f>IF(OR(M337="",Q337="",S337=""),"",IF(ABS(ROUND(((ROUND(N(M337)*100,0))-(ROUND(N(Q337)*100,0))),0)-(ROUND(N(S337)*100,0)))&lt;=0,"OK","ABWEICHUNG"))</f>
        <v/>
      </c>
      <c r="X337" s="50">
        <f>IF(OR(K337="",M337="",N337=""),"",IF(ABS(ROUND(((ROUND(N(K337)*100,0)+ROUND(N(L337)*100,0))-(ROUND(N(M337)*100,0))),0)-(ROUND(N(N337)*100,0)))&lt;=0,"OK",IF(OR(L337=""),"UNVOLLSTÄNDIG","ABWEICHUNG")))</f>
        <v/>
      </c>
      <c r="Y337" s="50">
        <f>IF(OR(K337="",O337="",R337=""),"",IF(ABS(ROUND(((ROUND(N(K337)*100,0))-(ROUND(N(O337)*100,0))),0)-(ROUND(N(R337)*100,0)))&lt;=0,"OK","ABWEICHUNG"))</f>
        <v/>
      </c>
      <c r="Z337" s="50">
        <f>IF(OR(N337="",O337="",P337="",Q337="",T337=""),"",IF(ABS(ROUND(((ROUND(N(N337)*100,0)+ROUND(N(Q337)*100,0))-(ROUND(N(O337)*100,0)+ROUND(N(P337)*100,0))),0)-(ROUND(N(T337)*100,0)))&lt;=0,"OK","ABWEICHUNG"))</f>
        <v/>
      </c>
      <c r="AA337" s="44" t="n"/>
      <c r="AB337" s="44" t="n"/>
      <c r="AC337" s="44" t="n"/>
      <c r="AD337" s="44" t="n"/>
      <c r="AE337" s="85" t="n"/>
      <c r="AF337" s="85" t="n"/>
      <c r="AG337" s="44" t="n"/>
      <c r="AH337" s="44" t="n"/>
    </row>
    <row r="338">
      <c r="A338" s="44" t="n"/>
      <c r="B338" s="44" t="n"/>
      <c r="C338" s="44" t="n"/>
      <c r="D338" s="44" t="n"/>
      <c r="E338" s="44" t="n"/>
      <c r="F338" s="44" t="n"/>
      <c r="G338" s="45" t="n"/>
      <c r="H338" s="44" t="n"/>
      <c r="I338" s="45" t="n"/>
      <c r="J338" s="44" t="n"/>
      <c r="K338" s="85" t="n"/>
      <c r="L338" s="85" t="n"/>
      <c r="M338" s="85" t="n"/>
      <c r="N338" s="85" t="n"/>
      <c r="O338" s="85" t="n"/>
      <c r="P338" s="85" t="n"/>
      <c r="Q338" s="85" t="n"/>
      <c r="R338" s="85" t="n"/>
      <c r="S338" s="85" t="n"/>
      <c r="T338" s="85" t="n"/>
      <c r="U338" s="85" t="n"/>
      <c r="V338" s="44" t="n"/>
      <c r="W338" s="50">
        <f>IF(OR(M338="",Q338="",S338=""),"",IF(ABS(ROUND(((ROUND(N(M338)*100,0))-(ROUND(N(Q338)*100,0))),0)-(ROUND(N(S338)*100,0)))&lt;=0,"OK","ABWEICHUNG"))</f>
        <v/>
      </c>
      <c r="X338" s="50">
        <f>IF(OR(K338="",M338="",N338=""),"",IF(ABS(ROUND(((ROUND(N(K338)*100,0)+ROUND(N(L338)*100,0))-(ROUND(N(M338)*100,0))),0)-(ROUND(N(N338)*100,0)))&lt;=0,"OK",IF(OR(L338=""),"UNVOLLSTÄNDIG","ABWEICHUNG")))</f>
        <v/>
      </c>
      <c r="Y338" s="50">
        <f>IF(OR(K338="",O338="",R338=""),"",IF(ABS(ROUND(((ROUND(N(K338)*100,0))-(ROUND(N(O338)*100,0))),0)-(ROUND(N(R338)*100,0)))&lt;=0,"OK","ABWEICHUNG"))</f>
        <v/>
      </c>
      <c r="Z338" s="50">
        <f>IF(OR(N338="",O338="",P338="",Q338="",T338=""),"",IF(ABS(ROUND(((ROUND(N(N338)*100,0)+ROUND(N(Q338)*100,0))-(ROUND(N(O338)*100,0)+ROUND(N(P338)*100,0))),0)-(ROUND(N(T338)*100,0)))&lt;=0,"OK","ABWEICHUNG"))</f>
        <v/>
      </c>
      <c r="AA338" s="44" t="n"/>
      <c r="AB338" s="44" t="n"/>
      <c r="AC338" s="44" t="n"/>
      <c r="AD338" s="44" t="n"/>
      <c r="AE338" s="85" t="n"/>
      <c r="AF338" s="85" t="n"/>
      <c r="AG338" s="44" t="n"/>
      <c r="AH338" s="44" t="n"/>
    </row>
    <row r="339">
      <c r="A339" s="44" t="n"/>
      <c r="B339" s="44" t="n"/>
      <c r="C339" s="44" t="n"/>
      <c r="D339" s="44" t="n"/>
      <c r="E339" s="44" t="n"/>
      <c r="F339" s="44" t="n"/>
      <c r="G339" s="45" t="n"/>
      <c r="H339" s="44" t="n"/>
      <c r="I339" s="45" t="n"/>
      <c r="J339" s="44" t="n"/>
      <c r="K339" s="85" t="n"/>
      <c r="L339" s="85" t="n"/>
      <c r="M339" s="85" t="n"/>
      <c r="N339" s="85" t="n"/>
      <c r="O339" s="85" t="n"/>
      <c r="P339" s="85" t="n"/>
      <c r="Q339" s="85" t="n"/>
      <c r="R339" s="85" t="n"/>
      <c r="S339" s="85" t="n"/>
      <c r="T339" s="85" t="n"/>
      <c r="U339" s="85" t="n"/>
      <c r="V339" s="44" t="n"/>
      <c r="W339" s="50">
        <f>IF(OR(M339="",Q339="",S339=""),"",IF(ABS(ROUND(((ROUND(N(M339)*100,0))-(ROUND(N(Q339)*100,0))),0)-(ROUND(N(S339)*100,0)))&lt;=0,"OK","ABWEICHUNG"))</f>
        <v/>
      </c>
      <c r="X339" s="50">
        <f>IF(OR(K339="",M339="",N339=""),"",IF(ABS(ROUND(((ROUND(N(K339)*100,0)+ROUND(N(L339)*100,0))-(ROUND(N(M339)*100,0))),0)-(ROUND(N(N339)*100,0)))&lt;=0,"OK",IF(OR(L339=""),"UNVOLLSTÄNDIG","ABWEICHUNG")))</f>
        <v/>
      </c>
      <c r="Y339" s="50">
        <f>IF(OR(K339="",O339="",R339=""),"",IF(ABS(ROUND(((ROUND(N(K339)*100,0))-(ROUND(N(O339)*100,0))),0)-(ROUND(N(R339)*100,0)))&lt;=0,"OK","ABWEICHUNG"))</f>
        <v/>
      </c>
      <c r="Z339" s="50">
        <f>IF(OR(N339="",O339="",P339="",Q339="",T339=""),"",IF(ABS(ROUND(((ROUND(N(N339)*100,0)+ROUND(N(Q339)*100,0))-(ROUND(N(O339)*100,0)+ROUND(N(P339)*100,0))),0)-(ROUND(N(T339)*100,0)))&lt;=0,"OK","ABWEICHUNG"))</f>
        <v/>
      </c>
      <c r="AA339" s="44" t="n"/>
      <c r="AB339" s="44" t="n"/>
      <c r="AC339" s="44" t="n"/>
      <c r="AD339" s="44" t="n"/>
      <c r="AE339" s="85" t="n"/>
      <c r="AF339" s="85" t="n"/>
      <c r="AG339" s="44" t="n"/>
      <c r="AH339" s="44" t="n"/>
    </row>
    <row r="340">
      <c r="A340" s="44" t="n"/>
      <c r="B340" s="44" t="n"/>
      <c r="C340" s="44" t="n"/>
      <c r="D340" s="44" t="n"/>
      <c r="E340" s="44" t="n"/>
      <c r="F340" s="44" t="n"/>
      <c r="G340" s="45" t="n"/>
      <c r="H340" s="44" t="n"/>
      <c r="I340" s="45" t="n"/>
      <c r="J340" s="44" t="n"/>
      <c r="K340" s="85" t="n"/>
      <c r="L340" s="85" t="n"/>
      <c r="M340" s="85" t="n"/>
      <c r="N340" s="85" t="n"/>
      <c r="O340" s="85" t="n"/>
      <c r="P340" s="85" t="n"/>
      <c r="Q340" s="85" t="n"/>
      <c r="R340" s="85" t="n"/>
      <c r="S340" s="85" t="n"/>
      <c r="T340" s="85" t="n"/>
      <c r="U340" s="85" t="n"/>
      <c r="V340" s="44" t="n"/>
      <c r="W340" s="50">
        <f>IF(OR(M340="",Q340="",S340=""),"",IF(ABS(ROUND(((ROUND(N(M340)*100,0))-(ROUND(N(Q340)*100,0))),0)-(ROUND(N(S340)*100,0)))&lt;=0,"OK","ABWEICHUNG"))</f>
        <v/>
      </c>
      <c r="X340" s="50">
        <f>IF(OR(K340="",M340="",N340=""),"",IF(ABS(ROUND(((ROUND(N(K340)*100,0)+ROUND(N(L340)*100,0))-(ROUND(N(M340)*100,0))),0)-(ROUND(N(N340)*100,0)))&lt;=0,"OK",IF(OR(L340=""),"UNVOLLSTÄNDIG","ABWEICHUNG")))</f>
        <v/>
      </c>
      <c r="Y340" s="50">
        <f>IF(OR(K340="",O340="",R340=""),"",IF(ABS(ROUND(((ROUND(N(K340)*100,0))-(ROUND(N(O340)*100,0))),0)-(ROUND(N(R340)*100,0)))&lt;=0,"OK","ABWEICHUNG"))</f>
        <v/>
      </c>
      <c r="Z340" s="50">
        <f>IF(OR(N340="",O340="",P340="",Q340="",T340=""),"",IF(ABS(ROUND(((ROUND(N(N340)*100,0)+ROUND(N(Q340)*100,0))-(ROUND(N(O340)*100,0)+ROUND(N(P340)*100,0))),0)-(ROUND(N(T340)*100,0)))&lt;=0,"OK","ABWEICHUNG"))</f>
        <v/>
      </c>
      <c r="AA340" s="44" t="n"/>
      <c r="AB340" s="44" t="n"/>
      <c r="AC340" s="44" t="n"/>
      <c r="AD340" s="44" t="n"/>
      <c r="AE340" s="85" t="n"/>
      <c r="AF340" s="85" t="n"/>
      <c r="AG340" s="44" t="n"/>
      <c r="AH340" s="44" t="n"/>
    </row>
    <row r="341">
      <c r="A341" s="44" t="n"/>
      <c r="B341" s="44" t="n"/>
      <c r="C341" s="44" t="n"/>
      <c r="D341" s="44" t="n"/>
      <c r="E341" s="44" t="n"/>
      <c r="F341" s="44" t="n"/>
      <c r="G341" s="45" t="n"/>
      <c r="H341" s="44" t="n"/>
      <c r="I341" s="45" t="n"/>
      <c r="J341" s="44" t="n"/>
      <c r="K341" s="85" t="n"/>
      <c r="L341" s="85" t="n"/>
      <c r="M341" s="85" t="n"/>
      <c r="N341" s="85" t="n"/>
      <c r="O341" s="85" t="n"/>
      <c r="P341" s="85" t="n"/>
      <c r="Q341" s="85" t="n"/>
      <c r="R341" s="85" t="n"/>
      <c r="S341" s="85" t="n"/>
      <c r="T341" s="85" t="n"/>
      <c r="U341" s="85" t="n"/>
      <c r="V341" s="44" t="n"/>
      <c r="W341" s="50">
        <f>IF(OR(M341="",Q341="",S341=""),"",IF(ABS(ROUND(((ROUND(N(M341)*100,0))-(ROUND(N(Q341)*100,0))),0)-(ROUND(N(S341)*100,0)))&lt;=0,"OK","ABWEICHUNG"))</f>
        <v/>
      </c>
      <c r="X341" s="50">
        <f>IF(OR(K341="",M341="",N341=""),"",IF(ABS(ROUND(((ROUND(N(K341)*100,0)+ROUND(N(L341)*100,0))-(ROUND(N(M341)*100,0))),0)-(ROUND(N(N341)*100,0)))&lt;=0,"OK",IF(OR(L341=""),"UNVOLLSTÄNDIG","ABWEICHUNG")))</f>
        <v/>
      </c>
      <c r="Y341" s="50">
        <f>IF(OR(K341="",O341="",R341=""),"",IF(ABS(ROUND(((ROUND(N(K341)*100,0))-(ROUND(N(O341)*100,0))),0)-(ROUND(N(R341)*100,0)))&lt;=0,"OK","ABWEICHUNG"))</f>
        <v/>
      </c>
      <c r="Z341" s="50">
        <f>IF(OR(N341="",O341="",P341="",Q341="",T341=""),"",IF(ABS(ROUND(((ROUND(N(N341)*100,0)+ROUND(N(Q341)*100,0))-(ROUND(N(O341)*100,0)+ROUND(N(P341)*100,0))),0)-(ROUND(N(T341)*100,0)))&lt;=0,"OK","ABWEICHUNG"))</f>
        <v/>
      </c>
      <c r="AA341" s="44" t="n"/>
      <c r="AB341" s="44" t="n"/>
      <c r="AC341" s="44" t="n"/>
      <c r="AD341" s="44" t="n"/>
      <c r="AE341" s="85" t="n"/>
      <c r="AF341" s="85" t="n"/>
      <c r="AG341" s="44" t="n"/>
      <c r="AH341" s="44" t="n"/>
    </row>
    <row r="342">
      <c r="A342" s="44" t="n"/>
      <c r="B342" s="44" t="n"/>
      <c r="C342" s="44" t="n"/>
      <c r="D342" s="44" t="n"/>
      <c r="E342" s="44" t="n"/>
      <c r="F342" s="44" t="n"/>
      <c r="G342" s="45" t="n"/>
      <c r="H342" s="44" t="n"/>
      <c r="I342" s="45" t="n"/>
      <c r="J342" s="44" t="n"/>
      <c r="K342" s="85" t="n"/>
      <c r="L342" s="85" t="n"/>
      <c r="M342" s="85" t="n"/>
      <c r="N342" s="85" t="n"/>
      <c r="O342" s="85" t="n"/>
      <c r="P342" s="85" t="n"/>
      <c r="Q342" s="85" t="n"/>
      <c r="R342" s="85" t="n"/>
      <c r="S342" s="85" t="n"/>
      <c r="T342" s="85" t="n"/>
      <c r="U342" s="85" t="n"/>
      <c r="V342" s="44" t="n"/>
      <c r="W342" s="50">
        <f>IF(OR(M342="",Q342="",S342=""),"",IF(ABS(ROUND(((ROUND(N(M342)*100,0))-(ROUND(N(Q342)*100,0))),0)-(ROUND(N(S342)*100,0)))&lt;=0,"OK","ABWEICHUNG"))</f>
        <v/>
      </c>
      <c r="X342" s="50">
        <f>IF(OR(K342="",M342="",N342=""),"",IF(ABS(ROUND(((ROUND(N(K342)*100,0)+ROUND(N(L342)*100,0))-(ROUND(N(M342)*100,0))),0)-(ROUND(N(N342)*100,0)))&lt;=0,"OK",IF(OR(L342=""),"UNVOLLSTÄNDIG","ABWEICHUNG")))</f>
        <v/>
      </c>
      <c r="Y342" s="50">
        <f>IF(OR(K342="",O342="",R342=""),"",IF(ABS(ROUND(((ROUND(N(K342)*100,0))-(ROUND(N(O342)*100,0))),0)-(ROUND(N(R342)*100,0)))&lt;=0,"OK","ABWEICHUNG"))</f>
        <v/>
      </c>
      <c r="Z342" s="50">
        <f>IF(OR(N342="",O342="",P342="",Q342="",T342=""),"",IF(ABS(ROUND(((ROUND(N(N342)*100,0)+ROUND(N(Q342)*100,0))-(ROUND(N(O342)*100,0)+ROUND(N(P342)*100,0))),0)-(ROUND(N(T342)*100,0)))&lt;=0,"OK","ABWEICHUNG"))</f>
        <v/>
      </c>
      <c r="AA342" s="44" t="n"/>
      <c r="AB342" s="44" t="n"/>
      <c r="AC342" s="44" t="n"/>
      <c r="AD342" s="44" t="n"/>
      <c r="AE342" s="85" t="n"/>
      <c r="AF342" s="85" t="n"/>
      <c r="AG342" s="44" t="n"/>
      <c r="AH342" s="44" t="n"/>
    </row>
    <row r="343">
      <c r="A343" s="44" t="n"/>
      <c r="B343" s="44" t="n"/>
      <c r="C343" s="44" t="n"/>
      <c r="D343" s="44" t="n"/>
      <c r="E343" s="44" t="n"/>
      <c r="F343" s="44" t="n"/>
      <c r="G343" s="45" t="n"/>
      <c r="H343" s="44" t="n"/>
      <c r="I343" s="45" t="n"/>
      <c r="J343" s="44" t="n"/>
      <c r="K343" s="85" t="n"/>
      <c r="L343" s="85" t="n"/>
      <c r="M343" s="85" t="n"/>
      <c r="N343" s="85" t="n"/>
      <c r="O343" s="85" t="n"/>
      <c r="P343" s="85" t="n"/>
      <c r="Q343" s="85" t="n"/>
      <c r="R343" s="85" t="n"/>
      <c r="S343" s="85" t="n"/>
      <c r="T343" s="85" t="n"/>
      <c r="U343" s="85" t="n"/>
      <c r="V343" s="44" t="n"/>
      <c r="W343" s="50">
        <f>IF(OR(M343="",Q343="",S343=""),"",IF(ABS(ROUND(((ROUND(N(M343)*100,0))-(ROUND(N(Q343)*100,0))),0)-(ROUND(N(S343)*100,0)))&lt;=0,"OK","ABWEICHUNG"))</f>
        <v/>
      </c>
      <c r="X343" s="50">
        <f>IF(OR(K343="",M343="",N343=""),"",IF(ABS(ROUND(((ROUND(N(K343)*100,0)+ROUND(N(L343)*100,0))-(ROUND(N(M343)*100,0))),0)-(ROUND(N(N343)*100,0)))&lt;=0,"OK",IF(OR(L343=""),"UNVOLLSTÄNDIG","ABWEICHUNG")))</f>
        <v/>
      </c>
      <c r="Y343" s="50">
        <f>IF(OR(K343="",O343="",R343=""),"",IF(ABS(ROUND(((ROUND(N(K343)*100,0))-(ROUND(N(O343)*100,0))),0)-(ROUND(N(R343)*100,0)))&lt;=0,"OK","ABWEICHUNG"))</f>
        <v/>
      </c>
      <c r="Z343" s="50">
        <f>IF(OR(N343="",O343="",P343="",Q343="",T343=""),"",IF(ABS(ROUND(((ROUND(N(N343)*100,0)+ROUND(N(Q343)*100,0))-(ROUND(N(O343)*100,0)+ROUND(N(P343)*100,0))),0)-(ROUND(N(T343)*100,0)))&lt;=0,"OK","ABWEICHUNG"))</f>
        <v/>
      </c>
      <c r="AA343" s="44" t="n"/>
      <c r="AB343" s="44" t="n"/>
      <c r="AC343" s="44" t="n"/>
      <c r="AD343" s="44" t="n"/>
      <c r="AE343" s="85" t="n"/>
      <c r="AF343" s="85" t="n"/>
      <c r="AG343" s="44" t="n"/>
      <c r="AH343" s="44" t="n"/>
    </row>
    <row r="344">
      <c r="A344" s="44" t="n"/>
      <c r="B344" s="44" t="n"/>
      <c r="C344" s="44" t="n"/>
      <c r="D344" s="44" t="n"/>
      <c r="E344" s="44" t="n"/>
      <c r="F344" s="44" t="n"/>
      <c r="G344" s="45" t="n"/>
      <c r="H344" s="44" t="n"/>
      <c r="I344" s="45" t="n"/>
      <c r="J344" s="44" t="n"/>
      <c r="K344" s="85" t="n"/>
      <c r="L344" s="85" t="n"/>
      <c r="M344" s="85" t="n"/>
      <c r="N344" s="85" t="n"/>
      <c r="O344" s="85" t="n"/>
      <c r="P344" s="85" t="n"/>
      <c r="Q344" s="85" t="n"/>
      <c r="R344" s="85" t="n"/>
      <c r="S344" s="85" t="n"/>
      <c r="T344" s="85" t="n"/>
      <c r="U344" s="85" t="n"/>
      <c r="V344" s="44" t="n"/>
      <c r="W344" s="50">
        <f>IF(OR(M344="",Q344="",S344=""),"",IF(ABS(ROUND(((ROUND(N(M344)*100,0))-(ROUND(N(Q344)*100,0))),0)-(ROUND(N(S344)*100,0)))&lt;=0,"OK","ABWEICHUNG"))</f>
        <v/>
      </c>
      <c r="X344" s="50">
        <f>IF(OR(K344="",M344="",N344=""),"",IF(ABS(ROUND(((ROUND(N(K344)*100,0)+ROUND(N(L344)*100,0))-(ROUND(N(M344)*100,0))),0)-(ROUND(N(N344)*100,0)))&lt;=0,"OK",IF(OR(L344=""),"UNVOLLSTÄNDIG","ABWEICHUNG")))</f>
        <v/>
      </c>
      <c r="Y344" s="50">
        <f>IF(OR(K344="",O344="",R344=""),"",IF(ABS(ROUND(((ROUND(N(K344)*100,0))-(ROUND(N(O344)*100,0))),0)-(ROUND(N(R344)*100,0)))&lt;=0,"OK","ABWEICHUNG"))</f>
        <v/>
      </c>
      <c r="Z344" s="50">
        <f>IF(OR(N344="",O344="",P344="",Q344="",T344=""),"",IF(ABS(ROUND(((ROUND(N(N344)*100,0)+ROUND(N(Q344)*100,0))-(ROUND(N(O344)*100,0)+ROUND(N(P344)*100,0))),0)-(ROUND(N(T344)*100,0)))&lt;=0,"OK","ABWEICHUNG"))</f>
        <v/>
      </c>
      <c r="AA344" s="44" t="n"/>
      <c r="AB344" s="44" t="n"/>
      <c r="AC344" s="44" t="n"/>
      <c r="AD344" s="44" t="n"/>
      <c r="AE344" s="85" t="n"/>
      <c r="AF344" s="85" t="n"/>
      <c r="AG344" s="44" t="n"/>
      <c r="AH344" s="44" t="n"/>
    </row>
    <row r="345">
      <c r="A345" s="44" t="n"/>
      <c r="B345" s="44" t="n"/>
      <c r="C345" s="44" t="n"/>
      <c r="D345" s="44" t="n"/>
      <c r="E345" s="44" t="n"/>
      <c r="F345" s="44" t="n"/>
      <c r="G345" s="45" t="n"/>
      <c r="H345" s="44" t="n"/>
      <c r="I345" s="45" t="n"/>
      <c r="J345" s="44" t="n"/>
      <c r="K345" s="85" t="n"/>
      <c r="L345" s="85" t="n"/>
      <c r="M345" s="85" t="n"/>
      <c r="N345" s="85" t="n"/>
      <c r="O345" s="85" t="n"/>
      <c r="P345" s="85" t="n"/>
      <c r="Q345" s="85" t="n"/>
      <c r="R345" s="85" t="n"/>
      <c r="S345" s="85" t="n"/>
      <c r="T345" s="85" t="n"/>
      <c r="U345" s="85" t="n"/>
      <c r="V345" s="44" t="n"/>
      <c r="W345" s="50">
        <f>IF(OR(M345="",Q345="",S345=""),"",IF(ABS(ROUND(((ROUND(N(M345)*100,0))-(ROUND(N(Q345)*100,0))),0)-(ROUND(N(S345)*100,0)))&lt;=0,"OK","ABWEICHUNG"))</f>
        <v/>
      </c>
      <c r="X345" s="50">
        <f>IF(OR(K345="",M345="",N345=""),"",IF(ABS(ROUND(((ROUND(N(K345)*100,0)+ROUND(N(L345)*100,0))-(ROUND(N(M345)*100,0))),0)-(ROUND(N(N345)*100,0)))&lt;=0,"OK",IF(OR(L345=""),"UNVOLLSTÄNDIG","ABWEICHUNG")))</f>
        <v/>
      </c>
      <c r="Y345" s="50">
        <f>IF(OR(K345="",O345="",R345=""),"",IF(ABS(ROUND(((ROUND(N(K345)*100,0))-(ROUND(N(O345)*100,0))),0)-(ROUND(N(R345)*100,0)))&lt;=0,"OK","ABWEICHUNG"))</f>
        <v/>
      </c>
      <c r="Z345" s="50">
        <f>IF(OR(N345="",O345="",P345="",Q345="",T345=""),"",IF(ABS(ROUND(((ROUND(N(N345)*100,0)+ROUND(N(Q345)*100,0))-(ROUND(N(O345)*100,0)+ROUND(N(P345)*100,0))),0)-(ROUND(N(T345)*100,0)))&lt;=0,"OK","ABWEICHUNG"))</f>
        <v/>
      </c>
      <c r="AA345" s="44" t="n"/>
      <c r="AB345" s="44" t="n"/>
      <c r="AC345" s="44" t="n"/>
      <c r="AD345" s="44" t="n"/>
      <c r="AE345" s="85" t="n"/>
      <c r="AF345" s="85" t="n"/>
      <c r="AG345" s="44" t="n"/>
      <c r="AH345" s="44" t="n"/>
    </row>
    <row r="346">
      <c r="A346" s="44" t="n"/>
      <c r="B346" s="44" t="n"/>
      <c r="C346" s="44" t="n"/>
      <c r="D346" s="44" t="n"/>
      <c r="E346" s="44" t="n"/>
      <c r="F346" s="44" t="n"/>
      <c r="G346" s="45" t="n"/>
      <c r="H346" s="44" t="n"/>
      <c r="I346" s="45" t="n"/>
      <c r="J346" s="44" t="n"/>
      <c r="K346" s="85" t="n"/>
      <c r="L346" s="85" t="n"/>
      <c r="M346" s="85" t="n"/>
      <c r="N346" s="85" t="n"/>
      <c r="O346" s="85" t="n"/>
      <c r="P346" s="85" t="n"/>
      <c r="Q346" s="85" t="n"/>
      <c r="R346" s="85" t="n"/>
      <c r="S346" s="85" t="n"/>
      <c r="T346" s="85" t="n"/>
      <c r="U346" s="85" t="n"/>
      <c r="V346" s="44" t="n"/>
      <c r="W346" s="50">
        <f>IF(OR(M346="",Q346="",S346=""),"",IF(ABS(ROUND(((ROUND(N(M346)*100,0))-(ROUND(N(Q346)*100,0))),0)-(ROUND(N(S346)*100,0)))&lt;=0,"OK","ABWEICHUNG"))</f>
        <v/>
      </c>
      <c r="X346" s="50">
        <f>IF(OR(K346="",M346="",N346=""),"",IF(ABS(ROUND(((ROUND(N(K346)*100,0)+ROUND(N(L346)*100,0))-(ROUND(N(M346)*100,0))),0)-(ROUND(N(N346)*100,0)))&lt;=0,"OK",IF(OR(L346=""),"UNVOLLSTÄNDIG","ABWEICHUNG")))</f>
        <v/>
      </c>
      <c r="Y346" s="50">
        <f>IF(OR(K346="",O346="",R346=""),"",IF(ABS(ROUND(((ROUND(N(K346)*100,0))-(ROUND(N(O346)*100,0))),0)-(ROUND(N(R346)*100,0)))&lt;=0,"OK","ABWEICHUNG"))</f>
        <v/>
      </c>
      <c r="Z346" s="50">
        <f>IF(OR(N346="",O346="",P346="",Q346="",T346=""),"",IF(ABS(ROUND(((ROUND(N(N346)*100,0)+ROUND(N(Q346)*100,0))-(ROUND(N(O346)*100,0)+ROUND(N(P346)*100,0))),0)-(ROUND(N(T346)*100,0)))&lt;=0,"OK","ABWEICHUNG"))</f>
        <v/>
      </c>
      <c r="AA346" s="44" t="n"/>
      <c r="AB346" s="44" t="n"/>
      <c r="AC346" s="44" t="n"/>
      <c r="AD346" s="44" t="n"/>
      <c r="AE346" s="85" t="n"/>
      <c r="AF346" s="85" t="n"/>
      <c r="AG346" s="44" t="n"/>
      <c r="AH346" s="44" t="n"/>
    </row>
    <row r="347">
      <c r="A347" s="44" t="n"/>
      <c r="B347" s="44" t="n"/>
      <c r="C347" s="44" t="n"/>
      <c r="D347" s="44" t="n"/>
      <c r="E347" s="44" t="n"/>
      <c r="F347" s="44" t="n"/>
      <c r="G347" s="45" t="n"/>
      <c r="H347" s="44" t="n"/>
      <c r="I347" s="45" t="n"/>
      <c r="J347" s="44" t="n"/>
      <c r="K347" s="85" t="n"/>
      <c r="L347" s="85" t="n"/>
      <c r="M347" s="85" t="n"/>
      <c r="N347" s="85" t="n"/>
      <c r="O347" s="85" t="n"/>
      <c r="P347" s="85" t="n"/>
      <c r="Q347" s="85" t="n"/>
      <c r="R347" s="85" t="n"/>
      <c r="S347" s="85" t="n"/>
      <c r="T347" s="85" t="n"/>
      <c r="U347" s="85" t="n"/>
      <c r="V347" s="44" t="n"/>
      <c r="W347" s="50">
        <f>IF(OR(M347="",Q347="",S347=""),"",IF(ABS(ROUND(((ROUND(N(M347)*100,0))-(ROUND(N(Q347)*100,0))),0)-(ROUND(N(S347)*100,0)))&lt;=0,"OK","ABWEICHUNG"))</f>
        <v/>
      </c>
      <c r="X347" s="50">
        <f>IF(OR(K347="",M347="",N347=""),"",IF(ABS(ROUND(((ROUND(N(K347)*100,0)+ROUND(N(L347)*100,0))-(ROUND(N(M347)*100,0))),0)-(ROUND(N(N347)*100,0)))&lt;=0,"OK",IF(OR(L347=""),"UNVOLLSTÄNDIG","ABWEICHUNG")))</f>
        <v/>
      </c>
      <c r="Y347" s="50">
        <f>IF(OR(K347="",O347="",R347=""),"",IF(ABS(ROUND(((ROUND(N(K347)*100,0))-(ROUND(N(O347)*100,0))),0)-(ROUND(N(R347)*100,0)))&lt;=0,"OK","ABWEICHUNG"))</f>
        <v/>
      </c>
      <c r="Z347" s="50">
        <f>IF(OR(N347="",O347="",P347="",Q347="",T347=""),"",IF(ABS(ROUND(((ROUND(N(N347)*100,0)+ROUND(N(Q347)*100,0))-(ROUND(N(O347)*100,0)+ROUND(N(P347)*100,0))),0)-(ROUND(N(T347)*100,0)))&lt;=0,"OK","ABWEICHUNG"))</f>
        <v/>
      </c>
      <c r="AA347" s="44" t="n"/>
      <c r="AB347" s="44" t="n"/>
      <c r="AC347" s="44" t="n"/>
      <c r="AD347" s="44" t="n"/>
      <c r="AE347" s="85" t="n"/>
      <c r="AF347" s="85" t="n"/>
      <c r="AG347" s="44" t="n"/>
      <c r="AH347" s="44" t="n"/>
    </row>
    <row r="348">
      <c r="A348" s="44" t="n"/>
      <c r="B348" s="44" t="n"/>
      <c r="C348" s="44" t="n"/>
      <c r="D348" s="44" t="n"/>
      <c r="E348" s="44" t="n"/>
      <c r="F348" s="44" t="n"/>
      <c r="G348" s="45" t="n"/>
      <c r="H348" s="44" t="n"/>
      <c r="I348" s="45" t="n"/>
      <c r="J348" s="44" t="n"/>
      <c r="K348" s="85" t="n"/>
      <c r="L348" s="85" t="n"/>
      <c r="M348" s="85" t="n"/>
      <c r="N348" s="85" t="n"/>
      <c r="O348" s="85" t="n"/>
      <c r="P348" s="85" t="n"/>
      <c r="Q348" s="85" t="n"/>
      <c r="R348" s="85" t="n"/>
      <c r="S348" s="85" t="n"/>
      <c r="T348" s="85" t="n"/>
      <c r="U348" s="85" t="n"/>
      <c r="V348" s="44" t="n"/>
      <c r="W348" s="50">
        <f>IF(OR(M348="",Q348="",S348=""),"",IF(ABS(ROUND(((ROUND(N(M348)*100,0))-(ROUND(N(Q348)*100,0))),0)-(ROUND(N(S348)*100,0)))&lt;=0,"OK","ABWEICHUNG"))</f>
        <v/>
      </c>
      <c r="X348" s="50">
        <f>IF(OR(K348="",M348="",N348=""),"",IF(ABS(ROUND(((ROUND(N(K348)*100,0)+ROUND(N(L348)*100,0))-(ROUND(N(M348)*100,0))),0)-(ROUND(N(N348)*100,0)))&lt;=0,"OK",IF(OR(L348=""),"UNVOLLSTÄNDIG","ABWEICHUNG")))</f>
        <v/>
      </c>
      <c r="Y348" s="50">
        <f>IF(OR(K348="",O348="",R348=""),"",IF(ABS(ROUND(((ROUND(N(K348)*100,0))-(ROUND(N(O348)*100,0))),0)-(ROUND(N(R348)*100,0)))&lt;=0,"OK","ABWEICHUNG"))</f>
        <v/>
      </c>
      <c r="Z348" s="50">
        <f>IF(OR(N348="",O348="",P348="",Q348="",T348=""),"",IF(ABS(ROUND(((ROUND(N(N348)*100,0)+ROUND(N(Q348)*100,0))-(ROUND(N(O348)*100,0)+ROUND(N(P348)*100,0))),0)-(ROUND(N(T348)*100,0)))&lt;=0,"OK","ABWEICHUNG"))</f>
        <v/>
      </c>
      <c r="AA348" s="44" t="n"/>
      <c r="AB348" s="44" t="n"/>
      <c r="AC348" s="44" t="n"/>
      <c r="AD348" s="44" t="n"/>
      <c r="AE348" s="85" t="n"/>
      <c r="AF348" s="85" t="n"/>
      <c r="AG348" s="44" t="n"/>
      <c r="AH348" s="44" t="n"/>
    </row>
    <row r="349">
      <c r="A349" s="44" t="n"/>
      <c r="B349" s="44" t="n"/>
      <c r="C349" s="44" t="n"/>
      <c r="D349" s="44" t="n"/>
      <c r="E349" s="44" t="n"/>
      <c r="F349" s="44" t="n"/>
      <c r="G349" s="45" t="n"/>
      <c r="H349" s="44" t="n"/>
      <c r="I349" s="45" t="n"/>
      <c r="J349" s="44" t="n"/>
      <c r="K349" s="85" t="n"/>
      <c r="L349" s="85" t="n"/>
      <c r="M349" s="85" t="n"/>
      <c r="N349" s="85" t="n"/>
      <c r="O349" s="85" t="n"/>
      <c r="P349" s="85" t="n"/>
      <c r="Q349" s="85" t="n"/>
      <c r="R349" s="85" t="n"/>
      <c r="S349" s="85" t="n"/>
      <c r="T349" s="85" t="n"/>
      <c r="U349" s="85" t="n"/>
      <c r="V349" s="44" t="n"/>
      <c r="W349" s="50">
        <f>IF(OR(M349="",Q349="",S349=""),"",IF(ABS(ROUND(((ROUND(N(M349)*100,0))-(ROUND(N(Q349)*100,0))),0)-(ROUND(N(S349)*100,0)))&lt;=0,"OK","ABWEICHUNG"))</f>
        <v/>
      </c>
      <c r="X349" s="50">
        <f>IF(OR(K349="",M349="",N349=""),"",IF(ABS(ROUND(((ROUND(N(K349)*100,0)+ROUND(N(L349)*100,0))-(ROUND(N(M349)*100,0))),0)-(ROUND(N(N349)*100,0)))&lt;=0,"OK",IF(OR(L349=""),"UNVOLLSTÄNDIG","ABWEICHUNG")))</f>
        <v/>
      </c>
      <c r="Y349" s="50">
        <f>IF(OR(K349="",O349="",R349=""),"",IF(ABS(ROUND(((ROUND(N(K349)*100,0))-(ROUND(N(O349)*100,0))),0)-(ROUND(N(R349)*100,0)))&lt;=0,"OK","ABWEICHUNG"))</f>
        <v/>
      </c>
      <c r="Z349" s="50">
        <f>IF(OR(N349="",O349="",P349="",Q349="",T349=""),"",IF(ABS(ROUND(((ROUND(N(N349)*100,0)+ROUND(N(Q349)*100,0))-(ROUND(N(O349)*100,0)+ROUND(N(P349)*100,0))),0)-(ROUND(N(T349)*100,0)))&lt;=0,"OK","ABWEICHUNG"))</f>
        <v/>
      </c>
      <c r="AA349" s="44" t="n"/>
      <c r="AB349" s="44" t="n"/>
      <c r="AC349" s="44" t="n"/>
      <c r="AD349" s="44" t="n"/>
      <c r="AE349" s="85" t="n"/>
      <c r="AF349" s="85" t="n"/>
      <c r="AG349" s="44" t="n"/>
      <c r="AH349" s="44" t="n"/>
    </row>
    <row r="350">
      <c r="A350" s="44" t="n"/>
      <c r="B350" s="44" t="n"/>
      <c r="C350" s="44" t="n"/>
      <c r="D350" s="44" t="n"/>
      <c r="E350" s="44" t="n"/>
      <c r="F350" s="44" t="n"/>
      <c r="G350" s="45" t="n"/>
      <c r="H350" s="44" t="n"/>
      <c r="I350" s="45" t="n"/>
      <c r="J350" s="44" t="n"/>
      <c r="K350" s="85" t="n"/>
      <c r="L350" s="85" t="n"/>
      <c r="M350" s="85" t="n"/>
      <c r="N350" s="85" t="n"/>
      <c r="O350" s="85" t="n"/>
      <c r="P350" s="85" t="n"/>
      <c r="Q350" s="85" t="n"/>
      <c r="R350" s="85" t="n"/>
      <c r="S350" s="85" t="n"/>
      <c r="T350" s="85" t="n"/>
      <c r="U350" s="85" t="n"/>
      <c r="V350" s="44" t="n"/>
      <c r="W350" s="50">
        <f>IF(OR(M350="",Q350="",S350=""),"",IF(ABS(ROUND(((ROUND(N(M350)*100,0))-(ROUND(N(Q350)*100,0))),0)-(ROUND(N(S350)*100,0)))&lt;=0,"OK","ABWEICHUNG"))</f>
        <v/>
      </c>
      <c r="X350" s="50">
        <f>IF(OR(K350="",M350="",N350=""),"",IF(ABS(ROUND(((ROUND(N(K350)*100,0)+ROUND(N(L350)*100,0))-(ROUND(N(M350)*100,0))),0)-(ROUND(N(N350)*100,0)))&lt;=0,"OK",IF(OR(L350=""),"UNVOLLSTÄNDIG","ABWEICHUNG")))</f>
        <v/>
      </c>
      <c r="Y350" s="50">
        <f>IF(OR(K350="",O350="",R350=""),"",IF(ABS(ROUND(((ROUND(N(K350)*100,0))-(ROUND(N(O350)*100,0))),0)-(ROUND(N(R350)*100,0)))&lt;=0,"OK","ABWEICHUNG"))</f>
        <v/>
      </c>
      <c r="Z350" s="50">
        <f>IF(OR(N350="",O350="",P350="",Q350="",T350=""),"",IF(ABS(ROUND(((ROUND(N(N350)*100,0)+ROUND(N(Q350)*100,0))-(ROUND(N(O350)*100,0)+ROUND(N(P350)*100,0))),0)-(ROUND(N(T350)*100,0)))&lt;=0,"OK","ABWEICHUNG"))</f>
        <v/>
      </c>
      <c r="AA350" s="44" t="n"/>
      <c r="AB350" s="44" t="n"/>
      <c r="AC350" s="44" t="n"/>
      <c r="AD350" s="44" t="n"/>
      <c r="AE350" s="85" t="n"/>
      <c r="AF350" s="85" t="n"/>
      <c r="AG350" s="44" t="n"/>
      <c r="AH350" s="44" t="n"/>
    </row>
    <row r="351">
      <c r="A351" s="44" t="n"/>
      <c r="B351" s="44" t="n"/>
      <c r="C351" s="44" t="n"/>
      <c r="D351" s="44" t="n"/>
      <c r="E351" s="44" t="n"/>
      <c r="F351" s="44" t="n"/>
      <c r="G351" s="45" t="n"/>
      <c r="H351" s="44" t="n"/>
      <c r="I351" s="45" t="n"/>
      <c r="J351" s="44" t="n"/>
      <c r="K351" s="85" t="n"/>
      <c r="L351" s="85" t="n"/>
      <c r="M351" s="85" t="n"/>
      <c r="N351" s="85" t="n"/>
      <c r="O351" s="85" t="n"/>
      <c r="P351" s="85" t="n"/>
      <c r="Q351" s="85" t="n"/>
      <c r="R351" s="85" t="n"/>
      <c r="S351" s="85" t="n"/>
      <c r="T351" s="85" t="n"/>
      <c r="U351" s="85" t="n"/>
      <c r="V351" s="44" t="n"/>
      <c r="W351" s="50">
        <f>IF(OR(M351="",Q351="",S351=""),"",IF(ABS(ROUND(((ROUND(N(M351)*100,0))-(ROUND(N(Q351)*100,0))),0)-(ROUND(N(S351)*100,0)))&lt;=0,"OK","ABWEICHUNG"))</f>
        <v/>
      </c>
      <c r="X351" s="50">
        <f>IF(OR(K351="",M351="",N351=""),"",IF(ABS(ROUND(((ROUND(N(K351)*100,0)+ROUND(N(L351)*100,0))-(ROUND(N(M351)*100,0))),0)-(ROUND(N(N351)*100,0)))&lt;=0,"OK",IF(OR(L351=""),"UNVOLLSTÄNDIG","ABWEICHUNG")))</f>
        <v/>
      </c>
      <c r="Y351" s="50">
        <f>IF(OR(K351="",O351="",R351=""),"",IF(ABS(ROUND(((ROUND(N(K351)*100,0))-(ROUND(N(O351)*100,0))),0)-(ROUND(N(R351)*100,0)))&lt;=0,"OK","ABWEICHUNG"))</f>
        <v/>
      </c>
      <c r="Z351" s="50">
        <f>IF(OR(N351="",O351="",P351="",Q351="",T351=""),"",IF(ABS(ROUND(((ROUND(N(N351)*100,0)+ROUND(N(Q351)*100,0))-(ROUND(N(O351)*100,0)+ROUND(N(P351)*100,0))),0)-(ROUND(N(T351)*100,0)))&lt;=0,"OK","ABWEICHUNG"))</f>
        <v/>
      </c>
      <c r="AA351" s="44" t="n"/>
      <c r="AB351" s="44" t="n"/>
      <c r="AC351" s="44" t="n"/>
      <c r="AD351" s="44" t="n"/>
      <c r="AE351" s="85" t="n"/>
      <c r="AF351" s="85" t="n"/>
      <c r="AG351" s="44" t="n"/>
      <c r="AH351" s="44" t="n"/>
    </row>
    <row r="352">
      <c r="A352" s="44" t="n"/>
      <c r="B352" s="44" t="n"/>
      <c r="C352" s="44" t="n"/>
      <c r="D352" s="44" t="n"/>
      <c r="E352" s="44" t="n"/>
      <c r="F352" s="44" t="n"/>
      <c r="G352" s="45" t="n"/>
      <c r="H352" s="44" t="n"/>
      <c r="I352" s="45" t="n"/>
      <c r="J352" s="44" t="n"/>
      <c r="K352" s="85" t="n"/>
      <c r="L352" s="85" t="n"/>
      <c r="M352" s="85" t="n"/>
      <c r="N352" s="85" t="n"/>
      <c r="O352" s="85" t="n"/>
      <c r="P352" s="85" t="n"/>
      <c r="Q352" s="85" t="n"/>
      <c r="R352" s="85" t="n"/>
      <c r="S352" s="85" t="n"/>
      <c r="T352" s="85" t="n"/>
      <c r="U352" s="85" t="n"/>
      <c r="V352" s="44" t="n"/>
      <c r="W352" s="50">
        <f>IF(OR(M352="",Q352="",S352=""),"",IF(ABS(ROUND(((ROUND(N(M352)*100,0))-(ROUND(N(Q352)*100,0))),0)-(ROUND(N(S352)*100,0)))&lt;=0,"OK","ABWEICHUNG"))</f>
        <v/>
      </c>
      <c r="X352" s="50">
        <f>IF(OR(K352="",M352="",N352=""),"",IF(ABS(ROUND(((ROUND(N(K352)*100,0)+ROUND(N(L352)*100,0))-(ROUND(N(M352)*100,0))),0)-(ROUND(N(N352)*100,0)))&lt;=0,"OK",IF(OR(L352=""),"UNVOLLSTÄNDIG","ABWEICHUNG")))</f>
        <v/>
      </c>
      <c r="Y352" s="50">
        <f>IF(OR(K352="",O352="",R352=""),"",IF(ABS(ROUND(((ROUND(N(K352)*100,0))-(ROUND(N(O352)*100,0))),0)-(ROUND(N(R352)*100,0)))&lt;=0,"OK","ABWEICHUNG"))</f>
        <v/>
      </c>
      <c r="Z352" s="50">
        <f>IF(OR(N352="",O352="",P352="",Q352="",T352=""),"",IF(ABS(ROUND(((ROUND(N(N352)*100,0)+ROUND(N(Q352)*100,0))-(ROUND(N(O352)*100,0)+ROUND(N(P352)*100,0))),0)-(ROUND(N(T352)*100,0)))&lt;=0,"OK","ABWEICHUNG"))</f>
        <v/>
      </c>
      <c r="AA352" s="44" t="n"/>
      <c r="AB352" s="44" t="n"/>
      <c r="AC352" s="44" t="n"/>
      <c r="AD352" s="44" t="n"/>
      <c r="AE352" s="85" t="n"/>
      <c r="AF352" s="85" t="n"/>
      <c r="AG352" s="44" t="n"/>
      <c r="AH352" s="44" t="n"/>
    </row>
    <row r="353">
      <c r="A353" s="44" t="n"/>
      <c r="B353" s="44" t="n"/>
      <c r="C353" s="44" t="n"/>
      <c r="D353" s="44" t="n"/>
      <c r="E353" s="44" t="n"/>
      <c r="F353" s="44" t="n"/>
      <c r="G353" s="45" t="n"/>
      <c r="H353" s="44" t="n"/>
      <c r="I353" s="45" t="n"/>
      <c r="J353" s="44" t="n"/>
      <c r="K353" s="85" t="n"/>
      <c r="L353" s="85" t="n"/>
      <c r="M353" s="85" t="n"/>
      <c r="N353" s="85" t="n"/>
      <c r="O353" s="85" t="n"/>
      <c r="P353" s="85" t="n"/>
      <c r="Q353" s="85" t="n"/>
      <c r="R353" s="85" t="n"/>
      <c r="S353" s="85" t="n"/>
      <c r="T353" s="85" t="n"/>
      <c r="U353" s="85" t="n"/>
      <c r="V353" s="44" t="n"/>
      <c r="W353" s="50">
        <f>IF(OR(M353="",Q353="",S353=""),"",IF(ABS(ROUND(((ROUND(N(M353)*100,0))-(ROUND(N(Q353)*100,0))),0)-(ROUND(N(S353)*100,0)))&lt;=0,"OK","ABWEICHUNG"))</f>
        <v/>
      </c>
      <c r="X353" s="50">
        <f>IF(OR(K353="",M353="",N353=""),"",IF(ABS(ROUND(((ROUND(N(K353)*100,0)+ROUND(N(L353)*100,0))-(ROUND(N(M353)*100,0))),0)-(ROUND(N(N353)*100,0)))&lt;=0,"OK",IF(OR(L353=""),"UNVOLLSTÄNDIG","ABWEICHUNG")))</f>
        <v/>
      </c>
      <c r="Y353" s="50">
        <f>IF(OR(K353="",O353="",R353=""),"",IF(ABS(ROUND(((ROUND(N(K353)*100,0))-(ROUND(N(O353)*100,0))),0)-(ROUND(N(R353)*100,0)))&lt;=0,"OK","ABWEICHUNG"))</f>
        <v/>
      </c>
      <c r="Z353" s="50">
        <f>IF(OR(N353="",O353="",P353="",Q353="",T353=""),"",IF(ABS(ROUND(((ROUND(N(N353)*100,0)+ROUND(N(Q353)*100,0))-(ROUND(N(O353)*100,0)+ROUND(N(P353)*100,0))),0)-(ROUND(N(T353)*100,0)))&lt;=0,"OK","ABWEICHUNG"))</f>
        <v/>
      </c>
      <c r="AA353" s="44" t="n"/>
      <c r="AB353" s="44" t="n"/>
      <c r="AC353" s="44" t="n"/>
      <c r="AD353" s="44" t="n"/>
      <c r="AE353" s="85" t="n"/>
      <c r="AF353" s="85" t="n"/>
      <c r="AG353" s="44" t="n"/>
      <c r="AH353" s="44" t="n"/>
    </row>
    <row r="354">
      <c r="A354" s="44" t="n"/>
      <c r="B354" s="44" t="n"/>
      <c r="C354" s="44" t="n"/>
      <c r="D354" s="44" t="n"/>
      <c r="E354" s="44" t="n"/>
      <c r="F354" s="44" t="n"/>
      <c r="G354" s="45" t="n"/>
      <c r="H354" s="44" t="n"/>
      <c r="I354" s="45" t="n"/>
      <c r="J354" s="44" t="n"/>
      <c r="K354" s="85" t="n"/>
      <c r="L354" s="85" t="n"/>
      <c r="M354" s="85" t="n"/>
      <c r="N354" s="85" t="n"/>
      <c r="O354" s="85" t="n"/>
      <c r="P354" s="85" t="n"/>
      <c r="Q354" s="85" t="n"/>
      <c r="R354" s="85" t="n"/>
      <c r="S354" s="85" t="n"/>
      <c r="T354" s="85" t="n"/>
      <c r="U354" s="85" t="n"/>
      <c r="V354" s="44" t="n"/>
      <c r="W354" s="50">
        <f>IF(OR(M354="",Q354="",S354=""),"",IF(ABS(ROUND(((ROUND(N(M354)*100,0))-(ROUND(N(Q354)*100,0))),0)-(ROUND(N(S354)*100,0)))&lt;=0,"OK","ABWEICHUNG"))</f>
        <v/>
      </c>
      <c r="X354" s="50">
        <f>IF(OR(K354="",M354="",N354=""),"",IF(ABS(ROUND(((ROUND(N(K354)*100,0)+ROUND(N(L354)*100,0))-(ROUND(N(M354)*100,0))),0)-(ROUND(N(N354)*100,0)))&lt;=0,"OK",IF(OR(L354=""),"UNVOLLSTÄNDIG","ABWEICHUNG")))</f>
        <v/>
      </c>
      <c r="Y354" s="50">
        <f>IF(OR(K354="",O354="",R354=""),"",IF(ABS(ROUND(((ROUND(N(K354)*100,0))-(ROUND(N(O354)*100,0))),0)-(ROUND(N(R354)*100,0)))&lt;=0,"OK","ABWEICHUNG"))</f>
        <v/>
      </c>
      <c r="Z354" s="50">
        <f>IF(OR(N354="",O354="",P354="",Q354="",T354=""),"",IF(ABS(ROUND(((ROUND(N(N354)*100,0)+ROUND(N(Q354)*100,0))-(ROUND(N(O354)*100,0)+ROUND(N(P354)*100,0))),0)-(ROUND(N(T354)*100,0)))&lt;=0,"OK","ABWEICHUNG"))</f>
        <v/>
      </c>
      <c r="AA354" s="44" t="n"/>
      <c r="AB354" s="44" t="n"/>
      <c r="AC354" s="44" t="n"/>
      <c r="AD354" s="44" t="n"/>
      <c r="AE354" s="85" t="n"/>
      <c r="AF354" s="85" t="n"/>
      <c r="AG354" s="44" t="n"/>
      <c r="AH354" s="44" t="n"/>
    </row>
    <row r="355">
      <c r="A355" s="44" t="n"/>
      <c r="B355" s="44" t="n"/>
      <c r="C355" s="44" t="n"/>
      <c r="D355" s="44" t="n"/>
      <c r="E355" s="44" t="n"/>
      <c r="F355" s="44" t="n"/>
      <c r="G355" s="45" t="n"/>
      <c r="H355" s="44" t="n"/>
      <c r="I355" s="45" t="n"/>
      <c r="J355" s="44" t="n"/>
      <c r="K355" s="85" t="n"/>
      <c r="L355" s="85" t="n"/>
      <c r="M355" s="85" t="n"/>
      <c r="N355" s="85" t="n"/>
      <c r="O355" s="85" t="n"/>
      <c r="P355" s="85" t="n"/>
      <c r="Q355" s="85" t="n"/>
      <c r="R355" s="85" t="n"/>
      <c r="S355" s="85" t="n"/>
      <c r="T355" s="85" t="n"/>
      <c r="U355" s="85" t="n"/>
      <c r="V355" s="44" t="n"/>
      <c r="W355" s="50">
        <f>IF(OR(M355="",Q355="",S355=""),"",IF(ABS(ROUND(((ROUND(N(M355)*100,0))-(ROUND(N(Q355)*100,0))),0)-(ROUND(N(S355)*100,0)))&lt;=0,"OK","ABWEICHUNG"))</f>
        <v/>
      </c>
      <c r="X355" s="50">
        <f>IF(OR(K355="",M355="",N355=""),"",IF(ABS(ROUND(((ROUND(N(K355)*100,0)+ROUND(N(L355)*100,0))-(ROUND(N(M355)*100,0))),0)-(ROUND(N(N355)*100,0)))&lt;=0,"OK",IF(OR(L355=""),"UNVOLLSTÄNDIG","ABWEICHUNG")))</f>
        <v/>
      </c>
      <c r="Y355" s="50">
        <f>IF(OR(K355="",O355="",R355=""),"",IF(ABS(ROUND(((ROUND(N(K355)*100,0))-(ROUND(N(O355)*100,0))),0)-(ROUND(N(R355)*100,0)))&lt;=0,"OK","ABWEICHUNG"))</f>
        <v/>
      </c>
      <c r="Z355" s="50">
        <f>IF(OR(N355="",O355="",P355="",Q355="",T355=""),"",IF(ABS(ROUND(((ROUND(N(N355)*100,0)+ROUND(N(Q355)*100,0))-(ROUND(N(O355)*100,0)+ROUND(N(P355)*100,0))),0)-(ROUND(N(T355)*100,0)))&lt;=0,"OK","ABWEICHUNG"))</f>
        <v/>
      </c>
      <c r="AA355" s="44" t="n"/>
      <c r="AB355" s="44" t="n"/>
      <c r="AC355" s="44" t="n"/>
      <c r="AD355" s="44" t="n"/>
      <c r="AE355" s="85" t="n"/>
      <c r="AF355" s="85" t="n"/>
      <c r="AG355" s="44" t="n"/>
      <c r="AH355" s="44" t="n"/>
    </row>
    <row r="356">
      <c r="A356" s="44" t="n"/>
      <c r="B356" s="44" t="n"/>
      <c r="C356" s="44" t="n"/>
      <c r="D356" s="44" t="n"/>
      <c r="E356" s="44" t="n"/>
      <c r="F356" s="44" t="n"/>
      <c r="G356" s="45" t="n"/>
      <c r="H356" s="44" t="n"/>
      <c r="I356" s="45" t="n"/>
      <c r="J356" s="44" t="n"/>
      <c r="K356" s="85" t="n"/>
      <c r="L356" s="85" t="n"/>
      <c r="M356" s="85" t="n"/>
      <c r="N356" s="85" t="n"/>
      <c r="O356" s="85" t="n"/>
      <c r="P356" s="85" t="n"/>
      <c r="Q356" s="85" t="n"/>
      <c r="R356" s="85" t="n"/>
      <c r="S356" s="85" t="n"/>
      <c r="T356" s="85" t="n"/>
      <c r="U356" s="85" t="n"/>
      <c r="V356" s="44" t="n"/>
      <c r="W356" s="50">
        <f>IF(OR(M356="",Q356="",S356=""),"",IF(ABS(ROUND(((ROUND(N(M356)*100,0))-(ROUND(N(Q356)*100,0))),0)-(ROUND(N(S356)*100,0)))&lt;=0,"OK","ABWEICHUNG"))</f>
        <v/>
      </c>
      <c r="X356" s="50">
        <f>IF(OR(K356="",M356="",N356=""),"",IF(ABS(ROUND(((ROUND(N(K356)*100,0)+ROUND(N(L356)*100,0))-(ROUND(N(M356)*100,0))),0)-(ROUND(N(N356)*100,0)))&lt;=0,"OK",IF(OR(L356=""),"UNVOLLSTÄNDIG","ABWEICHUNG")))</f>
        <v/>
      </c>
      <c r="Y356" s="50">
        <f>IF(OR(K356="",O356="",R356=""),"",IF(ABS(ROUND(((ROUND(N(K356)*100,0))-(ROUND(N(O356)*100,0))),0)-(ROUND(N(R356)*100,0)))&lt;=0,"OK","ABWEICHUNG"))</f>
        <v/>
      </c>
      <c r="Z356" s="50">
        <f>IF(OR(N356="",O356="",P356="",Q356="",T356=""),"",IF(ABS(ROUND(((ROUND(N(N356)*100,0)+ROUND(N(Q356)*100,0))-(ROUND(N(O356)*100,0)+ROUND(N(P356)*100,0))),0)-(ROUND(N(T356)*100,0)))&lt;=0,"OK","ABWEICHUNG"))</f>
        <v/>
      </c>
      <c r="AA356" s="44" t="n"/>
      <c r="AB356" s="44" t="n"/>
      <c r="AC356" s="44" t="n"/>
      <c r="AD356" s="44" t="n"/>
      <c r="AE356" s="85" t="n"/>
      <c r="AF356" s="85" t="n"/>
      <c r="AG356" s="44" t="n"/>
      <c r="AH356" s="44" t="n"/>
    </row>
    <row r="357">
      <c r="A357" s="44" t="n"/>
      <c r="B357" s="44" t="n"/>
      <c r="C357" s="44" t="n"/>
      <c r="D357" s="44" t="n"/>
      <c r="E357" s="44" t="n"/>
      <c r="F357" s="44" t="n"/>
      <c r="G357" s="45" t="n"/>
      <c r="H357" s="44" t="n"/>
      <c r="I357" s="45" t="n"/>
      <c r="J357" s="44" t="n"/>
      <c r="K357" s="85" t="n"/>
      <c r="L357" s="85" t="n"/>
      <c r="M357" s="85" t="n"/>
      <c r="N357" s="85" t="n"/>
      <c r="O357" s="85" t="n"/>
      <c r="P357" s="85" t="n"/>
      <c r="Q357" s="85" t="n"/>
      <c r="R357" s="85" t="n"/>
      <c r="S357" s="85" t="n"/>
      <c r="T357" s="85" t="n"/>
      <c r="U357" s="85" t="n"/>
      <c r="V357" s="44" t="n"/>
      <c r="W357" s="50">
        <f>IF(OR(M357="",Q357="",S357=""),"",IF(ABS(ROUND(((ROUND(N(M357)*100,0))-(ROUND(N(Q357)*100,0))),0)-(ROUND(N(S357)*100,0)))&lt;=0,"OK","ABWEICHUNG"))</f>
        <v/>
      </c>
      <c r="X357" s="50">
        <f>IF(OR(K357="",M357="",N357=""),"",IF(ABS(ROUND(((ROUND(N(K357)*100,0)+ROUND(N(L357)*100,0))-(ROUND(N(M357)*100,0))),0)-(ROUND(N(N357)*100,0)))&lt;=0,"OK",IF(OR(L357=""),"UNVOLLSTÄNDIG","ABWEICHUNG")))</f>
        <v/>
      </c>
      <c r="Y357" s="50">
        <f>IF(OR(K357="",O357="",R357=""),"",IF(ABS(ROUND(((ROUND(N(K357)*100,0))-(ROUND(N(O357)*100,0))),0)-(ROUND(N(R357)*100,0)))&lt;=0,"OK","ABWEICHUNG"))</f>
        <v/>
      </c>
      <c r="Z357" s="50">
        <f>IF(OR(N357="",O357="",P357="",Q357="",T357=""),"",IF(ABS(ROUND(((ROUND(N(N357)*100,0)+ROUND(N(Q357)*100,0))-(ROUND(N(O357)*100,0)+ROUND(N(P357)*100,0))),0)-(ROUND(N(T357)*100,0)))&lt;=0,"OK","ABWEICHUNG"))</f>
        <v/>
      </c>
      <c r="AA357" s="44" t="n"/>
      <c r="AB357" s="44" t="n"/>
      <c r="AC357" s="44" t="n"/>
      <c r="AD357" s="44" t="n"/>
      <c r="AE357" s="85" t="n"/>
      <c r="AF357" s="85" t="n"/>
      <c r="AG357" s="44" t="n"/>
      <c r="AH357" s="44" t="n"/>
    </row>
    <row r="358">
      <c r="A358" s="44" t="n"/>
      <c r="B358" s="44" t="n"/>
      <c r="C358" s="44" t="n"/>
      <c r="D358" s="44" t="n"/>
      <c r="E358" s="44" t="n"/>
      <c r="F358" s="44" t="n"/>
      <c r="G358" s="45" t="n"/>
      <c r="H358" s="44" t="n"/>
      <c r="I358" s="45" t="n"/>
      <c r="J358" s="44" t="n"/>
      <c r="K358" s="85" t="n"/>
      <c r="L358" s="85" t="n"/>
      <c r="M358" s="85" t="n"/>
      <c r="N358" s="85" t="n"/>
      <c r="O358" s="85" t="n"/>
      <c r="P358" s="85" t="n"/>
      <c r="Q358" s="85" t="n"/>
      <c r="R358" s="85" t="n"/>
      <c r="S358" s="85" t="n"/>
      <c r="T358" s="85" t="n"/>
      <c r="U358" s="85" t="n"/>
      <c r="V358" s="44" t="n"/>
      <c r="W358" s="50">
        <f>IF(OR(M358="",Q358="",S358=""),"",IF(ABS(ROUND(((ROUND(N(M358)*100,0))-(ROUND(N(Q358)*100,0))),0)-(ROUND(N(S358)*100,0)))&lt;=0,"OK","ABWEICHUNG"))</f>
        <v/>
      </c>
      <c r="X358" s="50">
        <f>IF(OR(K358="",M358="",N358=""),"",IF(ABS(ROUND(((ROUND(N(K358)*100,0)+ROUND(N(L358)*100,0))-(ROUND(N(M358)*100,0))),0)-(ROUND(N(N358)*100,0)))&lt;=0,"OK",IF(OR(L358=""),"UNVOLLSTÄNDIG","ABWEICHUNG")))</f>
        <v/>
      </c>
      <c r="Y358" s="50">
        <f>IF(OR(K358="",O358="",R358=""),"",IF(ABS(ROUND(((ROUND(N(K358)*100,0))-(ROUND(N(O358)*100,0))),0)-(ROUND(N(R358)*100,0)))&lt;=0,"OK","ABWEICHUNG"))</f>
        <v/>
      </c>
      <c r="Z358" s="50">
        <f>IF(OR(N358="",O358="",P358="",Q358="",T358=""),"",IF(ABS(ROUND(((ROUND(N(N358)*100,0)+ROUND(N(Q358)*100,0))-(ROUND(N(O358)*100,0)+ROUND(N(P358)*100,0))),0)-(ROUND(N(T358)*100,0)))&lt;=0,"OK","ABWEICHUNG"))</f>
        <v/>
      </c>
      <c r="AA358" s="44" t="n"/>
      <c r="AB358" s="44" t="n"/>
      <c r="AC358" s="44" t="n"/>
      <c r="AD358" s="44" t="n"/>
      <c r="AE358" s="85" t="n"/>
      <c r="AF358" s="85" t="n"/>
      <c r="AG358" s="44" t="n"/>
      <c r="AH358" s="44" t="n"/>
    </row>
    <row r="359">
      <c r="A359" s="44" t="n"/>
      <c r="B359" s="44" t="n"/>
      <c r="C359" s="44" t="n"/>
      <c r="D359" s="44" t="n"/>
      <c r="E359" s="44" t="n"/>
      <c r="F359" s="44" t="n"/>
      <c r="G359" s="45" t="n"/>
      <c r="H359" s="44" t="n"/>
      <c r="I359" s="45" t="n"/>
      <c r="J359" s="44" t="n"/>
      <c r="K359" s="85" t="n"/>
      <c r="L359" s="85" t="n"/>
      <c r="M359" s="85" t="n"/>
      <c r="N359" s="85" t="n"/>
      <c r="O359" s="85" t="n"/>
      <c r="P359" s="85" t="n"/>
      <c r="Q359" s="85" t="n"/>
      <c r="R359" s="85" t="n"/>
      <c r="S359" s="85" t="n"/>
      <c r="T359" s="85" t="n"/>
      <c r="U359" s="85" t="n"/>
      <c r="V359" s="44" t="n"/>
      <c r="W359" s="50">
        <f>IF(OR(M359="",Q359="",S359=""),"",IF(ABS(ROUND(((ROUND(N(M359)*100,0))-(ROUND(N(Q359)*100,0))),0)-(ROUND(N(S359)*100,0)))&lt;=0,"OK","ABWEICHUNG"))</f>
        <v/>
      </c>
      <c r="X359" s="50">
        <f>IF(OR(K359="",M359="",N359=""),"",IF(ABS(ROUND(((ROUND(N(K359)*100,0)+ROUND(N(L359)*100,0))-(ROUND(N(M359)*100,0))),0)-(ROUND(N(N359)*100,0)))&lt;=0,"OK",IF(OR(L359=""),"UNVOLLSTÄNDIG","ABWEICHUNG")))</f>
        <v/>
      </c>
      <c r="Y359" s="50">
        <f>IF(OR(K359="",O359="",R359=""),"",IF(ABS(ROUND(((ROUND(N(K359)*100,0))-(ROUND(N(O359)*100,0))),0)-(ROUND(N(R359)*100,0)))&lt;=0,"OK","ABWEICHUNG"))</f>
        <v/>
      </c>
      <c r="Z359" s="50">
        <f>IF(OR(N359="",O359="",P359="",Q359="",T359=""),"",IF(ABS(ROUND(((ROUND(N(N359)*100,0)+ROUND(N(Q359)*100,0))-(ROUND(N(O359)*100,0)+ROUND(N(P359)*100,0))),0)-(ROUND(N(T359)*100,0)))&lt;=0,"OK","ABWEICHUNG"))</f>
        <v/>
      </c>
      <c r="AA359" s="44" t="n"/>
      <c r="AB359" s="44" t="n"/>
      <c r="AC359" s="44" t="n"/>
      <c r="AD359" s="44" t="n"/>
      <c r="AE359" s="85" t="n"/>
      <c r="AF359" s="85" t="n"/>
      <c r="AG359" s="44" t="n"/>
      <c r="AH359" s="44" t="n"/>
    </row>
    <row r="360">
      <c r="A360" s="44" t="n"/>
      <c r="B360" s="44" t="n"/>
      <c r="C360" s="44" t="n"/>
      <c r="D360" s="44" t="n"/>
      <c r="E360" s="44" t="n"/>
      <c r="F360" s="44" t="n"/>
      <c r="G360" s="45" t="n"/>
      <c r="H360" s="44" t="n"/>
      <c r="I360" s="45" t="n"/>
      <c r="J360" s="44" t="n"/>
      <c r="K360" s="85" t="n"/>
      <c r="L360" s="85" t="n"/>
      <c r="M360" s="85" t="n"/>
      <c r="N360" s="85" t="n"/>
      <c r="O360" s="85" t="n"/>
      <c r="P360" s="85" t="n"/>
      <c r="Q360" s="85" t="n"/>
      <c r="R360" s="85" t="n"/>
      <c r="S360" s="85" t="n"/>
      <c r="T360" s="85" t="n"/>
      <c r="U360" s="85" t="n"/>
      <c r="V360" s="44" t="n"/>
      <c r="W360" s="50">
        <f>IF(OR(M360="",Q360="",S360=""),"",IF(ABS(ROUND(((ROUND(N(M360)*100,0))-(ROUND(N(Q360)*100,0))),0)-(ROUND(N(S360)*100,0)))&lt;=0,"OK","ABWEICHUNG"))</f>
        <v/>
      </c>
      <c r="X360" s="50">
        <f>IF(OR(K360="",M360="",N360=""),"",IF(ABS(ROUND(((ROUND(N(K360)*100,0)+ROUND(N(L360)*100,0))-(ROUND(N(M360)*100,0))),0)-(ROUND(N(N360)*100,0)))&lt;=0,"OK",IF(OR(L360=""),"UNVOLLSTÄNDIG","ABWEICHUNG")))</f>
        <v/>
      </c>
      <c r="Y360" s="50">
        <f>IF(OR(K360="",O360="",R360=""),"",IF(ABS(ROUND(((ROUND(N(K360)*100,0))-(ROUND(N(O360)*100,0))),0)-(ROUND(N(R360)*100,0)))&lt;=0,"OK","ABWEICHUNG"))</f>
        <v/>
      </c>
      <c r="Z360" s="50">
        <f>IF(OR(N360="",O360="",P360="",Q360="",T360=""),"",IF(ABS(ROUND(((ROUND(N(N360)*100,0)+ROUND(N(Q360)*100,0))-(ROUND(N(O360)*100,0)+ROUND(N(P360)*100,0))),0)-(ROUND(N(T360)*100,0)))&lt;=0,"OK","ABWEICHUNG"))</f>
        <v/>
      </c>
      <c r="AA360" s="44" t="n"/>
      <c r="AB360" s="44" t="n"/>
      <c r="AC360" s="44" t="n"/>
      <c r="AD360" s="44" t="n"/>
      <c r="AE360" s="85" t="n"/>
      <c r="AF360" s="85" t="n"/>
      <c r="AG360" s="44" t="n"/>
      <c r="AH360" s="44" t="n"/>
    </row>
    <row r="361">
      <c r="A361" s="44" t="n"/>
      <c r="B361" s="44" t="n"/>
      <c r="C361" s="44" t="n"/>
      <c r="D361" s="44" t="n"/>
      <c r="E361" s="44" t="n"/>
      <c r="F361" s="44" t="n"/>
      <c r="G361" s="45" t="n"/>
      <c r="H361" s="44" t="n"/>
      <c r="I361" s="45" t="n"/>
      <c r="J361" s="44" t="n"/>
      <c r="K361" s="85" t="n"/>
      <c r="L361" s="85" t="n"/>
      <c r="M361" s="85" t="n"/>
      <c r="N361" s="85" t="n"/>
      <c r="O361" s="85" t="n"/>
      <c r="P361" s="85" t="n"/>
      <c r="Q361" s="85" t="n"/>
      <c r="R361" s="85" t="n"/>
      <c r="S361" s="85" t="n"/>
      <c r="T361" s="85" t="n"/>
      <c r="U361" s="85" t="n"/>
      <c r="V361" s="44" t="n"/>
      <c r="W361" s="50">
        <f>IF(OR(M361="",Q361="",S361=""),"",IF(ABS(ROUND(((ROUND(N(M361)*100,0))-(ROUND(N(Q361)*100,0))),0)-(ROUND(N(S361)*100,0)))&lt;=0,"OK","ABWEICHUNG"))</f>
        <v/>
      </c>
      <c r="X361" s="50">
        <f>IF(OR(K361="",M361="",N361=""),"",IF(ABS(ROUND(((ROUND(N(K361)*100,0)+ROUND(N(L361)*100,0))-(ROUND(N(M361)*100,0))),0)-(ROUND(N(N361)*100,0)))&lt;=0,"OK",IF(OR(L361=""),"UNVOLLSTÄNDIG","ABWEICHUNG")))</f>
        <v/>
      </c>
      <c r="Y361" s="50">
        <f>IF(OR(K361="",O361="",R361=""),"",IF(ABS(ROUND(((ROUND(N(K361)*100,0))-(ROUND(N(O361)*100,0))),0)-(ROUND(N(R361)*100,0)))&lt;=0,"OK","ABWEICHUNG"))</f>
        <v/>
      </c>
      <c r="Z361" s="50">
        <f>IF(OR(N361="",O361="",P361="",Q361="",T361=""),"",IF(ABS(ROUND(((ROUND(N(N361)*100,0)+ROUND(N(Q361)*100,0))-(ROUND(N(O361)*100,0)+ROUND(N(P361)*100,0))),0)-(ROUND(N(T361)*100,0)))&lt;=0,"OK","ABWEICHUNG"))</f>
        <v/>
      </c>
      <c r="AA361" s="44" t="n"/>
      <c r="AB361" s="44" t="n"/>
      <c r="AC361" s="44" t="n"/>
      <c r="AD361" s="44" t="n"/>
      <c r="AE361" s="85" t="n"/>
      <c r="AF361" s="85" t="n"/>
      <c r="AG361" s="44" t="n"/>
      <c r="AH361" s="44" t="n"/>
    </row>
    <row r="362">
      <c r="A362" s="44" t="n"/>
      <c r="B362" s="44" t="n"/>
      <c r="C362" s="44" t="n"/>
      <c r="D362" s="44" t="n"/>
      <c r="E362" s="44" t="n"/>
      <c r="F362" s="44" t="n"/>
      <c r="G362" s="45" t="n"/>
      <c r="H362" s="44" t="n"/>
      <c r="I362" s="45" t="n"/>
      <c r="J362" s="44" t="n"/>
      <c r="K362" s="85" t="n"/>
      <c r="L362" s="85" t="n"/>
      <c r="M362" s="85" t="n"/>
      <c r="N362" s="85" t="n"/>
      <c r="O362" s="85" t="n"/>
      <c r="P362" s="85" t="n"/>
      <c r="Q362" s="85" t="n"/>
      <c r="R362" s="85" t="n"/>
      <c r="S362" s="85" t="n"/>
      <c r="T362" s="85" t="n"/>
      <c r="U362" s="85" t="n"/>
      <c r="V362" s="44" t="n"/>
      <c r="W362" s="50">
        <f>IF(OR(M362="",Q362="",S362=""),"",IF(ABS(ROUND(((ROUND(N(M362)*100,0))-(ROUND(N(Q362)*100,0))),0)-(ROUND(N(S362)*100,0)))&lt;=0,"OK","ABWEICHUNG"))</f>
        <v/>
      </c>
      <c r="X362" s="50">
        <f>IF(OR(K362="",M362="",N362=""),"",IF(ABS(ROUND(((ROUND(N(K362)*100,0)+ROUND(N(L362)*100,0))-(ROUND(N(M362)*100,0))),0)-(ROUND(N(N362)*100,0)))&lt;=0,"OK",IF(OR(L362=""),"UNVOLLSTÄNDIG","ABWEICHUNG")))</f>
        <v/>
      </c>
      <c r="Y362" s="50">
        <f>IF(OR(K362="",O362="",R362=""),"",IF(ABS(ROUND(((ROUND(N(K362)*100,0))-(ROUND(N(O362)*100,0))),0)-(ROUND(N(R362)*100,0)))&lt;=0,"OK","ABWEICHUNG"))</f>
        <v/>
      </c>
      <c r="Z362" s="50">
        <f>IF(OR(N362="",O362="",P362="",Q362="",T362=""),"",IF(ABS(ROUND(((ROUND(N(N362)*100,0)+ROUND(N(Q362)*100,0))-(ROUND(N(O362)*100,0)+ROUND(N(P362)*100,0))),0)-(ROUND(N(T362)*100,0)))&lt;=0,"OK","ABWEICHUNG"))</f>
        <v/>
      </c>
      <c r="AA362" s="44" t="n"/>
      <c r="AB362" s="44" t="n"/>
      <c r="AC362" s="44" t="n"/>
      <c r="AD362" s="44" t="n"/>
      <c r="AE362" s="85" t="n"/>
      <c r="AF362" s="85" t="n"/>
      <c r="AG362" s="44" t="n"/>
      <c r="AH362" s="44" t="n"/>
    </row>
    <row r="363">
      <c r="A363" s="44" t="n"/>
      <c r="B363" s="44" t="n"/>
      <c r="C363" s="44" t="n"/>
      <c r="D363" s="44" t="n"/>
      <c r="E363" s="44" t="n"/>
      <c r="F363" s="44" t="n"/>
      <c r="G363" s="45" t="n"/>
      <c r="H363" s="44" t="n"/>
      <c r="I363" s="45" t="n"/>
      <c r="J363" s="44" t="n"/>
      <c r="K363" s="85" t="n"/>
      <c r="L363" s="85" t="n"/>
      <c r="M363" s="85" t="n"/>
      <c r="N363" s="85" t="n"/>
      <c r="O363" s="85" t="n"/>
      <c r="P363" s="85" t="n"/>
      <c r="Q363" s="85" t="n"/>
      <c r="R363" s="85" t="n"/>
      <c r="S363" s="85" t="n"/>
      <c r="T363" s="85" t="n"/>
      <c r="U363" s="85" t="n"/>
      <c r="V363" s="44" t="n"/>
      <c r="W363" s="50">
        <f>IF(OR(M363="",Q363="",S363=""),"",IF(ABS(ROUND(((ROUND(N(M363)*100,0))-(ROUND(N(Q363)*100,0))),0)-(ROUND(N(S363)*100,0)))&lt;=0,"OK","ABWEICHUNG"))</f>
        <v/>
      </c>
      <c r="X363" s="50">
        <f>IF(OR(K363="",M363="",N363=""),"",IF(ABS(ROUND(((ROUND(N(K363)*100,0)+ROUND(N(L363)*100,0))-(ROUND(N(M363)*100,0))),0)-(ROUND(N(N363)*100,0)))&lt;=0,"OK",IF(OR(L363=""),"UNVOLLSTÄNDIG","ABWEICHUNG")))</f>
        <v/>
      </c>
      <c r="Y363" s="50">
        <f>IF(OR(K363="",O363="",R363=""),"",IF(ABS(ROUND(((ROUND(N(K363)*100,0))-(ROUND(N(O363)*100,0))),0)-(ROUND(N(R363)*100,0)))&lt;=0,"OK","ABWEICHUNG"))</f>
        <v/>
      </c>
      <c r="Z363" s="50">
        <f>IF(OR(N363="",O363="",P363="",Q363="",T363=""),"",IF(ABS(ROUND(((ROUND(N(N363)*100,0)+ROUND(N(Q363)*100,0))-(ROUND(N(O363)*100,0)+ROUND(N(P363)*100,0))),0)-(ROUND(N(T363)*100,0)))&lt;=0,"OK","ABWEICHUNG"))</f>
        <v/>
      </c>
      <c r="AA363" s="44" t="n"/>
      <c r="AB363" s="44" t="n"/>
      <c r="AC363" s="44" t="n"/>
      <c r="AD363" s="44" t="n"/>
      <c r="AE363" s="85" t="n"/>
      <c r="AF363" s="85" t="n"/>
      <c r="AG363" s="44" t="n"/>
      <c r="AH363" s="44" t="n"/>
    </row>
    <row r="364">
      <c r="A364" s="44" t="n"/>
      <c r="B364" s="44" t="n"/>
      <c r="C364" s="44" t="n"/>
      <c r="D364" s="44" t="n"/>
      <c r="E364" s="44" t="n"/>
      <c r="F364" s="44" t="n"/>
      <c r="G364" s="45" t="n"/>
      <c r="H364" s="44" t="n"/>
      <c r="I364" s="45" t="n"/>
      <c r="J364" s="44" t="n"/>
      <c r="K364" s="85" t="n"/>
      <c r="L364" s="85" t="n"/>
      <c r="M364" s="85" t="n"/>
      <c r="N364" s="85" t="n"/>
      <c r="O364" s="85" t="n"/>
      <c r="P364" s="85" t="n"/>
      <c r="Q364" s="85" t="n"/>
      <c r="R364" s="85" t="n"/>
      <c r="S364" s="85" t="n"/>
      <c r="T364" s="85" t="n"/>
      <c r="U364" s="85" t="n"/>
      <c r="V364" s="44" t="n"/>
      <c r="W364" s="50">
        <f>IF(OR(M364="",Q364="",S364=""),"",IF(ABS(ROUND(((ROUND(N(M364)*100,0))-(ROUND(N(Q364)*100,0))),0)-(ROUND(N(S364)*100,0)))&lt;=0,"OK","ABWEICHUNG"))</f>
        <v/>
      </c>
      <c r="X364" s="50">
        <f>IF(OR(K364="",M364="",N364=""),"",IF(ABS(ROUND(((ROUND(N(K364)*100,0)+ROUND(N(L364)*100,0))-(ROUND(N(M364)*100,0))),0)-(ROUND(N(N364)*100,0)))&lt;=0,"OK",IF(OR(L364=""),"UNVOLLSTÄNDIG","ABWEICHUNG")))</f>
        <v/>
      </c>
      <c r="Y364" s="50">
        <f>IF(OR(K364="",O364="",R364=""),"",IF(ABS(ROUND(((ROUND(N(K364)*100,0))-(ROUND(N(O364)*100,0))),0)-(ROUND(N(R364)*100,0)))&lt;=0,"OK","ABWEICHUNG"))</f>
        <v/>
      </c>
      <c r="Z364" s="50">
        <f>IF(OR(N364="",O364="",P364="",Q364="",T364=""),"",IF(ABS(ROUND(((ROUND(N(N364)*100,0)+ROUND(N(Q364)*100,0))-(ROUND(N(O364)*100,0)+ROUND(N(P364)*100,0))),0)-(ROUND(N(T364)*100,0)))&lt;=0,"OK","ABWEICHUNG"))</f>
        <v/>
      </c>
      <c r="AA364" s="44" t="n"/>
      <c r="AB364" s="44" t="n"/>
      <c r="AC364" s="44" t="n"/>
      <c r="AD364" s="44" t="n"/>
      <c r="AE364" s="85" t="n"/>
      <c r="AF364" s="85" t="n"/>
      <c r="AG364" s="44" t="n"/>
      <c r="AH364" s="44" t="n"/>
    </row>
    <row r="365">
      <c r="A365" s="44" t="n"/>
      <c r="B365" s="44" t="n"/>
      <c r="C365" s="44" t="n"/>
      <c r="D365" s="44" t="n"/>
      <c r="E365" s="44" t="n"/>
      <c r="F365" s="44" t="n"/>
      <c r="G365" s="45" t="n"/>
      <c r="H365" s="44" t="n"/>
      <c r="I365" s="45" t="n"/>
      <c r="J365" s="44" t="n"/>
      <c r="K365" s="85" t="n"/>
      <c r="L365" s="85" t="n"/>
      <c r="M365" s="85" t="n"/>
      <c r="N365" s="85" t="n"/>
      <c r="O365" s="85" t="n"/>
      <c r="P365" s="85" t="n"/>
      <c r="Q365" s="85" t="n"/>
      <c r="R365" s="85" t="n"/>
      <c r="S365" s="85" t="n"/>
      <c r="T365" s="85" t="n"/>
      <c r="U365" s="85" t="n"/>
      <c r="V365" s="44" t="n"/>
      <c r="W365" s="50">
        <f>IF(OR(M365="",Q365="",S365=""),"",IF(ABS(ROUND(((ROUND(N(M365)*100,0))-(ROUND(N(Q365)*100,0))),0)-(ROUND(N(S365)*100,0)))&lt;=0,"OK","ABWEICHUNG"))</f>
        <v/>
      </c>
      <c r="X365" s="50">
        <f>IF(OR(K365="",M365="",N365=""),"",IF(ABS(ROUND(((ROUND(N(K365)*100,0)+ROUND(N(L365)*100,0))-(ROUND(N(M365)*100,0))),0)-(ROUND(N(N365)*100,0)))&lt;=0,"OK",IF(OR(L365=""),"UNVOLLSTÄNDIG","ABWEICHUNG")))</f>
        <v/>
      </c>
      <c r="Y365" s="50">
        <f>IF(OR(K365="",O365="",R365=""),"",IF(ABS(ROUND(((ROUND(N(K365)*100,0))-(ROUND(N(O365)*100,0))),0)-(ROUND(N(R365)*100,0)))&lt;=0,"OK","ABWEICHUNG"))</f>
        <v/>
      </c>
      <c r="Z365" s="50">
        <f>IF(OR(N365="",O365="",P365="",Q365="",T365=""),"",IF(ABS(ROUND(((ROUND(N(N365)*100,0)+ROUND(N(Q365)*100,0))-(ROUND(N(O365)*100,0)+ROUND(N(P365)*100,0))),0)-(ROUND(N(T365)*100,0)))&lt;=0,"OK","ABWEICHUNG"))</f>
        <v/>
      </c>
      <c r="AA365" s="44" t="n"/>
      <c r="AB365" s="44" t="n"/>
      <c r="AC365" s="44" t="n"/>
      <c r="AD365" s="44" t="n"/>
      <c r="AE365" s="85" t="n"/>
      <c r="AF365" s="85" t="n"/>
      <c r="AG365" s="44" t="n"/>
      <c r="AH365" s="44" t="n"/>
    </row>
    <row r="366">
      <c r="A366" s="44" t="n"/>
      <c r="B366" s="44" t="n"/>
      <c r="C366" s="44" t="n"/>
      <c r="D366" s="44" t="n"/>
      <c r="E366" s="44" t="n"/>
      <c r="F366" s="44" t="n"/>
      <c r="G366" s="45" t="n"/>
      <c r="H366" s="44" t="n"/>
      <c r="I366" s="45" t="n"/>
      <c r="J366" s="44" t="n"/>
      <c r="K366" s="85" t="n"/>
      <c r="L366" s="85" t="n"/>
      <c r="M366" s="85" t="n"/>
      <c r="N366" s="85" t="n"/>
      <c r="O366" s="85" t="n"/>
      <c r="P366" s="85" t="n"/>
      <c r="Q366" s="85" t="n"/>
      <c r="R366" s="85" t="n"/>
      <c r="S366" s="85" t="n"/>
      <c r="T366" s="85" t="n"/>
      <c r="U366" s="85" t="n"/>
      <c r="V366" s="44" t="n"/>
      <c r="W366" s="50">
        <f>IF(OR(M366="",Q366="",S366=""),"",IF(ABS(ROUND(((ROUND(N(M366)*100,0))-(ROUND(N(Q366)*100,0))),0)-(ROUND(N(S366)*100,0)))&lt;=0,"OK","ABWEICHUNG"))</f>
        <v/>
      </c>
      <c r="X366" s="50">
        <f>IF(OR(K366="",M366="",N366=""),"",IF(ABS(ROUND(((ROUND(N(K366)*100,0)+ROUND(N(L366)*100,0))-(ROUND(N(M366)*100,0))),0)-(ROUND(N(N366)*100,0)))&lt;=0,"OK",IF(OR(L366=""),"UNVOLLSTÄNDIG","ABWEICHUNG")))</f>
        <v/>
      </c>
      <c r="Y366" s="50">
        <f>IF(OR(K366="",O366="",R366=""),"",IF(ABS(ROUND(((ROUND(N(K366)*100,0))-(ROUND(N(O366)*100,0))),0)-(ROUND(N(R366)*100,0)))&lt;=0,"OK","ABWEICHUNG"))</f>
        <v/>
      </c>
      <c r="Z366" s="50">
        <f>IF(OR(N366="",O366="",P366="",Q366="",T366=""),"",IF(ABS(ROUND(((ROUND(N(N366)*100,0)+ROUND(N(Q366)*100,0))-(ROUND(N(O366)*100,0)+ROUND(N(P366)*100,0))),0)-(ROUND(N(T366)*100,0)))&lt;=0,"OK","ABWEICHUNG"))</f>
        <v/>
      </c>
      <c r="AA366" s="44" t="n"/>
      <c r="AB366" s="44" t="n"/>
      <c r="AC366" s="44" t="n"/>
      <c r="AD366" s="44" t="n"/>
      <c r="AE366" s="85" t="n"/>
      <c r="AF366" s="85" t="n"/>
      <c r="AG366" s="44" t="n"/>
      <c r="AH366" s="44" t="n"/>
    </row>
    <row r="367">
      <c r="A367" s="44" t="n"/>
      <c r="B367" s="44" t="n"/>
      <c r="C367" s="44" t="n"/>
      <c r="D367" s="44" t="n"/>
      <c r="E367" s="44" t="n"/>
      <c r="F367" s="44" t="n"/>
      <c r="G367" s="45" t="n"/>
      <c r="H367" s="44" t="n"/>
      <c r="I367" s="45" t="n"/>
      <c r="J367" s="44" t="n"/>
      <c r="K367" s="85" t="n"/>
      <c r="L367" s="85" t="n"/>
      <c r="M367" s="85" t="n"/>
      <c r="N367" s="85" t="n"/>
      <c r="O367" s="85" t="n"/>
      <c r="P367" s="85" t="n"/>
      <c r="Q367" s="85" t="n"/>
      <c r="R367" s="85" t="n"/>
      <c r="S367" s="85" t="n"/>
      <c r="T367" s="85" t="n"/>
      <c r="U367" s="85" t="n"/>
      <c r="V367" s="44" t="n"/>
      <c r="W367" s="50">
        <f>IF(OR(M367="",Q367="",S367=""),"",IF(ABS(ROUND(((ROUND(N(M367)*100,0))-(ROUND(N(Q367)*100,0))),0)-(ROUND(N(S367)*100,0)))&lt;=0,"OK","ABWEICHUNG"))</f>
        <v/>
      </c>
      <c r="X367" s="50">
        <f>IF(OR(K367="",M367="",N367=""),"",IF(ABS(ROUND(((ROUND(N(K367)*100,0)+ROUND(N(L367)*100,0))-(ROUND(N(M367)*100,0))),0)-(ROUND(N(N367)*100,0)))&lt;=0,"OK",IF(OR(L367=""),"UNVOLLSTÄNDIG","ABWEICHUNG")))</f>
        <v/>
      </c>
      <c r="Y367" s="50">
        <f>IF(OR(K367="",O367="",R367=""),"",IF(ABS(ROUND(((ROUND(N(K367)*100,0))-(ROUND(N(O367)*100,0))),0)-(ROUND(N(R367)*100,0)))&lt;=0,"OK","ABWEICHUNG"))</f>
        <v/>
      </c>
      <c r="Z367" s="50">
        <f>IF(OR(N367="",O367="",P367="",Q367="",T367=""),"",IF(ABS(ROUND(((ROUND(N(N367)*100,0)+ROUND(N(Q367)*100,0))-(ROUND(N(O367)*100,0)+ROUND(N(P367)*100,0))),0)-(ROUND(N(T367)*100,0)))&lt;=0,"OK","ABWEICHUNG"))</f>
        <v/>
      </c>
      <c r="AA367" s="44" t="n"/>
      <c r="AB367" s="44" t="n"/>
      <c r="AC367" s="44" t="n"/>
      <c r="AD367" s="44" t="n"/>
      <c r="AE367" s="85" t="n"/>
      <c r="AF367" s="85" t="n"/>
      <c r="AG367" s="44" t="n"/>
      <c r="AH367" s="44" t="n"/>
    </row>
    <row r="368">
      <c r="A368" s="44" t="n"/>
      <c r="B368" s="44" t="n"/>
      <c r="C368" s="44" t="n"/>
      <c r="D368" s="44" t="n"/>
      <c r="E368" s="44" t="n"/>
      <c r="F368" s="44" t="n"/>
      <c r="G368" s="45" t="n"/>
      <c r="H368" s="44" t="n"/>
      <c r="I368" s="45" t="n"/>
      <c r="J368" s="44" t="n"/>
      <c r="K368" s="85" t="n"/>
      <c r="L368" s="85" t="n"/>
      <c r="M368" s="85" t="n"/>
      <c r="N368" s="85" t="n"/>
      <c r="O368" s="85" t="n"/>
      <c r="P368" s="85" t="n"/>
      <c r="Q368" s="85" t="n"/>
      <c r="R368" s="85" t="n"/>
      <c r="S368" s="85" t="n"/>
      <c r="T368" s="85" t="n"/>
      <c r="U368" s="85" t="n"/>
      <c r="V368" s="44" t="n"/>
      <c r="W368" s="50">
        <f>IF(OR(M368="",Q368="",S368=""),"",IF(ABS(ROUND(((ROUND(N(M368)*100,0))-(ROUND(N(Q368)*100,0))),0)-(ROUND(N(S368)*100,0)))&lt;=0,"OK","ABWEICHUNG"))</f>
        <v/>
      </c>
      <c r="X368" s="50">
        <f>IF(OR(K368="",M368="",N368=""),"",IF(ABS(ROUND(((ROUND(N(K368)*100,0)+ROUND(N(L368)*100,0))-(ROUND(N(M368)*100,0))),0)-(ROUND(N(N368)*100,0)))&lt;=0,"OK",IF(OR(L368=""),"UNVOLLSTÄNDIG","ABWEICHUNG")))</f>
        <v/>
      </c>
      <c r="Y368" s="50">
        <f>IF(OR(K368="",O368="",R368=""),"",IF(ABS(ROUND(((ROUND(N(K368)*100,0))-(ROUND(N(O368)*100,0))),0)-(ROUND(N(R368)*100,0)))&lt;=0,"OK","ABWEICHUNG"))</f>
        <v/>
      </c>
      <c r="Z368" s="50">
        <f>IF(OR(N368="",O368="",P368="",Q368="",T368=""),"",IF(ABS(ROUND(((ROUND(N(N368)*100,0)+ROUND(N(Q368)*100,0))-(ROUND(N(O368)*100,0)+ROUND(N(P368)*100,0))),0)-(ROUND(N(T368)*100,0)))&lt;=0,"OK","ABWEICHUNG"))</f>
        <v/>
      </c>
      <c r="AA368" s="44" t="n"/>
      <c r="AB368" s="44" t="n"/>
      <c r="AC368" s="44" t="n"/>
      <c r="AD368" s="44" t="n"/>
      <c r="AE368" s="85" t="n"/>
      <c r="AF368" s="85" t="n"/>
      <c r="AG368" s="44" t="n"/>
      <c r="AH368" s="44" t="n"/>
    </row>
    <row r="369">
      <c r="A369" s="44" t="n"/>
      <c r="B369" s="44" t="n"/>
      <c r="C369" s="44" t="n"/>
      <c r="D369" s="44" t="n"/>
      <c r="E369" s="44" t="n"/>
      <c r="F369" s="44" t="n"/>
      <c r="G369" s="45" t="n"/>
      <c r="H369" s="44" t="n"/>
      <c r="I369" s="45" t="n"/>
      <c r="J369" s="44" t="n"/>
      <c r="K369" s="85" t="n"/>
      <c r="L369" s="85" t="n"/>
      <c r="M369" s="85" t="n"/>
      <c r="N369" s="85" t="n"/>
      <c r="O369" s="85" t="n"/>
      <c r="P369" s="85" t="n"/>
      <c r="Q369" s="85" t="n"/>
      <c r="R369" s="85" t="n"/>
      <c r="S369" s="85" t="n"/>
      <c r="T369" s="85" t="n"/>
      <c r="U369" s="85" t="n"/>
      <c r="V369" s="44" t="n"/>
      <c r="W369" s="50">
        <f>IF(OR(M369="",Q369="",S369=""),"",IF(ABS(ROUND(((ROUND(N(M369)*100,0))-(ROUND(N(Q369)*100,0))),0)-(ROUND(N(S369)*100,0)))&lt;=0,"OK","ABWEICHUNG"))</f>
        <v/>
      </c>
      <c r="X369" s="50">
        <f>IF(OR(K369="",M369="",N369=""),"",IF(ABS(ROUND(((ROUND(N(K369)*100,0)+ROUND(N(L369)*100,0))-(ROUND(N(M369)*100,0))),0)-(ROUND(N(N369)*100,0)))&lt;=0,"OK",IF(OR(L369=""),"UNVOLLSTÄNDIG","ABWEICHUNG")))</f>
        <v/>
      </c>
      <c r="Y369" s="50">
        <f>IF(OR(K369="",O369="",R369=""),"",IF(ABS(ROUND(((ROUND(N(K369)*100,0))-(ROUND(N(O369)*100,0))),0)-(ROUND(N(R369)*100,0)))&lt;=0,"OK","ABWEICHUNG"))</f>
        <v/>
      </c>
      <c r="Z369" s="50">
        <f>IF(OR(N369="",O369="",P369="",Q369="",T369=""),"",IF(ABS(ROUND(((ROUND(N(N369)*100,0)+ROUND(N(Q369)*100,0))-(ROUND(N(O369)*100,0)+ROUND(N(P369)*100,0))),0)-(ROUND(N(T369)*100,0)))&lt;=0,"OK","ABWEICHUNG"))</f>
        <v/>
      </c>
      <c r="AA369" s="44" t="n"/>
      <c r="AB369" s="44" t="n"/>
      <c r="AC369" s="44" t="n"/>
      <c r="AD369" s="44" t="n"/>
      <c r="AE369" s="85" t="n"/>
      <c r="AF369" s="85" t="n"/>
      <c r="AG369" s="44" t="n"/>
      <c r="AH369" s="44" t="n"/>
    </row>
    <row r="370">
      <c r="A370" s="44" t="n"/>
      <c r="B370" s="44" t="n"/>
      <c r="C370" s="44" t="n"/>
      <c r="D370" s="44" t="n"/>
      <c r="E370" s="44" t="n"/>
      <c r="F370" s="44" t="n"/>
      <c r="G370" s="45" t="n"/>
      <c r="H370" s="44" t="n"/>
      <c r="I370" s="45" t="n"/>
      <c r="J370" s="44" t="n"/>
      <c r="K370" s="85" t="n"/>
      <c r="L370" s="85" t="n"/>
      <c r="M370" s="85" t="n"/>
      <c r="N370" s="85" t="n"/>
      <c r="O370" s="85" t="n"/>
      <c r="P370" s="85" t="n"/>
      <c r="Q370" s="85" t="n"/>
      <c r="R370" s="85" t="n"/>
      <c r="S370" s="85" t="n"/>
      <c r="T370" s="85" t="n"/>
      <c r="U370" s="85" t="n"/>
      <c r="V370" s="44" t="n"/>
      <c r="W370" s="50">
        <f>IF(OR(M370="",Q370="",S370=""),"",IF(ABS(ROUND(((ROUND(N(M370)*100,0))-(ROUND(N(Q370)*100,0))),0)-(ROUND(N(S370)*100,0)))&lt;=0,"OK","ABWEICHUNG"))</f>
        <v/>
      </c>
      <c r="X370" s="50">
        <f>IF(OR(K370="",M370="",N370=""),"",IF(ABS(ROUND(((ROUND(N(K370)*100,0)+ROUND(N(L370)*100,0))-(ROUND(N(M370)*100,0))),0)-(ROUND(N(N370)*100,0)))&lt;=0,"OK",IF(OR(L370=""),"UNVOLLSTÄNDIG","ABWEICHUNG")))</f>
        <v/>
      </c>
      <c r="Y370" s="50">
        <f>IF(OR(K370="",O370="",R370=""),"",IF(ABS(ROUND(((ROUND(N(K370)*100,0))-(ROUND(N(O370)*100,0))),0)-(ROUND(N(R370)*100,0)))&lt;=0,"OK","ABWEICHUNG"))</f>
        <v/>
      </c>
      <c r="Z370" s="50">
        <f>IF(OR(N370="",O370="",P370="",Q370="",T370=""),"",IF(ABS(ROUND(((ROUND(N(N370)*100,0)+ROUND(N(Q370)*100,0))-(ROUND(N(O370)*100,0)+ROUND(N(P370)*100,0))),0)-(ROUND(N(T370)*100,0)))&lt;=0,"OK","ABWEICHUNG"))</f>
        <v/>
      </c>
      <c r="AA370" s="44" t="n"/>
      <c r="AB370" s="44" t="n"/>
      <c r="AC370" s="44" t="n"/>
      <c r="AD370" s="44" t="n"/>
      <c r="AE370" s="85" t="n"/>
      <c r="AF370" s="85" t="n"/>
      <c r="AG370" s="44" t="n"/>
      <c r="AH370" s="44" t="n"/>
    </row>
    <row r="371">
      <c r="A371" s="44" t="n"/>
      <c r="B371" s="44" t="n"/>
      <c r="C371" s="44" t="n"/>
      <c r="D371" s="44" t="n"/>
      <c r="E371" s="44" t="n"/>
      <c r="F371" s="44" t="n"/>
      <c r="G371" s="45" t="n"/>
      <c r="H371" s="44" t="n"/>
      <c r="I371" s="45" t="n"/>
      <c r="J371" s="44" t="n"/>
      <c r="K371" s="85" t="n"/>
      <c r="L371" s="85" t="n"/>
      <c r="M371" s="85" t="n"/>
      <c r="N371" s="85" t="n"/>
      <c r="O371" s="85" t="n"/>
      <c r="P371" s="85" t="n"/>
      <c r="Q371" s="85" t="n"/>
      <c r="R371" s="85" t="n"/>
      <c r="S371" s="85" t="n"/>
      <c r="T371" s="85" t="n"/>
      <c r="U371" s="85" t="n"/>
      <c r="V371" s="44" t="n"/>
      <c r="W371" s="50">
        <f>IF(OR(M371="",Q371="",S371=""),"",IF(ABS(ROUND(((ROUND(N(M371)*100,0))-(ROUND(N(Q371)*100,0))),0)-(ROUND(N(S371)*100,0)))&lt;=0,"OK","ABWEICHUNG"))</f>
        <v/>
      </c>
      <c r="X371" s="50">
        <f>IF(OR(K371="",M371="",N371=""),"",IF(ABS(ROUND(((ROUND(N(K371)*100,0)+ROUND(N(L371)*100,0))-(ROUND(N(M371)*100,0))),0)-(ROUND(N(N371)*100,0)))&lt;=0,"OK",IF(OR(L371=""),"UNVOLLSTÄNDIG","ABWEICHUNG")))</f>
        <v/>
      </c>
      <c r="Y371" s="50">
        <f>IF(OR(K371="",O371="",R371=""),"",IF(ABS(ROUND(((ROUND(N(K371)*100,0))-(ROUND(N(O371)*100,0))),0)-(ROUND(N(R371)*100,0)))&lt;=0,"OK","ABWEICHUNG"))</f>
        <v/>
      </c>
      <c r="Z371" s="50">
        <f>IF(OR(N371="",O371="",P371="",Q371="",T371=""),"",IF(ABS(ROUND(((ROUND(N(N371)*100,0)+ROUND(N(Q371)*100,0))-(ROUND(N(O371)*100,0)+ROUND(N(P371)*100,0))),0)-(ROUND(N(T371)*100,0)))&lt;=0,"OK","ABWEICHUNG"))</f>
        <v/>
      </c>
      <c r="AA371" s="44" t="n"/>
      <c r="AB371" s="44" t="n"/>
      <c r="AC371" s="44" t="n"/>
      <c r="AD371" s="44" t="n"/>
      <c r="AE371" s="85" t="n"/>
      <c r="AF371" s="85" t="n"/>
      <c r="AG371" s="44" t="n"/>
      <c r="AH371" s="44" t="n"/>
    </row>
    <row r="372">
      <c r="A372" s="44" t="n"/>
      <c r="B372" s="44" t="n"/>
      <c r="C372" s="44" t="n"/>
      <c r="D372" s="44" t="n"/>
      <c r="E372" s="44" t="n"/>
      <c r="F372" s="44" t="n"/>
      <c r="G372" s="45" t="n"/>
      <c r="H372" s="44" t="n"/>
      <c r="I372" s="45" t="n"/>
      <c r="J372" s="44" t="n"/>
      <c r="K372" s="85" t="n"/>
      <c r="L372" s="85" t="n"/>
      <c r="M372" s="85" t="n"/>
      <c r="N372" s="85" t="n"/>
      <c r="O372" s="85" t="n"/>
      <c r="P372" s="85" t="n"/>
      <c r="Q372" s="85" t="n"/>
      <c r="R372" s="85" t="n"/>
      <c r="S372" s="85" t="n"/>
      <c r="T372" s="85" t="n"/>
      <c r="U372" s="85" t="n"/>
      <c r="V372" s="44" t="n"/>
      <c r="W372" s="50">
        <f>IF(OR(M372="",Q372="",S372=""),"",IF(ABS(ROUND(((ROUND(N(M372)*100,0))-(ROUND(N(Q372)*100,0))),0)-(ROUND(N(S372)*100,0)))&lt;=0,"OK","ABWEICHUNG"))</f>
        <v/>
      </c>
      <c r="X372" s="50">
        <f>IF(OR(K372="",M372="",N372=""),"",IF(ABS(ROUND(((ROUND(N(K372)*100,0)+ROUND(N(L372)*100,0))-(ROUND(N(M372)*100,0))),0)-(ROUND(N(N372)*100,0)))&lt;=0,"OK",IF(OR(L372=""),"UNVOLLSTÄNDIG","ABWEICHUNG")))</f>
        <v/>
      </c>
      <c r="Y372" s="50">
        <f>IF(OR(K372="",O372="",R372=""),"",IF(ABS(ROUND(((ROUND(N(K372)*100,0))-(ROUND(N(O372)*100,0))),0)-(ROUND(N(R372)*100,0)))&lt;=0,"OK","ABWEICHUNG"))</f>
        <v/>
      </c>
      <c r="Z372" s="50">
        <f>IF(OR(N372="",O372="",P372="",Q372="",T372=""),"",IF(ABS(ROUND(((ROUND(N(N372)*100,0)+ROUND(N(Q372)*100,0))-(ROUND(N(O372)*100,0)+ROUND(N(P372)*100,0))),0)-(ROUND(N(T372)*100,0)))&lt;=0,"OK","ABWEICHUNG"))</f>
        <v/>
      </c>
      <c r="AA372" s="44" t="n"/>
      <c r="AB372" s="44" t="n"/>
      <c r="AC372" s="44" t="n"/>
      <c r="AD372" s="44" t="n"/>
      <c r="AE372" s="85" t="n"/>
      <c r="AF372" s="85" t="n"/>
      <c r="AG372" s="44" t="n"/>
      <c r="AH372" s="44" t="n"/>
    </row>
    <row r="373">
      <c r="A373" s="44" t="n"/>
      <c r="B373" s="44" t="n"/>
      <c r="C373" s="44" t="n"/>
      <c r="D373" s="44" t="n"/>
      <c r="E373" s="44" t="n"/>
      <c r="F373" s="44" t="n"/>
      <c r="G373" s="45" t="n"/>
      <c r="H373" s="44" t="n"/>
      <c r="I373" s="45" t="n"/>
      <c r="J373" s="44" t="n"/>
      <c r="K373" s="85" t="n"/>
      <c r="L373" s="85" t="n"/>
      <c r="M373" s="85" t="n"/>
      <c r="N373" s="85" t="n"/>
      <c r="O373" s="85" t="n"/>
      <c r="P373" s="85" t="n"/>
      <c r="Q373" s="85" t="n"/>
      <c r="R373" s="85" t="n"/>
      <c r="S373" s="85" t="n"/>
      <c r="T373" s="85" t="n"/>
      <c r="U373" s="85" t="n"/>
      <c r="V373" s="44" t="n"/>
      <c r="W373" s="50">
        <f>IF(OR(M373="",Q373="",S373=""),"",IF(ABS(ROUND(((ROUND(N(M373)*100,0))-(ROUND(N(Q373)*100,0))),0)-(ROUND(N(S373)*100,0)))&lt;=0,"OK","ABWEICHUNG"))</f>
        <v/>
      </c>
      <c r="X373" s="50">
        <f>IF(OR(K373="",M373="",N373=""),"",IF(ABS(ROUND(((ROUND(N(K373)*100,0)+ROUND(N(L373)*100,0))-(ROUND(N(M373)*100,0))),0)-(ROUND(N(N373)*100,0)))&lt;=0,"OK",IF(OR(L373=""),"UNVOLLSTÄNDIG","ABWEICHUNG")))</f>
        <v/>
      </c>
      <c r="Y373" s="50">
        <f>IF(OR(K373="",O373="",R373=""),"",IF(ABS(ROUND(((ROUND(N(K373)*100,0))-(ROUND(N(O373)*100,0))),0)-(ROUND(N(R373)*100,0)))&lt;=0,"OK","ABWEICHUNG"))</f>
        <v/>
      </c>
      <c r="Z373" s="50">
        <f>IF(OR(N373="",O373="",P373="",Q373="",T373=""),"",IF(ABS(ROUND(((ROUND(N(N373)*100,0)+ROUND(N(Q373)*100,0))-(ROUND(N(O373)*100,0)+ROUND(N(P373)*100,0))),0)-(ROUND(N(T373)*100,0)))&lt;=0,"OK","ABWEICHUNG"))</f>
        <v/>
      </c>
      <c r="AA373" s="44" t="n"/>
      <c r="AB373" s="44" t="n"/>
      <c r="AC373" s="44" t="n"/>
      <c r="AD373" s="44" t="n"/>
      <c r="AE373" s="85" t="n"/>
      <c r="AF373" s="85" t="n"/>
      <c r="AG373" s="44" t="n"/>
      <c r="AH373" s="44" t="n"/>
    </row>
    <row r="374">
      <c r="A374" s="44" t="n"/>
      <c r="B374" s="44" t="n"/>
      <c r="C374" s="44" t="n"/>
      <c r="D374" s="44" t="n"/>
      <c r="E374" s="44" t="n"/>
      <c r="F374" s="44" t="n"/>
      <c r="G374" s="45" t="n"/>
      <c r="H374" s="44" t="n"/>
      <c r="I374" s="45" t="n"/>
      <c r="J374" s="44" t="n"/>
      <c r="K374" s="85" t="n"/>
      <c r="L374" s="85" t="n"/>
      <c r="M374" s="85" t="n"/>
      <c r="N374" s="85" t="n"/>
      <c r="O374" s="85" t="n"/>
      <c r="P374" s="85" t="n"/>
      <c r="Q374" s="85" t="n"/>
      <c r="R374" s="85" t="n"/>
      <c r="S374" s="85" t="n"/>
      <c r="T374" s="85" t="n"/>
      <c r="U374" s="85" t="n"/>
      <c r="V374" s="44" t="n"/>
      <c r="W374" s="50">
        <f>IF(OR(M374="",Q374="",S374=""),"",IF(ABS(ROUND(((ROUND(N(M374)*100,0))-(ROUND(N(Q374)*100,0))),0)-(ROUND(N(S374)*100,0)))&lt;=0,"OK","ABWEICHUNG"))</f>
        <v/>
      </c>
      <c r="X374" s="50">
        <f>IF(OR(K374="",M374="",N374=""),"",IF(ABS(ROUND(((ROUND(N(K374)*100,0)+ROUND(N(L374)*100,0))-(ROUND(N(M374)*100,0))),0)-(ROUND(N(N374)*100,0)))&lt;=0,"OK",IF(OR(L374=""),"UNVOLLSTÄNDIG","ABWEICHUNG")))</f>
        <v/>
      </c>
      <c r="Y374" s="50">
        <f>IF(OR(K374="",O374="",R374=""),"",IF(ABS(ROUND(((ROUND(N(K374)*100,0))-(ROUND(N(O374)*100,0))),0)-(ROUND(N(R374)*100,0)))&lt;=0,"OK","ABWEICHUNG"))</f>
        <v/>
      </c>
      <c r="Z374" s="50">
        <f>IF(OR(N374="",O374="",P374="",Q374="",T374=""),"",IF(ABS(ROUND(((ROUND(N(N374)*100,0)+ROUND(N(Q374)*100,0))-(ROUND(N(O374)*100,0)+ROUND(N(P374)*100,0))),0)-(ROUND(N(T374)*100,0)))&lt;=0,"OK","ABWEICHUNG"))</f>
        <v/>
      </c>
      <c r="AA374" s="44" t="n"/>
      <c r="AB374" s="44" t="n"/>
      <c r="AC374" s="44" t="n"/>
      <c r="AD374" s="44" t="n"/>
      <c r="AE374" s="85" t="n"/>
      <c r="AF374" s="85" t="n"/>
      <c r="AG374" s="44" t="n"/>
      <c r="AH374" s="44" t="n"/>
    </row>
    <row r="375">
      <c r="A375" s="44" t="n"/>
      <c r="B375" s="44" t="n"/>
      <c r="C375" s="44" t="n"/>
      <c r="D375" s="44" t="n"/>
      <c r="E375" s="44" t="n"/>
      <c r="F375" s="44" t="n"/>
      <c r="G375" s="45" t="n"/>
      <c r="H375" s="44" t="n"/>
      <c r="I375" s="45" t="n"/>
      <c r="J375" s="44" t="n"/>
      <c r="K375" s="85" t="n"/>
      <c r="L375" s="85" t="n"/>
      <c r="M375" s="85" t="n"/>
      <c r="N375" s="85" t="n"/>
      <c r="O375" s="85" t="n"/>
      <c r="P375" s="85" t="n"/>
      <c r="Q375" s="85" t="n"/>
      <c r="R375" s="85" t="n"/>
      <c r="S375" s="85" t="n"/>
      <c r="T375" s="85" t="n"/>
      <c r="U375" s="85" t="n"/>
      <c r="V375" s="44" t="n"/>
      <c r="W375" s="50">
        <f>IF(OR(M375="",Q375="",S375=""),"",IF(ABS(ROUND(((ROUND(N(M375)*100,0))-(ROUND(N(Q375)*100,0))),0)-(ROUND(N(S375)*100,0)))&lt;=0,"OK","ABWEICHUNG"))</f>
        <v/>
      </c>
      <c r="X375" s="50">
        <f>IF(OR(K375="",M375="",N375=""),"",IF(ABS(ROUND(((ROUND(N(K375)*100,0)+ROUND(N(L375)*100,0))-(ROUND(N(M375)*100,0))),0)-(ROUND(N(N375)*100,0)))&lt;=0,"OK",IF(OR(L375=""),"UNVOLLSTÄNDIG","ABWEICHUNG")))</f>
        <v/>
      </c>
      <c r="Y375" s="50">
        <f>IF(OR(K375="",O375="",R375=""),"",IF(ABS(ROUND(((ROUND(N(K375)*100,0))-(ROUND(N(O375)*100,0))),0)-(ROUND(N(R375)*100,0)))&lt;=0,"OK","ABWEICHUNG"))</f>
        <v/>
      </c>
      <c r="Z375" s="50">
        <f>IF(OR(N375="",O375="",P375="",Q375="",T375=""),"",IF(ABS(ROUND(((ROUND(N(N375)*100,0)+ROUND(N(Q375)*100,0))-(ROUND(N(O375)*100,0)+ROUND(N(P375)*100,0))),0)-(ROUND(N(T375)*100,0)))&lt;=0,"OK","ABWEICHUNG"))</f>
        <v/>
      </c>
      <c r="AA375" s="44" t="n"/>
      <c r="AB375" s="44" t="n"/>
      <c r="AC375" s="44" t="n"/>
      <c r="AD375" s="44" t="n"/>
      <c r="AE375" s="85" t="n"/>
      <c r="AF375" s="85" t="n"/>
      <c r="AG375" s="44" t="n"/>
      <c r="AH375" s="44" t="n"/>
    </row>
    <row r="376">
      <c r="A376" s="44" t="n"/>
      <c r="B376" s="44" t="n"/>
      <c r="C376" s="44" t="n"/>
      <c r="D376" s="44" t="n"/>
      <c r="E376" s="44" t="n"/>
      <c r="F376" s="44" t="n"/>
      <c r="G376" s="45" t="n"/>
      <c r="H376" s="44" t="n"/>
      <c r="I376" s="45" t="n"/>
      <c r="J376" s="44" t="n"/>
      <c r="K376" s="85" t="n"/>
      <c r="L376" s="85" t="n"/>
      <c r="M376" s="85" t="n"/>
      <c r="N376" s="85" t="n"/>
      <c r="O376" s="85" t="n"/>
      <c r="P376" s="85" t="n"/>
      <c r="Q376" s="85" t="n"/>
      <c r="R376" s="85" t="n"/>
      <c r="S376" s="85" t="n"/>
      <c r="T376" s="85" t="n"/>
      <c r="U376" s="85" t="n"/>
      <c r="V376" s="44" t="n"/>
      <c r="W376" s="50">
        <f>IF(OR(M376="",Q376="",S376=""),"",IF(ABS(ROUND(((ROUND(N(M376)*100,0))-(ROUND(N(Q376)*100,0))),0)-(ROUND(N(S376)*100,0)))&lt;=0,"OK","ABWEICHUNG"))</f>
        <v/>
      </c>
      <c r="X376" s="50">
        <f>IF(OR(K376="",M376="",N376=""),"",IF(ABS(ROUND(((ROUND(N(K376)*100,0)+ROUND(N(L376)*100,0))-(ROUND(N(M376)*100,0))),0)-(ROUND(N(N376)*100,0)))&lt;=0,"OK",IF(OR(L376=""),"UNVOLLSTÄNDIG","ABWEICHUNG")))</f>
        <v/>
      </c>
      <c r="Y376" s="50">
        <f>IF(OR(K376="",O376="",R376=""),"",IF(ABS(ROUND(((ROUND(N(K376)*100,0))-(ROUND(N(O376)*100,0))),0)-(ROUND(N(R376)*100,0)))&lt;=0,"OK","ABWEICHUNG"))</f>
        <v/>
      </c>
      <c r="Z376" s="50">
        <f>IF(OR(N376="",O376="",P376="",Q376="",T376=""),"",IF(ABS(ROUND(((ROUND(N(N376)*100,0)+ROUND(N(Q376)*100,0))-(ROUND(N(O376)*100,0)+ROUND(N(P376)*100,0))),0)-(ROUND(N(T376)*100,0)))&lt;=0,"OK","ABWEICHUNG"))</f>
        <v/>
      </c>
      <c r="AA376" s="44" t="n"/>
      <c r="AB376" s="44" t="n"/>
      <c r="AC376" s="44" t="n"/>
      <c r="AD376" s="44" t="n"/>
      <c r="AE376" s="85" t="n"/>
      <c r="AF376" s="85" t="n"/>
      <c r="AG376" s="44" t="n"/>
      <c r="AH376" s="44" t="n"/>
    </row>
    <row r="377">
      <c r="A377" s="44" t="n"/>
      <c r="B377" s="44" t="n"/>
      <c r="C377" s="44" t="n"/>
      <c r="D377" s="44" t="n"/>
      <c r="E377" s="44" t="n"/>
      <c r="F377" s="44" t="n"/>
      <c r="G377" s="45" t="n"/>
      <c r="H377" s="44" t="n"/>
      <c r="I377" s="45" t="n"/>
      <c r="J377" s="44" t="n"/>
      <c r="K377" s="85" t="n"/>
      <c r="L377" s="85" t="n"/>
      <c r="M377" s="85" t="n"/>
      <c r="N377" s="85" t="n"/>
      <c r="O377" s="85" t="n"/>
      <c r="P377" s="85" t="n"/>
      <c r="Q377" s="85" t="n"/>
      <c r="R377" s="85" t="n"/>
      <c r="S377" s="85" t="n"/>
      <c r="T377" s="85" t="n"/>
      <c r="U377" s="85" t="n"/>
      <c r="V377" s="44" t="n"/>
      <c r="W377" s="50">
        <f>IF(OR(M377="",Q377="",S377=""),"",IF(ABS(ROUND(((ROUND(N(M377)*100,0))-(ROUND(N(Q377)*100,0))),0)-(ROUND(N(S377)*100,0)))&lt;=0,"OK","ABWEICHUNG"))</f>
        <v/>
      </c>
      <c r="X377" s="50">
        <f>IF(OR(K377="",M377="",N377=""),"",IF(ABS(ROUND(((ROUND(N(K377)*100,0)+ROUND(N(L377)*100,0))-(ROUND(N(M377)*100,0))),0)-(ROUND(N(N377)*100,0)))&lt;=0,"OK",IF(OR(L377=""),"UNVOLLSTÄNDIG","ABWEICHUNG")))</f>
        <v/>
      </c>
      <c r="Y377" s="50">
        <f>IF(OR(K377="",O377="",R377=""),"",IF(ABS(ROUND(((ROUND(N(K377)*100,0))-(ROUND(N(O377)*100,0))),0)-(ROUND(N(R377)*100,0)))&lt;=0,"OK","ABWEICHUNG"))</f>
        <v/>
      </c>
      <c r="Z377" s="50">
        <f>IF(OR(N377="",O377="",P377="",Q377="",T377=""),"",IF(ABS(ROUND(((ROUND(N(N377)*100,0)+ROUND(N(Q377)*100,0))-(ROUND(N(O377)*100,0)+ROUND(N(P377)*100,0))),0)-(ROUND(N(T377)*100,0)))&lt;=0,"OK","ABWEICHUNG"))</f>
        <v/>
      </c>
      <c r="AA377" s="44" t="n"/>
      <c r="AB377" s="44" t="n"/>
      <c r="AC377" s="44" t="n"/>
      <c r="AD377" s="44" t="n"/>
      <c r="AE377" s="85" t="n"/>
      <c r="AF377" s="85" t="n"/>
      <c r="AG377" s="44" t="n"/>
      <c r="AH377" s="44" t="n"/>
    </row>
    <row r="378">
      <c r="A378" s="44" t="n"/>
      <c r="B378" s="44" t="n"/>
      <c r="C378" s="44" t="n"/>
      <c r="D378" s="44" t="n"/>
      <c r="E378" s="44" t="n"/>
      <c r="F378" s="44" t="n"/>
      <c r="G378" s="45" t="n"/>
      <c r="H378" s="44" t="n"/>
      <c r="I378" s="45" t="n"/>
      <c r="J378" s="44" t="n"/>
      <c r="K378" s="85" t="n"/>
      <c r="L378" s="85" t="n"/>
      <c r="M378" s="85" t="n"/>
      <c r="N378" s="85" t="n"/>
      <c r="O378" s="85" t="n"/>
      <c r="P378" s="85" t="n"/>
      <c r="Q378" s="85" t="n"/>
      <c r="R378" s="85" t="n"/>
      <c r="S378" s="85" t="n"/>
      <c r="T378" s="85" t="n"/>
      <c r="U378" s="85" t="n"/>
      <c r="V378" s="44" t="n"/>
      <c r="W378" s="50">
        <f>IF(OR(M378="",Q378="",S378=""),"",IF(ABS(ROUND(((ROUND(N(M378)*100,0))-(ROUND(N(Q378)*100,0))),0)-(ROUND(N(S378)*100,0)))&lt;=0,"OK","ABWEICHUNG"))</f>
        <v/>
      </c>
      <c r="X378" s="50">
        <f>IF(OR(K378="",M378="",N378=""),"",IF(ABS(ROUND(((ROUND(N(K378)*100,0)+ROUND(N(L378)*100,0))-(ROUND(N(M378)*100,0))),0)-(ROUND(N(N378)*100,0)))&lt;=0,"OK",IF(OR(L378=""),"UNVOLLSTÄNDIG","ABWEICHUNG")))</f>
        <v/>
      </c>
      <c r="Y378" s="50">
        <f>IF(OR(K378="",O378="",R378=""),"",IF(ABS(ROUND(((ROUND(N(K378)*100,0))-(ROUND(N(O378)*100,0))),0)-(ROUND(N(R378)*100,0)))&lt;=0,"OK","ABWEICHUNG"))</f>
        <v/>
      </c>
      <c r="Z378" s="50">
        <f>IF(OR(N378="",O378="",P378="",Q378="",T378=""),"",IF(ABS(ROUND(((ROUND(N(N378)*100,0)+ROUND(N(Q378)*100,0))-(ROUND(N(O378)*100,0)+ROUND(N(P378)*100,0))),0)-(ROUND(N(T378)*100,0)))&lt;=0,"OK","ABWEICHUNG"))</f>
        <v/>
      </c>
      <c r="AA378" s="44" t="n"/>
      <c r="AB378" s="44" t="n"/>
      <c r="AC378" s="44" t="n"/>
      <c r="AD378" s="44" t="n"/>
      <c r="AE378" s="85" t="n"/>
      <c r="AF378" s="85" t="n"/>
      <c r="AG378" s="44" t="n"/>
      <c r="AH378" s="44" t="n"/>
    </row>
    <row r="379">
      <c r="A379" s="44" t="n"/>
      <c r="B379" s="44" t="n"/>
      <c r="C379" s="44" t="n"/>
      <c r="D379" s="44" t="n"/>
      <c r="E379" s="44" t="n"/>
      <c r="F379" s="44" t="n"/>
      <c r="G379" s="45" t="n"/>
      <c r="H379" s="44" t="n"/>
      <c r="I379" s="45" t="n"/>
      <c r="J379" s="44" t="n"/>
      <c r="K379" s="85" t="n"/>
      <c r="L379" s="85" t="n"/>
      <c r="M379" s="85" t="n"/>
      <c r="N379" s="85" t="n"/>
      <c r="O379" s="85" t="n"/>
      <c r="P379" s="85" t="n"/>
      <c r="Q379" s="85" t="n"/>
      <c r="R379" s="85" t="n"/>
      <c r="S379" s="85" t="n"/>
      <c r="T379" s="85" t="n"/>
      <c r="U379" s="85" t="n"/>
      <c r="V379" s="44" t="n"/>
      <c r="W379" s="50">
        <f>IF(OR(M379="",Q379="",S379=""),"",IF(ABS(ROUND(((ROUND(N(M379)*100,0))-(ROUND(N(Q379)*100,0))),0)-(ROUND(N(S379)*100,0)))&lt;=0,"OK","ABWEICHUNG"))</f>
        <v/>
      </c>
      <c r="X379" s="50">
        <f>IF(OR(K379="",M379="",N379=""),"",IF(ABS(ROUND(((ROUND(N(K379)*100,0)+ROUND(N(L379)*100,0))-(ROUND(N(M379)*100,0))),0)-(ROUND(N(N379)*100,0)))&lt;=0,"OK",IF(OR(L379=""),"UNVOLLSTÄNDIG","ABWEICHUNG")))</f>
        <v/>
      </c>
      <c r="Y379" s="50">
        <f>IF(OR(K379="",O379="",R379=""),"",IF(ABS(ROUND(((ROUND(N(K379)*100,0))-(ROUND(N(O379)*100,0))),0)-(ROUND(N(R379)*100,0)))&lt;=0,"OK","ABWEICHUNG"))</f>
        <v/>
      </c>
      <c r="Z379" s="50">
        <f>IF(OR(N379="",O379="",P379="",Q379="",T379=""),"",IF(ABS(ROUND(((ROUND(N(N379)*100,0)+ROUND(N(Q379)*100,0))-(ROUND(N(O379)*100,0)+ROUND(N(P379)*100,0))),0)-(ROUND(N(T379)*100,0)))&lt;=0,"OK","ABWEICHUNG"))</f>
        <v/>
      </c>
      <c r="AA379" s="44" t="n"/>
      <c r="AB379" s="44" t="n"/>
      <c r="AC379" s="44" t="n"/>
      <c r="AD379" s="44" t="n"/>
      <c r="AE379" s="85" t="n"/>
      <c r="AF379" s="85" t="n"/>
      <c r="AG379" s="44" t="n"/>
      <c r="AH379" s="44" t="n"/>
    </row>
    <row r="380">
      <c r="A380" s="44" t="n"/>
      <c r="B380" s="44" t="n"/>
      <c r="C380" s="44" t="n"/>
      <c r="D380" s="44" t="n"/>
      <c r="E380" s="44" t="n"/>
      <c r="F380" s="44" t="n"/>
      <c r="G380" s="45" t="n"/>
      <c r="H380" s="44" t="n"/>
      <c r="I380" s="45" t="n"/>
      <c r="J380" s="44" t="n"/>
      <c r="K380" s="85" t="n"/>
      <c r="L380" s="85" t="n"/>
      <c r="M380" s="85" t="n"/>
      <c r="N380" s="85" t="n"/>
      <c r="O380" s="85" t="n"/>
      <c r="P380" s="85" t="n"/>
      <c r="Q380" s="85" t="n"/>
      <c r="R380" s="85" t="n"/>
      <c r="S380" s="85" t="n"/>
      <c r="T380" s="85" t="n"/>
      <c r="U380" s="85" t="n"/>
      <c r="V380" s="44" t="n"/>
      <c r="W380" s="50">
        <f>IF(OR(M380="",Q380="",S380=""),"",IF(ABS(ROUND(((ROUND(N(M380)*100,0))-(ROUND(N(Q380)*100,0))),0)-(ROUND(N(S380)*100,0)))&lt;=0,"OK","ABWEICHUNG"))</f>
        <v/>
      </c>
      <c r="X380" s="50">
        <f>IF(OR(K380="",M380="",N380=""),"",IF(ABS(ROUND(((ROUND(N(K380)*100,0)+ROUND(N(L380)*100,0))-(ROUND(N(M380)*100,0))),0)-(ROUND(N(N380)*100,0)))&lt;=0,"OK",IF(OR(L380=""),"UNVOLLSTÄNDIG","ABWEICHUNG")))</f>
        <v/>
      </c>
      <c r="Y380" s="50">
        <f>IF(OR(K380="",O380="",R380=""),"",IF(ABS(ROUND(((ROUND(N(K380)*100,0))-(ROUND(N(O380)*100,0))),0)-(ROUND(N(R380)*100,0)))&lt;=0,"OK","ABWEICHUNG"))</f>
        <v/>
      </c>
      <c r="Z380" s="50">
        <f>IF(OR(N380="",O380="",P380="",Q380="",T380=""),"",IF(ABS(ROUND(((ROUND(N(N380)*100,0)+ROUND(N(Q380)*100,0))-(ROUND(N(O380)*100,0)+ROUND(N(P380)*100,0))),0)-(ROUND(N(T380)*100,0)))&lt;=0,"OK","ABWEICHUNG"))</f>
        <v/>
      </c>
      <c r="AA380" s="44" t="n"/>
      <c r="AB380" s="44" t="n"/>
      <c r="AC380" s="44" t="n"/>
      <c r="AD380" s="44" t="n"/>
      <c r="AE380" s="85" t="n"/>
      <c r="AF380" s="85" t="n"/>
      <c r="AG380" s="44" t="n"/>
      <c r="AH380" s="44" t="n"/>
    </row>
    <row r="381">
      <c r="A381" s="44" t="n"/>
      <c r="B381" s="44" t="n"/>
      <c r="C381" s="44" t="n"/>
      <c r="D381" s="44" t="n"/>
      <c r="E381" s="44" t="n"/>
      <c r="F381" s="44" t="n"/>
      <c r="G381" s="45" t="n"/>
      <c r="H381" s="44" t="n"/>
      <c r="I381" s="45" t="n"/>
      <c r="J381" s="44" t="n"/>
      <c r="K381" s="85" t="n"/>
      <c r="L381" s="85" t="n"/>
      <c r="M381" s="85" t="n"/>
      <c r="N381" s="85" t="n"/>
      <c r="O381" s="85" t="n"/>
      <c r="P381" s="85" t="n"/>
      <c r="Q381" s="85" t="n"/>
      <c r="R381" s="85" t="n"/>
      <c r="S381" s="85" t="n"/>
      <c r="T381" s="85" t="n"/>
      <c r="U381" s="85" t="n"/>
      <c r="V381" s="44" t="n"/>
      <c r="W381" s="50">
        <f>IF(OR(M381="",Q381="",S381=""),"",IF(ABS(ROUND(((ROUND(N(M381)*100,0))-(ROUND(N(Q381)*100,0))),0)-(ROUND(N(S381)*100,0)))&lt;=0,"OK","ABWEICHUNG"))</f>
        <v/>
      </c>
      <c r="X381" s="50">
        <f>IF(OR(K381="",M381="",N381=""),"",IF(ABS(ROUND(((ROUND(N(K381)*100,0)+ROUND(N(L381)*100,0))-(ROUND(N(M381)*100,0))),0)-(ROUND(N(N381)*100,0)))&lt;=0,"OK",IF(OR(L381=""),"UNVOLLSTÄNDIG","ABWEICHUNG")))</f>
        <v/>
      </c>
      <c r="Y381" s="50">
        <f>IF(OR(K381="",O381="",R381=""),"",IF(ABS(ROUND(((ROUND(N(K381)*100,0))-(ROUND(N(O381)*100,0))),0)-(ROUND(N(R381)*100,0)))&lt;=0,"OK","ABWEICHUNG"))</f>
        <v/>
      </c>
      <c r="Z381" s="50">
        <f>IF(OR(N381="",O381="",P381="",Q381="",T381=""),"",IF(ABS(ROUND(((ROUND(N(N381)*100,0)+ROUND(N(Q381)*100,0))-(ROUND(N(O381)*100,0)+ROUND(N(P381)*100,0))),0)-(ROUND(N(T381)*100,0)))&lt;=0,"OK","ABWEICHUNG"))</f>
        <v/>
      </c>
      <c r="AA381" s="44" t="n"/>
      <c r="AB381" s="44" t="n"/>
      <c r="AC381" s="44" t="n"/>
      <c r="AD381" s="44" t="n"/>
      <c r="AE381" s="85" t="n"/>
      <c r="AF381" s="85" t="n"/>
      <c r="AG381" s="44" t="n"/>
      <c r="AH381" s="44" t="n"/>
    </row>
    <row r="382">
      <c r="A382" s="44" t="n"/>
      <c r="B382" s="44" t="n"/>
      <c r="C382" s="44" t="n"/>
      <c r="D382" s="44" t="n"/>
      <c r="E382" s="44" t="n"/>
      <c r="F382" s="44" t="n"/>
      <c r="G382" s="45" t="n"/>
      <c r="H382" s="44" t="n"/>
      <c r="I382" s="45" t="n"/>
      <c r="J382" s="44" t="n"/>
      <c r="K382" s="85" t="n"/>
      <c r="L382" s="85" t="n"/>
      <c r="M382" s="85" t="n"/>
      <c r="N382" s="85" t="n"/>
      <c r="O382" s="85" t="n"/>
      <c r="P382" s="85" t="n"/>
      <c r="Q382" s="85" t="n"/>
      <c r="R382" s="85" t="n"/>
      <c r="S382" s="85" t="n"/>
      <c r="T382" s="85" t="n"/>
      <c r="U382" s="85" t="n"/>
      <c r="V382" s="44" t="n"/>
      <c r="W382" s="50">
        <f>IF(OR(M382="",Q382="",S382=""),"",IF(ABS(ROUND(((ROUND(N(M382)*100,0))-(ROUND(N(Q382)*100,0))),0)-(ROUND(N(S382)*100,0)))&lt;=0,"OK","ABWEICHUNG"))</f>
        <v/>
      </c>
      <c r="X382" s="50">
        <f>IF(OR(K382="",M382="",N382=""),"",IF(ABS(ROUND(((ROUND(N(K382)*100,0)+ROUND(N(L382)*100,0))-(ROUND(N(M382)*100,0))),0)-(ROUND(N(N382)*100,0)))&lt;=0,"OK",IF(OR(L382=""),"UNVOLLSTÄNDIG","ABWEICHUNG")))</f>
        <v/>
      </c>
      <c r="Y382" s="50">
        <f>IF(OR(K382="",O382="",R382=""),"",IF(ABS(ROUND(((ROUND(N(K382)*100,0))-(ROUND(N(O382)*100,0))),0)-(ROUND(N(R382)*100,0)))&lt;=0,"OK","ABWEICHUNG"))</f>
        <v/>
      </c>
      <c r="Z382" s="50">
        <f>IF(OR(N382="",O382="",P382="",Q382="",T382=""),"",IF(ABS(ROUND(((ROUND(N(N382)*100,0)+ROUND(N(Q382)*100,0))-(ROUND(N(O382)*100,0)+ROUND(N(P382)*100,0))),0)-(ROUND(N(T382)*100,0)))&lt;=0,"OK","ABWEICHUNG"))</f>
        <v/>
      </c>
      <c r="AA382" s="44" t="n"/>
      <c r="AB382" s="44" t="n"/>
      <c r="AC382" s="44" t="n"/>
      <c r="AD382" s="44" t="n"/>
      <c r="AE382" s="85" t="n"/>
      <c r="AF382" s="85" t="n"/>
      <c r="AG382" s="44" t="n"/>
      <c r="AH382" s="44" t="n"/>
    </row>
    <row r="383">
      <c r="A383" s="44" t="n"/>
      <c r="B383" s="44" t="n"/>
      <c r="C383" s="44" t="n"/>
      <c r="D383" s="44" t="n"/>
      <c r="E383" s="44" t="n"/>
      <c r="F383" s="44" t="n"/>
      <c r="G383" s="45" t="n"/>
      <c r="H383" s="44" t="n"/>
      <c r="I383" s="45" t="n"/>
      <c r="J383" s="44" t="n"/>
      <c r="K383" s="85" t="n"/>
      <c r="L383" s="85" t="n"/>
      <c r="M383" s="85" t="n"/>
      <c r="N383" s="85" t="n"/>
      <c r="O383" s="85" t="n"/>
      <c r="P383" s="85" t="n"/>
      <c r="Q383" s="85" t="n"/>
      <c r="R383" s="85" t="n"/>
      <c r="S383" s="85" t="n"/>
      <c r="T383" s="85" t="n"/>
      <c r="U383" s="85" t="n"/>
      <c r="V383" s="44" t="n"/>
      <c r="W383" s="50">
        <f>IF(OR(M383="",Q383="",S383=""),"",IF(ABS(ROUND(((ROUND(N(M383)*100,0))-(ROUND(N(Q383)*100,0))),0)-(ROUND(N(S383)*100,0)))&lt;=0,"OK","ABWEICHUNG"))</f>
        <v/>
      </c>
      <c r="X383" s="50">
        <f>IF(OR(K383="",M383="",N383=""),"",IF(ABS(ROUND(((ROUND(N(K383)*100,0)+ROUND(N(L383)*100,0))-(ROUND(N(M383)*100,0))),0)-(ROUND(N(N383)*100,0)))&lt;=0,"OK",IF(OR(L383=""),"UNVOLLSTÄNDIG","ABWEICHUNG")))</f>
        <v/>
      </c>
      <c r="Y383" s="50">
        <f>IF(OR(K383="",O383="",R383=""),"",IF(ABS(ROUND(((ROUND(N(K383)*100,0))-(ROUND(N(O383)*100,0))),0)-(ROUND(N(R383)*100,0)))&lt;=0,"OK","ABWEICHUNG"))</f>
        <v/>
      </c>
      <c r="Z383" s="50">
        <f>IF(OR(N383="",O383="",P383="",Q383="",T383=""),"",IF(ABS(ROUND(((ROUND(N(N383)*100,0)+ROUND(N(Q383)*100,0))-(ROUND(N(O383)*100,0)+ROUND(N(P383)*100,0))),0)-(ROUND(N(T383)*100,0)))&lt;=0,"OK","ABWEICHUNG"))</f>
        <v/>
      </c>
      <c r="AA383" s="44" t="n"/>
      <c r="AB383" s="44" t="n"/>
      <c r="AC383" s="44" t="n"/>
      <c r="AD383" s="44" t="n"/>
      <c r="AE383" s="85" t="n"/>
      <c r="AF383" s="85" t="n"/>
      <c r="AG383" s="44" t="n"/>
      <c r="AH383" s="44" t="n"/>
    </row>
    <row r="384">
      <c r="A384" s="44" t="n"/>
      <c r="B384" s="44" t="n"/>
      <c r="C384" s="44" t="n"/>
      <c r="D384" s="44" t="n"/>
      <c r="E384" s="44" t="n"/>
      <c r="F384" s="44" t="n"/>
      <c r="G384" s="45" t="n"/>
      <c r="H384" s="44" t="n"/>
      <c r="I384" s="45" t="n"/>
      <c r="J384" s="44" t="n"/>
      <c r="K384" s="85" t="n"/>
      <c r="L384" s="85" t="n"/>
      <c r="M384" s="85" t="n"/>
      <c r="N384" s="85" t="n"/>
      <c r="O384" s="85" t="n"/>
      <c r="P384" s="85" t="n"/>
      <c r="Q384" s="85" t="n"/>
      <c r="R384" s="85" t="n"/>
      <c r="S384" s="85" t="n"/>
      <c r="T384" s="85" t="n"/>
      <c r="U384" s="85" t="n"/>
      <c r="V384" s="44" t="n"/>
      <c r="W384" s="50">
        <f>IF(OR(M384="",Q384="",S384=""),"",IF(ABS(ROUND(((ROUND(N(M384)*100,0))-(ROUND(N(Q384)*100,0))),0)-(ROUND(N(S384)*100,0)))&lt;=0,"OK","ABWEICHUNG"))</f>
        <v/>
      </c>
      <c r="X384" s="50">
        <f>IF(OR(K384="",M384="",N384=""),"",IF(ABS(ROUND(((ROUND(N(K384)*100,0)+ROUND(N(L384)*100,0))-(ROUND(N(M384)*100,0))),0)-(ROUND(N(N384)*100,0)))&lt;=0,"OK",IF(OR(L384=""),"UNVOLLSTÄNDIG","ABWEICHUNG")))</f>
        <v/>
      </c>
      <c r="Y384" s="50">
        <f>IF(OR(K384="",O384="",R384=""),"",IF(ABS(ROUND(((ROUND(N(K384)*100,0))-(ROUND(N(O384)*100,0))),0)-(ROUND(N(R384)*100,0)))&lt;=0,"OK","ABWEICHUNG"))</f>
        <v/>
      </c>
      <c r="Z384" s="50">
        <f>IF(OR(N384="",O384="",P384="",Q384="",T384=""),"",IF(ABS(ROUND(((ROUND(N(N384)*100,0)+ROUND(N(Q384)*100,0))-(ROUND(N(O384)*100,0)+ROUND(N(P384)*100,0))),0)-(ROUND(N(T384)*100,0)))&lt;=0,"OK","ABWEICHUNG"))</f>
        <v/>
      </c>
      <c r="AA384" s="44" t="n"/>
      <c r="AB384" s="44" t="n"/>
      <c r="AC384" s="44" t="n"/>
      <c r="AD384" s="44" t="n"/>
      <c r="AE384" s="85" t="n"/>
      <c r="AF384" s="85" t="n"/>
      <c r="AG384" s="44" t="n"/>
      <c r="AH384" s="44" t="n"/>
    </row>
    <row r="385">
      <c r="A385" s="44" t="n"/>
      <c r="B385" s="44" t="n"/>
      <c r="C385" s="44" t="n"/>
      <c r="D385" s="44" t="n"/>
      <c r="E385" s="44" t="n"/>
      <c r="F385" s="44" t="n"/>
      <c r="G385" s="45" t="n"/>
      <c r="H385" s="44" t="n"/>
      <c r="I385" s="45" t="n"/>
      <c r="J385" s="44" t="n"/>
      <c r="K385" s="85" t="n"/>
      <c r="L385" s="85" t="n"/>
      <c r="M385" s="85" t="n"/>
      <c r="N385" s="85" t="n"/>
      <c r="O385" s="85" t="n"/>
      <c r="P385" s="85" t="n"/>
      <c r="Q385" s="85" t="n"/>
      <c r="R385" s="85" t="n"/>
      <c r="S385" s="85" t="n"/>
      <c r="T385" s="85" t="n"/>
      <c r="U385" s="85" t="n"/>
      <c r="V385" s="44" t="n"/>
      <c r="W385" s="50">
        <f>IF(OR(M385="",Q385="",S385=""),"",IF(ABS(ROUND(((ROUND(N(M385)*100,0))-(ROUND(N(Q385)*100,0))),0)-(ROUND(N(S385)*100,0)))&lt;=0,"OK","ABWEICHUNG"))</f>
        <v/>
      </c>
      <c r="X385" s="50">
        <f>IF(OR(K385="",M385="",N385=""),"",IF(ABS(ROUND(((ROUND(N(K385)*100,0)+ROUND(N(L385)*100,0))-(ROUND(N(M385)*100,0))),0)-(ROUND(N(N385)*100,0)))&lt;=0,"OK",IF(OR(L385=""),"UNVOLLSTÄNDIG","ABWEICHUNG")))</f>
        <v/>
      </c>
      <c r="Y385" s="50">
        <f>IF(OR(K385="",O385="",R385=""),"",IF(ABS(ROUND(((ROUND(N(K385)*100,0))-(ROUND(N(O385)*100,0))),0)-(ROUND(N(R385)*100,0)))&lt;=0,"OK","ABWEICHUNG"))</f>
        <v/>
      </c>
      <c r="Z385" s="50">
        <f>IF(OR(N385="",O385="",P385="",Q385="",T385=""),"",IF(ABS(ROUND(((ROUND(N(N385)*100,0)+ROUND(N(Q385)*100,0))-(ROUND(N(O385)*100,0)+ROUND(N(P385)*100,0))),0)-(ROUND(N(T385)*100,0)))&lt;=0,"OK","ABWEICHUNG"))</f>
        <v/>
      </c>
      <c r="AA385" s="44" t="n"/>
      <c r="AB385" s="44" t="n"/>
      <c r="AC385" s="44" t="n"/>
      <c r="AD385" s="44" t="n"/>
      <c r="AE385" s="85" t="n"/>
      <c r="AF385" s="85" t="n"/>
      <c r="AG385" s="44" t="n"/>
      <c r="AH385" s="44" t="n"/>
    </row>
    <row r="386">
      <c r="A386" s="44" t="n"/>
      <c r="B386" s="44" t="n"/>
      <c r="C386" s="44" t="n"/>
      <c r="D386" s="44" t="n"/>
      <c r="E386" s="44" t="n"/>
      <c r="F386" s="44" t="n"/>
      <c r="G386" s="45" t="n"/>
      <c r="H386" s="44" t="n"/>
      <c r="I386" s="45" t="n"/>
      <c r="J386" s="44" t="n"/>
      <c r="K386" s="85" t="n"/>
      <c r="L386" s="85" t="n"/>
      <c r="M386" s="85" t="n"/>
      <c r="N386" s="85" t="n"/>
      <c r="O386" s="85" t="n"/>
      <c r="P386" s="85" t="n"/>
      <c r="Q386" s="85" t="n"/>
      <c r="R386" s="85" t="n"/>
      <c r="S386" s="85" t="n"/>
      <c r="T386" s="85" t="n"/>
      <c r="U386" s="85" t="n"/>
      <c r="V386" s="44" t="n"/>
      <c r="W386" s="50">
        <f>IF(OR(M386="",Q386="",S386=""),"",IF(ABS(ROUND(((ROUND(N(M386)*100,0))-(ROUND(N(Q386)*100,0))),0)-(ROUND(N(S386)*100,0)))&lt;=0,"OK","ABWEICHUNG"))</f>
        <v/>
      </c>
      <c r="X386" s="50">
        <f>IF(OR(K386="",M386="",N386=""),"",IF(ABS(ROUND(((ROUND(N(K386)*100,0)+ROUND(N(L386)*100,0))-(ROUND(N(M386)*100,0))),0)-(ROUND(N(N386)*100,0)))&lt;=0,"OK",IF(OR(L386=""),"UNVOLLSTÄNDIG","ABWEICHUNG")))</f>
        <v/>
      </c>
      <c r="Y386" s="50">
        <f>IF(OR(K386="",O386="",R386=""),"",IF(ABS(ROUND(((ROUND(N(K386)*100,0))-(ROUND(N(O386)*100,0))),0)-(ROUND(N(R386)*100,0)))&lt;=0,"OK","ABWEICHUNG"))</f>
        <v/>
      </c>
      <c r="Z386" s="50">
        <f>IF(OR(N386="",O386="",P386="",Q386="",T386=""),"",IF(ABS(ROUND(((ROUND(N(N386)*100,0)+ROUND(N(Q386)*100,0))-(ROUND(N(O386)*100,0)+ROUND(N(P386)*100,0))),0)-(ROUND(N(T386)*100,0)))&lt;=0,"OK","ABWEICHUNG"))</f>
        <v/>
      </c>
      <c r="AA386" s="44" t="n"/>
      <c r="AB386" s="44" t="n"/>
      <c r="AC386" s="44" t="n"/>
      <c r="AD386" s="44" t="n"/>
      <c r="AE386" s="85" t="n"/>
      <c r="AF386" s="85" t="n"/>
      <c r="AG386" s="44" t="n"/>
      <c r="AH386" s="44" t="n"/>
    </row>
    <row r="387">
      <c r="A387" s="44" t="n"/>
      <c r="B387" s="44" t="n"/>
      <c r="C387" s="44" t="n"/>
      <c r="D387" s="44" t="n"/>
      <c r="E387" s="44" t="n"/>
      <c r="F387" s="44" t="n"/>
      <c r="G387" s="45" t="n"/>
      <c r="H387" s="44" t="n"/>
      <c r="I387" s="45" t="n"/>
      <c r="J387" s="44" t="n"/>
      <c r="K387" s="85" t="n"/>
      <c r="L387" s="85" t="n"/>
      <c r="M387" s="85" t="n"/>
      <c r="N387" s="85" t="n"/>
      <c r="O387" s="85" t="n"/>
      <c r="P387" s="85" t="n"/>
      <c r="Q387" s="85" t="n"/>
      <c r="R387" s="85" t="n"/>
      <c r="S387" s="85" t="n"/>
      <c r="T387" s="85" t="n"/>
      <c r="U387" s="85" t="n"/>
      <c r="V387" s="44" t="n"/>
      <c r="W387" s="50">
        <f>IF(OR(M387="",Q387="",S387=""),"",IF(ABS(ROUND(((ROUND(N(M387)*100,0))-(ROUND(N(Q387)*100,0))),0)-(ROUND(N(S387)*100,0)))&lt;=0,"OK","ABWEICHUNG"))</f>
        <v/>
      </c>
      <c r="X387" s="50">
        <f>IF(OR(K387="",M387="",N387=""),"",IF(ABS(ROUND(((ROUND(N(K387)*100,0)+ROUND(N(L387)*100,0))-(ROUND(N(M387)*100,0))),0)-(ROUND(N(N387)*100,0)))&lt;=0,"OK",IF(OR(L387=""),"UNVOLLSTÄNDIG","ABWEICHUNG")))</f>
        <v/>
      </c>
      <c r="Y387" s="50">
        <f>IF(OR(K387="",O387="",R387=""),"",IF(ABS(ROUND(((ROUND(N(K387)*100,0))-(ROUND(N(O387)*100,0))),0)-(ROUND(N(R387)*100,0)))&lt;=0,"OK","ABWEICHUNG"))</f>
        <v/>
      </c>
      <c r="Z387" s="50">
        <f>IF(OR(N387="",O387="",P387="",Q387="",T387=""),"",IF(ABS(ROUND(((ROUND(N(N387)*100,0)+ROUND(N(Q387)*100,0))-(ROUND(N(O387)*100,0)+ROUND(N(P387)*100,0))),0)-(ROUND(N(T387)*100,0)))&lt;=0,"OK","ABWEICHUNG"))</f>
        <v/>
      </c>
      <c r="AA387" s="44" t="n"/>
      <c r="AB387" s="44" t="n"/>
      <c r="AC387" s="44" t="n"/>
      <c r="AD387" s="44" t="n"/>
      <c r="AE387" s="85" t="n"/>
      <c r="AF387" s="85" t="n"/>
      <c r="AG387" s="44" t="n"/>
      <c r="AH387" s="44" t="n"/>
    </row>
    <row r="388">
      <c r="A388" s="44" t="n"/>
      <c r="B388" s="44" t="n"/>
      <c r="C388" s="44" t="n"/>
      <c r="D388" s="44" t="n"/>
      <c r="E388" s="44" t="n"/>
      <c r="F388" s="44" t="n"/>
      <c r="G388" s="45" t="n"/>
      <c r="H388" s="44" t="n"/>
      <c r="I388" s="45" t="n"/>
      <c r="J388" s="44" t="n"/>
      <c r="K388" s="85" t="n"/>
      <c r="L388" s="85" t="n"/>
      <c r="M388" s="85" t="n"/>
      <c r="N388" s="85" t="n"/>
      <c r="O388" s="85" t="n"/>
      <c r="P388" s="85" t="n"/>
      <c r="Q388" s="85" t="n"/>
      <c r="R388" s="85" t="n"/>
      <c r="S388" s="85" t="n"/>
      <c r="T388" s="85" t="n"/>
      <c r="U388" s="85" t="n"/>
      <c r="V388" s="44" t="n"/>
      <c r="W388" s="50">
        <f>IF(OR(M388="",Q388="",S388=""),"",IF(ABS(ROUND(((ROUND(N(M388)*100,0))-(ROUND(N(Q388)*100,0))),0)-(ROUND(N(S388)*100,0)))&lt;=0,"OK","ABWEICHUNG"))</f>
        <v/>
      </c>
      <c r="X388" s="50">
        <f>IF(OR(K388="",M388="",N388=""),"",IF(ABS(ROUND(((ROUND(N(K388)*100,0)+ROUND(N(L388)*100,0))-(ROUND(N(M388)*100,0))),0)-(ROUND(N(N388)*100,0)))&lt;=0,"OK",IF(OR(L388=""),"UNVOLLSTÄNDIG","ABWEICHUNG")))</f>
        <v/>
      </c>
      <c r="Y388" s="50">
        <f>IF(OR(K388="",O388="",R388=""),"",IF(ABS(ROUND(((ROUND(N(K388)*100,0))-(ROUND(N(O388)*100,0))),0)-(ROUND(N(R388)*100,0)))&lt;=0,"OK","ABWEICHUNG"))</f>
        <v/>
      </c>
      <c r="Z388" s="50">
        <f>IF(OR(N388="",O388="",P388="",Q388="",T388=""),"",IF(ABS(ROUND(((ROUND(N(N388)*100,0)+ROUND(N(Q388)*100,0))-(ROUND(N(O388)*100,0)+ROUND(N(P388)*100,0))),0)-(ROUND(N(T388)*100,0)))&lt;=0,"OK","ABWEICHUNG"))</f>
        <v/>
      </c>
      <c r="AA388" s="44" t="n"/>
      <c r="AB388" s="44" t="n"/>
      <c r="AC388" s="44" t="n"/>
      <c r="AD388" s="44" t="n"/>
      <c r="AE388" s="85" t="n"/>
      <c r="AF388" s="85" t="n"/>
      <c r="AG388" s="44" t="n"/>
      <c r="AH388" s="44" t="n"/>
    </row>
    <row r="389">
      <c r="A389" s="44" t="n"/>
      <c r="B389" s="44" t="n"/>
      <c r="C389" s="44" t="n"/>
      <c r="D389" s="44" t="n"/>
      <c r="E389" s="44" t="n"/>
      <c r="F389" s="44" t="n"/>
      <c r="G389" s="45" t="n"/>
      <c r="H389" s="44" t="n"/>
      <c r="I389" s="45" t="n"/>
      <c r="J389" s="44" t="n"/>
      <c r="K389" s="85" t="n"/>
      <c r="L389" s="85" t="n"/>
      <c r="M389" s="85" t="n"/>
      <c r="N389" s="85" t="n"/>
      <c r="O389" s="85" t="n"/>
      <c r="P389" s="85" t="n"/>
      <c r="Q389" s="85" t="n"/>
      <c r="R389" s="85" t="n"/>
      <c r="S389" s="85" t="n"/>
      <c r="T389" s="85" t="n"/>
      <c r="U389" s="85" t="n"/>
      <c r="V389" s="44" t="n"/>
      <c r="W389" s="50">
        <f>IF(OR(M389="",Q389="",S389=""),"",IF(ABS(ROUND(((ROUND(N(M389)*100,0))-(ROUND(N(Q389)*100,0))),0)-(ROUND(N(S389)*100,0)))&lt;=0,"OK","ABWEICHUNG"))</f>
        <v/>
      </c>
      <c r="X389" s="50">
        <f>IF(OR(K389="",M389="",N389=""),"",IF(ABS(ROUND(((ROUND(N(K389)*100,0)+ROUND(N(L389)*100,0))-(ROUND(N(M389)*100,0))),0)-(ROUND(N(N389)*100,0)))&lt;=0,"OK",IF(OR(L389=""),"UNVOLLSTÄNDIG","ABWEICHUNG")))</f>
        <v/>
      </c>
      <c r="Y389" s="50">
        <f>IF(OR(K389="",O389="",R389=""),"",IF(ABS(ROUND(((ROUND(N(K389)*100,0))-(ROUND(N(O389)*100,0))),0)-(ROUND(N(R389)*100,0)))&lt;=0,"OK","ABWEICHUNG"))</f>
        <v/>
      </c>
      <c r="Z389" s="50">
        <f>IF(OR(N389="",O389="",P389="",Q389="",T389=""),"",IF(ABS(ROUND(((ROUND(N(N389)*100,0)+ROUND(N(Q389)*100,0))-(ROUND(N(O389)*100,0)+ROUND(N(P389)*100,0))),0)-(ROUND(N(T389)*100,0)))&lt;=0,"OK","ABWEICHUNG"))</f>
        <v/>
      </c>
      <c r="AA389" s="44" t="n"/>
      <c r="AB389" s="44" t="n"/>
      <c r="AC389" s="44" t="n"/>
      <c r="AD389" s="44" t="n"/>
      <c r="AE389" s="85" t="n"/>
      <c r="AF389" s="85" t="n"/>
      <c r="AG389" s="44" t="n"/>
      <c r="AH389" s="44" t="n"/>
    </row>
    <row r="390">
      <c r="A390" s="44" t="n"/>
      <c r="B390" s="44" t="n"/>
      <c r="C390" s="44" t="n"/>
      <c r="D390" s="44" t="n"/>
      <c r="E390" s="44" t="n"/>
      <c r="F390" s="44" t="n"/>
      <c r="G390" s="45" t="n"/>
      <c r="H390" s="44" t="n"/>
      <c r="I390" s="45" t="n"/>
      <c r="J390" s="44" t="n"/>
      <c r="K390" s="85" t="n"/>
      <c r="L390" s="85" t="n"/>
      <c r="M390" s="85" t="n"/>
      <c r="N390" s="85" t="n"/>
      <c r="O390" s="85" t="n"/>
      <c r="P390" s="85" t="n"/>
      <c r="Q390" s="85" t="n"/>
      <c r="R390" s="85" t="n"/>
      <c r="S390" s="85" t="n"/>
      <c r="T390" s="85" t="n"/>
      <c r="U390" s="85" t="n"/>
      <c r="V390" s="44" t="n"/>
      <c r="W390" s="50">
        <f>IF(OR(M390="",Q390="",S390=""),"",IF(ABS(ROUND(((ROUND(N(M390)*100,0))-(ROUND(N(Q390)*100,0))),0)-(ROUND(N(S390)*100,0)))&lt;=0,"OK","ABWEICHUNG"))</f>
        <v/>
      </c>
      <c r="X390" s="50">
        <f>IF(OR(K390="",M390="",N390=""),"",IF(ABS(ROUND(((ROUND(N(K390)*100,0)+ROUND(N(L390)*100,0))-(ROUND(N(M390)*100,0))),0)-(ROUND(N(N390)*100,0)))&lt;=0,"OK",IF(OR(L390=""),"UNVOLLSTÄNDIG","ABWEICHUNG")))</f>
        <v/>
      </c>
      <c r="Y390" s="50">
        <f>IF(OR(K390="",O390="",R390=""),"",IF(ABS(ROUND(((ROUND(N(K390)*100,0))-(ROUND(N(O390)*100,0))),0)-(ROUND(N(R390)*100,0)))&lt;=0,"OK","ABWEICHUNG"))</f>
        <v/>
      </c>
      <c r="Z390" s="50">
        <f>IF(OR(N390="",O390="",P390="",Q390="",T390=""),"",IF(ABS(ROUND(((ROUND(N(N390)*100,0)+ROUND(N(Q390)*100,0))-(ROUND(N(O390)*100,0)+ROUND(N(P390)*100,0))),0)-(ROUND(N(T390)*100,0)))&lt;=0,"OK","ABWEICHUNG"))</f>
        <v/>
      </c>
      <c r="AA390" s="44" t="n"/>
      <c r="AB390" s="44" t="n"/>
      <c r="AC390" s="44" t="n"/>
      <c r="AD390" s="44" t="n"/>
      <c r="AE390" s="85" t="n"/>
      <c r="AF390" s="85" t="n"/>
      <c r="AG390" s="44" t="n"/>
      <c r="AH390" s="44" t="n"/>
    </row>
    <row r="391">
      <c r="A391" s="44" t="n"/>
      <c r="B391" s="44" t="n"/>
      <c r="C391" s="44" t="n"/>
      <c r="D391" s="44" t="n"/>
      <c r="E391" s="44" t="n"/>
      <c r="F391" s="44" t="n"/>
      <c r="G391" s="45" t="n"/>
      <c r="H391" s="44" t="n"/>
      <c r="I391" s="45" t="n"/>
      <c r="J391" s="44" t="n"/>
      <c r="K391" s="85" t="n"/>
      <c r="L391" s="85" t="n"/>
      <c r="M391" s="85" t="n"/>
      <c r="N391" s="85" t="n"/>
      <c r="O391" s="85" t="n"/>
      <c r="P391" s="85" t="n"/>
      <c r="Q391" s="85" t="n"/>
      <c r="R391" s="85" t="n"/>
      <c r="S391" s="85" t="n"/>
      <c r="T391" s="85" t="n"/>
      <c r="U391" s="85" t="n"/>
      <c r="V391" s="44" t="n"/>
      <c r="W391" s="50">
        <f>IF(OR(M391="",Q391="",S391=""),"",IF(ABS(ROUND(((ROUND(N(M391)*100,0))-(ROUND(N(Q391)*100,0))),0)-(ROUND(N(S391)*100,0)))&lt;=0,"OK","ABWEICHUNG"))</f>
        <v/>
      </c>
      <c r="X391" s="50">
        <f>IF(OR(K391="",M391="",N391=""),"",IF(ABS(ROUND(((ROUND(N(K391)*100,0)+ROUND(N(L391)*100,0))-(ROUND(N(M391)*100,0))),0)-(ROUND(N(N391)*100,0)))&lt;=0,"OK",IF(OR(L391=""),"UNVOLLSTÄNDIG","ABWEICHUNG")))</f>
        <v/>
      </c>
      <c r="Y391" s="50">
        <f>IF(OR(K391="",O391="",R391=""),"",IF(ABS(ROUND(((ROUND(N(K391)*100,0))-(ROUND(N(O391)*100,0))),0)-(ROUND(N(R391)*100,0)))&lt;=0,"OK","ABWEICHUNG"))</f>
        <v/>
      </c>
      <c r="Z391" s="50">
        <f>IF(OR(N391="",O391="",P391="",Q391="",T391=""),"",IF(ABS(ROUND(((ROUND(N(N391)*100,0)+ROUND(N(Q391)*100,0))-(ROUND(N(O391)*100,0)+ROUND(N(P391)*100,0))),0)-(ROUND(N(T391)*100,0)))&lt;=0,"OK","ABWEICHUNG"))</f>
        <v/>
      </c>
      <c r="AA391" s="44" t="n"/>
      <c r="AB391" s="44" t="n"/>
      <c r="AC391" s="44" t="n"/>
      <c r="AD391" s="44" t="n"/>
      <c r="AE391" s="85" t="n"/>
      <c r="AF391" s="85" t="n"/>
      <c r="AG391" s="44" t="n"/>
      <c r="AH391" s="44" t="n"/>
    </row>
    <row r="392">
      <c r="A392" s="44" t="n"/>
      <c r="B392" s="44" t="n"/>
      <c r="C392" s="44" t="n"/>
      <c r="D392" s="44" t="n"/>
      <c r="E392" s="44" t="n"/>
      <c r="F392" s="44" t="n"/>
      <c r="G392" s="45" t="n"/>
      <c r="H392" s="44" t="n"/>
      <c r="I392" s="45" t="n"/>
      <c r="J392" s="44" t="n"/>
      <c r="K392" s="85" t="n"/>
      <c r="L392" s="85" t="n"/>
      <c r="M392" s="85" t="n"/>
      <c r="N392" s="85" t="n"/>
      <c r="O392" s="85" t="n"/>
      <c r="P392" s="85" t="n"/>
      <c r="Q392" s="85" t="n"/>
      <c r="R392" s="85" t="n"/>
      <c r="S392" s="85" t="n"/>
      <c r="T392" s="85" t="n"/>
      <c r="U392" s="85" t="n"/>
      <c r="V392" s="44" t="n"/>
      <c r="W392" s="50">
        <f>IF(OR(M392="",Q392="",S392=""),"",IF(ABS(ROUND(((ROUND(N(M392)*100,0))-(ROUND(N(Q392)*100,0))),0)-(ROUND(N(S392)*100,0)))&lt;=0,"OK","ABWEICHUNG"))</f>
        <v/>
      </c>
      <c r="X392" s="50">
        <f>IF(OR(K392="",M392="",N392=""),"",IF(ABS(ROUND(((ROUND(N(K392)*100,0)+ROUND(N(L392)*100,0))-(ROUND(N(M392)*100,0))),0)-(ROUND(N(N392)*100,0)))&lt;=0,"OK",IF(OR(L392=""),"UNVOLLSTÄNDIG","ABWEICHUNG")))</f>
        <v/>
      </c>
      <c r="Y392" s="50">
        <f>IF(OR(K392="",O392="",R392=""),"",IF(ABS(ROUND(((ROUND(N(K392)*100,0))-(ROUND(N(O392)*100,0))),0)-(ROUND(N(R392)*100,0)))&lt;=0,"OK","ABWEICHUNG"))</f>
        <v/>
      </c>
      <c r="Z392" s="50">
        <f>IF(OR(N392="",O392="",P392="",Q392="",T392=""),"",IF(ABS(ROUND(((ROUND(N(N392)*100,0)+ROUND(N(Q392)*100,0))-(ROUND(N(O392)*100,0)+ROUND(N(P392)*100,0))),0)-(ROUND(N(T392)*100,0)))&lt;=0,"OK","ABWEICHUNG"))</f>
        <v/>
      </c>
      <c r="AA392" s="44" t="n"/>
      <c r="AB392" s="44" t="n"/>
      <c r="AC392" s="44" t="n"/>
      <c r="AD392" s="44" t="n"/>
      <c r="AE392" s="85" t="n"/>
      <c r="AF392" s="85" t="n"/>
      <c r="AG392" s="44" t="n"/>
      <c r="AH392" s="44" t="n"/>
    </row>
    <row r="393">
      <c r="A393" s="44" t="n"/>
      <c r="B393" s="44" t="n"/>
      <c r="C393" s="44" t="n"/>
      <c r="D393" s="44" t="n"/>
      <c r="E393" s="44" t="n"/>
      <c r="F393" s="44" t="n"/>
      <c r="G393" s="45" t="n"/>
      <c r="H393" s="44" t="n"/>
      <c r="I393" s="45" t="n"/>
      <c r="J393" s="44" t="n"/>
      <c r="K393" s="85" t="n"/>
      <c r="L393" s="85" t="n"/>
      <c r="M393" s="85" t="n"/>
      <c r="N393" s="85" t="n"/>
      <c r="O393" s="85" t="n"/>
      <c r="P393" s="85" t="n"/>
      <c r="Q393" s="85" t="n"/>
      <c r="R393" s="85" t="n"/>
      <c r="S393" s="85" t="n"/>
      <c r="T393" s="85" t="n"/>
      <c r="U393" s="85" t="n"/>
      <c r="V393" s="44" t="n"/>
      <c r="W393" s="50">
        <f>IF(OR(M393="",Q393="",S393=""),"",IF(ABS(ROUND(((ROUND(N(M393)*100,0))-(ROUND(N(Q393)*100,0))),0)-(ROUND(N(S393)*100,0)))&lt;=0,"OK","ABWEICHUNG"))</f>
        <v/>
      </c>
      <c r="X393" s="50">
        <f>IF(OR(K393="",M393="",N393=""),"",IF(ABS(ROUND(((ROUND(N(K393)*100,0)+ROUND(N(L393)*100,0))-(ROUND(N(M393)*100,0))),0)-(ROUND(N(N393)*100,0)))&lt;=0,"OK",IF(OR(L393=""),"UNVOLLSTÄNDIG","ABWEICHUNG")))</f>
        <v/>
      </c>
      <c r="Y393" s="50">
        <f>IF(OR(K393="",O393="",R393=""),"",IF(ABS(ROUND(((ROUND(N(K393)*100,0))-(ROUND(N(O393)*100,0))),0)-(ROUND(N(R393)*100,0)))&lt;=0,"OK","ABWEICHUNG"))</f>
        <v/>
      </c>
      <c r="Z393" s="50">
        <f>IF(OR(N393="",O393="",P393="",Q393="",T393=""),"",IF(ABS(ROUND(((ROUND(N(N393)*100,0)+ROUND(N(Q393)*100,0))-(ROUND(N(O393)*100,0)+ROUND(N(P393)*100,0))),0)-(ROUND(N(T393)*100,0)))&lt;=0,"OK","ABWEICHUNG"))</f>
        <v/>
      </c>
      <c r="AA393" s="44" t="n"/>
      <c r="AB393" s="44" t="n"/>
      <c r="AC393" s="44" t="n"/>
      <c r="AD393" s="44" t="n"/>
      <c r="AE393" s="85" t="n"/>
      <c r="AF393" s="85" t="n"/>
      <c r="AG393" s="44" t="n"/>
      <c r="AH393" s="44" t="n"/>
    </row>
    <row r="394">
      <c r="A394" s="44" t="n"/>
      <c r="B394" s="44" t="n"/>
      <c r="C394" s="44" t="n"/>
      <c r="D394" s="44" t="n"/>
      <c r="E394" s="44" t="n"/>
      <c r="F394" s="44" t="n"/>
      <c r="G394" s="45" t="n"/>
      <c r="H394" s="44" t="n"/>
      <c r="I394" s="45" t="n"/>
      <c r="J394" s="44" t="n"/>
      <c r="K394" s="85" t="n"/>
      <c r="L394" s="85" t="n"/>
      <c r="M394" s="85" t="n"/>
      <c r="N394" s="85" t="n"/>
      <c r="O394" s="85" t="n"/>
      <c r="P394" s="85" t="n"/>
      <c r="Q394" s="85" t="n"/>
      <c r="R394" s="85" t="n"/>
      <c r="S394" s="85" t="n"/>
      <c r="T394" s="85" t="n"/>
      <c r="U394" s="85" t="n"/>
      <c r="V394" s="44" t="n"/>
      <c r="W394" s="50">
        <f>IF(OR(M394="",Q394="",S394=""),"",IF(ABS(ROUND(((ROUND(N(M394)*100,0))-(ROUND(N(Q394)*100,0))),0)-(ROUND(N(S394)*100,0)))&lt;=0,"OK","ABWEICHUNG"))</f>
        <v/>
      </c>
      <c r="X394" s="50">
        <f>IF(OR(K394="",M394="",N394=""),"",IF(ABS(ROUND(((ROUND(N(K394)*100,0)+ROUND(N(L394)*100,0))-(ROUND(N(M394)*100,0))),0)-(ROUND(N(N394)*100,0)))&lt;=0,"OK",IF(OR(L394=""),"UNVOLLSTÄNDIG","ABWEICHUNG")))</f>
        <v/>
      </c>
      <c r="Y394" s="50">
        <f>IF(OR(K394="",O394="",R394=""),"",IF(ABS(ROUND(((ROUND(N(K394)*100,0))-(ROUND(N(O394)*100,0))),0)-(ROUND(N(R394)*100,0)))&lt;=0,"OK","ABWEICHUNG"))</f>
        <v/>
      </c>
      <c r="Z394" s="50">
        <f>IF(OR(N394="",O394="",P394="",Q394="",T394=""),"",IF(ABS(ROUND(((ROUND(N(N394)*100,0)+ROUND(N(Q394)*100,0))-(ROUND(N(O394)*100,0)+ROUND(N(P394)*100,0))),0)-(ROUND(N(T394)*100,0)))&lt;=0,"OK","ABWEICHUNG"))</f>
        <v/>
      </c>
      <c r="AA394" s="44" t="n"/>
      <c r="AB394" s="44" t="n"/>
      <c r="AC394" s="44" t="n"/>
      <c r="AD394" s="44" t="n"/>
      <c r="AE394" s="85" t="n"/>
      <c r="AF394" s="85" t="n"/>
      <c r="AG394" s="44" t="n"/>
      <c r="AH394" s="44" t="n"/>
    </row>
    <row r="395">
      <c r="A395" s="44" t="n"/>
      <c r="B395" s="44" t="n"/>
      <c r="C395" s="44" t="n"/>
      <c r="D395" s="44" t="n"/>
      <c r="E395" s="44" t="n"/>
      <c r="F395" s="44" t="n"/>
      <c r="G395" s="45" t="n"/>
      <c r="H395" s="44" t="n"/>
      <c r="I395" s="45" t="n"/>
      <c r="J395" s="44" t="n"/>
      <c r="K395" s="85" t="n"/>
      <c r="L395" s="85" t="n"/>
      <c r="M395" s="85" t="n"/>
      <c r="N395" s="85" t="n"/>
      <c r="O395" s="85" t="n"/>
      <c r="P395" s="85" t="n"/>
      <c r="Q395" s="85" t="n"/>
      <c r="R395" s="85" t="n"/>
      <c r="S395" s="85" t="n"/>
      <c r="T395" s="85" t="n"/>
      <c r="U395" s="85" t="n"/>
      <c r="V395" s="44" t="n"/>
      <c r="W395" s="50">
        <f>IF(OR(M395="",Q395="",S395=""),"",IF(ABS(ROUND(((ROUND(N(M395)*100,0))-(ROUND(N(Q395)*100,0))),0)-(ROUND(N(S395)*100,0)))&lt;=0,"OK","ABWEICHUNG"))</f>
        <v/>
      </c>
      <c r="X395" s="50">
        <f>IF(OR(K395="",M395="",N395=""),"",IF(ABS(ROUND(((ROUND(N(K395)*100,0)+ROUND(N(L395)*100,0))-(ROUND(N(M395)*100,0))),0)-(ROUND(N(N395)*100,0)))&lt;=0,"OK",IF(OR(L395=""),"UNVOLLSTÄNDIG","ABWEICHUNG")))</f>
        <v/>
      </c>
      <c r="Y395" s="50">
        <f>IF(OR(K395="",O395="",R395=""),"",IF(ABS(ROUND(((ROUND(N(K395)*100,0))-(ROUND(N(O395)*100,0))),0)-(ROUND(N(R395)*100,0)))&lt;=0,"OK","ABWEICHUNG"))</f>
        <v/>
      </c>
      <c r="Z395" s="50">
        <f>IF(OR(N395="",O395="",P395="",Q395="",T395=""),"",IF(ABS(ROUND(((ROUND(N(N395)*100,0)+ROUND(N(Q395)*100,0))-(ROUND(N(O395)*100,0)+ROUND(N(P395)*100,0))),0)-(ROUND(N(T395)*100,0)))&lt;=0,"OK","ABWEICHUNG"))</f>
        <v/>
      </c>
      <c r="AA395" s="44" t="n"/>
      <c r="AB395" s="44" t="n"/>
      <c r="AC395" s="44" t="n"/>
      <c r="AD395" s="44" t="n"/>
      <c r="AE395" s="85" t="n"/>
      <c r="AF395" s="85" t="n"/>
      <c r="AG395" s="44" t="n"/>
      <c r="AH395" s="44" t="n"/>
    </row>
    <row r="396">
      <c r="A396" s="44" t="n"/>
      <c r="B396" s="44" t="n"/>
      <c r="C396" s="44" t="n"/>
      <c r="D396" s="44" t="n"/>
      <c r="E396" s="44" t="n"/>
      <c r="F396" s="44" t="n"/>
      <c r="G396" s="45" t="n"/>
      <c r="H396" s="44" t="n"/>
      <c r="I396" s="45" t="n"/>
      <c r="J396" s="44" t="n"/>
      <c r="K396" s="85" t="n"/>
      <c r="L396" s="85" t="n"/>
      <c r="M396" s="85" t="n"/>
      <c r="N396" s="85" t="n"/>
      <c r="O396" s="85" t="n"/>
      <c r="P396" s="85" t="n"/>
      <c r="Q396" s="85" t="n"/>
      <c r="R396" s="85" t="n"/>
      <c r="S396" s="85" t="n"/>
      <c r="T396" s="85" t="n"/>
      <c r="U396" s="85" t="n"/>
      <c r="V396" s="44" t="n"/>
      <c r="W396" s="50">
        <f>IF(OR(M396="",Q396="",S396=""),"",IF(ABS(ROUND(((ROUND(N(M396)*100,0))-(ROUND(N(Q396)*100,0))),0)-(ROUND(N(S396)*100,0)))&lt;=0,"OK","ABWEICHUNG"))</f>
        <v/>
      </c>
      <c r="X396" s="50">
        <f>IF(OR(K396="",M396="",N396=""),"",IF(ABS(ROUND(((ROUND(N(K396)*100,0)+ROUND(N(L396)*100,0))-(ROUND(N(M396)*100,0))),0)-(ROUND(N(N396)*100,0)))&lt;=0,"OK",IF(OR(L396=""),"UNVOLLSTÄNDIG","ABWEICHUNG")))</f>
        <v/>
      </c>
      <c r="Y396" s="50">
        <f>IF(OR(K396="",O396="",R396=""),"",IF(ABS(ROUND(((ROUND(N(K396)*100,0))-(ROUND(N(O396)*100,0))),0)-(ROUND(N(R396)*100,0)))&lt;=0,"OK","ABWEICHUNG"))</f>
        <v/>
      </c>
      <c r="Z396" s="50">
        <f>IF(OR(N396="",O396="",P396="",Q396="",T396=""),"",IF(ABS(ROUND(((ROUND(N(N396)*100,0)+ROUND(N(Q396)*100,0))-(ROUND(N(O396)*100,0)+ROUND(N(P396)*100,0))),0)-(ROUND(N(T396)*100,0)))&lt;=0,"OK","ABWEICHUNG"))</f>
        <v/>
      </c>
      <c r="AA396" s="44" t="n"/>
      <c r="AB396" s="44" t="n"/>
      <c r="AC396" s="44" t="n"/>
      <c r="AD396" s="44" t="n"/>
      <c r="AE396" s="85" t="n"/>
      <c r="AF396" s="85" t="n"/>
      <c r="AG396" s="44" t="n"/>
      <c r="AH396" s="44" t="n"/>
    </row>
    <row r="397">
      <c r="A397" s="44" t="n"/>
      <c r="B397" s="44" t="n"/>
      <c r="C397" s="44" t="n"/>
      <c r="D397" s="44" t="n"/>
      <c r="E397" s="44" t="n"/>
      <c r="F397" s="44" t="n"/>
      <c r="G397" s="45" t="n"/>
      <c r="H397" s="44" t="n"/>
      <c r="I397" s="45" t="n"/>
      <c r="J397" s="44" t="n"/>
      <c r="K397" s="85" t="n"/>
      <c r="L397" s="85" t="n"/>
      <c r="M397" s="85" t="n"/>
      <c r="N397" s="85" t="n"/>
      <c r="O397" s="85" t="n"/>
      <c r="P397" s="85" t="n"/>
      <c r="Q397" s="85" t="n"/>
      <c r="R397" s="85" t="n"/>
      <c r="S397" s="85" t="n"/>
      <c r="T397" s="85" t="n"/>
      <c r="U397" s="85" t="n"/>
      <c r="V397" s="44" t="n"/>
      <c r="W397" s="50">
        <f>IF(OR(M397="",Q397="",S397=""),"",IF(ABS(ROUND(((ROUND(N(M397)*100,0))-(ROUND(N(Q397)*100,0))),0)-(ROUND(N(S397)*100,0)))&lt;=0,"OK","ABWEICHUNG"))</f>
        <v/>
      </c>
      <c r="X397" s="50">
        <f>IF(OR(K397="",M397="",N397=""),"",IF(ABS(ROUND(((ROUND(N(K397)*100,0)+ROUND(N(L397)*100,0))-(ROUND(N(M397)*100,0))),0)-(ROUND(N(N397)*100,0)))&lt;=0,"OK",IF(OR(L397=""),"UNVOLLSTÄNDIG","ABWEICHUNG")))</f>
        <v/>
      </c>
      <c r="Y397" s="50">
        <f>IF(OR(K397="",O397="",R397=""),"",IF(ABS(ROUND(((ROUND(N(K397)*100,0))-(ROUND(N(O397)*100,0))),0)-(ROUND(N(R397)*100,0)))&lt;=0,"OK","ABWEICHUNG"))</f>
        <v/>
      </c>
      <c r="Z397" s="50">
        <f>IF(OR(N397="",O397="",P397="",Q397="",T397=""),"",IF(ABS(ROUND(((ROUND(N(N397)*100,0)+ROUND(N(Q397)*100,0))-(ROUND(N(O397)*100,0)+ROUND(N(P397)*100,0))),0)-(ROUND(N(T397)*100,0)))&lt;=0,"OK","ABWEICHUNG"))</f>
        <v/>
      </c>
      <c r="AA397" s="44" t="n"/>
      <c r="AB397" s="44" t="n"/>
      <c r="AC397" s="44" t="n"/>
      <c r="AD397" s="44" t="n"/>
      <c r="AE397" s="85" t="n"/>
      <c r="AF397" s="85" t="n"/>
      <c r="AG397" s="44" t="n"/>
      <c r="AH397" s="44" t="n"/>
    </row>
    <row r="398">
      <c r="A398" s="44" t="n"/>
      <c r="B398" s="44" t="n"/>
      <c r="C398" s="44" t="n"/>
      <c r="D398" s="44" t="n"/>
      <c r="E398" s="44" t="n"/>
      <c r="F398" s="44" t="n"/>
      <c r="G398" s="45" t="n"/>
      <c r="H398" s="44" t="n"/>
      <c r="I398" s="45" t="n"/>
      <c r="J398" s="44" t="n"/>
      <c r="K398" s="85" t="n"/>
      <c r="L398" s="85" t="n"/>
      <c r="M398" s="85" t="n"/>
      <c r="N398" s="85" t="n"/>
      <c r="O398" s="85" t="n"/>
      <c r="P398" s="85" t="n"/>
      <c r="Q398" s="85" t="n"/>
      <c r="R398" s="85" t="n"/>
      <c r="S398" s="85" t="n"/>
      <c r="T398" s="85" t="n"/>
      <c r="U398" s="85" t="n"/>
      <c r="V398" s="44" t="n"/>
      <c r="W398" s="50">
        <f>IF(OR(M398="",Q398="",S398=""),"",IF(ABS(ROUND(((ROUND(N(M398)*100,0))-(ROUND(N(Q398)*100,0))),0)-(ROUND(N(S398)*100,0)))&lt;=0,"OK","ABWEICHUNG"))</f>
        <v/>
      </c>
      <c r="X398" s="50">
        <f>IF(OR(K398="",M398="",N398=""),"",IF(ABS(ROUND(((ROUND(N(K398)*100,0)+ROUND(N(L398)*100,0))-(ROUND(N(M398)*100,0))),0)-(ROUND(N(N398)*100,0)))&lt;=0,"OK",IF(OR(L398=""),"UNVOLLSTÄNDIG","ABWEICHUNG")))</f>
        <v/>
      </c>
      <c r="Y398" s="50">
        <f>IF(OR(K398="",O398="",R398=""),"",IF(ABS(ROUND(((ROUND(N(K398)*100,0))-(ROUND(N(O398)*100,0))),0)-(ROUND(N(R398)*100,0)))&lt;=0,"OK","ABWEICHUNG"))</f>
        <v/>
      </c>
      <c r="Z398" s="50">
        <f>IF(OR(N398="",O398="",P398="",Q398="",T398=""),"",IF(ABS(ROUND(((ROUND(N(N398)*100,0)+ROUND(N(Q398)*100,0))-(ROUND(N(O398)*100,0)+ROUND(N(P398)*100,0))),0)-(ROUND(N(T398)*100,0)))&lt;=0,"OK","ABWEICHUNG"))</f>
        <v/>
      </c>
      <c r="AA398" s="44" t="n"/>
      <c r="AB398" s="44" t="n"/>
      <c r="AC398" s="44" t="n"/>
      <c r="AD398" s="44" t="n"/>
      <c r="AE398" s="85" t="n"/>
      <c r="AF398" s="85" t="n"/>
      <c r="AG398" s="44" t="n"/>
      <c r="AH398" s="44" t="n"/>
    </row>
    <row r="399">
      <c r="A399" s="44" t="n"/>
      <c r="B399" s="44" t="n"/>
      <c r="C399" s="44" t="n"/>
      <c r="D399" s="44" t="n"/>
      <c r="E399" s="44" t="n"/>
      <c r="F399" s="44" t="n"/>
      <c r="G399" s="45" t="n"/>
      <c r="H399" s="44" t="n"/>
      <c r="I399" s="45" t="n"/>
      <c r="J399" s="44" t="n"/>
      <c r="K399" s="85" t="n"/>
      <c r="L399" s="85" t="n"/>
      <c r="M399" s="85" t="n"/>
      <c r="N399" s="85" t="n"/>
      <c r="O399" s="85" t="n"/>
      <c r="P399" s="85" t="n"/>
      <c r="Q399" s="85" t="n"/>
      <c r="R399" s="85" t="n"/>
      <c r="S399" s="85" t="n"/>
      <c r="T399" s="85" t="n"/>
      <c r="U399" s="85" t="n"/>
      <c r="V399" s="44" t="n"/>
      <c r="W399" s="50">
        <f>IF(OR(M399="",Q399="",S399=""),"",IF(ABS(ROUND(((ROUND(N(M399)*100,0))-(ROUND(N(Q399)*100,0))),0)-(ROUND(N(S399)*100,0)))&lt;=0,"OK","ABWEICHUNG"))</f>
        <v/>
      </c>
      <c r="X399" s="50">
        <f>IF(OR(K399="",M399="",N399=""),"",IF(ABS(ROUND(((ROUND(N(K399)*100,0)+ROUND(N(L399)*100,0))-(ROUND(N(M399)*100,0))),0)-(ROUND(N(N399)*100,0)))&lt;=0,"OK",IF(OR(L399=""),"UNVOLLSTÄNDIG","ABWEICHUNG")))</f>
        <v/>
      </c>
      <c r="Y399" s="50">
        <f>IF(OR(K399="",O399="",R399=""),"",IF(ABS(ROUND(((ROUND(N(K399)*100,0))-(ROUND(N(O399)*100,0))),0)-(ROUND(N(R399)*100,0)))&lt;=0,"OK","ABWEICHUNG"))</f>
        <v/>
      </c>
      <c r="Z399" s="50">
        <f>IF(OR(N399="",O399="",P399="",Q399="",T399=""),"",IF(ABS(ROUND(((ROUND(N(N399)*100,0)+ROUND(N(Q399)*100,0))-(ROUND(N(O399)*100,0)+ROUND(N(P399)*100,0))),0)-(ROUND(N(T399)*100,0)))&lt;=0,"OK","ABWEICHUNG"))</f>
        <v/>
      </c>
      <c r="AA399" s="44" t="n"/>
      <c r="AB399" s="44" t="n"/>
      <c r="AC399" s="44" t="n"/>
      <c r="AD399" s="44" t="n"/>
      <c r="AE399" s="85" t="n"/>
      <c r="AF399" s="85" t="n"/>
      <c r="AG399" s="44" t="n"/>
      <c r="AH399" s="44" t="n"/>
    </row>
    <row r="400">
      <c r="A400" s="44" t="n"/>
      <c r="B400" s="44" t="n"/>
      <c r="C400" s="44" t="n"/>
      <c r="D400" s="44" t="n"/>
      <c r="E400" s="44" t="n"/>
      <c r="F400" s="44" t="n"/>
      <c r="G400" s="45" t="n"/>
      <c r="H400" s="44" t="n"/>
      <c r="I400" s="45" t="n"/>
      <c r="J400" s="44" t="n"/>
      <c r="K400" s="85" t="n"/>
      <c r="L400" s="85" t="n"/>
      <c r="M400" s="85" t="n"/>
      <c r="N400" s="85" t="n"/>
      <c r="O400" s="85" t="n"/>
      <c r="P400" s="85" t="n"/>
      <c r="Q400" s="85" t="n"/>
      <c r="R400" s="85" t="n"/>
      <c r="S400" s="85" t="n"/>
      <c r="T400" s="85" t="n"/>
      <c r="U400" s="85" t="n"/>
      <c r="V400" s="44" t="n"/>
      <c r="W400" s="50">
        <f>IF(OR(M400="",Q400="",S400=""),"",IF(ABS(ROUND(((ROUND(N(M400)*100,0))-(ROUND(N(Q400)*100,0))),0)-(ROUND(N(S400)*100,0)))&lt;=0,"OK","ABWEICHUNG"))</f>
        <v/>
      </c>
      <c r="X400" s="50">
        <f>IF(OR(K400="",M400="",N400=""),"",IF(ABS(ROUND(((ROUND(N(K400)*100,0)+ROUND(N(L400)*100,0))-(ROUND(N(M400)*100,0))),0)-(ROUND(N(N400)*100,0)))&lt;=0,"OK",IF(OR(L400=""),"UNVOLLSTÄNDIG","ABWEICHUNG")))</f>
        <v/>
      </c>
      <c r="Y400" s="50">
        <f>IF(OR(K400="",O400="",R400=""),"",IF(ABS(ROUND(((ROUND(N(K400)*100,0))-(ROUND(N(O400)*100,0))),0)-(ROUND(N(R400)*100,0)))&lt;=0,"OK","ABWEICHUNG"))</f>
        <v/>
      </c>
      <c r="Z400" s="50">
        <f>IF(OR(N400="",O400="",P400="",Q400="",T400=""),"",IF(ABS(ROUND(((ROUND(N(N400)*100,0)+ROUND(N(Q400)*100,0))-(ROUND(N(O400)*100,0)+ROUND(N(P400)*100,0))),0)-(ROUND(N(T400)*100,0)))&lt;=0,"OK","ABWEICHUNG"))</f>
        <v/>
      </c>
      <c r="AA400" s="44" t="n"/>
      <c r="AB400" s="44" t="n"/>
      <c r="AC400" s="44" t="n"/>
      <c r="AD400" s="44" t="n"/>
      <c r="AE400" s="85" t="n"/>
      <c r="AF400" s="85" t="n"/>
      <c r="AG400" s="44" t="n"/>
      <c r="AH400" s="44" t="n"/>
    </row>
    <row r="401">
      <c r="A401" s="44" t="n"/>
      <c r="B401" s="44" t="n"/>
      <c r="C401" s="44" t="n"/>
      <c r="D401" s="44" t="n"/>
      <c r="E401" s="44" t="n"/>
      <c r="F401" s="44" t="n"/>
      <c r="G401" s="45" t="n"/>
      <c r="H401" s="44" t="n"/>
      <c r="I401" s="45" t="n"/>
      <c r="J401" s="44" t="n"/>
      <c r="K401" s="85" t="n"/>
      <c r="L401" s="85" t="n"/>
      <c r="M401" s="85" t="n"/>
      <c r="N401" s="85" t="n"/>
      <c r="O401" s="85" t="n"/>
      <c r="P401" s="85" t="n"/>
      <c r="Q401" s="85" t="n"/>
      <c r="R401" s="85" t="n"/>
      <c r="S401" s="85" t="n"/>
      <c r="T401" s="85" t="n"/>
      <c r="U401" s="85" t="n"/>
      <c r="V401" s="44" t="n"/>
      <c r="W401" s="50">
        <f>IF(OR(M401="",Q401="",S401=""),"",IF(ABS(ROUND(((ROUND(N(M401)*100,0))-(ROUND(N(Q401)*100,0))),0)-(ROUND(N(S401)*100,0)))&lt;=0,"OK","ABWEICHUNG"))</f>
        <v/>
      </c>
      <c r="X401" s="50">
        <f>IF(OR(K401="",M401="",N401=""),"",IF(ABS(ROUND(((ROUND(N(K401)*100,0)+ROUND(N(L401)*100,0))-(ROUND(N(M401)*100,0))),0)-(ROUND(N(N401)*100,0)))&lt;=0,"OK",IF(OR(L401=""),"UNVOLLSTÄNDIG","ABWEICHUNG")))</f>
        <v/>
      </c>
      <c r="Y401" s="50">
        <f>IF(OR(K401="",O401="",R401=""),"",IF(ABS(ROUND(((ROUND(N(K401)*100,0))-(ROUND(N(O401)*100,0))),0)-(ROUND(N(R401)*100,0)))&lt;=0,"OK","ABWEICHUNG"))</f>
        <v/>
      </c>
      <c r="Z401" s="50">
        <f>IF(OR(N401="",O401="",P401="",Q401="",T401=""),"",IF(ABS(ROUND(((ROUND(N(N401)*100,0)+ROUND(N(Q401)*100,0))-(ROUND(N(O401)*100,0)+ROUND(N(P401)*100,0))),0)-(ROUND(N(T401)*100,0)))&lt;=0,"OK","ABWEICHUNG"))</f>
        <v/>
      </c>
      <c r="AA401" s="44" t="n"/>
      <c r="AB401" s="44" t="n"/>
      <c r="AC401" s="44" t="n"/>
      <c r="AD401" s="44" t="n"/>
      <c r="AE401" s="85" t="n"/>
      <c r="AF401" s="85" t="n"/>
      <c r="AG401" s="44" t="n"/>
      <c r="AH401" s="44" t="n"/>
    </row>
    <row r="402">
      <c r="A402" s="44" t="n"/>
      <c r="B402" s="44" t="n"/>
      <c r="C402" s="44" t="n"/>
      <c r="D402" s="44" t="n"/>
      <c r="E402" s="44" t="n"/>
      <c r="F402" s="44" t="n"/>
      <c r="G402" s="45" t="n"/>
      <c r="H402" s="44" t="n"/>
      <c r="I402" s="45" t="n"/>
      <c r="J402" s="44" t="n"/>
      <c r="K402" s="85" t="n"/>
      <c r="L402" s="85" t="n"/>
      <c r="M402" s="85" t="n"/>
      <c r="N402" s="85" t="n"/>
      <c r="O402" s="85" t="n"/>
      <c r="P402" s="85" t="n"/>
      <c r="Q402" s="85" t="n"/>
      <c r="R402" s="85" t="n"/>
      <c r="S402" s="85" t="n"/>
      <c r="T402" s="85" t="n"/>
      <c r="U402" s="85" t="n"/>
      <c r="V402" s="44" t="n"/>
      <c r="W402" s="50">
        <f>IF(OR(M402="",Q402="",S402=""),"",IF(ABS(ROUND(((ROUND(N(M402)*100,0))-(ROUND(N(Q402)*100,0))),0)-(ROUND(N(S402)*100,0)))&lt;=0,"OK","ABWEICHUNG"))</f>
        <v/>
      </c>
      <c r="X402" s="50">
        <f>IF(OR(K402="",M402="",N402=""),"",IF(ABS(ROUND(((ROUND(N(K402)*100,0)+ROUND(N(L402)*100,0))-(ROUND(N(M402)*100,0))),0)-(ROUND(N(N402)*100,0)))&lt;=0,"OK",IF(OR(L402=""),"UNVOLLSTÄNDIG","ABWEICHUNG")))</f>
        <v/>
      </c>
      <c r="Y402" s="50">
        <f>IF(OR(K402="",O402="",R402=""),"",IF(ABS(ROUND(((ROUND(N(K402)*100,0))-(ROUND(N(O402)*100,0))),0)-(ROUND(N(R402)*100,0)))&lt;=0,"OK","ABWEICHUNG"))</f>
        <v/>
      </c>
      <c r="Z402" s="50">
        <f>IF(OR(N402="",O402="",P402="",Q402="",T402=""),"",IF(ABS(ROUND(((ROUND(N(N402)*100,0)+ROUND(N(Q402)*100,0))-(ROUND(N(O402)*100,0)+ROUND(N(P402)*100,0))),0)-(ROUND(N(T402)*100,0)))&lt;=0,"OK","ABWEICHUNG"))</f>
        <v/>
      </c>
      <c r="AA402" s="44" t="n"/>
      <c r="AB402" s="44" t="n"/>
      <c r="AC402" s="44" t="n"/>
      <c r="AD402" s="44" t="n"/>
      <c r="AE402" s="85" t="n"/>
      <c r="AF402" s="85" t="n"/>
      <c r="AG402" s="44" t="n"/>
      <c r="AH402" s="44" t="n"/>
    </row>
    <row r="403">
      <c r="A403" s="44" t="n"/>
      <c r="B403" s="44" t="n"/>
      <c r="C403" s="44" t="n"/>
      <c r="D403" s="44" t="n"/>
      <c r="E403" s="44" t="n"/>
      <c r="F403" s="44" t="n"/>
      <c r="G403" s="45" t="n"/>
      <c r="H403" s="44" t="n"/>
      <c r="I403" s="45" t="n"/>
      <c r="J403" s="44" t="n"/>
      <c r="K403" s="85" t="n"/>
      <c r="L403" s="85" t="n"/>
      <c r="M403" s="85" t="n"/>
      <c r="N403" s="85" t="n"/>
      <c r="O403" s="85" t="n"/>
      <c r="P403" s="85" t="n"/>
      <c r="Q403" s="85" t="n"/>
      <c r="R403" s="85" t="n"/>
      <c r="S403" s="85" t="n"/>
      <c r="T403" s="85" t="n"/>
      <c r="U403" s="85" t="n"/>
      <c r="V403" s="44" t="n"/>
      <c r="W403" s="50">
        <f>IF(OR(M403="",Q403="",S403=""),"",IF(ABS(ROUND(((ROUND(N(M403)*100,0))-(ROUND(N(Q403)*100,0))),0)-(ROUND(N(S403)*100,0)))&lt;=0,"OK","ABWEICHUNG"))</f>
        <v/>
      </c>
      <c r="X403" s="50">
        <f>IF(OR(K403="",M403="",N403=""),"",IF(ABS(ROUND(((ROUND(N(K403)*100,0)+ROUND(N(L403)*100,0))-(ROUND(N(M403)*100,0))),0)-(ROUND(N(N403)*100,0)))&lt;=0,"OK",IF(OR(L403=""),"UNVOLLSTÄNDIG","ABWEICHUNG")))</f>
        <v/>
      </c>
      <c r="Y403" s="50">
        <f>IF(OR(K403="",O403="",R403=""),"",IF(ABS(ROUND(((ROUND(N(K403)*100,0))-(ROUND(N(O403)*100,0))),0)-(ROUND(N(R403)*100,0)))&lt;=0,"OK","ABWEICHUNG"))</f>
        <v/>
      </c>
      <c r="Z403" s="50">
        <f>IF(OR(N403="",O403="",P403="",Q403="",T403=""),"",IF(ABS(ROUND(((ROUND(N(N403)*100,0)+ROUND(N(Q403)*100,0))-(ROUND(N(O403)*100,0)+ROUND(N(P403)*100,0))),0)-(ROUND(N(T403)*100,0)))&lt;=0,"OK","ABWEICHUNG"))</f>
        <v/>
      </c>
      <c r="AA403" s="44" t="n"/>
      <c r="AB403" s="44" t="n"/>
      <c r="AC403" s="44" t="n"/>
      <c r="AD403" s="44" t="n"/>
      <c r="AE403" s="85" t="n"/>
      <c r="AF403" s="85" t="n"/>
      <c r="AG403" s="44" t="n"/>
      <c r="AH403" s="44" t="n"/>
    </row>
    <row r="404">
      <c r="A404" s="44" t="n"/>
      <c r="B404" s="44" t="n"/>
      <c r="C404" s="44" t="n"/>
      <c r="D404" s="44" t="n"/>
      <c r="E404" s="44" t="n"/>
      <c r="F404" s="44" t="n"/>
      <c r="G404" s="45" t="n"/>
      <c r="H404" s="44" t="n"/>
      <c r="I404" s="45" t="n"/>
      <c r="J404" s="44" t="n"/>
      <c r="K404" s="85" t="n"/>
      <c r="L404" s="85" t="n"/>
      <c r="M404" s="85" t="n"/>
      <c r="N404" s="85" t="n"/>
      <c r="O404" s="85" t="n"/>
      <c r="P404" s="85" t="n"/>
      <c r="Q404" s="85" t="n"/>
      <c r="R404" s="85" t="n"/>
      <c r="S404" s="85" t="n"/>
      <c r="T404" s="85" t="n"/>
      <c r="U404" s="85" t="n"/>
      <c r="V404" s="44" t="n"/>
      <c r="W404" s="50">
        <f>IF(OR(M404="",Q404="",S404=""),"",IF(ABS(ROUND(((ROUND(N(M404)*100,0))-(ROUND(N(Q404)*100,0))),0)-(ROUND(N(S404)*100,0)))&lt;=0,"OK","ABWEICHUNG"))</f>
        <v/>
      </c>
      <c r="X404" s="50">
        <f>IF(OR(K404="",M404="",N404=""),"",IF(ABS(ROUND(((ROUND(N(K404)*100,0)+ROUND(N(L404)*100,0))-(ROUND(N(M404)*100,0))),0)-(ROUND(N(N404)*100,0)))&lt;=0,"OK",IF(OR(L404=""),"UNVOLLSTÄNDIG","ABWEICHUNG")))</f>
        <v/>
      </c>
      <c r="Y404" s="50">
        <f>IF(OR(K404="",O404="",R404=""),"",IF(ABS(ROUND(((ROUND(N(K404)*100,0))-(ROUND(N(O404)*100,0))),0)-(ROUND(N(R404)*100,0)))&lt;=0,"OK","ABWEICHUNG"))</f>
        <v/>
      </c>
      <c r="Z404" s="50">
        <f>IF(OR(N404="",O404="",P404="",Q404="",T404=""),"",IF(ABS(ROUND(((ROUND(N(N404)*100,0)+ROUND(N(Q404)*100,0))-(ROUND(N(O404)*100,0)+ROUND(N(P404)*100,0))),0)-(ROUND(N(T404)*100,0)))&lt;=0,"OK","ABWEICHUNG"))</f>
        <v/>
      </c>
      <c r="AA404" s="44" t="n"/>
      <c r="AB404" s="44" t="n"/>
      <c r="AC404" s="44" t="n"/>
      <c r="AD404" s="44" t="n"/>
      <c r="AE404" s="85" t="n"/>
      <c r="AF404" s="85" t="n"/>
      <c r="AG404" s="44" t="n"/>
      <c r="AH404" s="44" t="n"/>
    </row>
    <row r="405">
      <c r="A405" s="44" t="n"/>
      <c r="B405" s="44" t="n"/>
      <c r="C405" s="44" t="n"/>
      <c r="D405" s="44" t="n"/>
      <c r="E405" s="44" t="n"/>
      <c r="F405" s="44" t="n"/>
      <c r="G405" s="45" t="n"/>
      <c r="H405" s="44" t="n"/>
      <c r="I405" s="45" t="n"/>
      <c r="J405" s="44" t="n"/>
      <c r="K405" s="85" t="n"/>
      <c r="L405" s="85" t="n"/>
      <c r="M405" s="85" t="n"/>
      <c r="N405" s="85" t="n"/>
      <c r="O405" s="85" t="n"/>
      <c r="P405" s="85" t="n"/>
      <c r="Q405" s="85" t="n"/>
      <c r="R405" s="85" t="n"/>
      <c r="S405" s="85" t="n"/>
      <c r="T405" s="85" t="n"/>
      <c r="U405" s="85" t="n"/>
      <c r="V405" s="44" t="n"/>
      <c r="W405" s="50">
        <f>IF(OR(M405="",Q405="",S405=""),"",IF(ABS(ROUND(((ROUND(N(M405)*100,0))-(ROUND(N(Q405)*100,0))),0)-(ROUND(N(S405)*100,0)))&lt;=0,"OK","ABWEICHUNG"))</f>
        <v/>
      </c>
      <c r="X405" s="50">
        <f>IF(OR(K405="",M405="",N405=""),"",IF(ABS(ROUND(((ROUND(N(K405)*100,0)+ROUND(N(L405)*100,0))-(ROUND(N(M405)*100,0))),0)-(ROUND(N(N405)*100,0)))&lt;=0,"OK",IF(OR(L405=""),"UNVOLLSTÄNDIG","ABWEICHUNG")))</f>
        <v/>
      </c>
      <c r="Y405" s="50">
        <f>IF(OR(K405="",O405="",R405=""),"",IF(ABS(ROUND(((ROUND(N(K405)*100,0))-(ROUND(N(O405)*100,0))),0)-(ROUND(N(R405)*100,0)))&lt;=0,"OK","ABWEICHUNG"))</f>
        <v/>
      </c>
      <c r="Z405" s="50">
        <f>IF(OR(N405="",O405="",P405="",Q405="",T405=""),"",IF(ABS(ROUND(((ROUND(N(N405)*100,0)+ROUND(N(Q405)*100,0))-(ROUND(N(O405)*100,0)+ROUND(N(P405)*100,0))),0)-(ROUND(N(T405)*100,0)))&lt;=0,"OK","ABWEICHUNG"))</f>
        <v/>
      </c>
      <c r="AA405" s="44" t="n"/>
      <c r="AB405" s="44" t="n"/>
      <c r="AC405" s="44" t="n"/>
      <c r="AD405" s="44" t="n"/>
      <c r="AE405" s="85" t="n"/>
      <c r="AF405" s="85" t="n"/>
      <c r="AG405" s="44" t="n"/>
      <c r="AH405" s="44" t="n"/>
    </row>
    <row r="406">
      <c r="A406" s="44" t="n"/>
      <c r="B406" s="44" t="n"/>
      <c r="C406" s="44" t="n"/>
      <c r="D406" s="44" t="n"/>
      <c r="E406" s="44" t="n"/>
      <c r="F406" s="44" t="n"/>
      <c r="G406" s="45" t="n"/>
      <c r="H406" s="44" t="n"/>
      <c r="I406" s="45" t="n"/>
      <c r="J406" s="44" t="n"/>
      <c r="K406" s="85" t="n"/>
      <c r="L406" s="85" t="n"/>
      <c r="M406" s="85" t="n"/>
      <c r="N406" s="85" t="n"/>
      <c r="O406" s="85" t="n"/>
      <c r="P406" s="85" t="n"/>
      <c r="Q406" s="85" t="n"/>
      <c r="R406" s="85" t="n"/>
      <c r="S406" s="85" t="n"/>
      <c r="T406" s="85" t="n"/>
      <c r="U406" s="85" t="n"/>
      <c r="V406" s="44" t="n"/>
      <c r="W406" s="50">
        <f>IF(OR(M406="",Q406="",S406=""),"",IF(ABS(ROUND(((ROUND(N(M406)*100,0))-(ROUND(N(Q406)*100,0))),0)-(ROUND(N(S406)*100,0)))&lt;=0,"OK","ABWEICHUNG"))</f>
        <v/>
      </c>
      <c r="X406" s="50">
        <f>IF(OR(K406="",M406="",N406=""),"",IF(ABS(ROUND(((ROUND(N(K406)*100,0)+ROUND(N(L406)*100,0))-(ROUND(N(M406)*100,0))),0)-(ROUND(N(N406)*100,0)))&lt;=0,"OK",IF(OR(L406=""),"UNVOLLSTÄNDIG","ABWEICHUNG")))</f>
        <v/>
      </c>
      <c r="Y406" s="50">
        <f>IF(OR(K406="",O406="",R406=""),"",IF(ABS(ROUND(((ROUND(N(K406)*100,0))-(ROUND(N(O406)*100,0))),0)-(ROUND(N(R406)*100,0)))&lt;=0,"OK","ABWEICHUNG"))</f>
        <v/>
      </c>
      <c r="Z406" s="50">
        <f>IF(OR(N406="",O406="",P406="",Q406="",T406=""),"",IF(ABS(ROUND(((ROUND(N(N406)*100,0)+ROUND(N(Q406)*100,0))-(ROUND(N(O406)*100,0)+ROUND(N(P406)*100,0))),0)-(ROUND(N(T406)*100,0)))&lt;=0,"OK","ABWEICHUNG"))</f>
        <v/>
      </c>
      <c r="AA406" s="44" t="n"/>
      <c r="AB406" s="44" t="n"/>
      <c r="AC406" s="44" t="n"/>
      <c r="AD406" s="44" t="n"/>
      <c r="AE406" s="85" t="n"/>
      <c r="AF406" s="85" t="n"/>
      <c r="AG406" s="44" t="n"/>
      <c r="AH406" s="44" t="n"/>
    </row>
    <row r="407">
      <c r="A407" s="44" t="n"/>
      <c r="B407" s="44" t="n"/>
      <c r="C407" s="44" t="n"/>
      <c r="D407" s="44" t="n"/>
      <c r="E407" s="44" t="n"/>
      <c r="F407" s="44" t="n"/>
      <c r="G407" s="45" t="n"/>
      <c r="H407" s="44" t="n"/>
      <c r="I407" s="45" t="n"/>
      <c r="J407" s="44" t="n"/>
      <c r="K407" s="85" t="n"/>
      <c r="L407" s="85" t="n"/>
      <c r="M407" s="85" t="n"/>
      <c r="N407" s="85" t="n"/>
      <c r="O407" s="85" t="n"/>
      <c r="P407" s="85" t="n"/>
      <c r="Q407" s="85" t="n"/>
      <c r="R407" s="85" t="n"/>
      <c r="S407" s="85" t="n"/>
      <c r="T407" s="85" t="n"/>
      <c r="U407" s="85" t="n"/>
      <c r="V407" s="44" t="n"/>
      <c r="W407" s="50">
        <f>IF(OR(M407="",Q407="",S407=""),"",IF(ABS(ROUND(((ROUND(N(M407)*100,0))-(ROUND(N(Q407)*100,0))),0)-(ROUND(N(S407)*100,0)))&lt;=0,"OK","ABWEICHUNG"))</f>
        <v/>
      </c>
      <c r="X407" s="50">
        <f>IF(OR(K407="",M407="",N407=""),"",IF(ABS(ROUND(((ROUND(N(K407)*100,0)+ROUND(N(L407)*100,0))-(ROUND(N(M407)*100,0))),0)-(ROUND(N(N407)*100,0)))&lt;=0,"OK",IF(OR(L407=""),"UNVOLLSTÄNDIG","ABWEICHUNG")))</f>
        <v/>
      </c>
      <c r="Y407" s="50">
        <f>IF(OR(K407="",O407="",R407=""),"",IF(ABS(ROUND(((ROUND(N(K407)*100,0))-(ROUND(N(O407)*100,0))),0)-(ROUND(N(R407)*100,0)))&lt;=0,"OK","ABWEICHUNG"))</f>
        <v/>
      </c>
      <c r="Z407" s="50">
        <f>IF(OR(N407="",O407="",P407="",Q407="",T407=""),"",IF(ABS(ROUND(((ROUND(N(N407)*100,0)+ROUND(N(Q407)*100,0))-(ROUND(N(O407)*100,0)+ROUND(N(P407)*100,0))),0)-(ROUND(N(T407)*100,0)))&lt;=0,"OK","ABWEICHUNG"))</f>
        <v/>
      </c>
      <c r="AA407" s="44" t="n"/>
      <c r="AB407" s="44" t="n"/>
      <c r="AC407" s="44" t="n"/>
      <c r="AD407" s="44" t="n"/>
      <c r="AE407" s="85" t="n"/>
      <c r="AF407" s="85" t="n"/>
      <c r="AG407" s="44" t="n"/>
      <c r="AH407" s="44" t="n"/>
    </row>
    <row r="408">
      <c r="A408" s="44" t="n"/>
      <c r="B408" s="44" t="n"/>
      <c r="C408" s="44" t="n"/>
      <c r="D408" s="44" t="n"/>
      <c r="E408" s="44" t="n"/>
      <c r="F408" s="44" t="n"/>
      <c r="G408" s="45" t="n"/>
      <c r="H408" s="44" t="n"/>
      <c r="I408" s="45" t="n"/>
      <c r="J408" s="44" t="n"/>
      <c r="K408" s="85" t="n"/>
      <c r="L408" s="85" t="n"/>
      <c r="M408" s="85" t="n"/>
      <c r="N408" s="85" t="n"/>
      <c r="O408" s="85" t="n"/>
      <c r="P408" s="85" t="n"/>
      <c r="Q408" s="85" t="n"/>
      <c r="R408" s="85" t="n"/>
      <c r="S408" s="85" t="n"/>
      <c r="T408" s="85" t="n"/>
      <c r="U408" s="85" t="n"/>
      <c r="V408" s="44" t="n"/>
      <c r="W408" s="50">
        <f>IF(OR(M408="",Q408="",S408=""),"",IF(ABS(ROUND(((ROUND(N(M408)*100,0))-(ROUND(N(Q408)*100,0))),0)-(ROUND(N(S408)*100,0)))&lt;=0,"OK","ABWEICHUNG"))</f>
        <v/>
      </c>
      <c r="X408" s="50">
        <f>IF(OR(K408="",M408="",N408=""),"",IF(ABS(ROUND(((ROUND(N(K408)*100,0)+ROUND(N(L408)*100,0))-(ROUND(N(M408)*100,0))),0)-(ROUND(N(N408)*100,0)))&lt;=0,"OK",IF(OR(L408=""),"UNVOLLSTÄNDIG","ABWEICHUNG")))</f>
        <v/>
      </c>
      <c r="Y408" s="50">
        <f>IF(OR(K408="",O408="",R408=""),"",IF(ABS(ROUND(((ROUND(N(K408)*100,0))-(ROUND(N(O408)*100,0))),0)-(ROUND(N(R408)*100,0)))&lt;=0,"OK","ABWEICHUNG"))</f>
        <v/>
      </c>
      <c r="Z408" s="50">
        <f>IF(OR(N408="",O408="",P408="",Q408="",T408=""),"",IF(ABS(ROUND(((ROUND(N(N408)*100,0)+ROUND(N(Q408)*100,0))-(ROUND(N(O408)*100,0)+ROUND(N(P408)*100,0))),0)-(ROUND(N(T408)*100,0)))&lt;=0,"OK","ABWEICHUNG"))</f>
        <v/>
      </c>
      <c r="AA408" s="44" t="n"/>
      <c r="AB408" s="44" t="n"/>
      <c r="AC408" s="44" t="n"/>
      <c r="AD408" s="44" t="n"/>
      <c r="AE408" s="85" t="n"/>
      <c r="AF408" s="85" t="n"/>
      <c r="AG408" s="44" t="n"/>
      <c r="AH408" s="44" t="n"/>
    </row>
    <row r="409">
      <c r="A409" s="44" t="n"/>
      <c r="B409" s="44" t="n"/>
      <c r="C409" s="44" t="n"/>
      <c r="D409" s="44" t="n"/>
      <c r="E409" s="44" t="n"/>
      <c r="F409" s="44" t="n"/>
      <c r="G409" s="45" t="n"/>
      <c r="H409" s="44" t="n"/>
      <c r="I409" s="45" t="n"/>
      <c r="J409" s="44" t="n"/>
      <c r="K409" s="85" t="n"/>
      <c r="L409" s="85" t="n"/>
      <c r="M409" s="85" t="n"/>
      <c r="N409" s="85" t="n"/>
      <c r="O409" s="85" t="n"/>
      <c r="P409" s="85" t="n"/>
      <c r="Q409" s="85" t="n"/>
      <c r="R409" s="85" t="n"/>
      <c r="S409" s="85" t="n"/>
      <c r="T409" s="85" t="n"/>
      <c r="U409" s="85" t="n"/>
      <c r="V409" s="44" t="n"/>
      <c r="W409" s="50">
        <f>IF(OR(M409="",Q409="",S409=""),"",IF(ABS(ROUND(((ROUND(N(M409)*100,0))-(ROUND(N(Q409)*100,0))),0)-(ROUND(N(S409)*100,0)))&lt;=0,"OK","ABWEICHUNG"))</f>
        <v/>
      </c>
      <c r="X409" s="50">
        <f>IF(OR(K409="",M409="",N409=""),"",IF(ABS(ROUND(((ROUND(N(K409)*100,0)+ROUND(N(L409)*100,0))-(ROUND(N(M409)*100,0))),0)-(ROUND(N(N409)*100,0)))&lt;=0,"OK",IF(OR(L409=""),"UNVOLLSTÄNDIG","ABWEICHUNG")))</f>
        <v/>
      </c>
      <c r="Y409" s="50">
        <f>IF(OR(K409="",O409="",R409=""),"",IF(ABS(ROUND(((ROUND(N(K409)*100,0))-(ROUND(N(O409)*100,0))),0)-(ROUND(N(R409)*100,0)))&lt;=0,"OK","ABWEICHUNG"))</f>
        <v/>
      </c>
      <c r="Z409" s="50">
        <f>IF(OR(N409="",O409="",P409="",Q409="",T409=""),"",IF(ABS(ROUND(((ROUND(N(N409)*100,0)+ROUND(N(Q409)*100,0))-(ROUND(N(O409)*100,0)+ROUND(N(P409)*100,0))),0)-(ROUND(N(T409)*100,0)))&lt;=0,"OK","ABWEICHUNG"))</f>
        <v/>
      </c>
      <c r="AA409" s="44" t="n"/>
      <c r="AB409" s="44" t="n"/>
      <c r="AC409" s="44" t="n"/>
      <c r="AD409" s="44" t="n"/>
      <c r="AE409" s="85" t="n"/>
      <c r="AF409" s="85" t="n"/>
      <c r="AG409" s="44" t="n"/>
      <c r="AH409" s="44" t="n"/>
    </row>
    <row r="410">
      <c r="A410" s="44" t="n"/>
      <c r="B410" s="44" t="n"/>
      <c r="C410" s="44" t="n"/>
      <c r="D410" s="44" t="n"/>
      <c r="E410" s="44" t="n"/>
      <c r="F410" s="44" t="n"/>
      <c r="G410" s="45" t="n"/>
      <c r="H410" s="44" t="n"/>
      <c r="I410" s="45" t="n"/>
      <c r="J410" s="44" t="n"/>
      <c r="K410" s="85" t="n"/>
      <c r="L410" s="85" t="n"/>
      <c r="M410" s="85" t="n"/>
      <c r="N410" s="85" t="n"/>
      <c r="O410" s="85" t="n"/>
      <c r="P410" s="85" t="n"/>
      <c r="Q410" s="85" t="n"/>
      <c r="R410" s="85" t="n"/>
      <c r="S410" s="85" t="n"/>
      <c r="T410" s="85" t="n"/>
      <c r="U410" s="85" t="n"/>
      <c r="V410" s="44" t="n"/>
      <c r="W410" s="50">
        <f>IF(OR(M410="",Q410="",S410=""),"",IF(ABS(ROUND(((ROUND(N(M410)*100,0))-(ROUND(N(Q410)*100,0))),0)-(ROUND(N(S410)*100,0)))&lt;=0,"OK","ABWEICHUNG"))</f>
        <v/>
      </c>
      <c r="X410" s="50">
        <f>IF(OR(K410="",M410="",N410=""),"",IF(ABS(ROUND(((ROUND(N(K410)*100,0)+ROUND(N(L410)*100,0))-(ROUND(N(M410)*100,0))),0)-(ROUND(N(N410)*100,0)))&lt;=0,"OK",IF(OR(L410=""),"UNVOLLSTÄNDIG","ABWEICHUNG")))</f>
        <v/>
      </c>
      <c r="Y410" s="50">
        <f>IF(OR(K410="",O410="",R410=""),"",IF(ABS(ROUND(((ROUND(N(K410)*100,0))-(ROUND(N(O410)*100,0))),0)-(ROUND(N(R410)*100,0)))&lt;=0,"OK","ABWEICHUNG"))</f>
        <v/>
      </c>
      <c r="Z410" s="50">
        <f>IF(OR(N410="",O410="",P410="",Q410="",T410=""),"",IF(ABS(ROUND(((ROUND(N(N410)*100,0)+ROUND(N(Q410)*100,0))-(ROUND(N(O410)*100,0)+ROUND(N(P410)*100,0))),0)-(ROUND(N(T410)*100,0)))&lt;=0,"OK","ABWEICHUNG"))</f>
        <v/>
      </c>
      <c r="AA410" s="44" t="n"/>
      <c r="AB410" s="44" t="n"/>
      <c r="AC410" s="44" t="n"/>
      <c r="AD410" s="44" t="n"/>
      <c r="AE410" s="85" t="n"/>
      <c r="AF410" s="85" t="n"/>
      <c r="AG410" s="44" t="n"/>
      <c r="AH410" s="44" t="n"/>
    </row>
    <row r="411">
      <c r="A411" s="44" t="n"/>
      <c r="B411" s="44" t="n"/>
      <c r="C411" s="44" t="n"/>
      <c r="D411" s="44" t="n"/>
      <c r="E411" s="44" t="n"/>
      <c r="F411" s="44" t="n"/>
      <c r="G411" s="45" t="n"/>
      <c r="H411" s="44" t="n"/>
      <c r="I411" s="45" t="n"/>
      <c r="J411" s="44" t="n"/>
      <c r="K411" s="85" t="n"/>
      <c r="L411" s="85" t="n"/>
      <c r="M411" s="85" t="n"/>
      <c r="N411" s="85" t="n"/>
      <c r="O411" s="85" t="n"/>
      <c r="P411" s="85" t="n"/>
      <c r="Q411" s="85" t="n"/>
      <c r="R411" s="85" t="n"/>
      <c r="S411" s="85" t="n"/>
      <c r="T411" s="85" t="n"/>
      <c r="U411" s="85" t="n"/>
      <c r="V411" s="44" t="n"/>
      <c r="W411" s="50">
        <f>IF(OR(M411="",Q411="",S411=""),"",IF(ABS(ROUND(((ROUND(N(M411)*100,0))-(ROUND(N(Q411)*100,0))),0)-(ROUND(N(S411)*100,0)))&lt;=0,"OK","ABWEICHUNG"))</f>
        <v/>
      </c>
      <c r="X411" s="50">
        <f>IF(OR(K411="",M411="",N411=""),"",IF(ABS(ROUND(((ROUND(N(K411)*100,0)+ROUND(N(L411)*100,0))-(ROUND(N(M411)*100,0))),0)-(ROUND(N(N411)*100,0)))&lt;=0,"OK",IF(OR(L411=""),"UNVOLLSTÄNDIG","ABWEICHUNG")))</f>
        <v/>
      </c>
      <c r="Y411" s="50">
        <f>IF(OR(K411="",O411="",R411=""),"",IF(ABS(ROUND(((ROUND(N(K411)*100,0))-(ROUND(N(O411)*100,0))),0)-(ROUND(N(R411)*100,0)))&lt;=0,"OK","ABWEICHUNG"))</f>
        <v/>
      </c>
      <c r="Z411" s="50">
        <f>IF(OR(N411="",O411="",P411="",Q411="",T411=""),"",IF(ABS(ROUND(((ROUND(N(N411)*100,0)+ROUND(N(Q411)*100,0))-(ROUND(N(O411)*100,0)+ROUND(N(P411)*100,0))),0)-(ROUND(N(T411)*100,0)))&lt;=0,"OK","ABWEICHUNG"))</f>
        <v/>
      </c>
      <c r="AA411" s="44" t="n"/>
      <c r="AB411" s="44" t="n"/>
      <c r="AC411" s="44" t="n"/>
      <c r="AD411" s="44" t="n"/>
      <c r="AE411" s="85" t="n"/>
      <c r="AF411" s="85" t="n"/>
      <c r="AG411" s="44" t="n"/>
      <c r="AH411" s="44" t="n"/>
    </row>
    <row r="412">
      <c r="A412" s="44" t="n"/>
      <c r="B412" s="44" t="n"/>
      <c r="C412" s="44" t="n"/>
      <c r="D412" s="44" t="n"/>
      <c r="E412" s="44" t="n"/>
      <c r="F412" s="44" t="n"/>
      <c r="G412" s="45" t="n"/>
      <c r="H412" s="44" t="n"/>
      <c r="I412" s="45" t="n"/>
      <c r="J412" s="44" t="n"/>
      <c r="K412" s="85" t="n"/>
      <c r="L412" s="85" t="n"/>
      <c r="M412" s="85" t="n"/>
      <c r="N412" s="85" t="n"/>
      <c r="O412" s="85" t="n"/>
      <c r="P412" s="85" t="n"/>
      <c r="Q412" s="85" t="n"/>
      <c r="R412" s="85" t="n"/>
      <c r="S412" s="85" t="n"/>
      <c r="T412" s="85" t="n"/>
      <c r="U412" s="85" t="n"/>
      <c r="V412" s="44" t="n"/>
      <c r="W412" s="50">
        <f>IF(OR(M412="",Q412="",S412=""),"",IF(ABS(ROUND(((ROUND(N(M412)*100,0))-(ROUND(N(Q412)*100,0))),0)-(ROUND(N(S412)*100,0)))&lt;=0,"OK","ABWEICHUNG"))</f>
        <v/>
      </c>
      <c r="X412" s="50">
        <f>IF(OR(K412="",M412="",N412=""),"",IF(ABS(ROUND(((ROUND(N(K412)*100,0)+ROUND(N(L412)*100,0))-(ROUND(N(M412)*100,0))),0)-(ROUND(N(N412)*100,0)))&lt;=0,"OK",IF(OR(L412=""),"UNVOLLSTÄNDIG","ABWEICHUNG")))</f>
        <v/>
      </c>
      <c r="Y412" s="50">
        <f>IF(OR(K412="",O412="",R412=""),"",IF(ABS(ROUND(((ROUND(N(K412)*100,0))-(ROUND(N(O412)*100,0))),0)-(ROUND(N(R412)*100,0)))&lt;=0,"OK","ABWEICHUNG"))</f>
        <v/>
      </c>
      <c r="Z412" s="50">
        <f>IF(OR(N412="",O412="",P412="",Q412="",T412=""),"",IF(ABS(ROUND(((ROUND(N(N412)*100,0)+ROUND(N(Q412)*100,0))-(ROUND(N(O412)*100,0)+ROUND(N(P412)*100,0))),0)-(ROUND(N(T412)*100,0)))&lt;=0,"OK","ABWEICHUNG"))</f>
        <v/>
      </c>
      <c r="AA412" s="44" t="n"/>
      <c r="AB412" s="44" t="n"/>
      <c r="AC412" s="44" t="n"/>
      <c r="AD412" s="44" t="n"/>
      <c r="AE412" s="85" t="n"/>
      <c r="AF412" s="85" t="n"/>
      <c r="AG412" s="44" t="n"/>
      <c r="AH412" s="44" t="n"/>
    </row>
    <row r="413">
      <c r="A413" s="44" t="n"/>
      <c r="B413" s="44" t="n"/>
      <c r="C413" s="44" t="n"/>
      <c r="D413" s="44" t="n"/>
      <c r="E413" s="44" t="n"/>
      <c r="F413" s="44" t="n"/>
      <c r="G413" s="45" t="n"/>
      <c r="H413" s="44" t="n"/>
      <c r="I413" s="45" t="n"/>
      <c r="J413" s="44" t="n"/>
      <c r="K413" s="85" t="n"/>
      <c r="L413" s="85" t="n"/>
      <c r="M413" s="85" t="n"/>
      <c r="N413" s="85" t="n"/>
      <c r="O413" s="85" t="n"/>
      <c r="P413" s="85" t="n"/>
      <c r="Q413" s="85" t="n"/>
      <c r="R413" s="85" t="n"/>
      <c r="S413" s="85" t="n"/>
      <c r="T413" s="85" t="n"/>
      <c r="U413" s="85" t="n"/>
      <c r="V413" s="44" t="n"/>
      <c r="W413" s="50">
        <f>IF(OR(M413="",Q413="",S413=""),"",IF(ABS(ROUND(((ROUND(N(M413)*100,0))-(ROUND(N(Q413)*100,0))),0)-(ROUND(N(S413)*100,0)))&lt;=0,"OK","ABWEICHUNG"))</f>
        <v/>
      </c>
      <c r="X413" s="50">
        <f>IF(OR(K413="",M413="",N413=""),"",IF(ABS(ROUND(((ROUND(N(K413)*100,0)+ROUND(N(L413)*100,0))-(ROUND(N(M413)*100,0))),0)-(ROUND(N(N413)*100,0)))&lt;=0,"OK",IF(OR(L413=""),"UNVOLLSTÄNDIG","ABWEICHUNG")))</f>
        <v/>
      </c>
      <c r="Y413" s="50">
        <f>IF(OR(K413="",O413="",R413=""),"",IF(ABS(ROUND(((ROUND(N(K413)*100,0))-(ROUND(N(O413)*100,0))),0)-(ROUND(N(R413)*100,0)))&lt;=0,"OK","ABWEICHUNG"))</f>
        <v/>
      </c>
      <c r="Z413" s="50">
        <f>IF(OR(N413="",O413="",P413="",Q413="",T413=""),"",IF(ABS(ROUND(((ROUND(N(N413)*100,0)+ROUND(N(Q413)*100,0))-(ROUND(N(O413)*100,0)+ROUND(N(P413)*100,0))),0)-(ROUND(N(T413)*100,0)))&lt;=0,"OK","ABWEICHUNG"))</f>
        <v/>
      </c>
      <c r="AA413" s="44" t="n"/>
      <c r="AB413" s="44" t="n"/>
      <c r="AC413" s="44" t="n"/>
      <c r="AD413" s="44" t="n"/>
      <c r="AE413" s="85" t="n"/>
      <c r="AF413" s="85" t="n"/>
      <c r="AG413" s="44" t="n"/>
      <c r="AH413" s="44" t="n"/>
    </row>
    <row r="414">
      <c r="A414" s="44" t="n"/>
      <c r="B414" s="44" t="n"/>
      <c r="C414" s="44" t="n"/>
      <c r="D414" s="44" t="n"/>
      <c r="E414" s="44" t="n"/>
      <c r="F414" s="44" t="n"/>
      <c r="G414" s="45" t="n"/>
      <c r="H414" s="44" t="n"/>
      <c r="I414" s="45" t="n"/>
      <c r="J414" s="44" t="n"/>
      <c r="K414" s="85" t="n"/>
      <c r="L414" s="85" t="n"/>
      <c r="M414" s="85" t="n"/>
      <c r="N414" s="85" t="n"/>
      <c r="O414" s="85" t="n"/>
      <c r="P414" s="85" t="n"/>
      <c r="Q414" s="85" t="n"/>
      <c r="R414" s="85" t="n"/>
      <c r="S414" s="85" t="n"/>
      <c r="T414" s="85" t="n"/>
      <c r="U414" s="85" t="n"/>
      <c r="V414" s="44" t="n"/>
      <c r="W414" s="50">
        <f>IF(OR(M414="",Q414="",S414=""),"",IF(ABS(ROUND(((ROUND(N(M414)*100,0))-(ROUND(N(Q414)*100,0))),0)-(ROUND(N(S414)*100,0)))&lt;=0,"OK","ABWEICHUNG"))</f>
        <v/>
      </c>
      <c r="X414" s="50">
        <f>IF(OR(K414="",M414="",N414=""),"",IF(ABS(ROUND(((ROUND(N(K414)*100,0)+ROUND(N(L414)*100,0))-(ROUND(N(M414)*100,0))),0)-(ROUND(N(N414)*100,0)))&lt;=0,"OK",IF(OR(L414=""),"UNVOLLSTÄNDIG","ABWEICHUNG")))</f>
        <v/>
      </c>
      <c r="Y414" s="50">
        <f>IF(OR(K414="",O414="",R414=""),"",IF(ABS(ROUND(((ROUND(N(K414)*100,0))-(ROUND(N(O414)*100,0))),0)-(ROUND(N(R414)*100,0)))&lt;=0,"OK","ABWEICHUNG"))</f>
        <v/>
      </c>
      <c r="Z414" s="50">
        <f>IF(OR(N414="",O414="",P414="",Q414="",T414=""),"",IF(ABS(ROUND(((ROUND(N(N414)*100,0)+ROUND(N(Q414)*100,0))-(ROUND(N(O414)*100,0)+ROUND(N(P414)*100,0))),0)-(ROUND(N(T414)*100,0)))&lt;=0,"OK","ABWEICHUNG"))</f>
        <v/>
      </c>
      <c r="AA414" s="44" t="n"/>
      <c r="AB414" s="44" t="n"/>
      <c r="AC414" s="44" t="n"/>
      <c r="AD414" s="44" t="n"/>
      <c r="AE414" s="85" t="n"/>
      <c r="AF414" s="85" t="n"/>
      <c r="AG414" s="44" t="n"/>
      <c r="AH414" s="44" t="n"/>
    </row>
    <row r="415">
      <c r="A415" s="44" t="n"/>
      <c r="B415" s="44" t="n"/>
      <c r="C415" s="44" t="n"/>
      <c r="D415" s="44" t="n"/>
      <c r="E415" s="44" t="n"/>
      <c r="F415" s="44" t="n"/>
      <c r="G415" s="45" t="n"/>
      <c r="H415" s="44" t="n"/>
      <c r="I415" s="45" t="n"/>
      <c r="J415" s="44" t="n"/>
      <c r="K415" s="85" t="n"/>
      <c r="L415" s="85" t="n"/>
      <c r="M415" s="85" t="n"/>
      <c r="N415" s="85" t="n"/>
      <c r="O415" s="85" t="n"/>
      <c r="P415" s="85" t="n"/>
      <c r="Q415" s="85" t="n"/>
      <c r="R415" s="85" t="n"/>
      <c r="S415" s="85" t="n"/>
      <c r="T415" s="85" t="n"/>
      <c r="U415" s="85" t="n"/>
      <c r="V415" s="44" t="n"/>
      <c r="W415" s="50">
        <f>IF(OR(M415="",Q415="",S415=""),"",IF(ABS(ROUND(((ROUND(N(M415)*100,0))-(ROUND(N(Q415)*100,0))),0)-(ROUND(N(S415)*100,0)))&lt;=0,"OK","ABWEICHUNG"))</f>
        <v/>
      </c>
      <c r="X415" s="50">
        <f>IF(OR(K415="",M415="",N415=""),"",IF(ABS(ROUND(((ROUND(N(K415)*100,0)+ROUND(N(L415)*100,0))-(ROUND(N(M415)*100,0))),0)-(ROUND(N(N415)*100,0)))&lt;=0,"OK",IF(OR(L415=""),"UNVOLLSTÄNDIG","ABWEICHUNG")))</f>
        <v/>
      </c>
      <c r="Y415" s="50">
        <f>IF(OR(K415="",O415="",R415=""),"",IF(ABS(ROUND(((ROUND(N(K415)*100,0))-(ROUND(N(O415)*100,0))),0)-(ROUND(N(R415)*100,0)))&lt;=0,"OK","ABWEICHUNG"))</f>
        <v/>
      </c>
      <c r="Z415" s="50">
        <f>IF(OR(N415="",O415="",P415="",Q415="",T415=""),"",IF(ABS(ROUND(((ROUND(N(N415)*100,0)+ROUND(N(Q415)*100,0))-(ROUND(N(O415)*100,0)+ROUND(N(P415)*100,0))),0)-(ROUND(N(T415)*100,0)))&lt;=0,"OK","ABWEICHUNG"))</f>
        <v/>
      </c>
      <c r="AA415" s="44" t="n"/>
      <c r="AB415" s="44" t="n"/>
      <c r="AC415" s="44" t="n"/>
      <c r="AD415" s="44" t="n"/>
      <c r="AE415" s="85" t="n"/>
      <c r="AF415" s="85" t="n"/>
      <c r="AG415" s="44" t="n"/>
      <c r="AH415" s="44" t="n"/>
    </row>
    <row r="416">
      <c r="A416" s="44" t="n"/>
      <c r="B416" s="44" t="n"/>
      <c r="C416" s="44" t="n"/>
      <c r="D416" s="44" t="n"/>
      <c r="E416" s="44" t="n"/>
      <c r="F416" s="44" t="n"/>
      <c r="G416" s="45" t="n"/>
      <c r="H416" s="44" t="n"/>
      <c r="I416" s="45" t="n"/>
      <c r="J416" s="44" t="n"/>
      <c r="K416" s="85" t="n"/>
      <c r="L416" s="85" t="n"/>
      <c r="M416" s="85" t="n"/>
      <c r="N416" s="85" t="n"/>
      <c r="O416" s="85" t="n"/>
      <c r="P416" s="85" t="n"/>
      <c r="Q416" s="85" t="n"/>
      <c r="R416" s="85" t="n"/>
      <c r="S416" s="85" t="n"/>
      <c r="T416" s="85" t="n"/>
      <c r="U416" s="85" t="n"/>
      <c r="V416" s="44" t="n"/>
      <c r="W416" s="50">
        <f>IF(OR(M416="",Q416="",S416=""),"",IF(ABS(ROUND(((ROUND(N(M416)*100,0))-(ROUND(N(Q416)*100,0))),0)-(ROUND(N(S416)*100,0)))&lt;=0,"OK","ABWEICHUNG"))</f>
        <v/>
      </c>
      <c r="X416" s="50">
        <f>IF(OR(K416="",M416="",N416=""),"",IF(ABS(ROUND(((ROUND(N(K416)*100,0)+ROUND(N(L416)*100,0))-(ROUND(N(M416)*100,0))),0)-(ROUND(N(N416)*100,0)))&lt;=0,"OK",IF(OR(L416=""),"UNVOLLSTÄNDIG","ABWEICHUNG")))</f>
        <v/>
      </c>
      <c r="Y416" s="50">
        <f>IF(OR(K416="",O416="",R416=""),"",IF(ABS(ROUND(((ROUND(N(K416)*100,0))-(ROUND(N(O416)*100,0))),0)-(ROUND(N(R416)*100,0)))&lt;=0,"OK","ABWEICHUNG"))</f>
        <v/>
      </c>
      <c r="Z416" s="50">
        <f>IF(OR(N416="",O416="",P416="",Q416="",T416=""),"",IF(ABS(ROUND(((ROUND(N(N416)*100,0)+ROUND(N(Q416)*100,0))-(ROUND(N(O416)*100,0)+ROUND(N(P416)*100,0))),0)-(ROUND(N(T416)*100,0)))&lt;=0,"OK","ABWEICHUNG"))</f>
        <v/>
      </c>
      <c r="AA416" s="44" t="n"/>
      <c r="AB416" s="44" t="n"/>
      <c r="AC416" s="44" t="n"/>
      <c r="AD416" s="44" t="n"/>
      <c r="AE416" s="85" t="n"/>
      <c r="AF416" s="85" t="n"/>
      <c r="AG416" s="44" t="n"/>
      <c r="AH416" s="44" t="n"/>
    </row>
    <row r="417">
      <c r="A417" s="44" t="n"/>
      <c r="B417" s="44" t="n"/>
      <c r="C417" s="44" t="n"/>
      <c r="D417" s="44" t="n"/>
      <c r="E417" s="44" t="n"/>
      <c r="F417" s="44" t="n"/>
      <c r="G417" s="45" t="n"/>
      <c r="H417" s="44" t="n"/>
      <c r="I417" s="45" t="n"/>
      <c r="J417" s="44" t="n"/>
      <c r="K417" s="85" t="n"/>
      <c r="L417" s="85" t="n"/>
      <c r="M417" s="85" t="n"/>
      <c r="N417" s="85" t="n"/>
      <c r="O417" s="85" t="n"/>
      <c r="P417" s="85" t="n"/>
      <c r="Q417" s="85" t="n"/>
      <c r="R417" s="85" t="n"/>
      <c r="S417" s="85" t="n"/>
      <c r="T417" s="85" t="n"/>
      <c r="U417" s="85" t="n"/>
      <c r="V417" s="44" t="n"/>
      <c r="W417" s="50">
        <f>IF(OR(M417="",Q417="",S417=""),"",IF(ABS(ROUND(((ROUND(N(M417)*100,0))-(ROUND(N(Q417)*100,0))),0)-(ROUND(N(S417)*100,0)))&lt;=0,"OK","ABWEICHUNG"))</f>
        <v/>
      </c>
      <c r="X417" s="50">
        <f>IF(OR(K417="",M417="",N417=""),"",IF(ABS(ROUND(((ROUND(N(K417)*100,0)+ROUND(N(L417)*100,0))-(ROUND(N(M417)*100,0))),0)-(ROUND(N(N417)*100,0)))&lt;=0,"OK",IF(OR(L417=""),"UNVOLLSTÄNDIG","ABWEICHUNG")))</f>
        <v/>
      </c>
      <c r="Y417" s="50">
        <f>IF(OR(K417="",O417="",R417=""),"",IF(ABS(ROUND(((ROUND(N(K417)*100,0))-(ROUND(N(O417)*100,0))),0)-(ROUND(N(R417)*100,0)))&lt;=0,"OK","ABWEICHUNG"))</f>
        <v/>
      </c>
      <c r="Z417" s="50">
        <f>IF(OR(N417="",O417="",P417="",Q417="",T417=""),"",IF(ABS(ROUND(((ROUND(N(N417)*100,0)+ROUND(N(Q417)*100,0))-(ROUND(N(O417)*100,0)+ROUND(N(P417)*100,0))),0)-(ROUND(N(T417)*100,0)))&lt;=0,"OK","ABWEICHUNG"))</f>
        <v/>
      </c>
      <c r="AA417" s="44" t="n"/>
      <c r="AB417" s="44" t="n"/>
      <c r="AC417" s="44" t="n"/>
      <c r="AD417" s="44" t="n"/>
      <c r="AE417" s="85" t="n"/>
      <c r="AF417" s="85" t="n"/>
      <c r="AG417" s="44" t="n"/>
      <c r="AH417" s="44" t="n"/>
    </row>
    <row r="418">
      <c r="A418" s="44" t="n"/>
      <c r="B418" s="44" t="n"/>
      <c r="C418" s="44" t="n"/>
      <c r="D418" s="44" t="n"/>
      <c r="E418" s="44" t="n"/>
      <c r="F418" s="44" t="n"/>
      <c r="G418" s="45" t="n"/>
      <c r="H418" s="44" t="n"/>
      <c r="I418" s="45" t="n"/>
      <c r="J418" s="44" t="n"/>
      <c r="K418" s="85" t="n"/>
      <c r="L418" s="85" t="n"/>
      <c r="M418" s="85" t="n"/>
      <c r="N418" s="85" t="n"/>
      <c r="O418" s="85" t="n"/>
      <c r="P418" s="85" t="n"/>
      <c r="Q418" s="85" t="n"/>
      <c r="R418" s="85" t="n"/>
      <c r="S418" s="85" t="n"/>
      <c r="T418" s="85" t="n"/>
      <c r="U418" s="85" t="n"/>
      <c r="V418" s="44" t="n"/>
      <c r="W418" s="50">
        <f>IF(OR(M418="",Q418="",S418=""),"",IF(ABS(ROUND(((ROUND(N(M418)*100,0))-(ROUND(N(Q418)*100,0))),0)-(ROUND(N(S418)*100,0)))&lt;=0,"OK","ABWEICHUNG"))</f>
        <v/>
      </c>
      <c r="X418" s="50">
        <f>IF(OR(K418="",M418="",N418=""),"",IF(ABS(ROUND(((ROUND(N(K418)*100,0)+ROUND(N(L418)*100,0))-(ROUND(N(M418)*100,0))),0)-(ROUND(N(N418)*100,0)))&lt;=0,"OK",IF(OR(L418=""),"UNVOLLSTÄNDIG","ABWEICHUNG")))</f>
        <v/>
      </c>
      <c r="Y418" s="50">
        <f>IF(OR(K418="",O418="",R418=""),"",IF(ABS(ROUND(((ROUND(N(K418)*100,0))-(ROUND(N(O418)*100,0))),0)-(ROUND(N(R418)*100,0)))&lt;=0,"OK","ABWEICHUNG"))</f>
        <v/>
      </c>
      <c r="Z418" s="50">
        <f>IF(OR(N418="",O418="",P418="",Q418="",T418=""),"",IF(ABS(ROUND(((ROUND(N(N418)*100,0)+ROUND(N(Q418)*100,0))-(ROUND(N(O418)*100,0)+ROUND(N(P418)*100,0))),0)-(ROUND(N(T418)*100,0)))&lt;=0,"OK","ABWEICHUNG"))</f>
        <v/>
      </c>
      <c r="AA418" s="44" t="n"/>
      <c r="AB418" s="44" t="n"/>
      <c r="AC418" s="44" t="n"/>
      <c r="AD418" s="44" t="n"/>
      <c r="AE418" s="85" t="n"/>
      <c r="AF418" s="85" t="n"/>
      <c r="AG418" s="44" t="n"/>
      <c r="AH418" s="44" t="n"/>
    </row>
    <row r="419">
      <c r="A419" s="44" t="n"/>
      <c r="B419" s="44" t="n"/>
      <c r="C419" s="44" t="n"/>
      <c r="D419" s="44" t="n"/>
      <c r="E419" s="44" t="n"/>
      <c r="F419" s="44" t="n"/>
      <c r="G419" s="45" t="n"/>
      <c r="H419" s="44" t="n"/>
      <c r="I419" s="45" t="n"/>
      <c r="J419" s="44" t="n"/>
      <c r="K419" s="85" t="n"/>
      <c r="L419" s="85" t="n"/>
      <c r="M419" s="85" t="n"/>
      <c r="N419" s="85" t="n"/>
      <c r="O419" s="85" t="n"/>
      <c r="P419" s="85" t="n"/>
      <c r="Q419" s="85" t="n"/>
      <c r="R419" s="85" t="n"/>
      <c r="S419" s="85" t="n"/>
      <c r="T419" s="85" t="n"/>
      <c r="U419" s="85" t="n"/>
      <c r="V419" s="44" t="n"/>
      <c r="W419" s="50">
        <f>IF(OR(M419="",Q419="",S419=""),"",IF(ABS(ROUND(((ROUND(N(M419)*100,0))-(ROUND(N(Q419)*100,0))),0)-(ROUND(N(S419)*100,0)))&lt;=0,"OK","ABWEICHUNG"))</f>
        <v/>
      </c>
      <c r="X419" s="50">
        <f>IF(OR(K419="",M419="",N419=""),"",IF(ABS(ROUND(((ROUND(N(K419)*100,0)+ROUND(N(L419)*100,0))-(ROUND(N(M419)*100,0))),0)-(ROUND(N(N419)*100,0)))&lt;=0,"OK",IF(OR(L419=""),"UNVOLLSTÄNDIG","ABWEICHUNG")))</f>
        <v/>
      </c>
      <c r="Y419" s="50">
        <f>IF(OR(K419="",O419="",R419=""),"",IF(ABS(ROUND(((ROUND(N(K419)*100,0))-(ROUND(N(O419)*100,0))),0)-(ROUND(N(R419)*100,0)))&lt;=0,"OK","ABWEICHUNG"))</f>
        <v/>
      </c>
      <c r="Z419" s="50">
        <f>IF(OR(N419="",O419="",P419="",Q419="",T419=""),"",IF(ABS(ROUND(((ROUND(N(N419)*100,0)+ROUND(N(Q419)*100,0))-(ROUND(N(O419)*100,0)+ROUND(N(P419)*100,0))),0)-(ROUND(N(T419)*100,0)))&lt;=0,"OK","ABWEICHUNG"))</f>
        <v/>
      </c>
      <c r="AA419" s="44" t="n"/>
      <c r="AB419" s="44" t="n"/>
      <c r="AC419" s="44" t="n"/>
      <c r="AD419" s="44" t="n"/>
      <c r="AE419" s="85" t="n"/>
      <c r="AF419" s="85" t="n"/>
      <c r="AG419" s="44" t="n"/>
      <c r="AH419" s="44" t="n"/>
    </row>
    <row r="420">
      <c r="A420" s="44" t="n"/>
      <c r="B420" s="44" t="n"/>
      <c r="C420" s="44" t="n"/>
      <c r="D420" s="44" t="n"/>
      <c r="E420" s="44" t="n"/>
      <c r="F420" s="44" t="n"/>
      <c r="G420" s="45" t="n"/>
      <c r="H420" s="44" t="n"/>
      <c r="I420" s="45" t="n"/>
      <c r="J420" s="44" t="n"/>
      <c r="K420" s="85" t="n"/>
      <c r="L420" s="85" t="n"/>
      <c r="M420" s="85" t="n"/>
      <c r="N420" s="85" t="n"/>
      <c r="O420" s="85" t="n"/>
      <c r="P420" s="85" t="n"/>
      <c r="Q420" s="85" t="n"/>
      <c r="R420" s="85" t="n"/>
      <c r="S420" s="85" t="n"/>
      <c r="T420" s="85" t="n"/>
      <c r="U420" s="85" t="n"/>
      <c r="V420" s="44" t="n"/>
      <c r="W420" s="50">
        <f>IF(OR(M420="",Q420="",S420=""),"",IF(ABS(ROUND(((ROUND(N(M420)*100,0))-(ROUND(N(Q420)*100,0))),0)-(ROUND(N(S420)*100,0)))&lt;=0,"OK","ABWEICHUNG"))</f>
        <v/>
      </c>
      <c r="X420" s="50">
        <f>IF(OR(K420="",M420="",N420=""),"",IF(ABS(ROUND(((ROUND(N(K420)*100,0)+ROUND(N(L420)*100,0))-(ROUND(N(M420)*100,0))),0)-(ROUND(N(N420)*100,0)))&lt;=0,"OK",IF(OR(L420=""),"UNVOLLSTÄNDIG","ABWEICHUNG")))</f>
        <v/>
      </c>
      <c r="Y420" s="50">
        <f>IF(OR(K420="",O420="",R420=""),"",IF(ABS(ROUND(((ROUND(N(K420)*100,0))-(ROUND(N(O420)*100,0))),0)-(ROUND(N(R420)*100,0)))&lt;=0,"OK","ABWEICHUNG"))</f>
        <v/>
      </c>
      <c r="Z420" s="50">
        <f>IF(OR(N420="",O420="",P420="",Q420="",T420=""),"",IF(ABS(ROUND(((ROUND(N(N420)*100,0)+ROUND(N(Q420)*100,0))-(ROUND(N(O420)*100,0)+ROUND(N(P420)*100,0))),0)-(ROUND(N(T420)*100,0)))&lt;=0,"OK","ABWEICHUNG"))</f>
        <v/>
      </c>
      <c r="AA420" s="44" t="n"/>
      <c r="AB420" s="44" t="n"/>
      <c r="AC420" s="44" t="n"/>
      <c r="AD420" s="44" t="n"/>
      <c r="AE420" s="85" t="n"/>
      <c r="AF420" s="85" t="n"/>
      <c r="AG420" s="44" t="n"/>
      <c r="AH420" s="44" t="n"/>
    </row>
    <row r="421">
      <c r="A421" s="44" t="n"/>
      <c r="B421" s="44" t="n"/>
      <c r="C421" s="44" t="n"/>
      <c r="D421" s="44" t="n"/>
      <c r="E421" s="44" t="n"/>
      <c r="F421" s="44" t="n"/>
      <c r="G421" s="45" t="n"/>
      <c r="H421" s="44" t="n"/>
      <c r="I421" s="45" t="n"/>
      <c r="J421" s="44" t="n"/>
      <c r="K421" s="85" t="n"/>
      <c r="L421" s="85" t="n"/>
      <c r="M421" s="85" t="n"/>
      <c r="N421" s="85" t="n"/>
      <c r="O421" s="85" t="n"/>
      <c r="P421" s="85" t="n"/>
      <c r="Q421" s="85" t="n"/>
      <c r="R421" s="85" t="n"/>
      <c r="S421" s="85" t="n"/>
      <c r="T421" s="85" t="n"/>
      <c r="U421" s="85" t="n"/>
      <c r="V421" s="44" t="n"/>
      <c r="W421" s="50">
        <f>IF(OR(M421="",Q421="",S421=""),"",IF(ABS(ROUND(((ROUND(N(M421)*100,0))-(ROUND(N(Q421)*100,0))),0)-(ROUND(N(S421)*100,0)))&lt;=0,"OK","ABWEICHUNG"))</f>
        <v/>
      </c>
      <c r="X421" s="50">
        <f>IF(OR(K421="",M421="",N421=""),"",IF(ABS(ROUND(((ROUND(N(K421)*100,0)+ROUND(N(L421)*100,0))-(ROUND(N(M421)*100,0))),0)-(ROUND(N(N421)*100,0)))&lt;=0,"OK",IF(OR(L421=""),"UNVOLLSTÄNDIG","ABWEICHUNG")))</f>
        <v/>
      </c>
      <c r="Y421" s="50">
        <f>IF(OR(K421="",O421="",R421=""),"",IF(ABS(ROUND(((ROUND(N(K421)*100,0))-(ROUND(N(O421)*100,0))),0)-(ROUND(N(R421)*100,0)))&lt;=0,"OK","ABWEICHUNG"))</f>
        <v/>
      </c>
      <c r="Z421" s="50">
        <f>IF(OR(N421="",O421="",P421="",Q421="",T421=""),"",IF(ABS(ROUND(((ROUND(N(N421)*100,0)+ROUND(N(Q421)*100,0))-(ROUND(N(O421)*100,0)+ROUND(N(P421)*100,0))),0)-(ROUND(N(T421)*100,0)))&lt;=0,"OK","ABWEICHUNG"))</f>
        <v/>
      </c>
      <c r="AA421" s="44" t="n"/>
      <c r="AB421" s="44" t="n"/>
      <c r="AC421" s="44" t="n"/>
      <c r="AD421" s="44" t="n"/>
      <c r="AE421" s="85" t="n"/>
      <c r="AF421" s="85" t="n"/>
      <c r="AG421" s="44" t="n"/>
      <c r="AH421" s="44" t="n"/>
    </row>
    <row r="422">
      <c r="A422" s="44" t="n"/>
      <c r="B422" s="44" t="n"/>
      <c r="C422" s="44" t="n"/>
      <c r="D422" s="44" t="n"/>
      <c r="E422" s="44" t="n"/>
      <c r="F422" s="44" t="n"/>
      <c r="G422" s="45" t="n"/>
      <c r="H422" s="44" t="n"/>
      <c r="I422" s="45" t="n"/>
      <c r="J422" s="44" t="n"/>
      <c r="K422" s="85" t="n"/>
      <c r="L422" s="85" t="n"/>
      <c r="M422" s="85" t="n"/>
      <c r="N422" s="85" t="n"/>
      <c r="O422" s="85" t="n"/>
      <c r="P422" s="85" t="n"/>
      <c r="Q422" s="85" t="n"/>
      <c r="R422" s="85" t="n"/>
      <c r="S422" s="85" t="n"/>
      <c r="T422" s="85" t="n"/>
      <c r="U422" s="85" t="n"/>
      <c r="V422" s="44" t="n"/>
      <c r="W422" s="50">
        <f>IF(OR(M422="",Q422="",S422=""),"",IF(ABS(ROUND(((ROUND(N(M422)*100,0))-(ROUND(N(Q422)*100,0))),0)-(ROUND(N(S422)*100,0)))&lt;=0,"OK","ABWEICHUNG"))</f>
        <v/>
      </c>
      <c r="X422" s="50">
        <f>IF(OR(K422="",M422="",N422=""),"",IF(ABS(ROUND(((ROUND(N(K422)*100,0)+ROUND(N(L422)*100,0))-(ROUND(N(M422)*100,0))),0)-(ROUND(N(N422)*100,0)))&lt;=0,"OK",IF(OR(L422=""),"UNVOLLSTÄNDIG","ABWEICHUNG")))</f>
        <v/>
      </c>
      <c r="Y422" s="50">
        <f>IF(OR(K422="",O422="",R422=""),"",IF(ABS(ROUND(((ROUND(N(K422)*100,0))-(ROUND(N(O422)*100,0))),0)-(ROUND(N(R422)*100,0)))&lt;=0,"OK","ABWEICHUNG"))</f>
        <v/>
      </c>
      <c r="Z422" s="50">
        <f>IF(OR(N422="",O422="",P422="",Q422="",T422=""),"",IF(ABS(ROUND(((ROUND(N(N422)*100,0)+ROUND(N(Q422)*100,0))-(ROUND(N(O422)*100,0)+ROUND(N(P422)*100,0))),0)-(ROUND(N(T422)*100,0)))&lt;=0,"OK","ABWEICHUNG"))</f>
        <v/>
      </c>
      <c r="AA422" s="44" t="n"/>
      <c r="AB422" s="44" t="n"/>
      <c r="AC422" s="44" t="n"/>
      <c r="AD422" s="44" t="n"/>
      <c r="AE422" s="85" t="n"/>
      <c r="AF422" s="85" t="n"/>
      <c r="AG422" s="44" t="n"/>
      <c r="AH422" s="44" t="n"/>
    </row>
    <row r="423">
      <c r="A423" s="44" t="n"/>
      <c r="B423" s="44" t="n"/>
      <c r="C423" s="44" t="n"/>
      <c r="D423" s="44" t="n"/>
      <c r="E423" s="44" t="n"/>
      <c r="F423" s="44" t="n"/>
      <c r="G423" s="45" t="n"/>
      <c r="H423" s="44" t="n"/>
      <c r="I423" s="45" t="n"/>
      <c r="J423" s="44" t="n"/>
      <c r="K423" s="85" t="n"/>
      <c r="L423" s="85" t="n"/>
      <c r="M423" s="85" t="n"/>
      <c r="N423" s="85" t="n"/>
      <c r="O423" s="85" t="n"/>
      <c r="P423" s="85" t="n"/>
      <c r="Q423" s="85" t="n"/>
      <c r="R423" s="85" t="n"/>
      <c r="S423" s="85" t="n"/>
      <c r="T423" s="85" t="n"/>
      <c r="U423" s="85" t="n"/>
      <c r="V423" s="44" t="n"/>
      <c r="W423" s="50">
        <f>IF(OR(M423="",Q423="",S423=""),"",IF(ABS(ROUND(((ROUND(N(M423)*100,0))-(ROUND(N(Q423)*100,0))),0)-(ROUND(N(S423)*100,0)))&lt;=0,"OK","ABWEICHUNG"))</f>
        <v/>
      </c>
      <c r="X423" s="50">
        <f>IF(OR(K423="",M423="",N423=""),"",IF(ABS(ROUND(((ROUND(N(K423)*100,0)+ROUND(N(L423)*100,0))-(ROUND(N(M423)*100,0))),0)-(ROUND(N(N423)*100,0)))&lt;=0,"OK",IF(OR(L423=""),"UNVOLLSTÄNDIG","ABWEICHUNG")))</f>
        <v/>
      </c>
      <c r="Y423" s="50">
        <f>IF(OR(K423="",O423="",R423=""),"",IF(ABS(ROUND(((ROUND(N(K423)*100,0))-(ROUND(N(O423)*100,0))),0)-(ROUND(N(R423)*100,0)))&lt;=0,"OK","ABWEICHUNG"))</f>
        <v/>
      </c>
      <c r="Z423" s="50">
        <f>IF(OR(N423="",O423="",P423="",Q423="",T423=""),"",IF(ABS(ROUND(((ROUND(N(N423)*100,0)+ROUND(N(Q423)*100,0))-(ROUND(N(O423)*100,0)+ROUND(N(P423)*100,0))),0)-(ROUND(N(T423)*100,0)))&lt;=0,"OK","ABWEICHUNG"))</f>
        <v/>
      </c>
      <c r="AA423" s="44" t="n"/>
      <c r="AB423" s="44" t="n"/>
      <c r="AC423" s="44" t="n"/>
      <c r="AD423" s="44" t="n"/>
      <c r="AE423" s="85" t="n"/>
      <c r="AF423" s="85" t="n"/>
      <c r="AG423" s="44" t="n"/>
      <c r="AH423" s="44" t="n"/>
    </row>
    <row r="424">
      <c r="A424" s="44" t="n"/>
      <c r="B424" s="44" t="n"/>
      <c r="C424" s="44" t="n"/>
      <c r="D424" s="44" t="n"/>
      <c r="E424" s="44" t="n"/>
      <c r="F424" s="44" t="n"/>
      <c r="G424" s="45" t="n"/>
      <c r="H424" s="44" t="n"/>
      <c r="I424" s="45" t="n"/>
      <c r="J424" s="44" t="n"/>
      <c r="K424" s="85" t="n"/>
      <c r="L424" s="85" t="n"/>
      <c r="M424" s="85" t="n"/>
      <c r="N424" s="85" t="n"/>
      <c r="O424" s="85" t="n"/>
      <c r="P424" s="85" t="n"/>
      <c r="Q424" s="85" t="n"/>
      <c r="R424" s="85" t="n"/>
      <c r="S424" s="85" t="n"/>
      <c r="T424" s="85" t="n"/>
      <c r="U424" s="85" t="n"/>
      <c r="V424" s="44" t="n"/>
      <c r="W424" s="50">
        <f>IF(OR(M424="",Q424="",S424=""),"",IF(ABS(ROUND(((ROUND(N(M424)*100,0))-(ROUND(N(Q424)*100,0))),0)-(ROUND(N(S424)*100,0)))&lt;=0,"OK","ABWEICHUNG"))</f>
        <v/>
      </c>
      <c r="X424" s="50">
        <f>IF(OR(K424="",M424="",N424=""),"",IF(ABS(ROUND(((ROUND(N(K424)*100,0)+ROUND(N(L424)*100,0))-(ROUND(N(M424)*100,0))),0)-(ROUND(N(N424)*100,0)))&lt;=0,"OK",IF(OR(L424=""),"UNVOLLSTÄNDIG","ABWEICHUNG")))</f>
        <v/>
      </c>
      <c r="Y424" s="50">
        <f>IF(OR(K424="",O424="",R424=""),"",IF(ABS(ROUND(((ROUND(N(K424)*100,0))-(ROUND(N(O424)*100,0))),0)-(ROUND(N(R424)*100,0)))&lt;=0,"OK","ABWEICHUNG"))</f>
        <v/>
      </c>
      <c r="Z424" s="50">
        <f>IF(OR(N424="",O424="",P424="",Q424="",T424=""),"",IF(ABS(ROUND(((ROUND(N(N424)*100,0)+ROUND(N(Q424)*100,0))-(ROUND(N(O424)*100,0)+ROUND(N(P424)*100,0))),0)-(ROUND(N(T424)*100,0)))&lt;=0,"OK","ABWEICHUNG"))</f>
        <v/>
      </c>
      <c r="AA424" s="44" t="n"/>
      <c r="AB424" s="44" t="n"/>
      <c r="AC424" s="44" t="n"/>
      <c r="AD424" s="44" t="n"/>
      <c r="AE424" s="85" t="n"/>
      <c r="AF424" s="85" t="n"/>
      <c r="AG424" s="44" t="n"/>
      <c r="AH424" s="44" t="n"/>
    </row>
    <row r="425">
      <c r="A425" s="44" t="n"/>
      <c r="B425" s="44" t="n"/>
      <c r="C425" s="44" t="n"/>
      <c r="D425" s="44" t="n"/>
      <c r="E425" s="44" t="n"/>
      <c r="F425" s="44" t="n"/>
      <c r="G425" s="45" t="n"/>
      <c r="H425" s="44" t="n"/>
      <c r="I425" s="45" t="n"/>
      <c r="J425" s="44" t="n"/>
      <c r="K425" s="85" t="n"/>
      <c r="L425" s="85" t="n"/>
      <c r="M425" s="85" t="n"/>
      <c r="N425" s="85" t="n"/>
      <c r="O425" s="85" t="n"/>
      <c r="P425" s="85" t="n"/>
      <c r="Q425" s="85" t="n"/>
      <c r="R425" s="85" t="n"/>
      <c r="S425" s="85" t="n"/>
      <c r="T425" s="85" t="n"/>
      <c r="U425" s="85" t="n"/>
      <c r="V425" s="44" t="n"/>
      <c r="W425" s="50">
        <f>IF(OR(M425="",Q425="",S425=""),"",IF(ABS(ROUND(((ROUND(N(M425)*100,0))-(ROUND(N(Q425)*100,0))),0)-(ROUND(N(S425)*100,0)))&lt;=0,"OK","ABWEICHUNG"))</f>
        <v/>
      </c>
      <c r="X425" s="50">
        <f>IF(OR(K425="",M425="",N425=""),"",IF(ABS(ROUND(((ROUND(N(K425)*100,0)+ROUND(N(L425)*100,0))-(ROUND(N(M425)*100,0))),0)-(ROUND(N(N425)*100,0)))&lt;=0,"OK",IF(OR(L425=""),"UNVOLLSTÄNDIG","ABWEICHUNG")))</f>
        <v/>
      </c>
      <c r="Y425" s="50">
        <f>IF(OR(K425="",O425="",R425=""),"",IF(ABS(ROUND(((ROUND(N(K425)*100,0))-(ROUND(N(O425)*100,0))),0)-(ROUND(N(R425)*100,0)))&lt;=0,"OK","ABWEICHUNG"))</f>
        <v/>
      </c>
      <c r="Z425" s="50">
        <f>IF(OR(N425="",O425="",P425="",Q425="",T425=""),"",IF(ABS(ROUND(((ROUND(N(N425)*100,0)+ROUND(N(Q425)*100,0))-(ROUND(N(O425)*100,0)+ROUND(N(P425)*100,0))),0)-(ROUND(N(T425)*100,0)))&lt;=0,"OK","ABWEICHUNG"))</f>
        <v/>
      </c>
      <c r="AA425" s="44" t="n"/>
      <c r="AB425" s="44" t="n"/>
      <c r="AC425" s="44" t="n"/>
      <c r="AD425" s="44" t="n"/>
      <c r="AE425" s="85" t="n"/>
      <c r="AF425" s="85" t="n"/>
      <c r="AG425" s="44" t="n"/>
      <c r="AH425" s="44" t="n"/>
    </row>
    <row r="426">
      <c r="A426" s="44" t="n"/>
      <c r="B426" s="44" t="n"/>
      <c r="C426" s="44" t="n"/>
      <c r="D426" s="44" t="n"/>
      <c r="E426" s="44" t="n"/>
      <c r="F426" s="44" t="n"/>
      <c r="G426" s="45" t="n"/>
      <c r="H426" s="44" t="n"/>
      <c r="I426" s="45" t="n"/>
      <c r="J426" s="44" t="n"/>
      <c r="K426" s="85" t="n"/>
      <c r="L426" s="85" t="n"/>
      <c r="M426" s="85" t="n"/>
      <c r="N426" s="85" t="n"/>
      <c r="O426" s="85" t="n"/>
      <c r="P426" s="85" t="n"/>
      <c r="Q426" s="85" t="n"/>
      <c r="R426" s="85" t="n"/>
      <c r="S426" s="85" t="n"/>
      <c r="T426" s="85" t="n"/>
      <c r="U426" s="85" t="n"/>
      <c r="V426" s="44" t="n"/>
      <c r="W426" s="50">
        <f>IF(OR(M426="",Q426="",S426=""),"",IF(ABS(ROUND(((ROUND(N(M426)*100,0))-(ROUND(N(Q426)*100,0))),0)-(ROUND(N(S426)*100,0)))&lt;=0,"OK","ABWEICHUNG"))</f>
        <v/>
      </c>
      <c r="X426" s="50">
        <f>IF(OR(K426="",M426="",N426=""),"",IF(ABS(ROUND(((ROUND(N(K426)*100,0)+ROUND(N(L426)*100,0))-(ROUND(N(M426)*100,0))),0)-(ROUND(N(N426)*100,0)))&lt;=0,"OK",IF(OR(L426=""),"UNVOLLSTÄNDIG","ABWEICHUNG")))</f>
        <v/>
      </c>
      <c r="Y426" s="50">
        <f>IF(OR(K426="",O426="",R426=""),"",IF(ABS(ROUND(((ROUND(N(K426)*100,0))-(ROUND(N(O426)*100,0))),0)-(ROUND(N(R426)*100,0)))&lt;=0,"OK","ABWEICHUNG"))</f>
        <v/>
      </c>
      <c r="Z426" s="50">
        <f>IF(OR(N426="",O426="",P426="",Q426="",T426=""),"",IF(ABS(ROUND(((ROUND(N(N426)*100,0)+ROUND(N(Q426)*100,0))-(ROUND(N(O426)*100,0)+ROUND(N(P426)*100,0))),0)-(ROUND(N(T426)*100,0)))&lt;=0,"OK","ABWEICHUNG"))</f>
        <v/>
      </c>
      <c r="AA426" s="44" t="n"/>
      <c r="AB426" s="44" t="n"/>
      <c r="AC426" s="44" t="n"/>
      <c r="AD426" s="44" t="n"/>
      <c r="AE426" s="85" t="n"/>
      <c r="AF426" s="85" t="n"/>
      <c r="AG426" s="44" t="n"/>
      <c r="AH426" s="44" t="n"/>
    </row>
    <row r="427">
      <c r="A427" s="44" t="n"/>
      <c r="B427" s="44" t="n"/>
      <c r="C427" s="44" t="n"/>
      <c r="D427" s="44" t="n"/>
      <c r="E427" s="44" t="n"/>
      <c r="F427" s="44" t="n"/>
      <c r="G427" s="45" t="n"/>
      <c r="H427" s="44" t="n"/>
      <c r="I427" s="45" t="n"/>
      <c r="J427" s="44" t="n"/>
      <c r="K427" s="85" t="n"/>
      <c r="L427" s="85" t="n"/>
      <c r="M427" s="85" t="n"/>
      <c r="N427" s="85" t="n"/>
      <c r="O427" s="85" t="n"/>
      <c r="P427" s="85" t="n"/>
      <c r="Q427" s="85" t="n"/>
      <c r="R427" s="85" t="n"/>
      <c r="S427" s="85" t="n"/>
      <c r="T427" s="85" t="n"/>
      <c r="U427" s="85" t="n"/>
      <c r="V427" s="44" t="n"/>
      <c r="W427" s="50">
        <f>IF(OR(M427="",Q427="",S427=""),"",IF(ABS(ROUND(((ROUND(N(M427)*100,0))-(ROUND(N(Q427)*100,0))),0)-(ROUND(N(S427)*100,0)))&lt;=0,"OK","ABWEICHUNG"))</f>
        <v/>
      </c>
      <c r="X427" s="50">
        <f>IF(OR(K427="",M427="",N427=""),"",IF(ABS(ROUND(((ROUND(N(K427)*100,0)+ROUND(N(L427)*100,0))-(ROUND(N(M427)*100,0))),0)-(ROUND(N(N427)*100,0)))&lt;=0,"OK",IF(OR(L427=""),"UNVOLLSTÄNDIG","ABWEICHUNG")))</f>
        <v/>
      </c>
      <c r="Y427" s="50">
        <f>IF(OR(K427="",O427="",R427=""),"",IF(ABS(ROUND(((ROUND(N(K427)*100,0))-(ROUND(N(O427)*100,0))),0)-(ROUND(N(R427)*100,0)))&lt;=0,"OK","ABWEICHUNG"))</f>
        <v/>
      </c>
      <c r="Z427" s="50">
        <f>IF(OR(N427="",O427="",P427="",Q427="",T427=""),"",IF(ABS(ROUND(((ROUND(N(N427)*100,0)+ROUND(N(Q427)*100,0))-(ROUND(N(O427)*100,0)+ROUND(N(P427)*100,0))),0)-(ROUND(N(T427)*100,0)))&lt;=0,"OK","ABWEICHUNG"))</f>
        <v/>
      </c>
      <c r="AA427" s="44" t="n"/>
      <c r="AB427" s="44" t="n"/>
      <c r="AC427" s="44" t="n"/>
      <c r="AD427" s="44" t="n"/>
      <c r="AE427" s="85" t="n"/>
      <c r="AF427" s="85" t="n"/>
      <c r="AG427" s="44" t="n"/>
      <c r="AH427" s="44" t="n"/>
    </row>
    <row r="428">
      <c r="A428" s="44" t="n"/>
      <c r="B428" s="44" t="n"/>
      <c r="C428" s="44" t="n"/>
      <c r="D428" s="44" t="n"/>
      <c r="E428" s="44" t="n"/>
      <c r="F428" s="44" t="n"/>
      <c r="G428" s="45" t="n"/>
      <c r="H428" s="44" t="n"/>
      <c r="I428" s="45" t="n"/>
      <c r="J428" s="44" t="n"/>
      <c r="K428" s="85" t="n"/>
      <c r="L428" s="85" t="n"/>
      <c r="M428" s="85" t="n"/>
      <c r="N428" s="85" t="n"/>
      <c r="O428" s="85" t="n"/>
      <c r="P428" s="85" t="n"/>
      <c r="Q428" s="85" t="n"/>
      <c r="R428" s="85" t="n"/>
      <c r="S428" s="85" t="n"/>
      <c r="T428" s="85" t="n"/>
      <c r="U428" s="85" t="n"/>
      <c r="V428" s="44" t="n"/>
      <c r="W428" s="50">
        <f>IF(OR(M428="",Q428="",S428=""),"",IF(ABS(ROUND(((ROUND(N(M428)*100,0))-(ROUND(N(Q428)*100,0))),0)-(ROUND(N(S428)*100,0)))&lt;=0,"OK","ABWEICHUNG"))</f>
        <v/>
      </c>
      <c r="X428" s="50">
        <f>IF(OR(K428="",M428="",N428=""),"",IF(ABS(ROUND(((ROUND(N(K428)*100,0)+ROUND(N(L428)*100,0))-(ROUND(N(M428)*100,0))),0)-(ROUND(N(N428)*100,0)))&lt;=0,"OK",IF(OR(L428=""),"UNVOLLSTÄNDIG","ABWEICHUNG")))</f>
        <v/>
      </c>
      <c r="Y428" s="50">
        <f>IF(OR(K428="",O428="",R428=""),"",IF(ABS(ROUND(((ROUND(N(K428)*100,0))-(ROUND(N(O428)*100,0))),0)-(ROUND(N(R428)*100,0)))&lt;=0,"OK","ABWEICHUNG"))</f>
        <v/>
      </c>
      <c r="Z428" s="50">
        <f>IF(OR(N428="",O428="",P428="",Q428="",T428=""),"",IF(ABS(ROUND(((ROUND(N(N428)*100,0)+ROUND(N(Q428)*100,0))-(ROUND(N(O428)*100,0)+ROUND(N(P428)*100,0))),0)-(ROUND(N(T428)*100,0)))&lt;=0,"OK","ABWEICHUNG"))</f>
        <v/>
      </c>
      <c r="AA428" s="44" t="n"/>
      <c r="AB428" s="44" t="n"/>
      <c r="AC428" s="44" t="n"/>
      <c r="AD428" s="44" t="n"/>
      <c r="AE428" s="85" t="n"/>
      <c r="AF428" s="85" t="n"/>
      <c r="AG428" s="44" t="n"/>
      <c r="AH428" s="44" t="n"/>
    </row>
    <row r="429">
      <c r="A429" s="44" t="n"/>
      <c r="B429" s="44" t="n"/>
      <c r="C429" s="44" t="n"/>
      <c r="D429" s="44" t="n"/>
      <c r="E429" s="44" t="n"/>
      <c r="F429" s="44" t="n"/>
      <c r="G429" s="45" t="n"/>
      <c r="H429" s="44" t="n"/>
      <c r="I429" s="45" t="n"/>
      <c r="J429" s="44" t="n"/>
      <c r="K429" s="85" t="n"/>
      <c r="L429" s="85" t="n"/>
      <c r="M429" s="85" t="n"/>
      <c r="N429" s="85" t="n"/>
      <c r="O429" s="85" t="n"/>
      <c r="P429" s="85" t="n"/>
      <c r="Q429" s="85" t="n"/>
      <c r="R429" s="85" t="n"/>
      <c r="S429" s="85" t="n"/>
      <c r="T429" s="85" t="n"/>
      <c r="U429" s="85" t="n"/>
      <c r="V429" s="44" t="n"/>
      <c r="W429" s="50">
        <f>IF(OR(M429="",Q429="",S429=""),"",IF(ABS(ROUND(((ROUND(N(M429)*100,0))-(ROUND(N(Q429)*100,0))),0)-(ROUND(N(S429)*100,0)))&lt;=0,"OK","ABWEICHUNG"))</f>
        <v/>
      </c>
      <c r="X429" s="50">
        <f>IF(OR(K429="",M429="",N429=""),"",IF(ABS(ROUND(((ROUND(N(K429)*100,0)+ROUND(N(L429)*100,0))-(ROUND(N(M429)*100,0))),0)-(ROUND(N(N429)*100,0)))&lt;=0,"OK",IF(OR(L429=""),"UNVOLLSTÄNDIG","ABWEICHUNG")))</f>
        <v/>
      </c>
      <c r="Y429" s="50">
        <f>IF(OR(K429="",O429="",R429=""),"",IF(ABS(ROUND(((ROUND(N(K429)*100,0))-(ROUND(N(O429)*100,0))),0)-(ROUND(N(R429)*100,0)))&lt;=0,"OK","ABWEICHUNG"))</f>
        <v/>
      </c>
      <c r="Z429" s="50">
        <f>IF(OR(N429="",O429="",P429="",Q429="",T429=""),"",IF(ABS(ROUND(((ROUND(N(N429)*100,0)+ROUND(N(Q429)*100,0))-(ROUND(N(O429)*100,0)+ROUND(N(P429)*100,0))),0)-(ROUND(N(T429)*100,0)))&lt;=0,"OK","ABWEICHUNG"))</f>
        <v/>
      </c>
      <c r="AA429" s="44" t="n"/>
      <c r="AB429" s="44" t="n"/>
      <c r="AC429" s="44" t="n"/>
      <c r="AD429" s="44" t="n"/>
      <c r="AE429" s="85" t="n"/>
      <c r="AF429" s="85" t="n"/>
      <c r="AG429" s="44" t="n"/>
      <c r="AH429" s="44" t="n"/>
    </row>
    <row r="430">
      <c r="A430" s="44" t="n"/>
      <c r="B430" s="44" t="n"/>
      <c r="C430" s="44" t="n"/>
      <c r="D430" s="44" t="n"/>
      <c r="E430" s="44" t="n"/>
      <c r="F430" s="44" t="n"/>
      <c r="G430" s="45" t="n"/>
      <c r="H430" s="44" t="n"/>
      <c r="I430" s="45" t="n"/>
      <c r="J430" s="44" t="n"/>
      <c r="K430" s="85" t="n"/>
      <c r="L430" s="85" t="n"/>
      <c r="M430" s="85" t="n"/>
      <c r="N430" s="85" t="n"/>
      <c r="O430" s="85" t="n"/>
      <c r="P430" s="85" t="n"/>
      <c r="Q430" s="85" t="n"/>
      <c r="R430" s="85" t="n"/>
      <c r="S430" s="85" t="n"/>
      <c r="T430" s="85" t="n"/>
      <c r="U430" s="85" t="n"/>
      <c r="V430" s="44" t="n"/>
      <c r="W430" s="50">
        <f>IF(OR(M430="",Q430="",S430=""),"",IF(ABS(ROUND(((ROUND(N(M430)*100,0))-(ROUND(N(Q430)*100,0))),0)-(ROUND(N(S430)*100,0)))&lt;=0,"OK","ABWEICHUNG"))</f>
        <v/>
      </c>
      <c r="X430" s="50">
        <f>IF(OR(K430="",M430="",N430=""),"",IF(ABS(ROUND(((ROUND(N(K430)*100,0)+ROUND(N(L430)*100,0))-(ROUND(N(M430)*100,0))),0)-(ROUND(N(N430)*100,0)))&lt;=0,"OK",IF(OR(L430=""),"UNVOLLSTÄNDIG","ABWEICHUNG")))</f>
        <v/>
      </c>
      <c r="Y430" s="50">
        <f>IF(OR(K430="",O430="",R430=""),"",IF(ABS(ROUND(((ROUND(N(K430)*100,0))-(ROUND(N(O430)*100,0))),0)-(ROUND(N(R430)*100,0)))&lt;=0,"OK","ABWEICHUNG"))</f>
        <v/>
      </c>
      <c r="Z430" s="50">
        <f>IF(OR(N430="",O430="",P430="",Q430="",T430=""),"",IF(ABS(ROUND(((ROUND(N(N430)*100,0)+ROUND(N(Q430)*100,0))-(ROUND(N(O430)*100,0)+ROUND(N(P430)*100,0))),0)-(ROUND(N(T430)*100,0)))&lt;=0,"OK","ABWEICHUNG"))</f>
        <v/>
      </c>
      <c r="AA430" s="44" t="n"/>
      <c r="AB430" s="44" t="n"/>
      <c r="AC430" s="44" t="n"/>
      <c r="AD430" s="44" t="n"/>
      <c r="AE430" s="85" t="n"/>
      <c r="AF430" s="85" t="n"/>
      <c r="AG430" s="44" t="n"/>
      <c r="AH430" s="44" t="n"/>
    </row>
    <row r="431">
      <c r="A431" s="44" t="n"/>
      <c r="B431" s="44" t="n"/>
      <c r="C431" s="44" t="n"/>
      <c r="D431" s="44" t="n"/>
      <c r="E431" s="44" t="n"/>
      <c r="F431" s="44" t="n"/>
      <c r="G431" s="45" t="n"/>
      <c r="H431" s="44" t="n"/>
      <c r="I431" s="45" t="n"/>
      <c r="J431" s="44" t="n"/>
      <c r="K431" s="85" t="n"/>
      <c r="L431" s="85" t="n"/>
      <c r="M431" s="85" t="n"/>
      <c r="N431" s="85" t="n"/>
      <c r="O431" s="85" t="n"/>
      <c r="P431" s="85" t="n"/>
      <c r="Q431" s="85" t="n"/>
      <c r="R431" s="85" t="n"/>
      <c r="S431" s="85" t="n"/>
      <c r="T431" s="85" t="n"/>
      <c r="U431" s="85" t="n"/>
      <c r="V431" s="44" t="n"/>
      <c r="W431" s="50">
        <f>IF(OR(M431="",Q431="",S431=""),"",IF(ABS(ROUND(((ROUND(N(M431)*100,0))-(ROUND(N(Q431)*100,0))),0)-(ROUND(N(S431)*100,0)))&lt;=0,"OK","ABWEICHUNG"))</f>
        <v/>
      </c>
      <c r="X431" s="50">
        <f>IF(OR(K431="",M431="",N431=""),"",IF(ABS(ROUND(((ROUND(N(K431)*100,0)+ROUND(N(L431)*100,0))-(ROUND(N(M431)*100,0))),0)-(ROUND(N(N431)*100,0)))&lt;=0,"OK",IF(OR(L431=""),"UNVOLLSTÄNDIG","ABWEICHUNG")))</f>
        <v/>
      </c>
      <c r="Y431" s="50">
        <f>IF(OR(K431="",O431="",R431=""),"",IF(ABS(ROUND(((ROUND(N(K431)*100,0))-(ROUND(N(O431)*100,0))),0)-(ROUND(N(R431)*100,0)))&lt;=0,"OK","ABWEICHUNG"))</f>
        <v/>
      </c>
      <c r="Z431" s="50">
        <f>IF(OR(N431="",O431="",P431="",Q431="",T431=""),"",IF(ABS(ROUND(((ROUND(N(N431)*100,0)+ROUND(N(Q431)*100,0))-(ROUND(N(O431)*100,0)+ROUND(N(P431)*100,0))),0)-(ROUND(N(T431)*100,0)))&lt;=0,"OK","ABWEICHUNG"))</f>
        <v/>
      </c>
      <c r="AA431" s="44" t="n"/>
      <c r="AB431" s="44" t="n"/>
      <c r="AC431" s="44" t="n"/>
      <c r="AD431" s="44" t="n"/>
      <c r="AE431" s="85" t="n"/>
      <c r="AF431" s="85" t="n"/>
      <c r="AG431" s="44" t="n"/>
      <c r="AH431" s="44" t="n"/>
    </row>
    <row r="432">
      <c r="A432" s="44" t="n"/>
      <c r="B432" s="44" t="n"/>
      <c r="C432" s="44" t="n"/>
      <c r="D432" s="44" t="n"/>
      <c r="E432" s="44" t="n"/>
      <c r="F432" s="44" t="n"/>
      <c r="G432" s="45" t="n"/>
      <c r="H432" s="44" t="n"/>
      <c r="I432" s="45" t="n"/>
      <c r="J432" s="44" t="n"/>
      <c r="K432" s="85" t="n"/>
      <c r="L432" s="85" t="n"/>
      <c r="M432" s="85" t="n"/>
      <c r="N432" s="85" t="n"/>
      <c r="O432" s="85" t="n"/>
      <c r="P432" s="85" t="n"/>
      <c r="Q432" s="85" t="n"/>
      <c r="R432" s="85" t="n"/>
      <c r="S432" s="85" t="n"/>
      <c r="T432" s="85" t="n"/>
      <c r="U432" s="85" t="n"/>
      <c r="V432" s="44" t="n"/>
      <c r="W432" s="50">
        <f>IF(OR(M432="",Q432="",S432=""),"",IF(ABS(ROUND(((ROUND(N(M432)*100,0))-(ROUND(N(Q432)*100,0))),0)-(ROUND(N(S432)*100,0)))&lt;=0,"OK","ABWEICHUNG"))</f>
        <v/>
      </c>
      <c r="X432" s="50">
        <f>IF(OR(K432="",M432="",N432=""),"",IF(ABS(ROUND(((ROUND(N(K432)*100,0)+ROUND(N(L432)*100,0))-(ROUND(N(M432)*100,0))),0)-(ROUND(N(N432)*100,0)))&lt;=0,"OK",IF(OR(L432=""),"UNVOLLSTÄNDIG","ABWEICHUNG")))</f>
        <v/>
      </c>
      <c r="Y432" s="50">
        <f>IF(OR(K432="",O432="",R432=""),"",IF(ABS(ROUND(((ROUND(N(K432)*100,0))-(ROUND(N(O432)*100,0))),0)-(ROUND(N(R432)*100,0)))&lt;=0,"OK","ABWEICHUNG"))</f>
        <v/>
      </c>
      <c r="Z432" s="50">
        <f>IF(OR(N432="",O432="",P432="",Q432="",T432=""),"",IF(ABS(ROUND(((ROUND(N(N432)*100,0)+ROUND(N(Q432)*100,0))-(ROUND(N(O432)*100,0)+ROUND(N(P432)*100,0))),0)-(ROUND(N(T432)*100,0)))&lt;=0,"OK","ABWEICHUNG"))</f>
        <v/>
      </c>
      <c r="AA432" s="44" t="n"/>
      <c r="AB432" s="44" t="n"/>
      <c r="AC432" s="44" t="n"/>
      <c r="AD432" s="44" t="n"/>
      <c r="AE432" s="85" t="n"/>
      <c r="AF432" s="85" t="n"/>
      <c r="AG432" s="44" t="n"/>
      <c r="AH432" s="44" t="n"/>
    </row>
    <row r="433">
      <c r="A433" s="44" t="n"/>
      <c r="B433" s="44" t="n"/>
      <c r="C433" s="44" t="n"/>
      <c r="D433" s="44" t="n"/>
      <c r="E433" s="44" t="n"/>
      <c r="F433" s="44" t="n"/>
      <c r="G433" s="45" t="n"/>
      <c r="H433" s="44" t="n"/>
      <c r="I433" s="45" t="n"/>
      <c r="J433" s="44" t="n"/>
      <c r="K433" s="85" t="n"/>
      <c r="L433" s="85" t="n"/>
      <c r="M433" s="85" t="n"/>
      <c r="N433" s="85" t="n"/>
      <c r="O433" s="85" t="n"/>
      <c r="P433" s="85" t="n"/>
      <c r="Q433" s="85" t="n"/>
      <c r="R433" s="85" t="n"/>
      <c r="S433" s="85" t="n"/>
      <c r="T433" s="85" t="n"/>
      <c r="U433" s="85" t="n"/>
      <c r="V433" s="44" t="n"/>
      <c r="W433" s="50">
        <f>IF(OR(M433="",Q433="",S433=""),"",IF(ABS(ROUND(((ROUND(N(M433)*100,0))-(ROUND(N(Q433)*100,0))),0)-(ROUND(N(S433)*100,0)))&lt;=0,"OK","ABWEICHUNG"))</f>
        <v/>
      </c>
      <c r="X433" s="50">
        <f>IF(OR(K433="",M433="",N433=""),"",IF(ABS(ROUND(((ROUND(N(K433)*100,0)+ROUND(N(L433)*100,0))-(ROUND(N(M433)*100,0))),0)-(ROUND(N(N433)*100,0)))&lt;=0,"OK",IF(OR(L433=""),"UNVOLLSTÄNDIG","ABWEICHUNG")))</f>
        <v/>
      </c>
      <c r="Y433" s="50">
        <f>IF(OR(K433="",O433="",R433=""),"",IF(ABS(ROUND(((ROUND(N(K433)*100,0))-(ROUND(N(O433)*100,0))),0)-(ROUND(N(R433)*100,0)))&lt;=0,"OK","ABWEICHUNG"))</f>
        <v/>
      </c>
      <c r="Z433" s="50">
        <f>IF(OR(N433="",O433="",P433="",Q433="",T433=""),"",IF(ABS(ROUND(((ROUND(N(N433)*100,0)+ROUND(N(Q433)*100,0))-(ROUND(N(O433)*100,0)+ROUND(N(P433)*100,0))),0)-(ROUND(N(T433)*100,0)))&lt;=0,"OK","ABWEICHUNG"))</f>
        <v/>
      </c>
      <c r="AA433" s="44" t="n"/>
      <c r="AB433" s="44" t="n"/>
      <c r="AC433" s="44" t="n"/>
      <c r="AD433" s="44" t="n"/>
      <c r="AE433" s="85" t="n"/>
      <c r="AF433" s="85" t="n"/>
      <c r="AG433" s="44" t="n"/>
      <c r="AH433" s="44" t="n"/>
    </row>
    <row r="434">
      <c r="A434" s="44" t="n"/>
      <c r="B434" s="44" t="n"/>
      <c r="C434" s="44" t="n"/>
      <c r="D434" s="44" t="n"/>
      <c r="E434" s="44" t="n"/>
      <c r="F434" s="44" t="n"/>
      <c r="G434" s="45" t="n"/>
      <c r="H434" s="44" t="n"/>
      <c r="I434" s="45" t="n"/>
      <c r="J434" s="44" t="n"/>
      <c r="K434" s="85" t="n"/>
      <c r="L434" s="85" t="n"/>
      <c r="M434" s="85" t="n"/>
      <c r="N434" s="85" t="n"/>
      <c r="O434" s="85" t="n"/>
      <c r="P434" s="85" t="n"/>
      <c r="Q434" s="85" t="n"/>
      <c r="R434" s="85" t="n"/>
      <c r="S434" s="85" t="n"/>
      <c r="T434" s="85" t="n"/>
      <c r="U434" s="85" t="n"/>
      <c r="V434" s="44" t="n"/>
      <c r="W434" s="50">
        <f>IF(OR(M434="",Q434="",S434=""),"",IF(ABS(ROUND(((ROUND(N(M434)*100,0))-(ROUND(N(Q434)*100,0))),0)-(ROUND(N(S434)*100,0)))&lt;=0,"OK","ABWEICHUNG"))</f>
        <v/>
      </c>
      <c r="X434" s="50">
        <f>IF(OR(K434="",M434="",N434=""),"",IF(ABS(ROUND(((ROUND(N(K434)*100,0)+ROUND(N(L434)*100,0))-(ROUND(N(M434)*100,0))),0)-(ROUND(N(N434)*100,0)))&lt;=0,"OK",IF(OR(L434=""),"UNVOLLSTÄNDIG","ABWEICHUNG")))</f>
        <v/>
      </c>
      <c r="Y434" s="50">
        <f>IF(OR(K434="",O434="",R434=""),"",IF(ABS(ROUND(((ROUND(N(K434)*100,0))-(ROUND(N(O434)*100,0))),0)-(ROUND(N(R434)*100,0)))&lt;=0,"OK","ABWEICHUNG"))</f>
        <v/>
      </c>
      <c r="Z434" s="50">
        <f>IF(OR(N434="",O434="",P434="",Q434="",T434=""),"",IF(ABS(ROUND(((ROUND(N(N434)*100,0)+ROUND(N(Q434)*100,0))-(ROUND(N(O434)*100,0)+ROUND(N(P434)*100,0))),0)-(ROUND(N(T434)*100,0)))&lt;=0,"OK","ABWEICHUNG"))</f>
        <v/>
      </c>
      <c r="AA434" s="44" t="n"/>
      <c r="AB434" s="44" t="n"/>
      <c r="AC434" s="44" t="n"/>
      <c r="AD434" s="44" t="n"/>
      <c r="AE434" s="85" t="n"/>
      <c r="AF434" s="85" t="n"/>
      <c r="AG434" s="44" t="n"/>
      <c r="AH434" s="44" t="n"/>
    </row>
    <row r="435">
      <c r="A435" s="44" t="n"/>
      <c r="B435" s="44" t="n"/>
      <c r="C435" s="44" t="n"/>
      <c r="D435" s="44" t="n"/>
      <c r="E435" s="44" t="n"/>
      <c r="F435" s="44" t="n"/>
      <c r="G435" s="45" t="n"/>
      <c r="H435" s="44" t="n"/>
      <c r="I435" s="45" t="n"/>
      <c r="J435" s="44" t="n"/>
      <c r="K435" s="85" t="n"/>
      <c r="L435" s="85" t="n"/>
      <c r="M435" s="85" t="n"/>
      <c r="N435" s="85" t="n"/>
      <c r="O435" s="85" t="n"/>
      <c r="P435" s="85" t="n"/>
      <c r="Q435" s="85" t="n"/>
      <c r="R435" s="85" t="n"/>
      <c r="S435" s="85" t="n"/>
      <c r="T435" s="85" t="n"/>
      <c r="U435" s="85" t="n"/>
      <c r="V435" s="44" t="n"/>
      <c r="W435" s="50">
        <f>IF(OR(M435="",Q435="",S435=""),"",IF(ABS(ROUND(((ROUND(N(M435)*100,0))-(ROUND(N(Q435)*100,0))),0)-(ROUND(N(S435)*100,0)))&lt;=0,"OK","ABWEICHUNG"))</f>
        <v/>
      </c>
      <c r="X435" s="50">
        <f>IF(OR(K435="",M435="",N435=""),"",IF(ABS(ROUND(((ROUND(N(K435)*100,0)+ROUND(N(L435)*100,0))-(ROUND(N(M435)*100,0))),0)-(ROUND(N(N435)*100,0)))&lt;=0,"OK",IF(OR(L435=""),"UNVOLLSTÄNDIG","ABWEICHUNG")))</f>
        <v/>
      </c>
      <c r="Y435" s="50">
        <f>IF(OR(K435="",O435="",R435=""),"",IF(ABS(ROUND(((ROUND(N(K435)*100,0))-(ROUND(N(O435)*100,0))),0)-(ROUND(N(R435)*100,0)))&lt;=0,"OK","ABWEICHUNG"))</f>
        <v/>
      </c>
      <c r="Z435" s="50">
        <f>IF(OR(N435="",O435="",P435="",Q435="",T435=""),"",IF(ABS(ROUND(((ROUND(N(N435)*100,0)+ROUND(N(Q435)*100,0))-(ROUND(N(O435)*100,0)+ROUND(N(P435)*100,0))),0)-(ROUND(N(T435)*100,0)))&lt;=0,"OK","ABWEICHUNG"))</f>
        <v/>
      </c>
      <c r="AA435" s="44" t="n"/>
      <c r="AB435" s="44" t="n"/>
      <c r="AC435" s="44" t="n"/>
      <c r="AD435" s="44" t="n"/>
      <c r="AE435" s="85" t="n"/>
      <c r="AF435" s="85" t="n"/>
      <c r="AG435" s="44" t="n"/>
      <c r="AH435" s="44" t="n"/>
    </row>
    <row r="436">
      <c r="A436" s="44" t="n"/>
      <c r="B436" s="44" t="n"/>
      <c r="C436" s="44" t="n"/>
      <c r="D436" s="44" t="n"/>
      <c r="E436" s="44" t="n"/>
      <c r="F436" s="44" t="n"/>
      <c r="G436" s="45" t="n"/>
      <c r="H436" s="44" t="n"/>
      <c r="I436" s="45" t="n"/>
      <c r="J436" s="44" t="n"/>
      <c r="K436" s="85" t="n"/>
      <c r="L436" s="85" t="n"/>
      <c r="M436" s="85" t="n"/>
      <c r="N436" s="85" t="n"/>
      <c r="O436" s="85" t="n"/>
      <c r="P436" s="85" t="n"/>
      <c r="Q436" s="85" t="n"/>
      <c r="R436" s="85" t="n"/>
      <c r="S436" s="85" t="n"/>
      <c r="T436" s="85" t="n"/>
      <c r="U436" s="85" t="n"/>
      <c r="V436" s="44" t="n"/>
      <c r="W436" s="50">
        <f>IF(OR(M436="",Q436="",S436=""),"",IF(ABS(ROUND(((ROUND(N(M436)*100,0))-(ROUND(N(Q436)*100,0))),0)-(ROUND(N(S436)*100,0)))&lt;=0,"OK","ABWEICHUNG"))</f>
        <v/>
      </c>
      <c r="X436" s="50">
        <f>IF(OR(K436="",M436="",N436=""),"",IF(ABS(ROUND(((ROUND(N(K436)*100,0)+ROUND(N(L436)*100,0))-(ROUND(N(M436)*100,0))),0)-(ROUND(N(N436)*100,0)))&lt;=0,"OK",IF(OR(L436=""),"UNVOLLSTÄNDIG","ABWEICHUNG")))</f>
        <v/>
      </c>
      <c r="Y436" s="50">
        <f>IF(OR(K436="",O436="",R436=""),"",IF(ABS(ROUND(((ROUND(N(K436)*100,0))-(ROUND(N(O436)*100,0))),0)-(ROUND(N(R436)*100,0)))&lt;=0,"OK","ABWEICHUNG"))</f>
        <v/>
      </c>
      <c r="Z436" s="50">
        <f>IF(OR(N436="",O436="",P436="",Q436="",T436=""),"",IF(ABS(ROUND(((ROUND(N(N436)*100,0)+ROUND(N(Q436)*100,0))-(ROUND(N(O436)*100,0)+ROUND(N(P436)*100,0))),0)-(ROUND(N(T436)*100,0)))&lt;=0,"OK","ABWEICHUNG"))</f>
        <v/>
      </c>
      <c r="AA436" s="44" t="n"/>
      <c r="AB436" s="44" t="n"/>
      <c r="AC436" s="44" t="n"/>
      <c r="AD436" s="44" t="n"/>
      <c r="AE436" s="85" t="n"/>
      <c r="AF436" s="85" t="n"/>
      <c r="AG436" s="44" t="n"/>
      <c r="AH436" s="44" t="n"/>
    </row>
    <row r="437">
      <c r="A437" s="44" t="n"/>
      <c r="B437" s="44" t="n"/>
      <c r="C437" s="44" t="n"/>
      <c r="D437" s="44" t="n"/>
      <c r="E437" s="44" t="n"/>
      <c r="F437" s="44" t="n"/>
      <c r="G437" s="45" t="n"/>
      <c r="H437" s="44" t="n"/>
      <c r="I437" s="45" t="n"/>
      <c r="J437" s="44" t="n"/>
      <c r="K437" s="85" t="n"/>
      <c r="L437" s="85" t="n"/>
      <c r="M437" s="85" t="n"/>
      <c r="N437" s="85" t="n"/>
      <c r="O437" s="85" t="n"/>
      <c r="P437" s="85" t="n"/>
      <c r="Q437" s="85" t="n"/>
      <c r="R437" s="85" t="n"/>
      <c r="S437" s="85" t="n"/>
      <c r="T437" s="85" t="n"/>
      <c r="U437" s="85" t="n"/>
      <c r="V437" s="44" t="n"/>
      <c r="W437" s="50">
        <f>IF(OR(M437="",Q437="",S437=""),"",IF(ABS(ROUND(((ROUND(N(M437)*100,0))-(ROUND(N(Q437)*100,0))),0)-(ROUND(N(S437)*100,0)))&lt;=0,"OK","ABWEICHUNG"))</f>
        <v/>
      </c>
      <c r="X437" s="50">
        <f>IF(OR(K437="",M437="",N437=""),"",IF(ABS(ROUND(((ROUND(N(K437)*100,0)+ROUND(N(L437)*100,0))-(ROUND(N(M437)*100,0))),0)-(ROUND(N(N437)*100,0)))&lt;=0,"OK",IF(OR(L437=""),"UNVOLLSTÄNDIG","ABWEICHUNG")))</f>
        <v/>
      </c>
      <c r="Y437" s="50">
        <f>IF(OR(K437="",O437="",R437=""),"",IF(ABS(ROUND(((ROUND(N(K437)*100,0))-(ROUND(N(O437)*100,0))),0)-(ROUND(N(R437)*100,0)))&lt;=0,"OK","ABWEICHUNG"))</f>
        <v/>
      </c>
      <c r="Z437" s="50">
        <f>IF(OR(N437="",O437="",P437="",Q437="",T437=""),"",IF(ABS(ROUND(((ROUND(N(N437)*100,0)+ROUND(N(Q437)*100,0))-(ROUND(N(O437)*100,0)+ROUND(N(P437)*100,0))),0)-(ROUND(N(T437)*100,0)))&lt;=0,"OK","ABWEICHUNG"))</f>
        <v/>
      </c>
      <c r="AA437" s="44" t="n"/>
      <c r="AB437" s="44" t="n"/>
      <c r="AC437" s="44" t="n"/>
      <c r="AD437" s="44" t="n"/>
      <c r="AE437" s="85" t="n"/>
      <c r="AF437" s="85" t="n"/>
      <c r="AG437" s="44" t="n"/>
      <c r="AH437" s="44" t="n"/>
    </row>
    <row r="438">
      <c r="A438" s="44" t="n"/>
      <c r="B438" s="44" t="n"/>
      <c r="C438" s="44" t="n"/>
      <c r="D438" s="44" t="n"/>
      <c r="E438" s="44" t="n"/>
      <c r="F438" s="44" t="n"/>
      <c r="G438" s="45" t="n"/>
      <c r="H438" s="44" t="n"/>
      <c r="I438" s="45" t="n"/>
      <c r="J438" s="44" t="n"/>
      <c r="K438" s="85" t="n"/>
      <c r="L438" s="85" t="n"/>
      <c r="M438" s="85" t="n"/>
      <c r="N438" s="85" t="n"/>
      <c r="O438" s="85" t="n"/>
      <c r="P438" s="85" t="n"/>
      <c r="Q438" s="85" t="n"/>
      <c r="R438" s="85" t="n"/>
      <c r="S438" s="85" t="n"/>
      <c r="T438" s="85" t="n"/>
      <c r="U438" s="85" t="n"/>
      <c r="V438" s="44" t="n"/>
      <c r="W438" s="50">
        <f>IF(OR(M438="",Q438="",S438=""),"",IF(ABS(ROUND(((ROUND(N(M438)*100,0))-(ROUND(N(Q438)*100,0))),0)-(ROUND(N(S438)*100,0)))&lt;=0,"OK","ABWEICHUNG"))</f>
        <v/>
      </c>
      <c r="X438" s="50">
        <f>IF(OR(K438="",M438="",N438=""),"",IF(ABS(ROUND(((ROUND(N(K438)*100,0)+ROUND(N(L438)*100,0))-(ROUND(N(M438)*100,0))),0)-(ROUND(N(N438)*100,0)))&lt;=0,"OK",IF(OR(L438=""),"UNVOLLSTÄNDIG","ABWEICHUNG")))</f>
        <v/>
      </c>
      <c r="Y438" s="50">
        <f>IF(OR(K438="",O438="",R438=""),"",IF(ABS(ROUND(((ROUND(N(K438)*100,0))-(ROUND(N(O438)*100,0))),0)-(ROUND(N(R438)*100,0)))&lt;=0,"OK","ABWEICHUNG"))</f>
        <v/>
      </c>
      <c r="Z438" s="50">
        <f>IF(OR(N438="",O438="",P438="",Q438="",T438=""),"",IF(ABS(ROUND(((ROUND(N(N438)*100,0)+ROUND(N(Q438)*100,0))-(ROUND(N(O438)*100,0)+ROUND(N(P438)*100,0))),0)-(ROUND(N(T438)*100,0)))&lt;=0,"OK","ABWEICHUNG"))</f>
        <v/>
      </c>
      <c r="AA438" s="44" t="n"/>
      <c r="AB438" s="44" t="n"/>
      <c r="AC438" s="44" t="n"/>
      <c r="AD438" s="44" t="n"/>
      <c r="AE438" s="85" t="n"/>
      <c r="AF438" s="85" t="n"/>
      <c r="AG438" s="44" t="n"/>
      <c r="AH438" s="44" t="n"/>
    </row>
    <row r="439">
      <c r="A439" s="44" t="n"/>
      <c r="B439" s="44" t="n"/>
      <c r="C439" s="44" t="n"/>
      <c r="D439" s="44" t="n"/>
      <c r="E439" s="44" t="n"/>
      <c r="F439" s="44" t="n"/>
      <c r="G439" s="45" t="n"/>
      <c r="H439" s="44" t="n"/>
      <c r="I439" s="45" t="n"/>
      <c r="J439" s="44" t="n"/>
      <c r="K439" s="85" t="n"/>
      <c r="L439" s="85" t="n"/>
      <c r="M439" s="85" t="n"/>
      <c r="N439" s="85" t="n"/>
      <c r="O439" s="85" t="n"/>
      <c r="P439" s="85" t="n"/>
      <c r="Q439" s="85" t="n"/>
      <c r="R439" s="85" t="n"/>
      <c r="S439" s="85" t="n"/>
      <c r="T439" s="85" t="n"/>
      <c r="U439" s="85" t="n"/>
      <c r="V439" s="44" t="n"/>
      <c r="W439" s="50">
        <f>IF(OR(M439="",Q439="",S439=""),"",IF(ABS(ROUND(((ROUND(N(M439)*100,0))-(ROUND(N(Q439)*100,0))),0)-(ROUND(N(S439)*100,0)))&lt;=0,"OK","ABWEICHUNG"))</f>
        <v/>
      </c>
      <c r="X439" s="50">
        <f>IF(OR(K439="",M439="",N439=""),"",IF(ABS(ROUND(((ROUND(N(K439)*100,0)+ROUND(N(L439)*100,0))-(ROUND(N(M439)*100,0))),0)-(ROUND(N(N439)*100,0)))&lt;=0,"OK",IF(OR(L439=""),"UNVOLLSTÄNDIG","ABWEICHUNG")))</f>
        <v/>
      </c>
      <c r="Y439" s="50">
        <f>IF(OR(K439="",O439="",R439=""),"",IF(ABS(ROUND(((ROUND(N(K439)*100,0))-(ROUND(N(O439)*100,0))),0)-(ROUND(N(R439)*100,0)))&lt;=0,"OK","ABWEICHUNG"))</f>
        <v/>
      </c>
      <c r="Z439" s="50">
        <f>IF(OR(N439="",O439="",P439="",Q439="",T439=""),"",IF(ABS(ROUND(((ROUND(N(N439)*100,0)+ROUND(N(Q439)*100,0))-(ROUND(N(O439)*100,0)+ROUND(N(P439)*100,0))),0)-(ROUND(N(T439)*100,0)))&lt;=0,"OK","ABWEICHUNG"))</f>
        <v/>
      </c>
      <c r="AA439" s="44" t="n"/>
      <c r="AB439" s="44" t="n"/>
      <c r="AC439" s="44" t="n"/>
      <c r="AD439" s="44" t="n"/>
      <c r="AE439" s="85" t="n"/>
      <c r="AF439" s="85" t="n"/>
      <c r="AG439" s="44" t="n"/>
      <c r="AH439" s="44" t="n"/>
    </row>
    <row r="440">
      <c r="A440" s="44" t="n"/>
      <c r="B440" s="44" t="n"/>
      <c r="C440" s="44" t="n"/>
      <c r="D440" s="44" t="n"/>
      <c r="E440" s="44" t="n"/>
      <c r="F440" s="44" t="n"/>
      <c r="G440" s="45" t="n"/>
      <c r="H440" s="44" t="n"/>
      <c r="I440" s="45" t="n"/>
      <c r="J440" s="44" t="n"/>
      <c r="K440" s="85" t="n"/>
      <c r="L440" s="85" t="n"/>
      <c r="M440" s="85" t="n"/>
      <c r="N440" s="85" t="n"/>
      <c r="O440" s="85" t="n"/>
      <c r="P440" s="85" t="n"/>
      <c r="Q440" s="85" t="n"/>
      <c r="R440" s="85" t="n"/>
      <c r="S440" s="85" t="n"/>
      <c r="T440" s="85" t="n"/>
      <c r="U440" s="85" t="n"/>
      <c r="V440" s="44" t="n"/>
      <c r="W440" s="50">
        <f>IF(OR(M440="",Q440="",S440=""),"",IF(ABS(ROUND(((ROUND(N(M440)*100,0))-(ROUND(N(Q440)*100,0))),0)-(ROUND(N(S440)*100,0)))&lt;=0,"OK","ABWEICHUNG"))</f>
        <v/>
      </c>
      <c r="X440" s="50">
        <f>IF(OR(K440="",M440="",N440=""),"",IF(ABS(ROUND(((ROUND(N(K440)*100,0)+ROUND(N(L440)*100,0))-(ROUND(N(M440)*100,0))),0)-(ROUND(N(N440)*100,0)))&lt;=0,"OK",IF(OR(L440=""),"UNVOLLSTÄNDIG","ABWEICHUNG")))</f>
        <v/>
      </c>
      <c r="Y440" s="50">
        <f>IF(OR(K440="",O440="",R440=""),"",IF(ABS(ROUND(((ROUND(N(K440)*100,0))-(ROUND(N(O440)*100,0))),0)-(ROUND(N(R440)*100,0)))&lt;=0,"OK","ABWEICHUNG"))</f>
        <v/>
      </c>
      <c r="Z440" s="50">
        <f>IF(OR(N440="",O440="",P440="",Q440="",T440=""),"",IF(ABS(ROUND(((ROUND(N(N440)*100,0)+ROUND(N(Q440)*100,0))-(ROUND(N(O440)*100,0)+ROUND(N(P440)*100,0))),0)-(ROUND(N(T440)*100,0)))&lt;=0,"OK","ABWEICHUNG"))</f>
        <v/>
      </c>
      <c r="AA440" s="44" t="n"/>
      <c r="AB440" s="44" t="n"/>
      <c r="AC440" s="44" t="n"/>
      <c r="AD440" s="44" t="n"/>
      <c r="AE440" s="85" t="n"/>
      <c r="AF440" s="85" t="n"/>
      <c r="AG440" s="44" t="n"/>
      <c r="AH440" s="44" t="n"/>
    </row>
    <row r="441">
      <c r="A441" s="44" t="n"/>
      <c r="B441" s="44" t="n"/>
      <c r="C441" s="44" t="n"/>
      <c r="D441" s="44" t="n"/>
      <c r="E441" s="44" t="n"/>
      <c r="F441" s="44" t="n"/>
      <c r="G441" s="45" t="n"/>
      <c r="H441" s="44" t="n"/>
      <c r="I441" s="45" t="n"/>
      <c r="J441" s="44" t="n"/>
      <c r="K441" s="85" t="n"/>
      <c r="L441" s="85" t="n"/>
      <c r="M441" s="85" t="n"/>
      <c r="N441" s="85" t="n"/>
      <c r="O441" s="85" t="n"/>
      <c r="P441" s="85" t="n"/>
      <c r="Q441" s="85" t="n"/>
      <c r="R441" s="85" t="n"/>
      <c r="S441" s="85" t="n"/>
      <c r="T441" s="85" t="n"/>
      <c r="U441" s="85" t="n"/>
      <c r="V441" s="44" t="n"/>
      <c r="W441" s="50">
        <f>IF(OR(M441="",Q441="",S441=""),"",IF(ABS(ROUND(((ROUND(N(M441)*100,0))-(ROUND(N(Q441)*100,0))),0)-(ROUND(N(S441)*100,0)))&lt;=0,"OK","ABWEICHUNG"))</f>
        <v/>
      </c>
      <c r="X441" s="50">
        <f>IF(OR(K441="",M441="",N441=""),"",IF(ABS(ROUND(((ROUND(N(K441)*100,0)+ROUND(N(L441)*100,0))-(ROUND(N(M441)*100,0))),0)-(ROUND(N(N441)*100,0)))&lt;=0,"OK",IF(OR(L441=""),"UNVOLLSTÄNDIG","ABWEICHUNG")))</f>
        <v/>
      </c>
      <c r="Y441" s="50">
        <f>IF(OR(K441="",O441="",R441=""),"",IF(ABS(ROUND(((ROUND(N(K441)*100,0))-(ROUND(N(O441)*100,0))),0)-(ROUND(N(R441)*100,0)))&lt;=0,"OK","ABWEICHUNG"))</f>
        <v/>
      </c>
      <c r="Z441" s="50">
        <f>IF(OR(N441="",O441="",P441="",Q441="",T441=""),"",IF(ABS(ROUND(((ROUND(N(N441)*100,0)+ROUND(N(Q441)*100,0))-(ROUND(N(O441)*100,0)+ROUND(N(P441)*100,0))),0)-(ROUND(N(T441)*100,0)))&lt;=0,"OK","ABWEICHUNG"))</f>
        <v/>
      </c>
      <c r="AA441" s="44" t="n"/>
      <c r="AB441" s="44" t="n"/>
      <c r="AC441" s="44" t="n"/>
      <c r="AD441" s="44" t="n"/>
      <c r="AE441" s="85" t="n"/>
      <c r="AF441" s="85" t="n"/>
      <c r="AG441" s="44" t="n"/>
      <c r="AH441" s="44" t="n"/>
    </row>
    <row r="442">
      <c r="A442" s="44" t="n"/>
      <c r="B442" s="44" t="n"/>
      <c r="C442" s="44" t="n"/>
      <c r="D442" s="44" t="n"/>
      <c r="E442" s="44" t="n"/>
      <c r="F442" s="44" t="n"/>
      <c r="G442" s="45" t="n"/>
      <c r="H442" s="44" t="n"/>
      <c r="I442" s="45" t="n"/>
      <c r="J442" s="44" t="n"/>
      <c r="K442" s="85" t="n"/>
      <c r="L442" s="85" t="n"/>
      <c r="M442" s="85" t="n"/>
      <c r="N442" s="85" t="n"/>
      <c r="O442" s="85" t="n"/>
      <c r="P442" s="85" t="n"/>
      <c r="Q442" s="85" t="n"/>
      <c r="R442" s="85" t="n"/>
      <c r="S442" s="85" t="n"/>
      <c r="T442" s="85" t="n"/>
      <c r="U442" s="85" t="n"/>
      <c r="V442" s="44" t="n"/>
      <c r="W442" s="50">
        <f>IF(OR(M442="",Q442="",S442=""),"",IF(ABS(ROUND(((ROUND(N(M442)*100,0))-(ROUND(N(Q442)*100,0))),0)-(ROUND(N(S442)*100,0)))&lt;=0,"OK","ABWEICHUNG"))</f>
        <v/>
      </c>
      <c r="X442" s="50">
        <f>IF(OR(K442="",M442="",N442=""),"",IF(ABS(ROUND(((ROUND(N(K442)*100,0)+ROUND(N(L442)*100,0))-(ROUND(N(M442)*100,0))),0)-(ROUND(N(N442)*100,0)))&lt;=0,"OK",IF(OR(L442=""),"UNVOLLSTÄNDIG","ABWEICHUNG")))</f>
        <v/>
      </c>
      <c r="Y442" s="50">
        <f>IF(OR(K442="",O442="",R442=""),"",IF(ABS(ROUND(((ROUND(N(K442)*100,0))-(ROUND(N(O442)*100,0))),0)-(ROUND(N(R442)*100,0)))&lt;=0,"OK","ABWEICHUNG"))</f>
        <v/>
      </c>
      <c r="Z442" s="50">
        <f>IF(OR(N442="",O442="",P442="",Q442="",T442=""),"",IF(ABS(ROUND(((ROUND(N(N442)*100,0)+ROUND(N(Q442)*100,0))-(ROUND(N(O442)*100,0)+ROUND(N(P442)*100,0))),0)-(ROUND(N(T442)*100,0)))&lt;=0,"OK","ABWEICHUNG"))</f>
        <v/>
      </c>
      <c r="AA442" s="44" t="n"/>
      <c r="AB442" s="44" t="n"/>
      <c r="AC442" s="44" t="n"/>
      <c r="AD442" s="44" t="n"/>
      <c r="AE442" s="85" t="n"/>
      <c r="AF442" s="85" t="n"/>
      <c r="AG442" s="44" t="n"/>
      <c r="AH442" s="44" t="n"/>
    </row>
    <row r="443">
      <c r="A443" s="44" t="n"/>
      <c r="B443" s="44" t="n"/>
      <c r="C443" s="44" t="n"/>
      <c r="D443" s="44" t="n"/>
      <c r="E443" s="44" t="n"/>
      <c r="F443" s="44" t="n"/>
      <c r="G443" s="45" t="n"/>
      <c r="H443" s="44" t="n"/>
      <c r="I443" s="45" t="n"/>
      <c r="J443" s="44" t="n"/>
      <c r="K443" s="85" t="n"/>
      <c r="L443" s="85" t="n"/>
      <c r="M443" s="85" t="n"/>
      <c r="N443" s="85" t="n"/>
      <c r="O443" s="85" t="n"/>
      <c r="P443" s="85" t="n"/>
      <c r="Q443" s="85" t="n"/>
      <c r="R443" s="85" t="n"/>
      <c r="S443" s="85" t="n"/>
      <c r="T443" s="85" t="n"/>
      <c r="U443" s="85" t="n"/>
      <c r="V443" s="44" t="n"/>
      <c r="W443" s="50">
        <f>IF(OR(M443="",Q443="",S443=""),"",IF(ABS(ROUND(((ROUND(N(M443)*100,0))-(ROUND(N(Q443)*100,0))),0)-(ROUND(N(S443)*100,0)))&lt;=0,"OK","ABWEICHUNG"))</f>
        <v/>
      </c>
      <c r="X443" s="50">
        <f>IF(OR(K443="",M443="",N443=""),"",IF(ABS(ROUND(((ROUND(N(K443)*100,0)+ROUND(N(L443)*100,0))-(ROUND(N(M443)*100,0))),0)-(ROUND(N(N443)*100,0)))&lt;=0,"OK",IF(OR(L443=""),"UNVOLLSTÄNDIG","ABWEICHUNG")))</f>
        <v/>
      </c>
      <c r="Y443" s="50">
        <f>IF(OR(K443="",O443="",R443=""),"",IF(ABS(ROUND(((ROUND(N(K443)*100,0))-(ROUND(N(O443)*100,0))),0)-(ROUND(N(R443)*100,0)))&lt;=0,"OK","ABWEICHUNG"))</f>
        <v/>
      </c>
      <c r="Z443" s="50">
        <f>IF(OR(N443="",O443="",P443="",Q443="",T443=""),"",IF(ABS(ROUND(((ROUND(N(N443)*100,0)+ROUND(N(Q443)*100,0))-(ROUND(N(O443)*100,0)+ROUND(N(P443)*100,0))),0)-(ROUND(N(T443)*100,0)))&lt;=0,"OK","ABWEICHUNG"))</f>
        <v/>
      </c>
      <c r="AA443" s="44" t="n"/>
      <c r="AB443" s="44" t="n"/>
      <c r="AC443" s="44" t="n"/>
      <c r="AD443" s="44" t="n"/>
      <c r="AE443" s="85" t="n"/>
      <c r="AF443" s="85" t="n"/>
      <c r="AG443" s="44" t="n"/>
      <c r="AH443" s="44" t="n"/>
    </row>
    <row r="444">
      <c r="A444" s="44" t="n"/>
      <c r="B444" s="44" t="n"/>
      <c r="C444" s="44" t="n"/>
      <c r="D444" s="44" t="n"/>
      <c r="E444" s="44" t="n"/>
      <c r="F444" s="44" t="n"/>
      <c r="G444" s="45" t="n"/>
      <c r="H444" s="44" t="n"/>
      <c r="I444" s="45" t="n"/>
      <c r="J444" s="44" t="n"/>
      <c r="K444" s="85" t="n"/>
      <c r="L444" s="85" t="n"/>
      <c r="M444" s="85" t="n"/>
      <c r="N444" s="85" t="n"/>
      <c r="O444" s="85" t="n"/>
      <c r="P444" s="85" t="n"/>
      <c r="Q444" s="85" t="n"/>
      <c r="R444" s="85" t="n"/>
      <c r="S444" s="85" t="n"/>
      <c r="T444" s="85" t="n"/>
      <c r="U444" s="85" t="n"/>
      <c r="V444" s="44" t="n"/>
      <c r="W444" s="50">
        <f>IF(OR(M444="",Q444="",S444=""),"",IF(ABS(ROUND(((ROUND(N(M444)*100,0))-(ROUND(N(Q444)*100,0))),0)-(ROUND(N(S444)*100,0)))&lt;=0,"OK","ABWEICHUNG"))</f>
        <v/>
      </c>
      <c r="X444" s="50">
        <f>IF(OR(K444="",M444="",N444=""),"",IF(ABS(ROUND(((ROUND(N(K444)*100,0)+ROUND(N(L444)*100,0))-(ROUND(N(M444)*100,0))),0)-(ROUND(N(N444)*100,0)))&lt;=0,"OK",IF(OR(L444=""),"UNVOLLSTÄNDIG","ABWEICHUNG")))</f>
        <v/>
      </c>
      <c r="Y444" s="50">
        <f>IF(OR(K444="",O444="",R444=""),"",IF(ABS(ROUND(((ROUND(N(K444)*100,0))-(ROUND(N(O444)*100,0))),0)-(ROUND(N(R444)*100,0)))&lt;=0,"OK","ABWEICHUNG"))</f>
        <v/>
      </c>
      <c r="Z444" s="50">
        <f>IF(OR(N444="",O444="",P444="",Q444="",T444=""),"",IF(ABS(ROUND(((ROUND(N(N444)*100,0)+ROUND(N(Q444)*100,0))-(ROUND(N(O444)*100,0)+ROUND(N(P444)*100,0))),0)-(ROUND(N(T444)*100,0)))&lt;=0,"OK","ABWEICHUNG"))</f>
        <v/>
      </c>
      <c r="AA444" s="44" t="n"/>
      <c r="AB444" s="44" t="n"/>
      <c r="AC444" s="44" t="n"/>
      <c r="AD444" s="44" t="n"/>
      <c r="AE444" s="85" t="n"/>
      <c r="AF444" s="85" t="n"/>
      <c r="AG444" s="44" t="n"/>
      <c r="AH444" s="44" t="n"/>
    </row>
    <row r="445">
      <c r="A445" s="44" t="n"/>
      <c r="B445" s="44" t="n"/>
      <c r="C445" s="44" t="n"/>
      <c r="D445" s="44" t="n"/>
      <c r="E445" s="44" t="n"/>
      <c r="F445" s="44" t="n"/>
      <c r="G445" s="45" t="n"/>
      <c r="H445" s="44" t="n"/>
      <c r="I445" s="45" t="n"/>
      <c r="J445" s="44" t="n"/>
      <c r="K445" s="85" t="n"/>
      <c r="L445" s="85" t="n"/>
      <c r="M445" s="85" t="n"/>
      <c r="N445" s="85" t="n"/>
      <c r="O445" s="85" t="n"/>
      <c r="P445" s="85" t="n"/>
      <c r="Q445" s="85" t="n"/>
      <c r="R445" s="85" t="n"/>
      <c r="S445" s="85" t="n"/>
      <c r="T445" s="85" t="n"/>
      <c r="U445" s="85" t="n"/>
      <c r="V445" s="44" t="n"/>
      <c r="W445" s="50">
        <f>IF(OR(M445="",Q445="",S445=""),"",IF(ABS(ROUND(((ROUND(N(M445)*100,0))-(ROUND(N(Q445)*100,0))),0)-(ROUND(N(S445)*100,0)))&lt;=0,"OK","ABWEICHUNG"))</f>
        <v/>
      </c>
      <c r="X445" s="50">
        <f>IF(OR(K445="",M445="",N445=""),"",IF(ABS(ROUND(((ROUND(N(K445)*100,0)+ROUND(N(L445)*100,0))-(ROUND(N(M445)*100,0))),0)-(ROUND(N(N445)*100,0)))&lt;=0,"OK",IF(OR(L445=""),"UNVOLLSTÄNDIG","ABWEICHUNG")))</f>
        <v/>
      </c>
      <c r="Y445" s="50">
        <f>IF(OR(K445="",O445="",R445=""),"",IF(ABS(ROUND(((ROUND(N(K445)*100,0))-(ROUND(N(O445)*100,0))),0)-(ROUND(N(R445)*100,0)))&lt;=0,"OK","ABWEICHUNG"))</f>
        <v/>
      </c>
      <c r="Z445" s="50">
        <f>IF(OR(N445="",O445="",P445="",Q445="",T445=""),"",IF(ABS(ROUND(((ROUND(N(N445)*100,0)+ROUND(N(Q445)*100,0))-(ROUND(N(O445)*100,0)+ROUND(N(P445)*100,0))),0)-(ROUND(N(T445)*100,0)))&lt;=0,"OK","ABWEICHUNG"))</f>
        <v/>
      </c>
      <c r="AA445" s="44" t="n"/>
      <c r="AB445" s="44" t="n"/>
      <c r="AC445" s="44" t="n"/>
      <c r="AD445" s="44" t="n"/>
      <c r="AE445" s="85" t="n"/>
      <c r="AF445" s="85" t="n"/>
      <c r="AG445" s="44" t="n"/>
      <c r="AH445" s="44" t="n"/>
    </row>
    <row r="446">
      <c r="A446" s="44" t="n"/>
      <c r="B446" s="44" t="n"/>
      <c r="C446" s="44" t="n"/>
      <c r="D446" s="44" t="n"/>
      <c r="E446" s="44" t="n"/>
      <c r="F446" s="44" t="n"/>
      <c r="G446" s="45" t="n"/>
      <c r="H446" s="44" t="n"/>
      <c r="I446" s="45" t="n"/>
      <c r="J446" s="44" t="n"/>
      <c r="K446" s="85" t="n"/>
      <c r="L446" s="85" t="n"/>
      <c r="M446" s="85" t="n"/>
      <c r="N446" s="85" t="n"/>
      <c r="O446" s="85" t="n"/>
      <c r="P446" s="85" t="n"/>
      <c r="Q446" s="85" t="n"/>
      <c r="R446" s="85" t="n"/>
      <c r="S446" s="85" t="n"/>
      <c r="T446" s="85" t="n"/>
      <c r="U446" s="85" t="n"/>
      <c r="V446" s="44" t="n"/>
      <c r="W446" s="50">
        <f>IF(OR(M446="",Q446="",S446=""),"",IF(ABS(ROUND(((ROUND(N(M446)*100,0))-(ROUND(N(Q446)*100,0))),0)-(ROUND(N(S446)*100,0)))&lt;=0,"OK","ABWEICHUNG"))</f>
        <v/>
      </c>
      <c r="X446" s="50">
        <f>IF(OR(K446="",M446="",N446=""),"",IF(ABS(ROUND(((ROUND(N(K446)*100,0)+ROUND(N(L446)*100,0))-(ROUND(N(M446)*100,0))),0)-(ROUND(N(N446)*100,0)))&lt;=0,"OK",IF(OR(L446=""),"UNVOLLSTÄNDIG","ABWEICHUNG")))</f>
        <v/>
      </c>
      <c r="Y446" s="50">
        <f>IF(OR(K446="",O446="",R446=""),"",IF(ABS(ROUND(((ROUND(N(K446)*100,0))-(ROUND(N(O446)*100,0))),0)-(ROUND(N(R446)*100,0)))&lt;=0,"OK","ABWEICHUNG"))</f>
        <v/>
      </c>
      <c r="Z446" s="50">
        <f>IF(OR(N446="",O446="",P446="",Q446="",T446=""),"",IF(ABS(ROUND(((ROUND(N(N446)*100,0)+ROUND(N(Q446)*100,0))-(ROUND(N(O446)*100,0)+ROUND(N(P446)*100,0))),0)-(ROUND(N(T446)*100,0)))&lt;=0,"OK","ABWEICHUNG"))</f>
        <v/>
      </c>
      <c r="AA446" s="44" t="n"/>
      <c r="AB446" s="44" t="n"/>
      <c r="AC446" s="44" t="n"/>
      <c r="AD446" s="44" t="n"/>
      <c r="AE446" s="85" t="n"/>
      <c r="AF446" s="85" t="n"/>
      <c r="AG446" s="44" t="n"/>
      <c r="AH446" s="44" t="n"/>
    </row>
    <row r="447">
      <c r="A447" s="44" t="n"/>
      <c r="B447" s="44" t="n"/>
      <c r="C447" s="44" t="n"/>
      <c r="D447" s="44" t="n"/>
      <c r="E447" s="44" t="n"/>
      <c r="F447" s="44" t="n"/>
      <c r="G447" s="45" t="n"/>
      <c r="H447" s="44" t="n"/>
      <c r="I447" s="45" t="n"/>
      <c r="J447" s="44" t="n"/>
      <c r="K447" s="85" t="n"/>
      <c r="L447" s="85" t="n"/>
      <c r="M447" s="85" t="n"/>
      <c r="N447" s="85" t="n"/>
      <c r="O447" s="85" t="n"/>
      <c r="P447" s="85" t="n"/>
      <c r="Q447" s="85" t="n"/>
      <c r="R447" s="85" t="n"/>
      <c r="S447" s="85" t="n"/>
      <c r="T447" s="85" t="n"/>
      <c r="U447" s="85" t="n"/>
      <c r="V447" s="44" t="n"/>
      <c r="W447" s="50">
        <f>IF(OR(M447="",Q447="",S447=""),"",IF(ABS(ROUND(((ROUND(N(M447)*100,0))-(ROUND(N(Q447)*100,0))),0)-(ROUND(N(S447)*100,0)))&lt;=0,"OK","ABWEICHUNG"))</f>
        <v/>
      </c>
      <c r="X447" s="50">
        <f>IF(OR(K447="",M447="",N447=""),"",IF(ABS(ROUND(((ROUND(N(K447)*100,0)+ROUND(N(L447)*100,0))-(ROUND(N(M447)*100,0))),0)-(ROUND(N(N447)*100,0)))&lt;=0,"OK",IF(OR(L447=""),"UNVOLLSTÄNDIG","ABWEICHUNG")))</f>
        <v/>
      </c>
      <c r="Y447" s="50">
        <f>IF(OR(K447="",O447="",R447=""),"",IF(ABS(ROUND(((ROUND(N(K447)*100,0))-(ROUND(N(O447)*100,0))),0)-(ROUND(N(R447)*100,0)))&lt;=0,"OK","ABWEICHUNG"))</f>
        <v/>
      </c>
      <c r="Z447" s="50">
        <f>IF(OR(N447="",O447="",P447="",Q447="",T447=""),"",IF(ABS(ROUND(((ROUND(N(N447)*100,0)+ROUND(N(Q447)*100,0))-(ROUND(N(O447)*100,0)+ROUND(N(P447)*100,0))),0)-(ROUND(N(T447)*100,0)))&lt;=0,"OK","ABWEICHUNG"))</f>
        <v/>
      </c>
      <c r="AA447" s="44" t="n"/>
      <c r="AB447" s="44" t="n"/>
      <c r="AC447" s="44" t="n"/>
      <c r="AD447" s="44" t="n"/>
      <c r="AE447" s="85" t="n"/>
      <c r="AF447" s="85" t="n"/>
      <c r="AG447" s="44" t="n"/>
      <c r="AH447" s="44" t="n"/>
    </row>
    <row r="448">
      <c r="A448" s="44" t="n"/>
      <c r="B448" s="44" t="n"/>
      <c r="C448" s="44" t="n"/>
      <c r="D448" s="44" t="n"/>
      <c r="E448" s="44" t="n"/>
      <c r="F448" s="44" t="n"/>
      <c r="G448" s="45" t="n"/>
      <c r="H448" s="44" t="n"/>
      <c r="I448" s="45" t="n"/>
      <c r="J448" s="44" t="n"/>
      <c r="K448" s="85" t="n"/>
      <c r="L448" s="85" t="n"/>
      <c r="M448" s="85" t="n"/>
      <c r="N448" s="85" t="n"/>
      <c r="O448" s="85" t="n"/>
      <c r="P448" s="85" t="n"/>
      <c r="Q448" s="85" t="n"/>
      <c r="R448" s="85" t="n"/>
      <c r="S448" s="85" t="n"/>
      <c r="T448" s="85" t="n"/>
      <c r="U448" s="85" t="n"/>
      <c r="V448" s="44" t="n"/>
      <c r="W448" s="50">
        <f>IF(OR(M448="",Q448="",S448=""),"",IF(ABS(ROUND(((ROUND(N(M448)*100,0))-(ROUND(N(Q448)*100,0))),0)-(ROUND(N(S448)*100,0)))&lt;=0,"OK","ABWEICHUNG"))</f>
        <v/>
      </c>
      <c r="X448" s="50">
        <f>IF(OR(K448="",M448="",N448=""),"",IF(ABS(ROUND(((ROUND(N(K448)*100,0)+ROUND(N(L448)*100,0))-(ROUND(N(M448)*100,0))),0)-(ROUND(N(N448)*100,0)))&lt;=0,"OK",IF(OR(L448=""),"UNVOLLSTÄNDIG","ABWEICHUNG")))</f>
        <v/>
      </c>
      <c r="Y448" s="50">
        <f>IF(OR(K448="",O448="",R448=""),"",IF(ABS(ROUND(((ROUND(N(K448)*100,0))-(ROUND(N(O448)*100,0))),0)-(ROUND(N(R448)*100,0)))&lt;=0,"OK","ABWEICHUNG"))</f>
        <v/>
      </c>
      <c r="Z448" s="50">
        <f>IF(OR(N448="",O448="",P448="",Q448="",T448=""),"",IF(ABS(ROUND(((ROUND(N(N448)*100,0)+ROUND(N(Q448)*100,0))-(ROUND(N(O448)*100,0)+ROUND(N(P448)*100,0))),0)-(ROUND(N(T448)*100,0)))&lt;=0,"OK","ABWEICHUNG"))</f>
        <v/>
      </c>
      <c r="AA448" s="44" t="n"/>
      <c r="AB448" s="44" t="n"/>
      <c r="AC448" s="44" t="n"/>
      <c r="AD448" s="44" t="n"/>
      <c r="AE448" s="85" t="n"/>
      <c r="AF448" s="85" t="n"/>
      <c r="AG448" s="44" t="n"/>
      <c r="AH448" s="44" t="n"/>
    </row>
    <row r="449">
      <c r="A449" s="44" t="n"/>
      <c r="B449" s="44" t="n"/>
      <c r="C449" s="44" t="n"/>
      <c r="D449" s="44" t="n"/>
      <c r="E449" s="44" t="n"/>
      <c r="F449" s="44" t="n"/>
      <c r="G449" s="45" t="n"/>
      <c r="H449" s="44" t="n"/>
      <c r="I449" s="45" t="n"/>
      <c r="J449" s="44" t="n"/>
      <c r="K449" s="85" t="n"/>
      <c r="L449" s="85" t="n"/>
      <c r="M449" s="85" t="n"/>
      <c r="N449" s="85" t="n"/>
      <c r="O449" s="85" t="n"/>
      <c r="P449" s="85" t="n"/>
      <c r="Q449" s="85" t="n"/>
      <c r="R449" s="85" t="n"/>
      <c r="S449" s="85" t="n"/>
      <c r="T449" s="85" t="n"/>
      <c r="U449" s="85" t="n"/>
      <c r="V449" s="44" t="n"/>
      <c r="W449" s="50">
        <f>IF(OR(M449="",Q449="",S449=""),"",IF(ABS(ROUND(((ROUND(N(M449)*100,0))-(ROUND(N(Q449)*100,0))),0)-(ROUND(N(S449)*100,0)))&lt;=0,"OK","ABWEICHUNG"))</f>
        <v/>
      </c>
      <c r="X449" s="50">
        <f>IF(OR(K449="",M449="",N449=""),"",IF(ABS(ROUND(((ROUND(N(K449)*100,0)+ROUND(N(L449)*100,0))-(ROUND(N(M449)*100,0))),0)-(ROUND(N(N449)*100,0)))&lt;=0,"OK",IF(OR(L449=""),"UNVOLLSTÄNDIG","ABWEICHUNG")))</f>
        <v/>
      </c>
      <c r="Y449" s="50">
        <f>IF(OR(K449="",O449="",R449=""),"",IF(ABS(ROUND(((ROUND(N(K449)*100,0))-(ROUND(N(O449)*100,0))),0)-(ROUND(N(R449)*100,0)))&lt;=0,"OK","ABWEICHUNG"))</f>
        <v/>
      </c>
      <c r="Z449" s="50">
        <f>IF(OR(N449="",O449="",P449="",Q449="",T449=""),"",IF(ABS(ROUND(((ROUND(N(N449)*100,0)+ROUND(N(Q449)*100,0))-(ROUND(N(O449)*100,0)+ROUND(N(P449)*100,0))),0)-(ROUND(N(T449)*100,0)))&lt;=0,"OK","ABWEICHUNG"))</f>
        <v/>
      </c>
      <c r="AA449" s="44" t="n"/>
      <c r="AB449" s="44" t="n"/>
      <c r="AC449" s="44" t="n"/>
      <c r="AD449" s="44" t="n"/>
      <c r="AE449" s="85" t="n"/>
      <c r="AF449" s="85" t="n"/>
      <c r="AG449" s="44" t="n"/>
      <c r="AH449" s="44" t="n"/>
    </row>
    <row r="450">
      <c r="A450" s="44" t="n"/>
      <c r="B450" s="44" t="n"/>
      <c r="C450" s="44" t="n"/>
      <c r="D450" s="44" t="n"/>
      <c r="E450" s="44" t="n"/>
      <c r="F450" s="44" t="n"/>
      <c r="G450" s="45" t="n"/>
      <c r="H450" s="44" t="n"/>
      <c r="I450" s="45" t="n"/>
      <c r="J450" s="44" t="n"/>
      <c r="K450" s="85" t="n"/>
      <c r="L450" s="85" t="n"/>
      <c r="M450" s="85" t="n"/>
      <c r="N450" s="85" t="n"/>
      <c r="O450" s="85" t="n"/>
      <c r="P450" s="85" t="n"/>
      <c r="Q450" s="85" t="n"/>
      <c r="R450" s="85" t="n"/>
      <c r="S450" s="85" t="n"/>
      <c r="T450" s="85" t="n"/>
      <c r="U450" s="85" t="n"/>
      <c r="V450" s="44" t="n"/>
      <c r="W450" s="50">
        <f>IF(OR(M450="",Q450="",S450=""),"",IF(ABS(ROUND(((ROUND(N(M450)*100,0))-(ROUND(N(Q450)*100,0))),0)-(ROUND(N(S450)*100,0)))&lt;=0,"OK","ABWEICHUNG"))</f>
        <v/>
      </c>
      <c r="X450" s="50">
        <f>IF(OR(K450="",M450="",N450=""),"",IF(ABS(ROUND(((ROUND(N(K450)*100,0)+ROUND(N(L450)*100,0))-(ROUND(N(M450)*100,0))),0)-(ROUND(N(N450)*100,0)))&lt;=0,"OK",IF(OR(L450=""),"UNVOLLSTÄNDIG","ABWEICHUNG")))</f>
        <v/>
      </c>
      <c r="Y450" s="50">
        <f>IF(OR(K450="",O450="",R450=""),"",IF(ABS(ROUND(((ROUND(N(K450)*100,0))-(ROUND(N(O450)*100,0))),0)-(ROUND(N(R450)*100,0)))&lt;=0,"OK","ABWEICHUNG"))</f>
        <v/>
      </c>
      <c r="Z450" s="50">
        <f>IF(OR(N450="",O450="",P450="",Q450="",T450=""),"",IF(ABS(ROUND(((ROUND(N(N450)*100,0)+ROUND(N(Q450)*100,0))-(ROUND(N(O450)*100,0)+ROUND(N(P450)*100,0))),0)-(ROUND(N(T450)*100,0)))&lt;=0,"OK","ABWEICHUNG"))</f>
        <v/>
      </c>
      <c r="AA450" s="44" t="n"/>
      <c r="AB450" s="44" t="n"/>
      <c r="AC450" s="44" t="n"/>
      <c r="AD450" s="44" t="n"/>
      <c r="AE450" s="85" t="n"/>
      <c r="AF450" s="85" t="n"/>
      <c r="AG450" s="44" t="n"/>
      <c r="AH450" s="44" t="n"/>
    </row>
    <row r="451">
      <c r="A451" s="44" t="n"/>
      <c r="B451" s="44" t="n"/>
      <c r="C451" s="44" t="n"/>
      <c r="D451" s="44" t="n"/>
      <c r="E451" s="44" t="n"/>
      <c r="F451" s="44" t="n"/>
      <c r="G451" s="45" t="n"/>
      <c r="H451" s="44" t="n"/>
      <c r="I451" s="45" t="n"/>
      <c r="J451" s="44" t="n"/>
      <c r="K451" s="85" t="n"/>
      <c r="L451" s="85" t="n"/>
      <c r="M451" s="85" t="n"/>
      <c r="N451" s="85" t="n"/>
      <c r="O451" s="85" t="n"/>
      <c r="P451" s="85" t="n"/>
      <c r="Q451" s="85" t="n"/>
      <c r="R451" s="85" t="n"/>
      <c r="S451" s="85" t="n"/>
      <c r="T451" s="85" t="n"/>
      <c r="U451" s="85" t="n"/>
      <c r="V451" s="44" t="n"/>
      <c r="W451" s="50">
        <f>IF(OR(M451="",Q451="",S451=""),"",IF(ABS(ROUND(((ROUND(N(M451)*100,0))-(ROUND(N(Q451)*100,0))),0)-(ROUND(N(S451)*100,0)))&lt;=0,"OK","ABWEICHUNG"))</f>
        <v/>
      </c>
      <c r="X451" s="50">
        <f>IF(OR(K451="",M451="",N451=""),"",IF(ABS(ROUND(((ROUND(N(K451)*100,0)+ROUND(N(L451)*100,0))-(ROUND(N(M451)*100,0))),0)-(ROUND(N(N451)*100,0)))&lt;=0,"OK",IF(OR(L451=""),"UNVOLLSTÄNDIG","ABWEICHUNG")))</f>
        <v/>
      </c>
      <c r="Y451" s="50">
        <f>IF(OR(K451="",O451="",R451=""),"",IF(ABS(ROUND(((ROUND(N(K451)*100,0))-(ROUND(N(O451)*100,0))),0)-(ROUND(N(R451)*100,0)))&lt;=0,"OK","ABWEICHUNG"))</f>
        <v/>
      </c>
      <c r="Z451" s="50">
        <f>IF(OR(N451="",O451="",P451="",Q451="",T451=""),"",IF(ABS(ROUND(((ROUND(N(N451)*100,0)+ROUND(N(Q451)*100,0))-(ROUND(N(O451)*100,0)+ROUND(N(P451)*100,0))),0)-(ROUND(N(T451)*100,0)))&lt;=0,"OK","ABWEICHUNG"))</f>
        <v/>
      </c>
      <c r="AA451" s="44" t="n"/>
      <c r="AB451" s="44" t="n"/>
      <c r="AC451" s="44" t="n"/>
      <c r="AD451" s="44" t="n"/>
      <c r="AE451" s="85" t="n"/>
      <c r="AF451" s="85" t="n"/>
      <c r="AG451" s="44" t="n"/>
      <c r="AH451" s="44" t="n"/>
    </row>
    <row r="452">
      <c r="A452" s="44" t="n"/>
      <c r="B452" s="44" t="n"/>
      <c r="C452" s="44" t="n"/>
      <c r="D452" s="44" t="n"/>
      <c r="E452" s="44" t="n"/>
      <c r="F452" s="44" t="n"/>
      <c r="G452" s="45" t="n"/>
      <c r="H452" s="44" t="n"/>
      <c r="I452" s="45" t="n"/>
      <c r="J452" s="44" t="n"/>
      <c r="K452" s="85" t="n"/>
      <c r="L452" s="85" t="n"/>
      <c r="M452" s="85" t="n"/>
      <c r="N452" s="85" t="n"/>
      <c r="O452" s="85" t="n"/>
      <c r="P452" s="85" t="n"/>
      <c r="Q452" s="85" t="n"/>
      <c r="R452" s="85" t="n"/>
      <c r="S452" s="85" t="n"/>
      <c r="T452" s="85" t="n"/>
      <c r="U452" s="85" t="n"/>
      <c r="V452" s="44" t="n"/>
      <c r="W452" s="50">
        <f>IF(OR(M452="",Q452="",S452=""),"",IF(ABS(ROUND(((ROUND(N(M452)*100,0))-(ROUND(N(Q452)*100,0))),0)-(ROUND(N(S452)*100,0)))&lt;=0,"OK","ABWEICHUNG"))</f>
        <v/>
      </c>
      <c r="X452" s="50">
        <f>IF(OR(K452="",M452="",N452=""),"",IF(ABS(ROUND(((ROUND(N(K452)*100,0)+ROUND(N(L452)*100,0))-(ROUND(N(M452)*100,0))),0)-(ROUND(N(N452)*100,0)))&lt;=0,"OK",IF(OR(L452=""),"UNVOLLSTÄNDIG","ABWEICHUNG")))</f>
        <v/>
      </c>
      <c r="Y452" s="50">
        <f>IF(OR(K452="",O452="",R452=""),"",IF(ABS(ROUND(((ROUND(N(K452)*100,0))-(ROUND(N(O452)*100,0))),0)-(ROUND(N(R452)*100,0)))&lt;=0,"OK","ABWEICHUNG"))</f>
        <v/>
      </c>
      <c r="Z452" s="50">
        <f>IF(OR(N452="",O452="",P452="",Q452="",T452=""),"",IF(ABS(ROUND(((ROUND(N(N452)*100,0)+ROUND(N(Q452)*100,0))-(ROUND(N(O452)*100,0)+ROUND(N(P452)*100,0))),0)-(ROUND(N(T452)*100,0)))&lt;=0,"OK","ABWEICHUNG"))</f>
        <v/>
      </c>
      <c r="AA452" s="44" t="n"/>
      <c r="AB452" s="44" t="n"/>
      <c r="AC452" s="44" t="n"/>
      <c r="AD452" s="44" t="n"/>
      <c r="AE452" s="85" t="n"/>
      <c r="AF452" s="85" t="n"/>
      <c r="AG452" s="44" t="n"/>
      <c r="AH452" s="44" t="n"/>
    </row>
    <row r="453">
      <c r="A453" s="44" t="n"/>
      <c r="B453" s="44" t="n"/>
      <c r="C453" s="44" t="n"/>
      <c r="D453" s="44" t="n"/>
      <c r="E453" s="44" t="n"/>
      <c r="F453" s="44" t="n"/>
      <c r="G453" s="45" t="n"/>
      <c r="H453" s="44" t="n"/>
      <c r="I453" s="45" t="n"/>
      <c r="J453" s="44" t="n"/>
      <c r="K453" s="85" t="n"/>
      <c r="L453" s="85" t="n"/>
      <c r="M453" s="85" t="n"/>
      <c r="N453" s="85" t="n"/>
      <c r="O453" s="85" t="n"/>
      <c r="P453" s="85" t="n"/>
      <c r="Q453" s="85" t="n"/>
      <c r="R453" s="85" t="n"/>
      <c r="S453" s="85" t="n"/>
      <c r="T453" s="85" t="n"/>
      <c r="U453" s="85" t="n"/>
      <c r="V453" s="44" t="n"/>
      <c r="W453" s="50">
        <f>IF(OR(M453="",Q453="",S453=""),"",IF(ABS(ROUND(((ROUND(N(M453)*100,0))-(ROUND(N(Q453)*100,0))),0)-(ROUND(N(S453)*100,0)))&lt;=0,"OK","ABWEICHUNG"))</f>
        <v/>
      </c>
      <c r="X453" s="50">
        <f>IF(OR(K453="",M453="",N453=""),"",IF(ABS(ROUND(((ROUND(N(K453)*100,0)+ROUND(N(L453)*100,0))-(ROUND(N(M453)*100,0))),0)-(ROUND(N(N453)*100,0)))&lt;=0,"OK",IF(OR(L453=""),"UNVOLLSTÄNDIG","ABWEICHUNG")))</f>
        <v/>
      </c>
      <c r="Y453" s="50">
        <f>IF(OR(K453="",O453="",R453=""),"",IF(ABS(ROUND(((ROUND(N(K453)*100,0))-(ROUND(N(O453)*100,0))),0)-(ROUND(N(R453)*100,0)))&lt;=0,"OK","ABWEICHUNG"))</f>
        <v/>
      </c>
      <c r="Z453" s="50">
        <f>IF(OR(N453="",O453="",P453="",Q453="",T453=""),"",IF(ABS(ROUND(((ROUND(N(N453)*100,0)+ROUND(N(Q453)*100,0))-(ROUND(N(O453)*100,0)+ROUND(N(P453)*100,0))),0)-(ROUND(N(T453)*100,0)))&lt;=0,"OK","ABWEICHUNG"))</f>
        <v/>
      </c>
      <c r="AA453" s="44" t="n"/>
      <c r="AB453" s="44" t="n"/>
      <c r="AC453" s="44" t="n"/>
      <c r="AD453" s="44" t="n"/>
      <c r="AE453" s="85" t="n"/>
      <c r="AF453" s="85" t="n"/>
      <c r="AG453" s="44" t="n"/>
      <c r="AH453" s="44" t="n"/>
    </row>
    <row r="454">
      <c r="A454" s="44" t="n"/>
      <c r="B454" s="44" t="n"/>
      <c r="C454" s="44" t="n"/>
      <c r="D454" s="44" t="n"/>
      <c r="E454" s="44" t="n"/>
      <c r="F454" s="44" t="n"/>
      <c r="G454" s="45" t="n"/>
      <c r="H454" s="44" t="n"/>
      <c r="I454" s="45" t="n"/>
      <c r="J454" s="44" t="n"/>
      <c r="K454" s="85" t="n"/>
      <c r="L454" s="85" t="n"/>
      <c r="M454" s="85" t="n"/>
      <c r="N454" s="85" t="n"/>
      <c r="O454" s="85" t="n"/>
      <c r="P454" s="85" t="n"/>
      <c r="Q454" s="85" t="n"/>
      <c r="R454" s="85" t="n"/>
      <c r="S454" s="85" t="n"/>
      <c r="T454" s="85" t="n"/>
      <c r="U454" s="85" t="n"/>
      <c r="V454" s="44" t="n"/>
      <c r="W454" s="50">
        <f>IF(OR(M454="",Q454="",S454=""),"",IF(ABS(ROUND(((ROUND(N(M454)*100,0))-(ROUND(N(Q454)*100,0))),0)-(ROUND(N(S454)*100,0)))&lt;=0,"OK","ABWEICHUNG"))</f>
        <v/>
      </c>
      <c r="X454" s="50">
        <f>IF(OR(K454="",M454="",N454=""),"",IF(ABS(ROUND(((ROUND(N(K454)*100,0)+ROUND(N(L454)*100,0))-(ROUND(N(M454)*100,0))),0)-(ROUND(N(N454)*100,0)))&lt;=0,"OK",IF(OR(L454=""),"UNVOLLSTÄNDIG","ABWEICHUNG")))</f>
        <v/>
      </c>
      <c r="Y454" s="50">
        <f>IF(OR(K454="",O454="",R454=""),"",IF(ABS(ROUND(((ROUND(N(K454)*100,0))-(ROUND(N(O454)*100,0))),0)-(ROUND(N(R454)*100,0)))&lt;=0,"OK","ABWEICHUNG"))</f>
        <v/>
      </c>
      <c r="Z454" s="50">
        <f>IF(OR(N454="",O454="",P454="",Q454="",T454=""),"",IF(ABS(ROUND(((ROUND(N(N454)*100,0)+ROUND(N(Q454)*100,0))-(ROUND(N(O454)*100,0)+ROUND(N(P454)*100,0))),0)-(ROUND(N(T454)*100,0)))&lt;=0,"OK","ABWEICHUNG"))</f>
        <v/>
      </c>
      <c r="AA454" s="44" t="n"/>
      <c r="AB454" s="44" t="n"/>
      <c r="AC454" s="44" t="n"/>
      <c r="AD454" s="44" t="n"/>
      <c r="AE454" s="85" t="n"/>
      <c r="AF454" s="85" t="n"/>
      <c r="AG454" s="44" t="n"/>
      <c r="AH454" s="44" t="n"/>
    </row>
    <row r="455">
      <c r="A455" s="44" t="n"/>
      <c r="B455" s="44" t="n"/>
      <c r="C455" s="44" t="n"/>
      <c r="D455" s="44" t="n"/>
      <c r="E455" s="44" t="n"/>
      <c r="F455" s="44" t="n"/>
      <c r="G455" s="45" t="n"/>
      <c r="H455" s="44" t="n"/>
      <c r="I455" s="45" t="n"/>
      <c r="J455" s="44" t="n"/>
      <c r="K455" s="85" t="n"/>
      <c r="L455" s="85" t="n"/>
      <c r="M455" s="85" t="n"/>
      <c r="N455" s="85" t="n"/>
      <c r="O455" s="85" t="n"/>
      <c r="P455" s="85" t="n"/>
      <c r="Q455" s="85" t="n"/>
      <c r="R455" s="85" t="n"/>
      <c r="S455" s="85" t="n"/>
      <c r="T455" s="85" t="n"/>
      <c r="U455" s="85" t="n"/>
      <c r="V455" s="44" t="n"/>
      <c r="W455" s="50">
        <f>IF(OR(M455="",Q455="",S455=""),"",IF(ABS(ROUND(((ROUND(N(M455)*100,0))-(ROUND(N(Q455)*100,0))),0)-(ROUND(N(S455)*100,0)))&lt;=0,"OK","ABWEICHUNG"))</f>
        <v/>
      </c>
      <c r="X455" s="50">
        <f>IF(OR(K455="",M455="",N455=""),"",IF(ABS(ROUND(((ROUND(N(K455)*100,0)+ROUND(N(L455)*100,0))-(ROUND(N(M455)*100,0))),0)-(ROUND(N(N455)*100,0)))&lt;=0,"OK",IF(OR(L455=""),"UNVOLLSTÄNDIG","ABWEICHUNG")))</f>
        <v/>
      </c>
      <c r="Y455" s="50">
        <f>IF(OR(K455="",O455="",R455=""),"",IF(ABS(ROUND(((ROUND(N(K455)*100,0))-(ROUND(N(O455)*100,0))),0)-(ROUND(N(R455)*100,0)))&lt;=0,"OK","ABWEICHUNG"))</f>
        <v/>
      </c>
      <c r="Z455" s="50">
        <f>IF(OR(N455="",O455="",P455="",Q455="",T455=""),"",IF(ABS(ROUND(((ROUND(N(N455)*100,0)+ROUND(N(Q455)*100,0))-(ROUND(N(O455)*100,0)+ROUND(N(P455)*100,0))),0)-(ROUND(N(T455)*100,0)))&lt;=0,"OK","ABWEICHUNG"))</f>
        <v/>
      </c>
      <c r="AA455" s="44" t="n"/>
      <c r="AB455" s="44" t="n"/>
      <c r="AC455" s="44" t="n"/>
      <c r="AD455" s="44" t="n"/>
      <c r="AE455" s="85" t="n"/>
      <c r="AF455" s="85" t="n"/>
      <c r="AG455" s="44" t="n"/>
      <c r="AH455" s="44" t="n"/>
    </row>
    <row r="456">
      <c r="A456" s="44" t="n"/>
      <c r="B456" s="44" t="n"/>
      <c r="C456" s="44" t="n"/>
      <c r="D456" s="44" t="n"/>
      <c r="E456" s="44" t="n"/>
      <c r="F456" s="44" t="n"/>
      <c r="G456" s="45" t="n"/>
      <c r="H456" s="44" t="n"/>
      <c r="I456" s="45" t="n"/>
      <c r="J456" s="44" t="n"/>
      <c r="K456" s="85" t="n"/>
      <c r="L456" s="85" t="n"/>
      <c r="M456" s="85" t="n"/>
      <c r="N456" s="85" t="n"/>
      <c r="O456" s="85" t="n"/>
      <c r="P456" s="85" t="n"/>
      <c r="Q456" s="85" t="n"/>
      <c r="R456" s="85" t="n"/>
      <c r="S456" s="85" t="n"/>
      <c r="T456" s="85" t="n"/>
      <c r="U456" s="85" t="n"/>
      <c r="V456" s="44" t="n"/>
      <c r="W456" s="50">
        <f>IF(OR(M456="",Q456="",S456=""),"",IF(ABS(ROUND(((ROUND(N(M456)*100,0))-(ROUND(N(Q456)*100,0))),0)-(ROUND(N(S456)*100,0)))&lt;=0,"OK","ABWEICHUNG"))</f>
        <v/>
      </c>
      <c r="X456" s="50">
        <f>IF(OR(K456="",M456="",N456=""),"",IF(ABS(ROUND(((ROUND(N(K456)*100,0)+ROUND(N(L456)*100,0))-(ROUND(N(M456)*100,0))),0)-(ROUND(N(N456)*100,0)))&lt;=0,"OK",IF(OR(L456=""),"UNVOLLSTÄNDIG","ABWEICHUNG")))</f>
        <v/>
      </c>
      <c r="Y456" s="50">
        <f>IF(OR(K456="",O456="",R456=""),"",IF(ABS(ROUND(((ROUND(N(K456)*100,0))-(ROUND(N(O456)*100,0))),0)-(ROUND(N(R456)*100,0)))&lt;=0,"OK","ABWEICHUNG"))</f>
        <v/>
      </c>
      <c r="Z456" s="50">
        <f>IF(OR(N456="",O456="",P456="",Q456="",T456=""),"",IF(ABS(ROUND(((ROUND(N(N456)*100,0)+ROUND(N(Q456)*100,0))-(ROUND(N(O456)*100,0)+ROUND(N(P456)*100,0))),0)-(ROUND(N(T456)*100,0)))&lt;=0,"OK","ABWEICHUNG"))</f>
        <v/>
      </c>
      <c r="AA456" s="44" t="n"/>
      <c r="AB456" s="44" t="n"/>
      <c r="AC456" s="44" t="n"/>
      <c r="AD456" s="44" t="n"/>
      <c r="AE456" s="85" t="n"/>
      <c r="AF456" s="85" t="n"/>
      <c r="AG456" s="44" t="n"/>
      <c r="AH456" s="44" t="n"/>
    </row>
    <row r="457">
      <c r="A457" s="44" t="n"/>
      <c r="B457" s="44" t="n"/>
      <c r="C457" s="44" t="n"/>
      <c r="D457" s="44" t="n"/>
      <c r="E457" s="44" t="n"/>
      <c r="F457" s="44" t="n"/>
      <c r="G457" s="45" t="n"/>
      <c r="H457" s="44" t="n"/>
      <c r="I457" s="45" t="n"/>
      <c r="J457" s="44" t="n"/>
      <c r="K457" s="85" t="n"/>
      <c r="L457" s="85" t="n"/>
      <c r="M457" s="85" t="n"/>
      <c r="N457" s="85" t="n"/>
      <c r="O457" s="85" t="n"/>
      <c r="P457" s="85" t="n"/>
      <c r="Q457" s="85" t="n"/>
      <c r="R457" s="85" t="n"/>
      <c r="S457" s="85" t="n"/>
      <c r="T457" s="85" t="n"/>
      <c r="U457" s="85" t="n"/>
      <c r="V457" s="44" t="n"/>
      <c r="W457" s="50">
        <f>IF(OR(M457="",Q457="",S457=""),"",IF(ABS(ROUND(((ROUND(N(M457)*100,0))-(ROUND(N(Q457)*100,0))),0)-(ROUND(N(S457)*100,0)))&lt;=0,"OK","ABWEICHUNG"))</f>
        <v/>
      </c>
      <c r="X457" s="50">
        <f>IF(OR(K457="",M457="",N457=""),"",IF(ABS(ROUND(((ROUND(N(K457)*100,0)+ROUND(N(L457)*100,0))-(ROUND(N(M457)*100,0))),0)-(ROUND(N(N457)*100,0)))&lt;=0,"OK",IF(OR(L457=""),"UNVOLLSTÄNDIG","ABWEICHUNG")))</f>
        <v/>
      </c>
      <c r="Y457" s="50">
        <f>IF(OR(K457="",O457="",R457=""),"",IF(ABS(ROUND(((ROUND(N(K457)*100,0))-(ROUND(N(O457)*100,0))),0)-(ROUND(N(R457)*100,0)))&lt;=0,"OK","ABWEICHUNG"))</f>
        <v/>
      </c>
      <c r="Z457" s="50">
        <f>IF(OR(N457="",O457="",P457="",Q457="",T457=""),"",IF(ABS(ROUND(((ROUND(N(N457)*100,0)+ROUND(N(Q457)*100,0))-(ROUND(N(O457)*100,0)+ROUND(N(P457)*100,0))),0)-(ROUND(N(T457)*100,0)))&lt;=0,"OK","ABWEICHUNG"))</f>
        <v/>
      </c>
      <c r="AA457" s="44" t="n"/>
      <c r="AB457" s="44" t="n"/>
      <c r="AC457" s="44" t="n"/>
      <c r="AD457" s="44" t="n"/>
      <c r="AE457" s="85" t="n"/>
      <c r="AF457" s="85" t="n"/>
      <c r="AG457" s="44" t="n"/>
      <c r="AH457" s="44" t="n"/>
    </row>
    <row r="458">
      <c r="A458" s="44" t="n"/>
      <c r="B458" s="44" t="n"/>
      <c r="C458" s="44" t="n"/>
      <c r="D458" s="44" t="n"/>
      <c r="E458" s="44" t="n"/>
      <c r="F458" s="44" t="n"/>
      <c r="G458" s="45" t="n"/>
      <c r="H458" s="44" t="n"/>
      <c r="I458" s="45" t="n"/>
      <c r="J458" s="44" t="n"/>
      <c r="K458" s="85" t="n"/>
      <c r="L458" s="85" t="n"/>
      <c r="M458" s="85" t="n"/>
      <c r="N458" s="85" t="n"/>
      <c r="O458" s="85" t="n"/>
      <c r="P458" s="85" t="n"/>
      <c r="Q458" s="85" t="n"/>
      <c r="R458" s="85" t="n"/>
      <c r="S458" s="85" t="n"/>
      <c r="T458" s="85" t="n"/>
      <c r="U458" s="85" t="n"/>
      <c r="V458" s="44" t="n"/>
      <c r="W458" s="50">
        <f>IF(OR(M458="",Q458="",S458=""),"",IF(ABS(ROUND(((ROUND(N(M458)*100,0))-(ROUND(N(Q458)*100,0))),0)-(ROUND(N(S458)*100,0)))&lt;=0,"OK","ABWEICHUNG"))</f>
        <v/>
      </c>
      <c r="X458" s="50">
        <f>IF(OR(K458="",M458="",N458=""),"",IF(ABS(ROUND(((ROUND(N(K458)*100,0)+ROUND(N(L458)*100,0))-(ROUND(N(M458)*100,0))),0)-(ROUND(N(N458)*100,0)))&lt;=0,"OK",IF(OR(L458=""),"UNVOLLSTÄNDIG","ABWEICHUNG")))</f>
        <v/>
      </c>
      <c r="Y458" s="50">
        <f>IF(OR(K458="",O458="",R458=""),"",IF(ABS(ROUND(((ROUND(N(K458)*100,0))-(ROUND(N(O458)*100,0))),0)-(ROUND(N(R458)*100,0)))&lt;=0,"OK","ABWEICHUNG"))</f>
        <v/>
      </c>
      <c r="Z458" s="50">
        <f>IF(OR(N458="",O458="",P458="",Q458="",T458=""),"",IF(ABS(ROUND(((ROUND(N(N458)*100,0)+ROUND(N(Q458)*100,0))-(ROUND(N(O458)*100,0)+ROUND(N(P458)*100,0))),0)-(ROUND(N(T458)*100,0)))&lt;=0,"OK","ABWEICHUNG"))</f>
        <v/>
      </c>
      <c r="AA458" s="44" t="n"/>
      <c r="AB458" s="44" t="n"/>
      <c r="AC458" s="44" t="n"/>
      <c r="AD458" s="44" t="n"/>
      <c r="AE458" s="85" t="n"/>
      <c r="AF458" s="85" t="n"/>
      <c r="AG458" s="44" t="n"/>
      <c r="AH458" s="44" t="n"/>
    </row>
    <row r="459">
      <c r="A459" s="44" t="n"/>
      <c r="B459" s="44" t="n"/>
      <c r="C459" s="44" t="n"/>
      <c r="D459" s="44" t="n"/>
      <c r="E459" s="44" t="n"/>
      <c r="F459" s="44" t="n"/>
      <c r="G459" s="45" t="n"/>
      <c r="H459" s="44" t="n"/>
      <c r="I459" s="45" t="n"/>
      <c r="J459" s="44" t="n"/>
      <c r="K459" s="85" t="n"/>
      <c r="L459" s="85" t="n"/>
      <c r="M459" s="85" t="n"/>
      <c r="N459" s="85" t="n"/>
      <c r="O459" s="85" t="n"/>
      <c r="P459" s="85" t="n"/>
      <c r="Q459" s="85" t="n"/>
      <c r="R459" s="85" t="n"/>
      <c r="S459" s="85" t="n"/>
      <c r="T459" s="85" t="n"/>
      <c r="U459" s="85" t="n"/>
      <c r="V459" s="44" t="n"/>
      <c r="W459" s="50">
        <f>IF(OR(M459="",Q459="",S459=""),"",IF(ABS(ROUND(((ROUND(N(M459)*100,0))-(ROUND(N(Q459)*100,0))),0)-(ROUND(N(S459)*100,0)))&lt;=0,"OK","ABWEICHUNG"))</f>
        <v/>
      </c>
      <c r="X459" s="50">
        <f>IF(OR(K459="",M459="",N459=""),"",IF(ABS(ROUND(((ROUND(N(K459)*100,0)+ROUND(N(L459)*100,0))-(ROUND(N(M459)*100,0))),0)-(ROUND(N(N459)*100,0)))&lt;=0,"OK",IF(OR(L459=""),"UNVOLLSTÄNDIG","ABWEICHUNG")))</f>
        <v/>
      </c>
      <c r="Y459" s="50">
        <f>IF(OR(K459="",O459="",R459=""),"",IF(ABS(ROUND(((ROUND(N(K459)*100,0))-(ROUND(N(O459)*100,0))),0)-(ROUND(N(R459)*100,0)))&lt;=0,"OK","ABWEICHUNG"))</f>
        <v/>
      </c>
      <c r="Z459" s="50">
        <f>IF(OR(N459="",O459="",P459="",Q459="",T459=""),"",IF(ABS(ROUND(((ROUND(N(N459)*100,0)+ROUND(N(Q459)*100,0))-(ROUND(N(O459)*100,0)+ROUND(N(P459)*100,0))),0)-(ROUND(N(T459)*100,0)))&lt;=0,"OK","ABWEICHUNG"))</f>
        <v/>
      </c>
      <c r="AA459" s="44" t="n"/>
      <c r="AB459" s="44" t="n"/>
      <c r="AC459" s="44" t="n"/>
      <c r="AD459" s="44" t="n"/>
      <c r="AE459" s="85" t="n"/>
      <c r="AF459" s="85" t="n"/>
      <c r="AG459" s="44" t="n"/>
      <c r="AH459" s="44" t="n"/>
    </row>
    <row r="460">
      <c r="A460" s="44" t="n"/>
      <c r="B460" s="44" t="n"/>
      <c r="C460" s="44" t="n"/>
      <c r="D460" s="44" t="n"/>
      <c r="E460" s="44" t="n"/>
      <c r="F460" s="44" t="n"/>
      <c r="G460" s="45" t="n"/>
      <c r="H460" s="44" t="n"/>
      <c r="I460" s="45" t="n"/>
      <c r="J460" s="44" t="n"/>
      <c r="K460" s="85" t="n"/>
      <c r="L460" s="85" t="n"/>
      <c r="M460" s="85" t="n"/>
      <c r="N460" s="85" t="n"/>
      <c r="O460" s="85" t="n"/>
      <c r="P460" s="85" t="n"/>
      <c r="Q460" s="85" t="n"/>
      <c r="R460" s="85" t="n"/>
      <c r="S460" s="85" t="n"/>
      <c r="T460" s="85" t="n"/>
      <c r="U460" s="85" t="n"/>
      <c r="V460" s="44" t="n"/>
      <c r="W460" s="50">
        <f>IF(OR(M460="",Q460="",S460=""),"",IF(ABS(ROUND(((ROUND(N(M460)*100,0))-(ROUND(N(Q460)*100,0))),0)-(ROUND(N(S460)*100,0)))&lt;=0,"OK","ABWEICHUNG"))</f>
        <v/>
      </c>
      <c r="X460" s="50">
        <f>IF(OR(K460="",M460="",N460=""),"",IF(ABS(ROUND(((ROUND(N(K460)*100,0)+ROUND(N(L460)*100,0))-(ROUND(N(M460)*100,0))),0)-(ROUND(N(N460)*100,0)))&lt;=0,"OK",IF(OR(L460=""),"UNVOLLSTÄNDIG","ABWEICHUNG")))</f>
        <v/>
      </c>
      <c r="Y460" s="50">
        <f>IF(OR(K460="",O460="",R460=""),"",IF(ABS(ROUND(((ROUND(N(K460)*100,0))-(ROUND(N(O460)*100,0))),0)-(ROUND(N(R460)*100,0)))&lt;=0,"OK","ABWEICHUNG"))</f>
        <v/>
      </c>
      <c r="Z460" s="50">
        <f>IF(OR(N460="",O460="",P460="",Q460="",T460=""),"",IF(ABS(ROUND(((ROUND(N(N460)*100,0)+ROUND(N(Q460)*100,0))-(ROUND(N(O460)*100,0)+ROUND(N(P460)*100,0))),0)-(ROUND(N(T460)*100,0)))&lt;=0,"OK","ABWEICHUNG"))</f>
        <v/>
      </c>
      <c r="AA460" s="44" t="n"/>
      <c r="AB460" s="44" t="n"/>
      <c r="AC460" s="44" t="n"/>
      <c r="AD460" s="44" t="n"/>
      <c r="AE460" s="85" t="n"/>
      <c r="AF460" s="85" t="n"/>
      <c r="AG460" s="44" t="n"/>
      <c r="AH460" s="44" t="n"/>
    </row>
    <row r="461">
      <c r="A461" s="44" t="n"/>
      <c r="B461" s="44" t="n"/>
      <c r="C461" s="44" t="n"/>
      <c r="D461" s="44" t="n"/>
      <c r="E461" s="44" t="n"/>
      <c r="F461" s="44" t="n"/>
      <c r="G461" s="45" t="n"/>
      <c r="H461" s="44" t="n"/>
      <c r="I461" s="45" t="n"/>
      <c r="J461" s="44" t="n"/>
      <c r="K461" s="85" t="n"/>
      <c r="L461" s="85" t="n"/>
      <c r="M461" s="85" t="n"/>
      <c r="N461" s="85" t="n"/>
      <c r="O461" s="85" t="n"/>
      <c r="P461" s="85" t="n"/>
      <c r="Q461" s="85" t="n"/>
      <c r="R461" s="85" t="n"/>
      <c r="S461" s="85" t="n"/>
      <c r="T461" s="85" t="n"/>
      <c r="U461" s="85" t="n"/>
      <c r="V461" s="44" t="n"/>
      <c r="W461" s="50">
        <f>IF(OR(M461="",Q461="",S461=""),"",IF(ABS(ROUND(((ROUND(N(M461)*100,0))-(ROUND(N(Q461)*100,0))),0)-(ROUND(N(S461)*100,0)))&lt;=0,"OK","ABWEICHUNG"))</f>
        <v/>
      </c>
      <c r="X461" s="50">
        <f>IF(OR(K461="",M461="",N461=""),"",IF(ABS(ROUND(((ROUND(N(K461)*100,0)+ROUND(N(L461)*100,0))-(ROUND(N(M461)*100,0))),0)-(ROUND(N(N461)*100,0)))&lt;=0,"OK",IF(OR(L461=""),"UNVOLLSTÄNDIG","ABWEICHUNG")))</f>
        <v/>
      </c>
      <c r="Y461" s="50">
        <f>IF(OR(K461="",O461="",R461=""),"",IF(ABS(ROUND(((ROUND(N(K461)*100,0))-(ROUND(N(O461)*100,0))),0)-(ROUND(N(R461)*100,0)))&lt;=0,"OK","ABWEICHUNG"))</f>
        <v/>
      </c>
      <c r="Z461" s="50">
        <f>IF(OR(N461="",O461="",P461="",Q461="",T461=""),"",IF(ABS(ROUND(((ROUND(N(N461)*100,0)+ROUND(N(Q461)*100,0))-(ROUND(N(O461)*100,0)+ROUND(N(P461)*100,0))),0)-(ROUND(N(T461)*100,0)))&lt;=0,"OK","ABWEICHUNG"))</f>
        <v/>
      </c>
      <c r="AA461" s="44" t="n"/>
      <c r="AB461" s="44" t="n"/>
      <c r="AC461" s="44" t="n"/>
      <c r="AD461" s="44" t="n"/>
      <c r="AE461" s="85" t="n"/>
      <c r="AF461" s="85" t="n"/>
      <c r="AG461" s="44" t="n"/>
      <c r="AH461" s="44" t="n"/>
    </row>
    <row r="462">
      <c r="A462" s="44" t="n"/>
      <c r="B462" s="44" t="n"/>
      <c r="C462" s="44" t="n"/>
      <c r="D462" s="44" t="n"/>
      <c r="E462" s="44" t="n"/>
      <c r="F462" s="44" t="n"/>
      <c r="G462" s="45" t="n"/>
      <c r="H462" s="44" t="n"/>
      <c r="I462" s="45" t="n"/>
      <c r="J462" s="44" t="n"/>
      <c r="K462" s="85" t="n"/>
      <c r="L462" s="85" t="n"/>
      <c r="M462" s="85" t="n"/>
      <c r="N462" s="85" t="n"/>
      <c r="O462" s="85" t="n"/>
      <c r="P462" s="85" t="n"/>
      <c r="Q462" s="85" t="n"/>
      <c r="R462" s="85" t="n"/>
      <c r="S462" s="85" t="n"/>
      <c r="T462" s="85" t="n"/>
      <c r="U462" s="85" t="n"/>
      <c r="V462" s="44" t="n"/>
      <c r="W462" s="50">
        <f>IF(OR(M462="",Q462="",S462=""),"",IF(ABS(ROUND(((ROUND(N(M462)*100,0))-(ROUND(N(Q462)*100,0))),0)-(ROUND(N(S462)*100,0)))&lt;=0,"OK","ABWEICHUNG"))</f>
        <v/>
      </c>
      <c r="X462" s="50">
        <f>IF(OR(K462="",M462="",N462=""),"",IF(ABS(ROUND(((ROUND(N(K462)*100,0)+ROUND(N(L462)*100,0))-(ROUND(N(M462)*100,0))),0)-(ROUND(N(N462)*100,0)))&lt;=0,"OK",IF(OR(L462=""),"UNVOLLSTÄNDIG","ABWEICHUNG")))</f>
        <v/>
      </c>
      <c r="Y462" s="50">
        <f>IF(OR(K462="",O462="",R462=""),"",IF(ABS(ROUND(((ROUND(N(K462)*100,0))-(ROUND(N(O462)*100,0))),0)-(ROUND(N(R462)*100,0)))&lt;=0,"OK","ABWEICHUNG"))</f>
        <v/>
      </c>
      <c r="Z462" s="50">
        <f>IF(OR(N462="",O462="",P462="",Q462="",T462=""),"",IF(ABS(ROUND(((ROUND(N(N462)*100,0)+ROUND(N(Q462)*100,0))-(ROUND(N(O462)*100,0)+ROUND(N(P462)*100,0))),0)-(ROUND(N(T462)*100,0)))&lt;=0,"OK","ABWEICHUNG"))</f>
        <v/>
      </c>
      <c r="AA462" s="44" t="n"/>
      <c r="AB462" s="44" t="n"/>
      <c r="AC462" s="44" t="n"/>
      <c r="AD462" s="44" t="n"/>
      <c r="AE462" s="85" t="n"/>
      <c r="AF462" s="85" t="n"/>
      <c r="AG462" s="44" t="n"/>
      <c r="AH462" s="44" t="n"/>
    </row>
    <row r="463">
      <c r="A463" s="44" t="n"/>
      <c r="B463" s="44" t="n"/>
      <c r="C463" s="44" t="n"/>
      <c r="D463" s="44" t="n"/>
      <c r="E463" s="44" t="n"/>
      <c r="F463" s="44" t="n"/>
      <c r="G463" s="45" t="n"/>
      <c r="H463" s="44" t="n"/>
      <c r="I463" s="45" t="n"/>
      <c r="J463" s="44" t="n"/>
      <c r="K463" s="85" t="n"/>
      <c r="L463" s="85" t="n"/>
      <c r="M463" s="85" t="n"/>
      <c r="N463" s="85" t="n"/>
      <c r="O463" s="85" t="n"/>
      <c r="P463" s="85" t="n"/>
      <c r="Q463" s="85" t="n"/>
      <c r="R463" s="85" t="n"/>
      <c r="S463" s="85" t="n"/>
      <c r="T463" s="85" t="n"/>
      <c r="U463" s="85" t="n"/>
      <c r="V463" s="44" t="n"/>
      <c r="W463" s="50">
        <f>IF(OR(M463="",Q463="",S463=""),"",IF(ABS(ROUND(((ROUND(N(M463)*100,0))-(ROUND(N(Q463)*100,0))),0)-(ROUND(N(S463)*100,0)))&lt;=0,"OK","ABWEICHUNG"))</f>
        <v/>
      </c>
      <c r="X463" s="50">
        <f>IF(OR(K463="",M463="",N463=""),"",IF(ABS(ROUND(((ROUND(N(K463)*100,0)+ROUND(N(L463)*100,0))-(ROUND(N(M463)*100,0))),0)-(ROUND(N(N463)*100,0)))&lt;=0,"OK",IF(OR(L463=""),"UNVOLLSTÄNDIG","ABWEICHUNG")))</f>
        <v/>
      </c>
      <c r="Y463" s="50">
        <f>IF(OR(K463="",O463="",R463=""),"",IF(ABS(ROUND(((ROUND(N(K463)*100,0))-(ROUND(N(O463)*100,0))),0)-(ROUND(N(R463)*100,0)))&lt;=0,"OK","ABWEICHUNG"))</f>
        <v/>
      </c>
      <c r="Z463" s="50">
        <f>IF(OR(N463="",O463="",P463="",Q463="",T463=""),"",IF(ABS(ROUND(((ROUND(N(N463)*100,0)+ROUND(N(Q463)*100,0))-(ROUND(N(O463)*100,0)+ROUND(N(P463)*100,0))),0)-(ROUND(N(T463)*100,0)))&lt;=0,"OK","ABWEICHUNG"))</f>
        <v/>
      </c>
      <c r="AA463" s="44" t="n"/>
      <c r="AB463" s="44" t="n"/>
      <c r="AC463" s="44" t="n"/>
      <c r="AD463" s="44" t="n"/>
      <c r="AE463" s="85" t="n"/>
      <c r="AF463" s="85" t="n"/>
      <c r="AG463" s="44" t="n"/>
      <c r="AH463" s="44" t="n"/>
    </row>
    <row r="464">
      <c r="A464" s="44" t="n"/>
      <c r="B464" s="44" t="n"/>
      <c r="C464" s="44" t="n"/>
      <c r="D464" s="44" t="n"/>
      <c r="E464" s="44" t="n"/>
      <c r="F464" s="44" t="n"/>
      <c r="G464" s="45" t="n"/>
      <c r="H464" s="44" t="n"/>
      <c r="I464" s="45" t="n"/>
      <c r="J464" s="44" t="n"/>
      <c r="K464" s="85" t="n"/>
      <c r="L464" s="85" t="n"/>
      <c r="M464" s="85" t="n"/>
      <c r="N464" s="85" t="n"/>
      <c r="O464" s="85" t="n"/>
      <c r="P464" s="85" t="n"/>
      <c r="Q464" s="85" t="n"/>
      <c r="R464" s="85" t="n"/>
      <c r="S464" s="85" t="n"/>
      <c r="T464" s="85" t="n"/>
      <c r="U464" s="85" t="n"/>
      <c r="V464" s="44" t="n"/>
      <c r="W464" s="50">
        <f>IF(OR(M464="",Q464="",S464=""),"",IF(ABS(ROUND(((ROUND(N(M464)*100,0))-(ROUND(N(Q464)*100,0))),0)-(ROUND(N(S464)*100,0)))&lt;=0,"OK","ABWEICHUNG"))</f>
        <v/>
      </c>
      <c r="X464" s="50">
        <f>IF(OR(K464="",M464="",N464=""),"",IF(ABS(ROUND(((ROUND(N(K464)*100,0)+ROUND(N(L464)*100,0))-(ROUND(N(M464)*100,0))),0)-(ROUND(N(N464)*100,0)))&lt;=0,"OK",IF(OR(L464=""),"UNVOLLSTÄNDIG","ABWEICHUNG")))</f>
        <v/>
      </c>
      <c r="Y464" s="50">
        <f>IF(OR(K464="",O464="",R464=""),"",IF(ABS(ROUND(((ROUND(N(K464)*100,0))-(ROUND(N(O464)*100,0))),0)-(ROUND(N(R464)*100,0)))&lt;=0,"OK","ABWEICHUNG"))</f>
        <v/>
      </c>
      <c r="Z464" s="50">
        <f>IF(OR(N464="",O464="",P464="",Q464="",T464=""),"",IF(ABS(ROUND(((ROUND(N(N464)*100,0)+ROUND(N(Q464)*100,0))-(ROUND(N(O464)*100,0)+ROUND(N(P464)*100,0))),0)-(ROUND(N(T464)*100,0)))&lt;=0,"OK","ABWEICHUNG"))</f>
        <v/>
      </c>
      <c r="AA464" s="44" t="n"/>
      <c r="AB464" s="44" t="n"/>
      <c r="AC464" s="44" t="n"/>
      <c r="AD464" s="44" t="n"/>
      <c r="AE464" s="85" t="n"/>
      <c r="AF464" s="85" t="n"/>
      <c r="AG464" s="44" t="n"/>
      <c r="AH464" s="44" t="n"/>
    </row>
    <row r="465">
      <c r="A465" s="44" t="n"/>
      <c r="B465" s="44" t="n"/>
      <c r="C465" s="44" t="n"/>
      <c r="D465" s="44" t="n"/>
      <c r="E465" s="44" t="n"/>
      <c r="F465" s="44" t="n"/>
      <c r="G465" s="45" t="n"/>
      <c r="H465" s="44" t="n"/>
      <c r="I465" s="45" t="n"/>
      <c r="J465" s="44" t="n"/>
      <c r="K465" s="85" t="n"/>
      <c r="L465" s="85" t="n"/>
      <c r="M465" s="85" t="n"/>
      <c r="N465" s="85" t="n"/>
      <c r="O465" s="85" t="n"/>
      <c r="P465" s="85" t="n"/>
      <c r="Q465" s="85" t="n"/>
      <c r="R465" s="85" t="n"/>
      <c r="S465" s="85" t="n"/>
      <c r="T465" s="85" t="n"/>
      <c r="U465" s="85" t="n"/>
      <c r="V465" s="44" t="n"/>
      <c r="W465" s="50">
        <f>IF(OR(M465="",Q465="",S465=""),"",IF(ABS(ROUND(((ROUND(N(M465)*100,0))-(ROUND(N(Q465)*100,0))),0)-(ROUND(N(S465)*100,0)))&lt;=0,"OK","ABWEICHUNG"))</f>
        <v/>
      </c>
      <c r="X465" s="50">
        <f>IF(OR(K465="",M465="",N465=""),"",IF(ABS(ROUND(((ROUND(N(K465)*100,0)+ROUND(N(L465)*100,0))-(ROUND(N(M465)*100,0))),0)-(ROUND(N(N465)*100,0)))&lt;=0,"OK",IF(OR(L465=""),"UNVOLLSTÄNDIG","ABWEICHUNG")))</f>
        <v/>
      </c>
      <c r="Y465" s="50">
        <f>IF(OR(K465="",O465="",R465=""),"",IF(ABS(ROUND(((ROUND(N(K465)*100,0))-(ROUND(N(O465)*100,0))),0)-(ROUND(N(R465)*100,0)))&lt;=0,"OK","ABWEICHUNG"))</f>
        <v/>
      </c>
      <c r="Z465" s="50">
        <f>IF(OR(N465="",O465="",P465="",Q465="",T465=""),"",IF(ABS(ROUND(((ROUND(N(N465)*100,0)+ROUND(N(Q465)*100,0))-(ROUND(N(O465)*100,0)+ROUND(N(P465)*100,0))),0)-(ROUND(N(T465)*100,0)))&lt;=0,"OK","ABWEICHUNG"))</f>
        <v/>
      </c>
      <c r="AA465" s="44" t="n"/>
      <c r="AB465" s="44" t="n"/>
      <c r="AC465" s="44" t="n"/>
      <c r="AD465" s="44" t="n"/>
      <c r="AE465" s="85" t="n"/>
      <c r="AF465" s="85" t="n"/>
      <c r="AG465" s="44" t="n"/>
      <c r="AH465" s="44" t="n"/>
    </row>
    <row r="466">
      <c r="A466" s="44" t="n"/>
      <c r="B466" s="44" t="n"/>
      <c r="C466" s="44" t="n"/>
      <c r="D466" s="44" t="n"/>
      <c r="E466" s="44" t="n"/>
      <c r="F466" s="44" t="n"/>
      <c r="G466" s="45" t="n"/>
      <c r="H466" s="44" t="n"/>
      <c r="I466" s="45" t="n"/>
      <c r="J466" s="44" t="n"/>
      <c r="K466" s="85" t="n"/>
      <c r="L466" s="85" t="n"/>
      <c r="M466" s="85" t="n"/>
      <c r="N466" s="85" t="n"/>
      <c r="O466" s="85" t="n"/>
      <c r="P466" s="85" t="n"/>
      <c r="Q466" s="85" t="n"/>
      <c r="R466" s="85" t="n"/>
      <c r="S466" s="85" t="n"/>
      <c r="T466" s="85" t="n"/>
      <c r="U466" s="85" t="n"/>
      <c r="V466" s="44" t="n"/>
      <c r="W466" s="50">
        <f>IF(OR(M466="",Q466="",S466=""),"",IF(ABS(ROUND(((ROUND(N(M466)*100,0))-(ROUND(N(Q466)*100,0))),0)-(ROUND(N(S466)*100,0)))&lt;=0,"OK","ABWEICHUNG"))</f>
        <v/>
      </c>
      <c r="X466" s="50">
        <f>IF(OR(K466="",M466="",N466=""),"",IF(ABS(ROUND(((ROUND(N(K466)*100,0)+ROUND(N(L466)*100,0))-(ROUND(N(M466)*100,0))),0)-(ROUND(N(N466)*100,0)))&lt;=0,"OK",IF(OR(L466=""),"UNVOLLSTÄNDIG","ABWEICHUNG")))</f>
        <v/>
      </c>
      <c r="Y466" s="50">
        <f>IF(OR(K466="",O466="",R466=""),"",IF(ABS(ROUND(((ROUND(N(K466)*100,0))-(ROUND(N(O466)*100,0))),0)-(ROUND(N(R466)*100,0)))&lt;=0,"OK","ABWEICHUNG"))</f>
        <v/>
      </c>
      <c r="Z466" s="50">
        <f>IF(OR(N466="",O466="",P466="",Q466="",T466=""),"",IF(ABS(ROUND(((ROUND(N(N466)*100,0)+ROUND(N(Q466)*100,0))-(ROUND(N(O466)*100,0)+ROUND(N(P466)*100,0))),0)-(ROUND(N(T466)*100,0)))&lt;=0,"OK","ABWEICHUNG"))</f>
        <v/>
      </c>
      <c r="AA466" s="44" t="n"/>
      <c r="AB466" s="44" t="n"/>
      <c r="AC466" s="44" t="n"/>
      <c r="AD466" s="44" t="n"/>
      <c r="AE466" s="85" t="n"/>
      <c r="AF466" s="85" t="n"/>
      <c r="AG466" s="44" t="n"/>
      <c r="AH466" s="44" t="n"/>
    </row>
    <row r="467">
      <c r="A467" s="44" t="n"/>
      <c r="B467" s="44" t="n"/>
      <c r="C467" s="44" t="n"/>
      <c r="D467" s="44" t="n"/>
      <c r="E467" s="44" t="n"/>
      <c r="F467" s="44" t="n"/>
      <c r="G467" s="45" t="n"/>
      <c r="H467" s="44" t="n"/>
      <c r="I467" s="45" t="n"/>
      <c r="J467" s="44" t="n"/>
      <c r="K467" s="85" t="n"/>
      <c r="L467" s="85" t="n"/>
      <c r="M467" s="85" t="n"/>
      <c r="N467" s="85" t="n"/>
      <c r="O467" s="85" t="n"/>
      <c r="P467" s="85" t="n"/>
      <c r="Q467" s="85" t="n"/>
      <c r="R467" s="85" t="n"/>
      <c r="S467" s="85" t="n"/>
      <c r="T467" s="85" t="n"/>
      <c r="U467" s="85" t="n"/>
      <c r="V467" s="44" t="n"/>
      <c r="W467" s="50">
        <f>IF(OR(M467="",Q467="",S467=""),"",IF(ABS(ROUND(((ROUND(N(M467)*100,0))-(ROUND(N(Q467)*100,0))),0)-(ROUND(N(S467)*100,0)))&lt;=0,"OK","ABWEICHUNG"))</f>
        <v/>
      </c>
      <c r="X467" s="50">
        <f>IF(OR(K467="",M467="",N467=""),"",IF(ABS(ROUND(((ROUND(N(K467)*100,0)+ROUND(N(L467)*100,0))-(ROUND(N(M467)*100,0))),0)-(ROUND(N(N467)*100,0)))&lt;=0,"OK",IF(OR(L467=""),"UNVOLLSTÄNDIG","ABWEICHUNG")))</f>
        <v/>
      </c>
      <c r="Y467" s="50">
        <f>IF(OR(K467="",O467="",R467=""),"",IF(ABS(ROUND(((ROUND(N(K467)*100,0))-(ROUND(N(O467)*100,0))),0)-(ROUND(N(R467)*100,0)))&lt;=0,"OK","ABWEICHUNG"))</f>
        <v/>
      </c>
      <c r="Z467" s="50">
        <f>IF(OR(N467="",O467="",P467="",Q467="",T467=""),"",IF(ABS(ROUND(((ROUND(N(N467)*100,0)+ROUND(N(Q467)*100,0))-(ROUND(N(O467)*100,0)+ROUND(N(P467)*100,0))),0)-(ROUND(N(T467)*100,0)))&lt;=0,"OK","ABWEICHUNG"))</f>
        <v/>
      </c>
      <c r="AA467" s="44" t="n"/>
      <c r="AB467" s="44" t="n"/>
      <c r="AC467" s="44" t="n"/>
      <c r="AD467" s="44" t="n"/>
      <c r="AE467" s="85" t="n"/>
      <c r="AF467" s="85" t="n"/>
      <c r="AG467" s="44" t="n"/>
      <c r="AH467" s="44" t="n"/>
    </row>
    <row r="468">
      <c r="A468" s="44" t="n"/>
      <c r="B468" s="44" t="n"/>
      <c r="C468" s="44" t="n"/>
      <c r="D468" s="44" t="n"/>
      <c r="E468" s="44" t="n"/>
      <c r="F468" s="44" t="n"/>
      <c r="G468" s="45" t="n"/>
      <c r="H468" s="44" t="n"/>
      <c r="I468" s="45" t="n"/>
      <c r="J468" s="44" t="n"/>
      <c r="K468" s="85" t="n"/>
      <c r="L468" s="85" t="n"/>
      <c r="M468" s="85" t="n"/>
      <c r="N468" s="85" t="n"/>
      <c r="O468" s="85" t="n"/>
      <c r="P468" s="85" t="n"/>
      <c r="Q468" s="85" t="n"/>
      <c r="R468" s="85" t="n"/>
      <c r="S468" s="85" t="n"/>
      <c r="T468" s="85" t="n"/>
      <c r="U468" s="85" t="n"/>
      <c r="V468" s="44" t="n"/>
      <c r="W468" s="50">
        <f>IF(OR(M468="",Q468="",S468=""),"",IF(ABS(ROUND(((ROUND(N(M468)*100,0))-(ROUND(N(Q468)*100,0))),0)-(ROUND(N(S468)*100,0)))&lt;=0,"OK","ABWEICHUNG"))</f>
        <v/>
      </c>
      <c r="X468" s="50">
        <f>IF(OR(K468="",M468="",N468=""),"",IF(ABS(ROUND(((ROUND(N(K468)*100,0)+ROUND(N(L468)*100,0))-(ROUND(N(M468)*100,0))),0)-(ROUND(N(N468)*100,0)))&lt;=0,"OK",IF(OR(L468=""),"UNVOLLSTÄNDIG","ABWEICHUNG")))</f>
        <v/>
      </c>
      <c r="Y468" s="50">
        <f>IF(OR(K468="",O468="",R468=""),"",IF(ABS(ROUND(((ROUND(N(K468)*100,0))-(ROUND(N(O468)*100,0))),0)-(ROUND(N(R468)*100,0)))&lt;=0,"OK","ABWEICHUNG"))</f>
        <v/>
      </c>
      <c r="Z468" s="50">
        <f>IF(OR(N468="",O468="",P468="",Q468="",T468=""),"",IF(ABS(ROUND(((ROUND(N(N468)*100,0)+ROUND(N(Q468)*100,0))-(ROUND(N(O468)*100,0)+ROUND(N(P468)*100,0))),0)-(ROUND(N(T468)*100,0)))&lt;=0,"OK","ABWEICHUNG"))</f>
        <v/>
      </c>
      <c r="AA468" s="44" t="n"/>
      <c r="AB468" s="44" t="n"/>
      <c r="AC468" s="44" t="n"/>
      <c r="AD468" s="44" t="n"/>
      <c r="AE468" s="85" t="n"/>
      <c r="AF468" s="85" t="n"/>
      <c r="AG468" s="44" t="n"/>
      <c r="AH468" s="44" t="n"/>
    </row>
    <row r="469">
      <c r="A469" s="44" t="n"/>
      <c r="B469" s="44" t="n"/>
      <c r="C469" s="44" t="n"/>
      <c r="D469" s="44" t="n"/>
      <c r="E469" s="44" t="n"/>
      <c r="F469" s="44" t="n"/>
      <c r="G469" s="45" t="n"/>
      <c r="H469" s="44" t="n"/>
      <c r="I469" s="45" t="n"/>
      <c r="J469" s="44" t="n"/>
      <c r="K469" s="85" t="n"/>
      <c r="L469" s="85" t="n"/>
      <c r="M469" s="85" t="n"/>
      <c r="N469" s="85" t="n"/>
      <c r="O469" s="85" t="n"/>
      <c r="P469" s="85" t="n"/>
      <c r="Q469" s="85" t="n"/>
      <c r="R469" s="85" t="n"/>
      <c r="S469" s="85" t="n"/>
      <c r="T469" s="85" t="n"/>
      <c r="U469" s="85" t="n"/>
      <c r="V469" s="44" t="n"/>
      <c r="W469" s="50">
        <f>IF(OR(M469="",Q469="",S469=""),"",IF(ABS(ROUND(((ROUND(N(M469)*100,0))-(ROUND(N(Q469)*100,0))),0)-(ROUND(N(S469)*100,0)))&lt;=0,"OK","ABWEICHUNG"))</f>
        <v/>
      </c>
      <c r="X469" s="50">
        <f>IF(OR(K469="",M469="",N469=""),"",IF(ABS(ROUND(((ROUND(N(K469)*100,0)+ROUND(N(L469)*100,0))-(ROUND(N(M469)*100,0))),0)-(ROUND(N(N469)*100,0)))&lt;=0,"OK",IF(OR(L469=""),"UNVOLLSTÄNDIG","ABWEICHUNG")))</f>
        <v/>
      </c>
      <c r="Y469" s="50">
        <f>IF(OR(K469="",O469="",R469=""),"",IF(ABS(ROUND(((ROUND(N(K469)*100,0))-(ROUND(N(O469)*100,0))),0)-(ROUND(N(R469)*100,0)))&lt;=0,"OK","ABWEICHUNG"))</f>
        <v/>
      </c>
      <c r="Z469" s="50">
        <f>IF(OR(N469="",O469="",P469="",Q469="",T469=""),"",IF(ABS(ROUND(((ROUND(N(N469)*100,0)+ROUND(N(Q469)*100,0))-(ROUND(N(O469)*100,0)+ROUND(N(P469)*100,0))),0)-(ROUND(N(T469)*100,0)))&lt;=0,"OK","ABWEICHUNG"))</f>
        <v/>
      </c>
      <c r="AA469" s="44" t="n"/>
      <c r="AB469" s="44" t="n"/>
      <c r="AC469" s="44" t="n"/>
      <c r="AD469" s="44" t="n"/>
      <c r="AE469" s="85" t="n"/>
      <c r="AF469" s="85" t="n"/>
      <c r="AG469" s="44" t="n"/>
      <c r="AH469" s="44" t="n"/>
    </row>
    <row r="470">
      <c r="A470" s="44" t="n"/>
      <c r="B470" s="44" t="n"/>
      <c r="C470" s="44" t="n"/>
      <c r="D470" s="44" t="n"/>
      <c r="E470" s="44" t="n"/>
      <c r="F470" s="44" t="n"/>
      <c r="G470" s="45" t="n"/>
      <c r="H470" s="44" t="n"/>
      <c r="I470" s="45" t="n"/>
      <c r="J470" s="44" t="n"/>
      <c r="K470" s="85" t="n"/>
      <c r="L470" s="85" t="n"/>
      <c r="M470" s="85" t="n"/>
      <c r="N470" s="85" t="n"/>
      <c r="O470" s="85" t="n"/>
      <c r="P470" s="85" t="n"/>
      <c r="Q470" s="85" t="n"/>
      <c r="R470" s="85" t="n"/>
      <c r="S470" s="85" t="n"/>
      <c r="T470" s="85" t="n"/>
      <c r="U470" s="85" t="n"/>
      <c r="V470" s="44" t="n"/>
      <c r="W470" s="50">
        <f>IF(OR(M470="",Q470="",S470=""),"",IF(ABS(ROUND(((ROUND(N(M470)*100,0))-(ROUND(N(Q470)*100,0))),0)-(ROUND(N(S470)*100,0)))&lt;=0,"OK","ABWEICHUNG"))</f>
        <v/>
      </c>
      <c r="X470" s="50">
        <f>IF(OR(K470="",M470="",N470=""),"",IF(ABS(ROUND(((ROUND(N(K470)*100,0)+ROUND(N(L470)*100,0))-(ROUND(N(M470)*100,0))),0)-(ROUND(N(N470)*100,0)))&lt;=0,"OK",IF(OR(L470=""),"UNVOLLSTÄNDIG","ABWEICHUNG")))</f>
        <v/>
      </c>
      <c r="Y470" s="50">
        <f>IF(OR(K470="",O470="",R470=""),"",IF(ABS(ROUND(((ROUND(N(K470)*100,0))-(ROUND(N(O470)*100,0))),0)-(ROUND(N(R470)*100,0)))&lt;=0,"OK","ABWEICHUNG"))</f>
        <v/>
      </c>
      <c r="Z470" s="50">
        <f>IF(OR(N470="",O470="",P470="",Q470="",T470=""),"",IF(ABS(ROUND(((ROUND(N(N470)*100,0)+ROUND(N(Q470)*100,0))-(ROUND(N(O470)*100,0)+ROUND(N(P470)*100,0))),0)-(ROUND(N(T470)*100,0)))&lt;=0,"OK","ABWEICHUNG"))</f>
        <v/>
      </c>
      <c r="AA470" s="44" t="n"/>
      <c r="AB470" s="44" t="n"/>
      <c r="AC470" s="44" t="n"/>
      <c r="AD470" s="44" t="n"/>
      <c r="AE470" s="85" t="n"/>
      <c r="AF470" s="85" t="n"/>
      <c r="AG470" s="44" t="n"/>
      <c r="AH470" s="44" t="n"/>
    </row>
    <row r="471">
      <c r="A471" s="44" t="n"/>
      <c r="B471" s="44" t="n"/>
      <c r="C471" s="44" t="n"/>
      <c r="D471" s="44" t="n"/>
      <c r="E471" s="44" t="n"/>
      <c r="F471" s="44" t="n"/>
      <c r="G471" s="45" t="n"/>
      <c r="H471" s="44" t="n"/>
      <c r="I471" s="45" t="n"/>
      <c r="J471" s="44" t="n"/>
      <c r="K471" s="85" t="n"/>
      <c r="L471" s="85" t="n"/>
      <c r="M471" s="85" t="n"/>
      <c r="N471" s="85" t="n"/>
      <c r="O471" s="85" t="n"/>
      <c r="P471" s="85" t="n"/>
      <c r="Q471" s="85" t="n"/>
      <c r="R471" s="85" t="n"/>
      <c r="S471" s="85" t="n"/>
      <c r="T471" s="85" t="n"/>
      <c r="U471" s="85" t="n"/>
      <c r="V471" s="44" t="n"/>
      <c r="W471" s="50">
        <f>IF(OR(M471="",Q471="",S471=""),"",IF(ABS(ROUND(((ROUND(N(M471)*100,0))-(ROUND(N(Q471)*100,0))),0)-(ROUND(N(S471)*100,0)))&lt;=0,"OK","ABWEICHUNG"))</f>
        <v/>
      </c>
      <c r="X471" s="50">
        <f>IF(OR(K471="",M471="",N471=""),"",IF(ABS(ROUND(((ROUND(N(K471)*100,0)+ROUND(N(L471)*100,0))-(ROUND(N(M471)*100,0))),0)-(ROUND(N(N471)*100,0)))&lt;=0,"OK",IF(OR(L471=""),"UNVOLLSTÄNDIG","ABWEICHUNG")))</f>
        <v/>
      </c>
      <c r="Y471" s="50">
        <f>IF(OR(K471="",O471="",R471=""),"",IF(ABS(ROUND(((ROUND(N(K471)*100,0))-(ROUND(N(O471)*100,0))),0)-(ROUND(N(R471)*100,0)))&lt;=0,"OK","ABWEICHUNG"))</f>
        <v/>
      </c>
      <c r="Z471" s="50">
        <f>IF(OR(N471="",O471="",P471="",Q471="",T471=""),"",IF(ABS(ROUND(((ROUND(N(N471)*100,0)+ROUND(N(Q471)*100,0))-(ROUND(N(O471)*100,0)+ROUND(N(P471)*100,0))),0)-(ROUND(N(T471)*100,0)))&lt;=0,"OK","ABWEICHUNG"))</f>
        <v/>
      </c>
      <c r="AA471" s="44" t="n"/>
      <c r="AB471" s="44" t="n"/>
      <c r="AC471" s="44" t="n"/>
      <c r="AD471" s="44" t="n"/>
      <c r="AE471" s="85" t="n"/>
      <c r="AF471" s="85" t="n"/>
      <c r="AG471" s="44" t="n"/>
      <c r="AH471" s="44" t="n"/>
    </row>
    <row r="472">
      <c r="A472" s="44" t="n"/>
      <c r="B472" s="44" t="n"/>
      <c r="C472" s="44" t="n"/>
      <c r="D472" s="44" t="n"/>
      <c r="E472" s="44" t="n"/>
      <c r="F472" s="44" t="n"/>
      <c r="G472" s="45" t="n"/>
      <c r="H472" s="44" t="n"/>
      <c r="I472" s="45" t="n"/>
      <c r="J472" s="44" t="n"/>
      <c r="K472" s="85" t="n"/>
      <c r="L472" s="85" t="n"/>
      <c r="M472" s="85" t="n"/>
      <c r="N472" s="85" t="n"/>
      <c r="O472" s="85" t="n"/>
      <c r="P472" s="85" t="n"/>
      <c r="Q472" s="85" t="n"/>
      <c r="R472" s="85" t="n"/>
      <c r="S472" s="85" t="n"/>
      <c r="T472" s="85" t="n"/>
      <c r="U472" s="85" t="n"/>
      <c r="V472" s="44" t="n"/>
      <c r="W472" s="50">
        <f>IF(OR(M472="",Q472="",S472=""),"",IF(ABS(ROUND(((ROUND(N(M472)*100,0))-(ROUND(N(Q472)*100,0))),0)-(ROUND(N(S472)*100,0)))&lt;=0,"OK","ABWEICHUNG"))</f>
        <v/>
      </c>
      <c r="X472" s="50">
        <f>IF(OR(K472="",M472="",N472=""),"",IF(ABS(ROUND(((ROUND(N(K472)*100,0)+ROUND(N(L472)*100,0))-(ROUND(N(M472)*100,0))),0)-(ROUND(N(N472)*100,0)))&lt;=0,"OK",IF(OR(L472=""),"UNVOLLSTÄNDIG","ABWEICHUNG")))</f>
        <v/>
      </c>
      <c r="Y472" s="50">
        <f>IF(OR(K472="",O472="",R472=""),"",IF(ABS(ROUND(((ROUND(N(K472)*100,0))-(ROUND(N(O472)*100,0))),0)-(ROUND(N(R472)*100,0)))&lt;=0,"OK","ABWEICHUNG"))</f>
        <v/>
      </c>
      <c r="Z472" s="50">
        <f>IF(OR(N472="",O472="",P472="",Q472="",T472=""),"",IF(ABS(ROUND(((ROUND(N(N472)*100,0)+ROUND(N(Q472)*100,0))-(ROUND(N(O472)*100,0)+ROUND(N(P472)*100,0))),0)-(ROUND(N(T472)*100,0)))&lt;=0,"OK","ABWEICHUNG"))</f>
        <v/>
      </c>
      <c r="AA472" s="44" t="n"/>
      <c r="AB472" s="44" t="n"/>
      <c r="AC472" s="44" t="n"/>
      <c r="AD472" s="44" t="n"/>
      <c r="AE472" s="85" t="n"/>
      <c r="AF472" s="85" t="n"/>
      <c r="AG472" s="44" t="n"/>
      <c r="AH472" s="44" t="n"/>
    </row>
    <row r="473">
      <c r="A473" s="44" t="n"/>
      <c r="B473" s="44" t="n"/>
      <c r="C473" s="44" t="n"/>
      <c r="D473" s="44" t="n"/>
      <c r="E473" s="44" t="n"/>
      <c r="F473" s="44" t="n"/>
      <c r="G473" s="45" t="n"/>
      <c r="H473" s="44" t="n"/>
      <c r="I473" s="45" t="n"/>
      <c r="J473" s="44" t="n"/>
      <c r="K473" s="85" t="n"/>
      <c r="L473" s="85" t="n"/>
      <c r="M473" s="85" t="n"/>
      <c r="N473" s="85" t="n"/>
      <c r="O473" s="85" t="n"/>
      <c r="P473" s="85" t="n"/>
      <c r="Q473" s="85" t="n"/>
      <c r="R473" s="85" t="n"/>
      <c r="S473" s="85" t="n"/>
      <c r="T473" s="85" t="n"/>
      <c r="U473" s="85" t="n"/>
      <c r="V473" s="44" t="n"/>
      <c r="W473" s="50">
        <f>IF(OR(M473="",Q473="",S473=""),"",IF(ABS(ROUND(((ROUND(N(M473)*100,0))-(ROUND(N(Q473)*100,0))),0)-(ROUND(N(S473)*100,0)))&lt;=0,"OK","ABWEICHUNG"))</f>
        <v/>
      </c>
      <c r="X473" s="50">
        <f>IF(OR(K473="",M473="",N473=""),"",IF(ABS(ROUND(((ROUND(N(K473)*100,0)+ROUND(N(L473)*100,0))-(ROUND(N(M473)*100,0))),0)-(ROUND(N(N473)*100,0)))&lt;=0,"OK",IF(OR(L473=""),"UNVOLLSTÄNDIG","ABWEICHUNG")))</f>
        <v/>
      </c>
      <c r="Y473" s="50">
        <f>IF(OR(K473="",O473="",R473=""),"",IF(ABS(ROUND(((ROUND(N(K473)*100,0))-(ROUND(N(O473)*100,0))),0)-(ROUND(N(R473)*100,0)))&lt;=0,"OK","ABWEICHUNG"))</f>
        <v/>
      </c>
      <c r="Z473" s="50">
        <f>IF(OR(N473="",O473="",P473="",Q473="",T473=""),"",IF(ABS(ROUND(((ROUND(N(N473)*100,0)+ROUND(N(Q473)*100,0))-(ROUND(N(O473)*100,0)+ROUND(N(P473)*100,0))),0)-(ROUND(N(T473)*100,0)))&lt;=0,"OK","ABWEICHUNG"))</f>
        <v/>
      </c>
      <c r="AA473" s="44" t="n"/>
      <c r="AB473" s="44" t="n"/>
      <c r="AC473" s="44" t="n"/>
      <c r="AD473" s="44" t="n"/>
      <c r="AE473" s="85" t="n"/>
      <c r="AF473" s="85" t="n"/>
      <c r="AG473" s="44" t="n"/>
      <c r="AH473" s="44" t="n"/>
    </row>
    <row r="474">
      <c r="A474" s="44" t="n"/>
      <c r="B474" s="44" t="n"/>
      <c r="C474" s="44" t="n"/>
      <c r="D474" s="44" t="n"/>
      <c r="E474" s="44" t="n"/>
      <c r="F474" s="44" t="n"/>
      <c r="G474" s="45" t="n"/>
      <c r="H474" s="44" t="n"/>
      <c r="I474" s="45" t="n"/>
      <c r="J474" s="44" t="n"/>
      <c r="K474" s="85" t="n"/>
      <c r="L474" s="85" t="n"/>
      <c r="M474" s="85" t="n"/>
      <c r="N474" s="85" t="n"/>
      <c r="O474" s="85" t="n"/>
      <c r="P474" s="85" t="n"/>
      <c r="Q474" s="85" t="n"/>
      <c r="R474" s="85" t="n"/>
      <c r="S474" s="85" t="n"/>
      <c r="T474" s="85" t="n"/>
      <c r="U474" s="85" t="n"/>
      <c r="V474" s="44" t="n"/>
      <c r="W474" s="50">
        <f>IF(OR(M474="",Q474="",S474=""),"",IF(ABS(ROUND(((ROUND(N(M474)*100,0))-(ROUND(N(Q474)*100,0))),0)-(ROUND(N(S474)*100,0)))&lt;=0,"OK","ABWEICHUNG"))</f>
        <v/>
      </c>
      <c r="X474" s="50">
        <f>IF(OR(K474="",M474="",N474=""),"",IF(ABS(ROUND(((ROUND(N(K474)*100,0)+ROUND(N(L474)*100,0))-(ROUND(N(M474)*100,0))),0)-(ROUND(N(N474)*100,0)))&lt;=0,"OK",IF(OR(L474=""),"UNVOLLSTÄNDIG","ABWEICHUNG")))</f>
        <v/>
      </c>
      <c r="Y474" s="50">
        <f>IF(OR(K474="",O474="",R474=""),"",IF(ABS(ROUND(((ROUND(N(K474)*100,0))-(ROUND(N(O474)*100,0))),0)-(ROUND(N(R474)*100,0)))&lt;=0,"OK","ABWEICHUNG"))</f>
        <v/>
      </c>
      <c r="Z474" s="50">
        <f>IF(OR(N474="",O474="",P474="",Q474="",T474=""),"",IF(ABS(ROUND(((ROUND(N(N474)*100,0)+ROUND(N(Q474)*100,0))-(ROUND(N(O474)*100,0)+ROUND(N(P474)*100,0))),0)-(ROUND(N(T474)*100,0)))&lt;=0,"OK","ABWEICHUNG"))</f>
        <v/>
      </c>
      <c r="AA474" s="44" t="n"/>
      <c r="AB474" s="44" t="n"/>
      <c r="AC474" s="44" t="n"/>
      <c r="AD474" s="44" t="n"/>
      <c r="AE474" s="85" t="n"/>
      <c r="AF474" s="85" t="n"/>
      <c r="AG474" s="44" t="n"/>
      <c r="AH474" s="44" t="n"/>
    </row>
    <row r="475">
      <c r="A475" s="44" t="n"/>
      <c r="B475" s="44" t="n"/>
      <c r="C475" s="44" t="n"/>
      <c r="D475" s="44" t="n"/>
      <c r="E475" s="44" t="n"/>
      <c r="F475" s="44" t="n"/>
      <c r="G475" s="45" t="n"/>
      <c r="H475" s="44" t="n"/>
      <c r="I475" s="45" t="n"/>
      <c r="J475" s="44" t="n"/>
      <c r="K475" s="85" t="n"/>
      <c r="L475" s="85" t="n"/>
      <c r="M475" s="85" t="n"/>
      <c r="N475" s="85" t="n"/>
      <c r="O475" s="85" t="n"/>
      <c r="P475" s="85" t="n"/>
      <c r="Q475" s="85" t="n"/>
      <c r="R475" s="85" t="n"/>
      <c r="S475" s="85" t="n"/>
      <c r="T475" s="85" t="n"/>
      <c r="U475" s="85" t="n"/>
      <c r="V475" s="44" t="n"/>
      <c r="W475" s="50">
        <f>IF(OR(M475="",Q475="",S475=""),"",IF(ABS(ROUND(((ROUND(N(M475)*100,0))-(ROUND(N(Q475)*100,0))),0)-(ROUND(N(S475)*100,0)))&lt;=0,"OK","ABWEICHUNG"))</f>
        <v/>
      </c>
      <c r="X475" s="50">
        <f>IF(OR(K475="",M475="",N475=""),"",IF(ABS(ROUND(((ROUND(N(K475)*100,0)+ROUND(N(L475)*100,0))-(ROUND(N(M475)*100,0))),0)-(ROUND(N(N475)*100,0)))&lt;=0,"OK",IF(OR(L475=""),"UNVOLLSTÄNDIG","ABWEICHUNG")))</f>
        <v/>
      </c>
      <c r="Y475" s="50">
        <f>IF(OR(K475="",O475="",R475=""),"",IF(ABS(ROUND(((ROUND(N(K475)*100,0))-(ROUND(N(O475)*100,0))),0)-(ROUND(N(R475)*100,0)))&lt;=0,"OK","ABWEICHUNG"))</f>
        <v/>
      </c>
      <c r="Z475" s="50">
        <f>IF(OR(N475="",O475="",P475="",Q475="",T475=""),"",IF(ABS(ROUND(((ROUND(N(N475)*100,0)+ROUND(N(Q475)*100,0))-(ROUND(N(O475)*100,0)+ROUND(N(P475)*100,0))),0)-(ROUND(N(T475)*100,0)))&lt;=0,"OK","ABWEICHUNG"))</f>
        <v/>
      </c>
      <c r="AA475" s="44" t="n"/>
      <c r="AB475" s="44" t="n"/>
      <c r="AC475" s="44" t="n"/>
      <c r="AD475" s="44" t="n"/>
      <c r="AE475" s="85" t="n"/>
      <c r="AF475" s="85" t="n"/>
      <c r="AG475" s="44" t="n"/>
      <c r="AH475" s="44" t="n"/>
    </row>
    <row r="476">
      <c r="A476" s="44" t="n"/>
      <c r="B476" s="44" t="n"/>
      <c r="C476" s="44" t="n"/>
      <c r="D476" s="44" t="n"/>
      <c r="E476" s="44" t="n"/>
      <c r="F476" s="44" t="n"/>
      <c r="G476" s="45" t="n"/>
      <c r="H476" s="44" t="n"/>
      <c r="I476" s="45" t="n"/>
      <c r="J476" s="44" t="n"/>
      <c r="K476" s="85" t="n"/>
      <c r="L476" s="85" t="n"/>
      <c r="M476" s="85" t="n"/>
      <c r="N476" s="85" t="n"/>
      <c r="O476" s="85" t="n"/>
      <c r="P476" s="85" t="n"/>
      <c r="Q476" s="85" t="n"/>
      <c r="R476" s="85" t="n"/>
      <c r="S476" s="85" t="n"/>
      <c r="T476" s="85" t="n"/>
      <c r="U476" s="85" t="n"/>
      <c r="V476" s="44" t="n"/>
      <c r="W476" s="50">
        <f>IF(OR(M476="",Q476="",S476=""),"",IF(ABS(ROUND(((ROUND(N(M476)*100,0))-(ROUND(N(Q476)*100,0))),0)-(ROUND(N(S476)*100,0)))&lt;=0,"OK","ABWEICHUNG"))</f>
        <v/>
      </c>
      <c r="X476" s="50">
        <f>IF(OR(K476="",M476="",N476=""),"",IF(ABS(ROUND(((ROUND(N(K476)*100,0)+ROUND(N(L476)*100,0))-(ROUND(N(M476)*100,0))),0)-(ROUND(N(N476)*100,0)))&lt;=0,"OK",IF(OR(L476=""),"UNVOLLSTÄNDIG","ABWEICHUNG")))</f>
        <v/>
      </c>
      <c r="Y476" s="50">
        <f>IF(OR(K476="",O476="",R476=""),"",IF(ABS(ROUND(((ROUND(N(K476)*100,0))-(ROUND(N(O476)*100,0))),0)-(ROUND(N(R476)*100,0)))&lt;=0,"OK","ABWEICHUNG"))</f>
        <v/>
      </c>
      <c r="Z476" s="50">
        <f>IF(OR(N476="",O476="",P476="",Q476="",T476=""),"",IF(ABS(ROUND(((ROUND(N(N476)*100,0)+ROUND(N(Q476)*100,0))-(ROUND(N(O476)*100,0)+ROUND(N(P476)*100,0))),0)-(ROUND(N(T476)*100,0)))&lt;=0,"OK","ABWEICHUNG"))</f>
        <v/>
      </c>
      <c r="AA476" s="44" t="n"/>
      <c r="AB476" s="44" t="n"/>
      <c r="AC476" s="44" t="n"/>
      <c r="AD476" s="44" t="n"/>
      <c r="AE476" s="85" t="n"/>
      <c r="AF476" s="85" t="n"/>
      <c r="AG476" s="44" t="n"/>
      <c r="AH476" s="44" t="n"/>
    </row>
    <row r="477">
      <c r="A477" s="44" t="n"/>
      <c r="B477" s="44" t="n"/>
      <c r="C477" s="44" t="n"/>
      <c r="D477" s="44" t="n"/>
      <c r="E477" s="44" t="n"/>
      <c r="F477" s="44" t="n"/>
      <c r="G477" s="45" t="n"/>
      <c r="H477" s="44" t="n"/>
      <c r="I477" s="45" t="n"/>
      <c r="J477" s="44" t="n"/>
      <c r="K477" s="85" t="n"/>
      <c r="L477" s="85" t="n"/>
      <c r="M477" s="85" t="n"/>
      <c r="N477" s="85" t="n"/>
      <c r="O477" s="85" t="n"/>
      <c r="P477" s="85" t="n"/>
      <c r="Q477" s="85" t="n"/>
      <c r="R477" s="85" t="n"/>
      <c r="S477" s="85" t="n"/>
      <c r="T477" s="85" t="n"/>
      <c r="U477" s="85" t="n"/>
      <c r="V477" s="44" t="n"/>
      <c r="W477" s="50">
        <f>IF(OR(M477="",Q477="",S477=""),"",IF(ABS(ROUND(((ROUND(N(M477)*100,0))-(ROUND(N(Q477)*100,0))),0)-(ROUND(N(S477)*100,0)))&lt;=0,"OK","ABWEICHUNG"))</f>
        <v/>
      </c>
      <c r="X477" s="50">
        <f>IF(OR(K477="",M477="",N477=""),"",IF(ABS(ROUND(((ROUND(N(K477)*100,0)+ROUND(N(L477)*100,0))-(ROUND(N(M477)*100,0))),0)-(ROUND(N(N477)*100,0)))&lt;=0,"OK",IF(OR(L477=""),"UNVOLLSTÄNDIG","ABWEICHUNG")))</f>
        <v/>
      </c>
      <c r="Y477" s="50">
        <f>IF(OR(K477="",O477="",R477=""),"",IF(ABS(ROUND(((ROUND(N(K477)*100,0))-(ROUND(N(O477)*100,0))),0)-(ROUND(N(R477)*100,0)))&lt;=0,"OK","ABWEICHUNG"))</f>
        <v/>
      </c>
      <c r="Z477" s="50">
        <f>IF(OR(N477="",O477="",P477="",Q477="",T477=""),"",IF(ABS(ROUND(((ROUND(N(N477)*100,0)+ROUND(N(Q477)*100,0))-(ROUND(N(O477)*100,0)+ROUND(N(P477)*100,0))),0)-(ROUND(N(T477)*100,0)))&lt;=0,"OK","ABWEICHUNG"))</f>
        <v/>
      </c>
      <c r="AA477" s="44" t="n"/>
      <c r="AB477" s="44" t="n"/>
      <c r="AC477" s="44" t="n"/>
      <c r="AD477" s="44" t="n"/>
      <c r="AE477" s="85" t="n"/>
      <c r="AF477" s="85" t="n"/>
      <c r="AG477" s="44" t="n"/>
      <c r="AH477" s="44" t="n"/>
    </row>
    <row r="478">
      <c r="A478" s="44" t="n"/>
      <c r="B478" s="44" t="n"/>
      <c r="C478" s="44" t="n"/>
      <c r="D478" s="44" t="n"/>
      <c r="E478" s="44" t="n"/>
      <c r="F478" s="44" t="n"/>
      <c r="G478" s="45" t="n"/>
      <c r="H478" s="44" t="n"/>
      <c r="I478" s="45" t="n"/>
      <c r="J478" s="44" t="n"/>
      <c r="K478" s="85" t="n"/>
      <c r="L478" s="85" t="n"/>
      <c r="M478" s="85" t="n"/>
      <c r="N478" s="85" t="n"/>
      <c r="O478" s="85" t="n"/>
      <c r="P478" s="85" t="n"/>
      <c r="Q478" s="85" t="n"/>
      <c r="R478" s="85" t="n"/>
      <c r="S478" s="85" t="n"/>
      <c r="T478" s="85" t="n"/>
      <c r="U478" s="85" t="n"/>
      <c r="V478" s="44" t="n"/>
      <c r="W478" s="50">
        <f>IF(OR(M478="",Q478="",S478=""),"",IF(ABS(ROUND(((ROUND(N(M478)*100,0))-(ROUND(N(Q478)*100,0))),0)-(ROUND(N(S478)*100,0)))&lt;=0,"OK","ABWEICHUNG"))</f>
        <v/>
      </c>
      <c r="X478" s="50">
        <f>IF(OR(K478="",M478="",N478=""),"",IF(ABS(ROUND(((ROUND(N(K478)*100,0)+ROUND(N(L478)*100,0))-(ROUND(N(M478)*100,0))),0)-(ROUND(N(N478)*100,0)))&lt;=0,"OK",IF(OR(L478=""),"UNVOLLSTÄNDIG","ABWEICHUNG")))</f>
        <v/>
      </c>
      <c r="Y478" s="50">
        <f>IF(OR(K478="",O478="",R478=""),"",IF(ABS(ROUND(((ROUND(N(K478)*100,0))-(ROUND(N(O478)*100,0))),0)-(ROUND(N(R478)*100,0)))&lt;=0,"OK","ABWEICHUNG"))</f>
        <v/>
      </c>
      <c r="Z478" s="50">
        <f>IF(OR(N478="",O478="",P478="",Q478="",T478=""),"",IF(ABS(ROUND(((ROUND(N(N478)*100,0)+ROUND(N(Q478)*100,0))-(ROUND(N(O478)*100,0)+ROUND(N(P478)*100,0))),0)-(ROUND(N(T478)*100,0)))&lt;=0,"OK","ABWEICHUNG"))</f>
        <v/>
      </c>
      <c r="AA478" s="44" t="n"/>
      <c r="AB478" s="44" t="n"/>
      <c r="AC478" s="44" t="n"/>
      <c r="AD478" s="44" t="n"/>
      <c r="AE478" s="85" t="n"/>
      <c r="AF478" s="85" t="n"/>
      <c r="AG478" s="44" t="n"/>
      <c r="AH478" s="44" t="n"/>
    </row>
    <row r="479">
      <c r="A479" s="44" t="n"/>
      <c r="B479" s="44" t="n"/>
      <c r="C479" s="44" t="n"/>
      <c r="D479" s="44" t="n"/>
      <c r="E479" s="44" t="n"/>
      <c r="F479" s="44" t="n"/>
      <c r="G479" s="45" t="n"/>
      <c r="H479" s="44" t="n"/>
      <c r="I479" s="45" t="n"/>
      <c r="J479" s="44" t="n"/>
      <c r="K479" s="85" t="n"/>
      <c r="L479" s="85" t="n"/>
      <c r="M479" s="85" t="n"/>
      <c r="N479" s="85" t="n"/>
      <c r="O479" s="85" t="n"/>
      <c r="P479" s="85" t="n"/>
      <c r="Q479" s="85" t="n"/>
      <c r="R479" s="85" t="n"/>
      <c r="S479" s="85" t="n"/>
      <c r="T479" s="85" t="n"/>
      <c r="U479" s="85" t="n"/>
      <c r="V479" s="44" t="n"/>
      <c r="W479" s="50">
        <f>IF(OR(M479="",Q479="",S479=""),"",IF(ABS(ROUND(((ROUND(N(M479)*100,0))-(ROUND(N(Q479)*100,0))),0)-(ROUND(N(S479)*100,0)))&lt;=0,"OK","ABWEICHUNG"))</f>
        <v/>
      </c>
      <c r="X479" s="50">
        <f>IF(OR(K479="",M479="",N479=""),"",IF(ABS(ROUND(((ROUND(N(K479)*100,0)+ROUND(N(L479)*100,0))-(ROUND(N(M479)*100,0))),0)-(ROUND(N(N479)*100,0)))&lt;=0,"OK",IF(OR(L479=""),"UNVOLLSTÄNDIG","ABWEICHUNG")))</f>
        <v/>
      </c>
      <c r="Y479" s="50">
        <f>IF(OR(K479="",O479="",R479=""),"",IF(ABS(ROUND(((ROUND(N(K479)*100,0))-(ROUND(N(O479)*100,0))),0)-(ROUND(N(R479)*100,0)))&lt;=0,"OK","ABWEICHUNG"))</f>
        <v/>
      </c>
      <c r="Z479" s="50">
        <f>IF(OR(N479="",O479="",P479="",Q479="",T479=""),"",IF(ABS(ROUND(((ROUND(N(N479)*100,0)+ROUND(N(Q479)*100,0))-(ROUND(N(O479)*100,0)+ROUND(N(P479)*100,0))),0)-(ROUND(N(T479)*100,0)))&lt;=0,"OK","ABWEICHUNG"))</f>
        <v/>
      </c>
      <c r="AA479" s="44" t="n"/>
      <c r="AB479" s="44" t="n"/>
      <c r="AC479" s="44" t="n"/>
      <c r="AD479" s="44" t="n"/>
      <c r="AE479" s="85" t="n"/>
      <c r="AF479" s="85" t="n"/>
      <c r="AG479" s="44" t="n"/>
      <c r="AH479" s="44" t="n"/>
    </row>
    <row r="480">
      <c r="A480" s="44" t="n"/>
      <c r="B480" s="44" t="n"/>
      <c r="C480" s="44" t="n"/>
      <c r="D480" s="44" t="n"/>
      <c r="E480" s="44" t="n"/>
      <c r="F480" s="44" t="n"/>
      <c r="G480" s="45" t="n"/>
      <c r="H480" s="44" t="n"/>
      <c r="I480" s="45" t="n"/>
      <c r="J480" s="44" t="n"/>
      <c r="K480" s="85" t="n"/>
      <c r="L480" s="85" t="n"/>
      <c r="M480" s="85" t="n"/>
      <c r="N480" s="85" t="n"/>
      <c r="O480" s="85" t="n"/>
      <c r="P480" s="85" t="n"/>
      <c r="Q480" s="85" t="n"/>
      <c r="R480" s="85" t="n"/>
      <c r="S480" s="85" t="n"/>
      <c r="T480" s="85" t="n"/>
      <c r="U480" s="85" t="n"/>
      <c r="V480" s="44" t="n"/>
      <c r="W480" s="50">
        <f>IF(OR(M480="",Q480="",S480=""),"",IF(ABS(ROUND(((ROUND(N(M480)*100,0))-(ROUND(N(Q480)*100,0))),0)-(ROUND(N(S480)*100,0)))&lt;=0,"OK","ABWEICHUNG"))</f>
        <v/>
      </c>
      <c r="X480" s="50">
        <f>IF(OR(K480="",M480="",N480=""),"",IF(ABS(ROUND(((ROUND(N(K480)*100,0)+ROUND(N(L480)*100,0))-(ROUND(N(M480)*100,0))),0)-(ROUND(N(N480)*100,0)))&lt;=0,"OK",IF(OR(L480=""),"UNVOLLSTÄNDIG","ABWEICHUNG")))</f>
        <v/>
      </c>
      <c r="Y480" s="50">
        <f>IF(OR(K480="",O480="",R480=""),"",IF(ABS(ROUND(((ROUND(N(K480)*100,0))-(ROUND(N(O480)*100,0))),0)-(ROUND(N(R480)*100,0)))&lt;=0,"OK","ABWEICHUNG"))</f>
        <v/>
      </c>
      <c r="Z480" s="50">
        <f>IF(OR(N480="",O480="",P480="",Q480="",T480=""),"",IF(ABS(ROUND(((ROUND(N(N480)*100,0)+ROUND(N(Q480)*100,0))-(ROUND(N(O480)*100,0)+ROUND(N(P480)*100,0))),0)-(ROUND(N(T480)*100,0)))&lt;=0,"OK","ABWEICHUNG"))</f>
        <v/>
      </c>
      <c r="AA480" s="44" t="n"/>
      <c r="AB480" s="44" t="n"/>
      <c r="AC480" s="44" t="n"/>
      <c r="AD480" s="44" t="n"/>
      <c r="AE480" s="85" t="n"/>
      <c r="AF480" s="85" t="n"/>
      <c r="AG480" s="44" t="n"/>
      <c r="AH480" s="44" t="n"/>
    </row>
    <row r="481">
      <c r="A481" s="44" t="n"/>
      <c r="B481" s="44" t="n"/>
      <c r="C481" s="44" t="n"/>
      <c r="D481" s="44" t="n"/>
      <c r="E481" s="44" t="n"/>
      <c r="F481" s="44" t="n"/>
      <c r="G481" s="45" t="n"/>
      <c r="H481" s="44" t="n"/>
      <c r="I481" s="45" t="n"/>
      <c r="J481" s="44" t="n"/>
      <c r="K481" s="85" t="n"/>
      <c r="L481" s="85" t="n"/>
      <c r="M481" s="85" t="n"/>
      <c r="N481" s="85" t="n"/>
      <c r="O481" s="85" t="n"/>
      <c r="P481" s="85" t="n"/>
      <c r="Q481" s="85" t="n"/>
      <c r="R481" s="85" t="n"/>
      <c r="S481" s="85" t="n"/>
      <c r="T481" s="85" t="n"/>
      <c r="U481" s="85" t="n"/>
      <c r="V481" s="44" t="n"/>
      <c r="W481" s="50">
        <f>IF(OR(M481="",Q481="",S481=""),"",IF(ABS(ROUND(((ROUND(N(M481)*100,0))-(ROUND(N(Q481)*100,0))),0)-(ROUND(N(S481)*100,0)))&lt;=0,"OK","ABWEICHUNG"))</f>
        <v/>
      </c>
      <c r="X481" s="50">
        <f>IF(OR(K481="",M481="",N481=""),"",IF(ABS(ROUND(((ROUND(N(K481)*100,0)+ROUND(N(L481)*100,0))-(ROUND(N(M481)*100,0))),0)-(ROUND(N(N481)*100,0)))&lt;=0,"OK",IF(OR(L481=""),"UNVOLLSTÄNDIG","ABWEICHUNG")))</f>
        <v/>
      </c>
      <c r="Y481" s="50">
        <f>IF(OR(K481="",O481="",R481=""),"",IF(ABS(ROUND(((ROUND(N(K481)*100,0))-(ROUND(N(O481)*100,0))),0)-(ROUND(N(R481)*100,0)))&lt;=0,"OK","ABWEICHUNG"))</f>
        <v/>
      </c>
      <c r="Z481" s="50">
        <f>IF(OR(N481="",O481="",P481="",Q481="",T481=""),"",IF(ABS(ROUND(((ROUND(N(N481)*100,0)+ROUND(N(Q481)*100,0))-(ROUND(N(O481)*100,0)+ROUND(N(P481)*100,0))),0)-(ROUND(N(T481)*100,0)))&lt;=0,"OK","ABWEICHUNG"))</f>
        <v/>
      </c>
      <c r="AA481" s="44" t="n"/>
      <c r="AB481" s="44" t="n"/>
      <c r="AC481" s="44" t="n"/>
      <c r="AD481" s="44" t="n"/>
      <c r="AE481" s="85" t="n"/>
      <c r="AF481" s="85" t="n"/>
      <c r="AG481" s="44" t="n"/>
      <c r="AH481" s="44" t="n"/>
    </row>
    <row r="482">
      <c r="A482" s="44" t="n"/>
      <c r="B482" s="44" t="n"/>
      <c r="C482" s="44" t="n"/>
      <c r="D482" s="44" t="n"/>
      <c r="E482" s="44" t="n"/>
      <c r="F482" s="44" t="n"/>
      <c r="G482" s="45" t="n"/>
      <c r="H482" s="44" t="n"/>
      <c r="I482" s="45" t="n"/>
      <c r="J482" s="44" t="n"/>
      <c r="K482" s="85" t="n"/>
      <c r="L482" s="85" t="n"/>
      <c r="M482" s="85" t="n"/>
      <c r="N482" s="85" t="n"/>
      <c r="O482" s="85" t="n"/>
      <c r="P482" s="85" t="n"/>
      <c r="Q482" s="85" t="n"/>
      <c r="R482" s="85" t="n"/>
      <c r="S482" s="85" t="n"/>
      <c r="T482" s="85" t="n"/>
      <c r="U482" s="85" t="n"/>
      <c r="V482" s="44" t="n"/>
      <c r="W482" s="50">
        <f>IF(OR(M482="",Q482="",S482=""),"",IF(ABS(ROUND(((ROUND(N(M482)*100,0))-(ROUND(N(Q482)*100,0))),0)-(ROUND(N(S482)*100,0)))&lt;=0,"OK","ABWEICHUNG"))</f>
        <v/>
      </c>
      <c r="X482" s="50">
        <f>IF(OR(K482="",M482="",N482=""),"",IF(ABS(ROUND(((ROUND(N(K482)*100,0)+ROUND(N(L482)*100,0))-(ROUND(N(M482)*100,0))),0)-(ROUND(N(N482)*100,0)))&lt;=0,"OK",IF(OR(L482=""),"UNVOLLSTÄNDIG","ABWEICHUNG")))</f>
        <v/>
      </c>
      <c r="Y482" s="50">
        <f>IF(OR(K482="",O482="",R482=""),"",IF(ABS(ROUND(((ROUND(N(K482)*100,0))-(ROUND(N(O482)*100,0))),0)-(ROUND(N(R482)*100,0)))&lt;=0,"OK","ABWEICHUNG"))</f>
        <v/>
      </c>
      <c r="Z482" s="50">
        <f>IF(OR(N482="",O482="",P482="",Q482="",T482=""),"",IF(ABS(ROUND(((ROUND(N(N482)*100,0)+ROUND(N(Q482)*100,0))-(ROUND(N(O482)*100,0)+ROUND(N(P482)*100,0))),0)-(ROUND(N(T482)*100,0)))&lt;=0,"OK","ABWEICHUNG"))</f>
        <v/>
      </c>
      <c r="AA482" s="44" t="n"/>
      <c r="AB482" s="44" t="n"/>
      <c r="AC482" s="44" t="n"/>
      <c r="AD482" s="44" t="n"/>
      <c r="AE482" s="85" t="n"/>
      <c r="AF482" s="85" t="n"/>
      <c r="AG482" s="44" t="n"/>
      <c r="AH482" s="44" t="n"/>
    </row>
    <row r="483">
      <c r="A483" s="44" t="n"/>
      <c r="B483" s="44" t="n"/>
      <c r="C483" s="44" t="n"/>
      <c r="D483" s="44" t="n"/>
      <c r="E483" s="44" t="n"/>
      <c r="F483" s="44" t="n"/>
      <c r="G483" s="45" t="n"/>
      <c r="H483" s="44" t="n"/>
      <c r="I483" s="45" t="n"/>
      <c r="J483" s="44" t="n"/>
      <c r="K483" s="85" t="n"/>
      <c r="L483" s="85" t="n"/>
      <c r="M483" s="85" t="n"/>
      <c r="N483" s="85" t="n"/>
      <c r="O483" s="85" t="n"/>
      <c r="P483" s="85" t="n"/>
      <c r="Q483" s="85" t="n"/>
      <c r="R483" s="85" t="n"/>
      <c r="S483" s="85" t="n"/>
      <c r="T483" s="85" t="n"/>
      <c r="U483" s="85" t="n"/>
      <c r="V483" s="44" t="n"/>
      <c r="W483" s="50">
        <f>IF(OR(M483="",Q483="",S483=""),"",IF(ABS(ROUND(((ROUND(N(M483)*100,0))-(ROUND(N(Q483)*100,0))),0)-(ROUND(N(S483)*100,0)))&lt;=0,"OK","ABWEICHUNG"))</f>
        <v/>
      </c>
      <c r="X483" s="50">
        <f>IF(OR(K483="",M483="",N483=""),"",IF(ABS(ROUND(((ROUND(N(K483)*100,0)+ROUND(N(L483)*100,0))-(ROUND(N(M483)*100,0))),0)-(ROUND(N(N483)*100,0)))&lt;=0,"OK",IF(OR(L483=""),"UNVOLLSTÄNDIG","ABWEICHUNG")))</f>
        <v/>
      </c>
      <c r="Y483" s="50">
        <f>IF(OR(K483="",O483="",R483=""),"",IF(ABS(ROUND(((ROUND(N(K483)*100,0))-(ROUND(N(O483)*100,0))),0)-(ROUND(N(R483)*100,0)))&lt;=0,"OK","ABWEICHUNG"))</f>
        <v/>
      </c>
      <c r="Z483" s="50">
        <f>IF(OR(N483="",O483="",P483="",Q483="",T483=""),"",IF(ABS(ROUND(((ROUND(N(N483)*100,0)+ROUND(N(Q483)*100,0))-(ROUND(N(O483)*100,0)+ROUND(N(P483)*100,0))),0)-(ROUND(N(T483)*100,0)))&lt;=0,"OK","ABWEICHUNG"))</f>
        <v/>
      </c>
      <c r="AA483" s="44" t="n"/>
      <c r="AB483" s="44" t="n"/>
      <c r="AC483" s="44" t="n"/>
      <c r="AD483" s="44" t="n"/>
      <c r="AE483" s="85" t="n"/>
      <c r="AF483" s="85" t="n"/>
      <c r="AG483" s="44" t="n"/>
      <c r="AH483" s="44" t="n"/>
    </row>
    <row r="484">
      <c r="A484" s="44" t="n"/>
      <c r="B484" s="44" t="n"/>
      <c r="C484" s="44" t="n"/>
      <c r="D484" s="44" t="n"/>
      <c r="E484" s="44" t="n"/>
      <c r="F484" s="44" t="n"/>
      <c r="G484" s="45" t="n"/>
      <c r="H484" s="44" t="n"/>
      <c r="I484" s="45" t="n"/>
      <c r="J484" s="44" t="n"/>
      <c r="K484" s="85" t="n"/>
      <c r="L484" s="85" t="n"/>
      <c r="M484" s="85" t="n"/>
      <c r="N484" s="85" t="n"/>
      <c r="O484" s="85" t="n"/>
      <c r="P484" s="85" t="n"/>
      <c r="Q484" s="85" t="n"/>
      <c r="R484" s="85" t="n"/>
      <c r="S484" s="85" t="n"/>
      <c r="T484" s="85" t="n"/>
      <c r="U484" s="85" t="n"/>
      <c r="V484" s="44" t="n"/>
      <c r="W484" s="50">
        <f>IF(OR(M484="",Q484="",S484=""),"",IF(ABS(ROUND(((ROUND(N(M484)*100,0))-(ROUND(N(Q484)*100,0))),0)-(ROUND(N(S484)*100,0)))&lt;=0,"OK","ABWEICHUNG"))</f>
        <v/>
      </c>
      <c r="X484" s="50">
        <f>IF(OR(K484="",M484="",N484=""),"",IF(ABS(ROUND(((ROUND(N(K484)*100,0)+ROUND(N(L484)*100,0))-(ROUND(N(M484)*100,0))),0)-(ROUND(N(N484)*100,0)))&lt;=0,"OK",IF(OR(L484=""),"UNVOLLSTÄNDIG","ABWEICHUNG")))</f>
        <v/>
      </c>
      <c r="Y484" s="50">
        <f>IF(OR(K484="",O484="",R484=""),"",IF(ABS(ROUND(((ROUND(N(K484)*100,0))-(ROUND(N(O484)*100,0))),0)-(ROUND(N(R484)*100,0)))&lt;=0,"OK","ABWEICHUNG"))</f>
        <v/>
      </c>
      <c r="Z484" s="50">
        <f>IF(OR(N484="",O484="",P484="",Q484="",T484=""),"",IF(ABS(ROUND(((ROUND(N(N484)*100,0)+ROUND(N(Q484)*100,0))-(ROUND(N(O484)*100,0)+ROUND(N(P484)*100,0))),0)-(ROUND(N(T484)*100,0)))&lt;=0,"OK","ABWEICHUNG"))</f>
        <v/>
      </c>
      <c r="AA484" s="44" t="n"/>
      <c r="AB484" s="44" t="n"/>
      <c r="AC484" s="44" t="n"/>
      <c r="AD484" s="44" t="n"/>
      <c r="AE484" s="85" t="n"/>
      <c r="AF484" s="85" t="n"/>
      <c r="AG484" s="44" t="n"/>
      <c r="AH484" s="44" t="n"/>
    </row>
    <row r="485">
      <c r="A485" s="44" t="n"/>
      <c r="B485" s="44" t="n"/>
      <c r="C485" s="44" t="n"/>
      <c r="D485" s="44" t="n"/>
      <c r="E485" s="44" t="n"/>
      <c r="F485" s="44" t="n"/>
      <c r="G485" s="45" t="n"/>
      <c r="H485" s="44" t="n"/>
      <c r="I485" s="45" t="n"/>
      <c r="J485" s="44" t="n"/>
      <c r="K485" s="85" t="n"/>
      <c r="L485" s="85" t="n"/>
      <c r="M485" s="85" t="n"/>
      <c r="N485" s="85" t="n"/>
      <c r="O485" s="85" t="n"/>
      <c r="P485" s="85" t="n"/>
      <c r="Q485" s="85" t="n"/>
      <c r="R485" s="85" t="n"/>
      <c r="S485" s="85" t="n"/>
      <c r="T485" s="85" t="n"/>
      <c r="U485" s="85" t="n"/>
      <c r="V485" s="44" t="n"/>
      <c r="W485" s="50">
        <f>IF(OR(M485="",Q485="",S485=""),"",IF(ABS(ROUND(((ROUND(N(M485)*100,0))-(ROUND(N(Q485)*100,0))),0)-(ROUND(N(S485)*100,0)))&lt;=0,"OK","ABWEICHUNG"))</f>
        <v/>
      </c>
      <c r="X485" s="50">
        <f>IF(OR(K485="",M485="",N485=""),"",IF(ABS(ROUND(((ROUND(N(K485)*100,0)+ROUND(N(L485)*100,0))-(ROUND(N(M485)*100,0))),0)-(ROUND(N(N485)*100,0)))&lt;=0,"OK",IF(OR(L485=""),"UNVOLLSTÄNDIG","ABWEICHUNG")))</f>
        <v/>
      </c>
      <c r="Y485" s="50">
        <f>IF(OR(K485="",O485="",R485=""),"",IF(ABS(ROUND(((ROUND(N(K485)*100,0))-(ROUND(N(O485)*100,0))),0)-(ROUND(N(R485)*100,0)))&lt;=0,"OK","ABWEICHUNG"))</f>
        <v/>
      </c>
      <c r="Z485" s="50">
        <f>IF(OR(N485="",O485="",P485="",Q485="",T485=""),"",IF(ABS(ROUND(((ROUND(N(N485)*100,0)+ROUND(N(Q485)*100,0))-(ROUND(N(O485)*100,0)+ROUND(N(P485)*100,0))),0)-(ROUND(N(T485)*100,0)))&lt;=0,"OK","ABWEICHUNG"))</f>
        <v/>
      </c>
      <c r="AA485" s="44" t="n"/>
      <c r="AB485" s="44" t="n"/>
      <c r="AC485" s="44" t="n"/>
      <c r="AD485" s="44" t="n"/>
      <c r="AE485" s="85" t="n"/>
      <c r="AF485" s="85" t="n"/>
      <c r="AG485" s="44" t="n"/>
      <c r="AH485" s="44" t="n"/>
    </row>
    <row r="486">
      <c r="A486" s="44" t="n"/>
      <c r="B486" s="44" t="n"/>
      <c r="C486" s="44" t="n"/>
      <c r="D486" s="44" t="n"/>
      <c r="E486" s="44" t="n"/>
      <c r="F486" s="44" t="n"/>
      <c r="G486" s="45" t="n"/>
      <c r="H486" s="44" t="n"/>
      <c r="I486" s="45" t="n"/>
      <c r="J486" s="44" t="n"/>
      <c r="K486" s="85" t="n"/>
      <c r="L486" s="85" t="n"/>
      <c r="M486" s="85" t="n"/>
      <c r="N486" s="85" t="n"/>
      <c r="O486" s="85" t="n"/>
      <c r="P486" s="85" t="n"/>
      <c r="Q486" s="85" t="n"/>
      <c r="R486" s="85" t="n"/>
      <c r="S486" s="85" t="n"/>
      <c r="T486" s="85" t="n"/>
      <c r="U486" s="85" t="n"/>
      <c r="V486" s="44" t="n"/>
      <c r="W486" s="50">
        <f>IF(OR(M486="",Q486="",S486=""),"",IF(ABS(ROUND(((ROUND(N(M486)*100,0))-(ROUND(N(Q486)*100,0))),0)-(ROUND(N(S486)*100,0)))&lt;=0,"OK","ABWEICHUNG"))</f>
        <v/>
      </c>
      <c r="X486" s="50">
        <f>IF(OR(K486="",M486="",N486=""),"",IF(ABS(ROUND(((ROUND(N(K486)*100,0)+ROUND(N(L486)*100,0))-(ROUND(N(M486)*100,0))),0)-(ROUND(N(N486)*100,0)))&lt;=0,"OK",IF(OR(L486=""),"UNVOLLSTÄNDIG","ABWEICHUNG")))</f>
        <v/>
      </c>
      <c r="Y486" s="50">
        <f>IF(OR(K486="",O486="",R486=""),"",IF(ABS(ROUND(((ROUND(N(K486)*100,0))-(ROUND(N(O486)*100,0))),0)-(ROUND(N(R486)*100,0)))&lt;=0,"OK","ABWEICHUNG"))</f>
        <v/>
      </c>
      <c r="Z486" s="50">
        <f>IF(OR(N486="",O486="",P486="",Q486="",T486=""),"",IF(ABS(ROUND(((ROUND(N(N486)*100,0)+ROUND(N(Q486)*100,0))-(ROUND(N(O486)*100,0)+ROUND(N(P486)*100,0))),0)-(ROUND(N(T486)*100,0)))&lt;=0,"OK","ABWEICHUNG"))</f>
        <v/>
      </c>
      <c r="AA486" s="44" t="n"/>
      <c r="AB486" s="44" t="n"/>
      <c r="AC486" s="44" t="n"/>
      <c r="AD486" s="44" t="n"/>
      <c r="AE486" s="85" t="n"/>
      <c r="AF486" s="85" t="n"/>
      <c r="AG486" s="44" t="n"/>
      <c r="AH486" s="44" t="n"/>
    </row>
    <row r="487">
      <c r="A487" s="44" t="n"/>
      <c r="B487" s="44" t="n"/>
      <c r="C487" s="44" t="n"/>
      <c r="D487" s="44" t="n"/>
      <c r="E487" s="44" t="n"/>
      <c r="F487" s="44" t="n"/>
      <c r="G487" s="45" t="n"/>
      <c r="H487" s="44" t="n"/>
      <c r="I487" s="45" t="n"/>
      <c r="J487" s="44" t="n"/>
      <c r="K487" s="85" t="n"/>
      <c r="L487" s="85" t="n"/>
      <c r="M487" s="85" t="n"/>
      <c r="N487" s="85" t="n"/>
      <c r="O487" s="85" t="n"/>
      <c r="P487" s="85" t="n"/>
      <c r="Q487" s="85" t="n"/>
      <c r="R487" s="85" t="n"/>
      <c r="S487" s="85" t="n"/>
      <c r="T487" s="85" t="n"/>
      <c r="U487" s="85" t="n"/>
      <c r="V487" s="44" t="n"/>
      <c r="W487" s="50">
        <f>IF(OR(M487="",Q487="",S487=""),"",IF(ABS(ROUND(((ROUND(N(M487)*100,0))-(ROUND(N(Q487)*100,0))),0)-(ROUND(N(S487)*100,0)))&lt;=0,"OK","ABWEICHUNG"))</f>
        <v/>
      </c>
      <c r="X487" s="50">
        <f>IF(OR(K487="",M487="",N487=""),"",IF(ABS(ROUND(((ROUND(N(K487)*100,0)+ROUND(N(L487)*100,0))-(ROUND(N(M487)*100,0))),0)-(ROUND(N(N487)*100,0)))&lt;=0,"OK",IF(OR(L487=""),"UNVOLLSTÄNDIG","ABWEICHUNG")))</f>
        <v/>
      </c>
      <c r="Y487" s="50">
        <f>IF(OR(K487="",O487="",R487=""),"",IF(ABS(ROUND(((ROUND(N(K487)*100,0))-(ROUND(N(O487)*100,0))),0)-(ROUND(N(R487)*100,0)))&lt;=0,"OK","ABWEICHUNG"))</f>
        <v/>
      </c>
      <c r="Z487" s="50">
        <f>IF(OR(N487="",O487="",P487="",Q487="",T487=""),"",IF(ABS(ROUND(((ROUND(N(N487)*100,0)+ROUND(N(Q487)*100,0))-(ROUND(N(O487)*100,0)+ROUND(N(P487)*100,0))),0)-(ROUND(N(T487)*100,0)))&lt;=0,"OK","ABWEICHUNG"))</f>
        <v/>
      </c>
      <c r="AA487" s="44" t="n"/>
      <c r="AB487" s="44" t="n"/>
      <c r="AC487" s="44" t="n"/>
      <c r="AD487" s="44" t="n"/>
      <c r="AE487" s="85" t="n"/>
      <c r="AF487" s="85" t="n"/>
      <c r="AG487" s="44" t="n"/>
      <c r="AH487" s="44" t="n"/>
    </row>
    <row r="488">
      <c r="A488" s="44" t="n"/>
      <c r="B488" s="44" t="n"/>
      <c r="C488" s="44" t="n"/>
      <c r="D488" s="44" t="n"/>
      <c r="E488" s="44" t="n"/>
      <c r="F488" s="44" t="n"/>
      <c r="G488" s="45" t="n"/>
      <c r="H488" s="44" t="n"/>
      <c r="I488" s="45" t="n"/>
      <c r="J488" s="44" t="n"/>
      <c r="K488" s="85" t="n"/>
      <c r="L488" s="85" t="n"/>
      <c r="M488" s="85" t="n"/>
      <c r="N488" s="85" t="n"/>
      <c r="O488" s="85" t="n"/>
      <c r="P488" s="85" t="n"/>
      <c r="Q488" s="85" t="n"/>
      <c r="R488" s="85" t="n"/>
      <c r="S488" s="85" t="n"/>
      <c r="T488" s="85" t="n"/>
      <c r="U488" s="85" t="n"/>
      <c r="V488" s="44" t="n"/>
      <c r="W488" s="50">
        <f>IF(OR(M488="",Q488="",S488=""),"",IF(ABS(ROUND(((ROUND(N(M488)*100,0))-(ROUND(N(Q488)*100,0))),0)-(ROUND(N(S488)*100,0)))&lt;=0,"OK","ABWEICHUNG"))</f>
        <v/>
      </c>
      <c r="X488" s="50">
        <f>IF(OR(K488="",M488="",N488=""),"",IF(ABS(ROUND(((ROUND(N(K488)*100,0)+ROUND(N(L488)*100,0))-(ROUND(N(M488)*100,0))),0)-(ROUND(N(N488)*100,0)))&lt;=0,"OK",IF(OR(L488=""),"UNVOLLSTÄNDIG","ABWEICHUNG")))</f>
        <v/>
      </c>
      <c r="Y488" s="50">
        <f>IF(OR(K488="",O488="",R488=""),"",IF(ABS(ROUND(((ROUND(N(K488)*100,0))-(ROUND(N(O488)*100,0))),0)-(ROUND(N(R488)*100,0)))&lt;=0,"OK","ABWEICHUNG"))</f>
        <v/>
      </c>
      <c r="Z488" s="50">
        <f>IF(OR(N488="",O488="",P488="",Q488="",T488=""),"",IF(ABS(ROUND(((ROUND(N(N488)*100,0)+ROUND(N(Q488)*100,0))-(ROUND(N(O488)*100,0)+ROUND(N(P488)*100,0))),0)-(ROUND(N(T488)*100,0)))&lt;=0,"OK","ABWEICHUNG"))</f>
        <v/>
      </c>
      <c r="AA488" s="44" t="n"/>
      <c r="AB488" s="44" t="n"/>
      <c r="AC488" s="44" t="n"/>
      <c r="AD488" s="44" t="n"/>
      <c r="AE488" s="85" t="n"/>
      <c r="AF488" s="85" t="n"/>
      <c r="AG488" s="44" t="n"/>
      <c r="AH488" s="44" t="n"/>
    </row>
    <row r="489">
      <c r="A489" s="44" t="n"/>
      <c r="B489" s="44" t="n"/>
      <c r="C489" s="44" t="n"/>
      <c r="D489" s="44" t="n"/>
      <c r="E489" s="44" t="n"/>
      <c r="F489" s="44" t="n"/>
      <c r="G489" s="45" t="n"/>
      <c r="H489" s="44" t="n"/>
      <c r="I489" s="45" t="n"/>
      <c r="J489" s="44" t="n"/>
      <c r="K489" s="85" t="n"/>
      <c r="L489" s="85" t="n"/>
      <c r="M489" s="85" t="n"/>
      <c r="N489" s="85" t="n"/>
      <c r="O489" s="85" t="n"/>
      <c r="P489" s="85" t="n"/>
      <c r="Q489" s="85" t="n"/>
      <c r="R489" s="85" t="n"/>
      <c r="S489" s="85" t="n"/>
      <c r="T489" s="85" t="n"/>
      <c r="U489" s="85" t="n"/>
      <c r="V489" s="44" t="n"/>
      <c r="W489" s="50">
        <f>IF(OR(M489="",Q489="",S489=""),"",IF(ABS(ROUND(((ROUND(N(M489)*100,0))-(ROUND(N(Q489)*100,0))),0)-(ROUND(N(S489)*100,0)))&lt;=0,"OK","ABWEICHUNG"))</f>
        <v/>
      </c>
      <c r="X489" s="50">
        <f>IF(OR(K489="",M489="",N489=""),"",IF(ABS(ROUND(((ROUND(N(K489)*100,0)+ROUND(N(L489)*100,0))-(ROUND(N(M489)*100,0))),0)-(ROUND(N(N489)*100,0)))&lt;=0,"OK",IF(OR(L489=""),"UNVOLLSTÄNDIG","ABWEICHUNG")))</f>
        <v/>
      </c>
      <c r="Y489" s="50">
        <f>IF(OR(K489="",O489="",R489=""),"",IF(ABS(ROUND(((ROUND(N(K489)*100,0))-(ROUND(N(O489)*100,0))),0)-(ROUND(N(R489)*100,0)))&lt;=0,"OK","ABWEICHUNG"))</f>
        <v/>
      </c>
      <c r="Z489" s="50">
        <f>IF(OR(N489="",O489="",P489="",Q489="",T489=""),"",IF(ABS(ROUND(((ROUND(N(N489)*100,0)+ROUND(N(Q489)*100,0))-(ROUND(N(O489)*100,0)+ROUND(N(P489)*100,0))),0)-(ROUND(N(T489)*100,0)))&lt;=0,"OK","ABWEICHUNG"))</f>
        <v/>
      </c>
      <c r="AA489" s="44" t="n"/>
      <c r="AB489" s="44" t="n"/>
      <c r="AC489" s="44" t="n"/>
      <c r="AD489" s="44" t="n"/>
      <c r="AE489" s="85" t="n"/>
      <c r="AF489" s="85" t="n"/>
      <c r="AG489" s="44" t="n"/>
      <c r="AH489" s="44" t="n"/>
    </row>
    <row r="490">
      <c r="A490" s="44" t="n"/>
      <c r="B490" s="44" t="n"/>
      <c r="C490" s="44" t="n"/>
      <c r="D490" s="44" t="n"/>
      <c r="E490" s="44" t="n"/>
      <c r="F490" s="44" t="n"/>
      <c r="G490" s="45" t="n"/>
      <c r="H490" s="44" t="n"/>
      <c r="I490" s="45" t="n"/>
      <c r="J490" s="44" t="n"/>
      <c r="K490" s="85" t="n"/>
      <c r="L490" s="85" t="n"/>
      <c r="M490" s="85" t="n"/>
      <c r="N490" s="85" t="n"/>
      <c r="O490" s="85" t="n"/>
      <c r="P490" s="85" t="n"/>
      <c r="Q490" s="85" t="n"/>
      <c r="R490" s="85" t="n"/>
      <c r="S490" s="85" t="n"/>
      <c r="T490" s="85" t="n"/>
      <c r="U490" s="85" t="n"/>
      <c r="V490" s="44" t="n"/>
      <c r="W490" s="50">
        <f>IF(OR(M490="",Q490="",S490=""),"",IF(ABS(ROUND(((ROUND(N(M490)*100,0))-(ROUND(N(Q490)*100,0))),0)-(ROUND(N(S490)*100,0)))&lt;=0,"OK","ABWEICHUNG"))</f>
        <v/>
      </c>
      <c r="X490" s="50">
        <f>IF(OR(K490="",M490="",N490=""),"",IF(ABS(ROUND(((ROUND(N(K490)*100,0)+ROUND(N(L490)*100,0))-(ROUND(N(M490)*100,0))),0)-(ROUND(N(N490)*100,0)))&lt;=0,"OK",IF(OR(L490=""),"UNVOLLSTÄNDIG","ABWEICHUNG")))</f>
        <v/>
      </c>
      <c r="Y490" s="50">
        <f>IF(OR(K490="",O490="",R490=""),"",IF(ABS(ROUND(((ROUND(N(K490)*100,0))-(ROUND(N(O490)*100,0))),0)-(ROUND(N(R490)*100,0)))&lt;=0,"OK","ABWEICHUNG"))</f>
        <v/>
      </c>
      <c r="Z490" s="50">
        <f>IF(OR(N490="",O490="",P490="",Q490="",T490=""),"",IF(ABS(ROUND(((ROUND(N(N490)*100,0)+ROUND(N(Q490)*100,0))-(ROUND(N(O490)*100,0)+ROUND(N(P490)*100,0))),0)-(ROUND(N(T490)*100,0)))&lt;=0,"OK","ABWEICHUNG"))</f>
        <v/>
      </c>
      <c r="AA490" s="44" t="n"/>
      <c r="AB490" s="44" t="n"/>
      <c r="AC490" s="44" t="n"/>
      <c r="AD490" s="44" t="n"/>
      <c r="AE490" s="85" t="n"/>
      <c r="AF490" s="85" t="n"/>
      <c r="AG490" s="44" t="n"/>
      <c r="AH490" s="44" t="n"/>
    </row>
    <row r="491">
      <c r="A491" s="44" t="n"/>
      <c r="B491" s="44" t="n"/>
      <c r="C491" s="44" t="n"/>
      <c r="D491" s="44" t="n"/>
      <c r="E491" s="44" t="n"/>
      <c r="F491" s="44" t="n"/>
      <c r="G491" s="45" t="n"/>
      <c r="H491" s="44" t="n"/>
      <c r="I491" s="45" t="n"/>
      <c r="J491" s="44" t="n"/>
      <c r="K491" s="85" t="n"/>
      <c r="L491" s="85" t="n"/>
      <c r="M491" s="85" t="n"/>
      <c r="N491" s="85" t="n"/>
      <c r="O491" s="85" t="n"/>
      <c r="P491" s="85" t="n"/>
      <c r="Q491" s="85" t="n"/>
      <c r="R491" s="85" t="n"/>
      <c r="S491" s="85" t="n"/>
      <c r="T491" s="85" t="n"/>
      <c r="U491" s="85" t="n"/>
      <c r="V491" s="44" t="n"/>
      <c r="W491" s="50">
        <f>IF(OR(M491="",Q491="",S491=""),"",IF(ABS(ROUND(((ROUND(N(M491)*100,0))-(ROUND(N(Q491)*100,0))),0)-(ROUND(N(S491)*100,0)))&lt;=0,"OK","ABWEICHUNG"))</f>
        <v/>
      </c>
      <c r="X491" s="50">
        <f>IF(OR(K491="",M491="",N491=""),"",IF(ABS(ROUND(((ROUND(N(K491)*100,0)+ROUND(N(L491)*100,0))-(ROUND(N(M491)*100,0))),0)-(ROUND(N(N491)*100,0)))&lt;=0,"OK",IF(OR(L491=""),"UNVOLLSTÄNDIG","ABWEICHUNG")))</f>
        <v/>
      </c>
      <c r="Y491" s="50">
        <f>IF(OR(K491="",O491="",R491=""),"",IF(ABS(ROUND(((ROUND(N(K491)*100,0))-(ROUND(N(O491)*100,0))),0)-(ROUND(N(R491)*100,0)))&lt;=0,"OK","ABWEICHUNG"))</f>
        <v/>
      </c>
      <c r="Z491" s="50">
        <f>IF(OR(N491="",O491="",P491="",Q491="",T491=""),"",IF(ABS(ROUND(((ROUND(N(N491)*100,0)+ROUND(N(Q491)*100,0))-(ROUND(N(O491)*100,0)+ROUND(N(P491)*100,0))),0)-(ROUND(N(T491)*100,0)))&lt;=0,"OK","ABWEICHUNG"))</f>
        <v/>
      </c>
      <c r="AA491" s="44" t="n"/>
      <c r="AB491" s="44" t="n"/>
      <c r="AC491" s="44" t="n"/>
      <c r="AD491" s="44" t="n"/>
      <c r="AE491" s="85" t="n"/>
      <c r="AF491" s="85" t="n"/>
      <c r="AG491" s="44" t="n"/>
      <c r="AH491" s="44" t="n"/>
    </row>
    <row r="492">
      <c r="A492" s="44" t="n"/>
      <c r="B492" s="44" t="n"/>
      <c r="C492" s="44" t="n"/>
      <c r="D492" s="44" t="n"/>
      <c r="E492" s="44" t="n"/>
      <c r="F492" s="44" t="n"/>
      <c r="G492" s="45" t="n"/>
      <c r="H492" s="44" t="n"/>
      <c r="I492" s="45" t="n"/>
      <c r="J492" s="44" t="n"/>
      <c r="K492" s="85" t="n"/>
      <c r="L492" s="85" t="n"/>
      <c r="M492" s="85" t="n"/>
      <c r="N492" s="85" t="n"/>
      <c r="O492" s="85" t="n"/>
      <c r="P492" s="85" t="n"/>
      <c r="Q492" s="85" t="n"/>
      <c r="R492" s="85" t="n"/>
      <c r="S492" s="85" t="n"/>
      <c r="T492" s="85" t="n"/>
      <c r="U492" s="85" t="n"/>
      <c r="V492" s="44" t="n"/>
      <c r="W492" s="50">
        <f>IF(OR(M492="",Q492="",S492=""),"",IF(ABS(ROUND(((ROUND(N(M492)*100,0))-(ROUND(N(Q492)*100,0))),0)-(ROUND(N(S492)*100,0)))&lt;=0,"OK","ABWEICHUNG"))</f>
        <v/>
      </c>
      <c r="X492" s="50">
        <f>IF(OR(K492="",M492="",N492=""),"",IF(ABS(ROUND(((ROUND(N(K492)*100,0)+ROUND(N(L492)*100,0))-(ROUND(N(M492)*100,0))),0)-(ROUND(N(N492)*100,0)))&lt;=0,"OK",IF(OR(L492=""),"UNVOLLSTÄNDIG","ABWEICHUNG")))</f>
        <v/>
      </c>
      <c r="Y492" s="50">
        <f>IF(OR(K492="",O492="",R492=""),"",IF(ABS(ROUND(((ROUND(N(K492)*100,0))-(ROUND(N(O492)*100,0))),0)-(ROUND(N(R492)*100,0)))&lt;=0,"OK","ABWEICHUNG"))</f>
        <v/>
      </c>
      <c r="Z492" s="50">
        <f>IF(OR(N492="",O492="",P492="",Q492="",T492=""),"",IF(ABS(ROUND(((ROUND(N(N492)*100,0)+ROUND(N(Q492)*100,0))-(ROUND(N(O492)*100,0)+ROUND(N(P492)*100,0))),0)-(ROUND(N(T492)*100,0)))&lt;=0,"OK","ABWEICHUNG"))</f>
        <v/>
      </c>
      <c r="AA492" s="44" t="n"/>
      <c r="AB492" s="44" t="n"/>
      <c r="AC492" s="44" t="n"/>
      <c r="AD492" s="44" t="n"/>
      <c r="AE492" s="85" t="n"/>
      <c r="AF492" s="85" t="n"/>
      <c r="AG492" s="44" t="n"/>
      <c r="AH492" s="44" t="n"/>
    </row>
    <row r="493">
      <c r="A493" s="44" t="n"/>
      <c r="B493" s="44" t="n"/>
      <c r="C493" s="44" t="n"/>
      <c r="D493" s="44" t="n"/>
      <c r="E493" s="44" t="n"/>
      <c r="F493" s="44" t="n"/>
      <c r="G493" s="45" t="n"/>
      <c r="H493" s="44" t="n"/>
      <c r="I493" s="45" t="n"/>
      <c r="J493" s="44" t="n"/>
      <c r="K493" s="85" t="n"/>
      <c r="L493" s="85" t="n"/>
      <c r="M493" s="85" t="n"/>
      <c r="N493" s="85" t="n"/>
      <c r="O493" s="85" t="n"/>
      <c r="P493" s="85" t="n"/>
      <c r="Q493" s="85" t="n"/>
      <c r="R493" s="85" t="n"/>
      <c r="S493" s="85" t="n"/>
      <c r="T493" s="85" t="n"/>
      <c r="U493" s="85" t="n"/>
      <c r="V493" s="44" t="n"/>
      <c r="W493" s="50">
        <f>IF(OR(M493="",Q493="",S493=""),"",IF(ABS(ROUND(((ROUND(N(M493)*100,0))-(ROUND(N(Q493)*100,0))),0)-(ROUND(N(S493)*100,0)))&lt;=0,"OK","ABWEICHUNG"))</f>
        <v/>
      </c>
      <c r="X493" s="50">
        <f>IF(OR(K493="",M493="",N493=""),"",IF(ABS(ROUND(((ROUND(N(K493)*100,0)+ROUND(N(L493)*100,0))-(ROUND(N(M493)*100,0))),0)-(ROUND(N(N493)*100,0)))&lt;=0,"OK",IF(OR(L493=""),"UNVOLLSTÄNDIG","ABWEICHUNG")))</f>
        <v/>
      </c>
      <c r="Y493" s="50">
        <f>IF(OR(K493="",O493="",R493=""),"",IF(ABS(ROUND(((ROUND(N(K493)*100,0))-(ROUND(N(O493)*100,0))),0)-(ROUND(N(R493)*100,0)))&lt;=0,"OK","ABWEICHUNG"))</f>
        <v/>
      </c>
      <c r="Z493" s="50">
        <f>IF(OR(N493="",O493="",P493="",Q493="",T493=""),"",IF(ABS(ROUND(((ROUND(N(N493)*100,0)+ROUND(N(Q493)*100,0))-(ROUND(N(O493)*100,0)+ROUND(N(P493)*100,0))),0)-(ROUND(N(T493)*100,0)))&lt;=0,"OK","ABWEICHUNG"))</f>
        <v/>
      </c>
      <c r="AA493" s="44" t="n"/>
      <c r="AB493" s="44" t="n"/>
      <c r="AC493" s="44" t="n"/>
      <c r="AD493" s="44" t="n"/>
      <c r="AE493" s="85" t="n"/>
      <c r="AF493" s="85" t="n"/>
      <c r="AG493" s="44" t="n"/>
      <c r="AH493" s="44" t="n"/>
    </row>
    <row r="494">
      <c r="A494" s="44" t="n"/>
      <c r="B494" s="44" t="n"/>
      <c r="C494" s="44" t="n"/>
      <c r="D494" s="44" t="n"/>
      <c r="E494" s="44" t="n"/>
      <c r="F494" s="44" t="n"/>
      <c r="G494" s="45" t="n"/>
      <c r="H494" s="44" t="n"/>
      <c r="I494" s="45" t="n"/>
      <c r="J494" s="44" t="n"/>
      <c r="K494" s="85" t="n"/>
      <c r="L494" s="85" t="n"/>
      <c r="M494" s="85" t="n"/>
      <c r="N494" s="85" t="n"/>
      <c r="O494" s="85" t="n"/>
      <c r="P494" s="85" t="n"/>
      <c r="Q494" s="85" t="n"/>
      <c r="R494" s="85" t="n"/>
      <c r="S494" s="85" t="n"/>
      <c r="T494" s="85" t="n"/>
      <c r="U494" s="85" t="n"/>
      <c r="V494" s="44" t="n"/>
      <c r="W494" s="50">
        <f>IF(OR(M494="",Q494="",S494=""),"",IF(ABS(ROUND(((ROUND(N(M494)*100,0))-(ROUND(N(Q494)*100,0))),0)-(ROUND(N(S494)*100,0)))&lt;=0,"OK","ABWEICHUNG"))</f>
        <v/>
      </c>
      <c r="X494" s="50">
        <f>IF(OR(K494="",M494="",N494=""),"",IF(ABS(ROUND(((ROUND(N(K494)*100,0)+ROUND(N(L494)*100,0))-(ROUND(N(M494)*100,0))),0)-(ROUND(N(N494)*100,0)))&lt;=0,"OK",IF(OR(L494=""),"UNVOLLSTÄNDIG","ABWEICHUNG")))</f>
        <v/>
      </c>
      <c r="Y494" s="50">
        <f>IF(OR(K494="",O494="",R494=""),"",IF(ABS(ROUND(((ROUND(N(K494)*100,0))-(ROUND(N(O494)*100,0))),0)-(ROUND(N(R494)*100,0)))&lt;=0,"OK","ABWEICHUNG"))</f>
        <v/>
      </c>
      <c r="Z494" s="50">
        <f>IF(OR(N494="",O494="",P494="",Q494="",T494=""),"",IF(ABS(ROUND(((ROUND(N(N494)*100,0)+ROUND(N(Q494)*100,0))-(ROUND(N(O494)*100,0)+ROUND(N(P494)*100,0))),0)-(ROUND(N(T494)*100,0)))&lt;=0,"OK","ABWEICHUNG"))</f>
        <v/>
      </c>
      <c r="AA494" s="44" t="n"/>
      <c r="AB494" s="44" t="n"/>
      <c r="AC494" s="44" t="n"/>
      <c r="AD494" s="44" t="n"/>
      <c r="AE494" s="85" t="n"/>
      <c r="AF494" s="85" t="n"/>
      <c r="AG494" s="44" t="n"/>
      <c r="AH494" s="44" t="n"/>
    </row>
    <row r="495">
      <c r="A495" s="44" t="n"/>
      <c r="B495" s="44" t="n"/>
      <c r="C495" s="44" t="n"/>
      <c r="D495" s="44" t="n"/>
      <c r="E495" s="44" t="n"/>
      <c r="F495" s="44" t="n"/>
      <c r="G495" s="45" t="n"/>
      <c r="H495" s="44" t="n"/>
      <c r="I495" s="45" t="n"/>
      <c r="J495" s="44" t="n"/>
      <c r="K495" s="85" t="n"/>
      <c r="L495" s="85" t="n"/>
      <c r="M495" s="85" t="n"/>
      <c r="N495" s="85" t="n"/>
      <c r="O495" s="85" t="n"/>
      <c r="P495" s="85" t="n"/>
      <c r="Q495" s="85" t="n"/>
      <c r="R495" s="85" t="n"/>
      <c r="S495" s="85" t="n"/>
      <c r="T495" s="85" t="n"/>
      <c r="U495" s="85" t="n"/>
      <c r="V495" s="44" t="n"/>
      <c r="W495" s="50">
        <f>IF(OR(M495="",Q495="",S495=""),"",IF(ABS(ROUND(((ROUND(N(M495)*100,0))-(ROUND(N(Q495)*100,0))),0)-(ROUND(N(S495)*100,0)))&lt;=0,"OK","ABWEICHUNG"))</f>
        <v/>
      </c>
      <c r="X495" s="50">
        <f>IF(OR(K495="",M495="",N495=""),"",IF(ABS(ROUND(((ROUND(N(K495)*100,0)+ROUND(N(L495)*100,0))-(ROUND(N(M495)*100,0))),0)-(ROUND(N(N495)*100,0)))&lt;=0,"OK",IF(OR(L495=""),"UNVOLLSTÄNDIG","ABWEICHUNG")))</f>
        <v/>
      </c>
      <c r="Y495" s="50">
        <f>IF(OR(K495="",O495="",R495=""),"",IF(ABS(ROUND(((ROUND(N(K495)*100,0))-(ROUND(N(O495)*100,0))),0)-(ROUND(N(R495)*100,0)))&lt;=0,"OK","ABWEICHUNG"))</f>
        <v/>
      </c>
      <c r="Z495" s="50">
        <f>IF(OR(N495="",O495="",P495="",Q495="",T495=""),"",IF(ABS(ROUND(((ROUND(N(N495)*100,0)+ROUND(N(Q495)*100,0))-(ROUND(N(O495)*100,0)+ROUND(N(P495)*100,0))),0)-(ROUND(N(T495)*100,0)))&lt;=0,"OK","ABWEICHUNG"))</f>
        <v/>
      </c>
      <c r="AA495" s="44" t="n"/>
      <c r="AB495" s="44" t="n"/>
      <c r="AC495" s="44" t="n"/>
      <c r="AD495" s="44" t="n"/>
      <c r="AE495" s="85" t="n"/>
      <c r="AF495" s="85" t="n"/>
      <c r="AG495" s="44" t="n"/>
      <c r="AH495" s="44" t="n"/>
    </row>
    <row r="496">
      <c r="A496" s="44" t="n"/>
      <c r="B496" s="44" t="n"/>
      <c r="C496" s="44" t="n"/>
      <c r="D496" s="44" t="n"/>
      <c r="E496" s="44" t="n"/>
      <c r="F496" s="44" t="n"/>
      <c r="G496" s="45" t="n"/>
      <c r="H496" s="44" t="n"/>
      <c r="I496" s="45" t="n"/>
      <c r="J496" s="44" t="n"/>
      <c r="K496" s="85" t="n"/>
      <c r="L496" s="85" t="n"/>
      <c r="M496" s="85" t="n"/>
      <c r="N496" s="85" t="n"/>
      <c r="O496" s="85" t="n"/>
      <c r="P496" s="85" t="n"/>
      <c r="Q496" s="85" t="n"/>
      <c r="R496" s="85" t="n"/>
      <c r="S496" s="85" t="n"/>
      <c r="T496" s="85" t="n"/>
      <c r="U496" s="85" t="n"/>
      <c r="V496" s="44" t="n"/>
      <c r="W496" s="50">
        <f>IF(OR(M496="",Q496="",S496=""),"",IF(ABS(ROUND(((ROUND(N(M496)*100,0))-(ROUND(N(Q496)*100,0))),0)-(ROUND(N(S496)*100,0)))&lt;=0,"OK","ABWEICHUNG"))</f>
        <v/>
      </c>
      <c r="X496" s="50">
        <f>IF(OR(K496="",M496="",N496=""),"",IF(ABS(ROUND(((ROUND(N(K496)*100,0)+ROUND(N(L496)*100,0))-(ROUND(N(M496)*100,0))),0)-(ROUND(N(N496)*100,0)))&lt;=0,"OK",IF(OR(L496=""),"UNVOLLSTÄNDIG","ABWEICHUNG")))</f>
        <v/>
      </c>
      <c r="Y496" s="50">
        <f>IF(OR(K496="",O496="",R496=""),"",IF(ABS(ROUND(((ROUND(N(K496)*100,0))-(ROUND(N(O496)*100,0))),0)-(ROUND(N(R496)*100,0)))&lt;=0,"OK","ABWEICHUNG"))</f>
        <v/>
      </c>
      <c r="Z496" s="50">
        <f>IF(OR(N496="",O496="",P496="",Q496="",T496=""),"",IF(ABS(ROUND(((ROUND(N(N496)*100,0)+ROUND(N(Q496)*100,0))-(ROUND(N(O496)*100,0)+ROUND(N(P496)*100,0))),0)-(ROUND(N(T496)*100,0)))&lt;=0,"OK","ABWEICHUNG"))</f>
        <v/>
      </c>
      <c r="AA496" s="44" t="n"/>
      <c r="AB496" s="44" t="n"/>
      <c r="AC496" s="44" t="n"/>
      <c r="AD496" s="44" t="n"/>
      <c r="AE496" s="85" t="n"/>
      <c r="AF496" s="85" t="n"/>
      <c r="AG496" s="44" t="n"/>
      <c r="AH496" s="44" t="n"/>
    </row>
    <row r="497">
      <c r="A497" s="44" t="n"/>
      <c r="B497" s="44" t="n"/>
      <c r="C497" s="44" t="n"/>
      <c r="D497" s="44" t="n"/>
      <c r="E497" s="44" t="n"/>
      <c r="F497" s="44" t="n"/>
      <c r="G497" s="45" t="n"/>
      <c r="H497" s="44" t="n"/>
      <c r="I497" s="45" t="n"/>
      <c r="J497" s="44" t="n"/>
      <c r="K497" s="85" t="n"/>
      <c r="L497" s="85" t="n"/>
      <c r="M497" s="85" t="n"/>
      <c r="N497" s="85" t="n"/>
      <c r="O497" s="85" t="n"/>
      <c r="P497" s="85" t="n"/>
      <c r="Q497" s="85" t="n"/>
      <c r="R497" s="85" t="n"/>
      <c r="S497" s="85" t="n"/>
      <c r="T497" s="85" t="n"/>
      <c r="U497" s="85" t="n"/>
      <c r="V497" s="44" t="n"/>
      <c r="W497" s="50">
        <f>IF(OR(M497="",Q497="",S497=""),"",IF(ABS(ROUND(((ROUND(N(M497)*100,0))-(ROUND(N(Q497)*100,0))),0)-(ROUND(N(S497)*100,0)))&lt;=0,"OK","ABWEICHUNG"))</f>
        <v/>
      </c>
      <c r="X497" s="50">
        <f>IF(OR(K497="",M497="",N497=""),"",IF(ABS(ROUND(((ROUND(N(K497)*100,0)+ROUND(N(L497)*100,0))-(ROUND(N(M497)*100,0))),0)-(ROUND(N(N497)*100,0)))&lt;=0,"OK",IF(OR(L497=""),"UNVOLLSTÄNDIG","ABWEICHUNG")))</f>
        <v/>
      </c>
      <c r="Y497" s="50">
        <f>IF(OR(K497="",O497="",R497=""),"",IF(ABS(ROUND(((ROUND(N(K497)*100,0))-(ROUND(N(O497)*100,0))),0)-(ROUND(N(R497)*100,0)))&lt;=0,"OK","ABWEICHUNG"))</f>
        <v/>
      </c>
      <c r="Z497" s="50">
        <f>IF(OR(N497="",O497="",P497="",Q497="",T497=""),"",IF(ABS(ROUND(((ROUND(N(N497)*100,0)+ROUND(N(Q497)*100,0))-(ROUND(N(O497)*100,0)+ROUND(N(P497)*100,0))),0)-(ROUND(N(T497)*100,0)))&lt;=0,"OK","ABWEICHUNG"))</f>
        <v/>
      </c>
      <c r="AA497" s="44" t="n"/>
      <c r="AB497" s="44" t="n"/>
      <c r="AC497" s="44" t="n"/>
      <c r="AD497" s="44" t="n"/>
      <c r="AE497" s="85" t="n"/>
      <c r="AF497" s="85" t="n"/>
      <c r="AG497" s="44" t="n"/>
      <c r="AH497" s="44" t="n"/>
    </row>
    <row r="498">
      <c r="A498" s="44" t="n"/>
      <c r="B498" s="44" t="n"/>
      <c r="C498" s="44" t="n"/>
      <c r="D498" s="44" t="n"/>
      <c r="E498" s="44" t="n"/>
      <c r="F498" s="44" t="n"/>
      <c r="G498" s="45" t="n"/>
      <c r="H498" s="44" t="n"/>
      <c r="I498" s="45" t="n"/>
      <c r="J498" s="44" t="n"/>
      <c r="K498" s="85" t="n"/>
      <c r="L498" s="85" t="n"/>
      <c r="M498" s="85" t="n"/>
      <c r="N498" s="85" t="n"/>
      <c r="O498" s="85" t="n"/>
      <c r="P498" s="85" t="n"/>
      <c r="Q498" s="85" t="n"/>
      <c r="R498" s="85" t="n"/>
      <c r="S498" s="85" t="n"/>
      <c r="T498" s="85" t="n"/>
      <c r="U498" s="85" t="n"/>
      <c r="V498" s="44" t="n"/>
      <c r="W498" s="50">
        <f>IF(OR(M498="",Q498="",S498=""),"",IF(ABS(ROUND(((ROUND(N(M498)*100,0))-(ROUND(N(Q498)*100,0))),0)-(ROUND(N(S498)*100,0)))&lt;=0,"OK","ABWEICHUNG"))</f>
        <v/>
      </c>
      <c r="X498" s="50">
        <f>IF(OR(K498="",M498="",N498=""),"",IF(ABS(ROUND(((ROUND(N(K498)*100,0)+ROUND(N(L498)*100,0))-(ROUND(N(M498)*100,0))),0)-(ROUND(N(N498)*100,0)))&lt;=0,"OK",IF(OR(L498=""),"UNVOLLSTÄNDIG","ABWEICHUNG")))</f>
        <v/>
      </c>
      <c r="Y498" s="50">
        <f>IF(OR(K498="",O498="",R498=""),"",IF(ABS(ROUND(((ROUND(N(K498)*100,0))-(ROUND(N(O498)*100,0))),0)-(ROUND(N(R498)*100,0)))&lt;=0,"OK","ABWEICHUNG"))</f>
        <v/>
      </c>
      <c r="Z498" s="50">
        <f>IF(OR(N498="",O498="",P498="",Q498="",T498=""),"",IF(ABS(ROUND(((ROUND(N(N498)*100,0)+ROUND(N(Q498)*100,0))-(ROUND(N(O498)*100,0)+ROUND(N(P498)*100,0))),0)-(ROUND(N(T498)*100,0)))&lt;=0,"OK","ABWEICHUNG"))</f>
        <v/>
      </c>
      <c r="AA498" s="44" t="n"/>
      <c r="AB498" s="44" t="n"/>
      <c r="AC498" s="44" t="n"/>
      <c r="AD498" s="44" t="n"/>
      <c r="AE498" s="85" t="n"/>
      <c r="AF498" s="85" t="n"/>
      <c r="AG498" s="44" t="n"/>
      <c r="AH498" s="44" t="n"/>
    </row>
    <row r="499">
      <c r="A499" s="44" t="n"/>
      <c r="B499" s="44" t="n"/>
      <c r="C499" s="44" t="n"/>
      <c r="D499" s="44" t="n"/>
      <c r="E499" s="44" t="n"/>
      <c r="F499" s="44" t="n"/>
      <c r="G499" s="45" t="n"/>
      <c r="H499" s="44" t="n"/>
      <c r="I499" s="45" t="n"/>
      <c r="J499" s="44" t="n"/>
      <c r="K499" s="85" t="n"/>
      <c r="L499" s="85" t="n"/>
      <c r="M499" s="85" t="n"/>
      <c r="N499" s="85" t="n"/>
      <c r="O499" s="85" t="n"/>
      <c r="P499" s="85" t="n"/>
      <c r="Q499" s="85" t="n"/>
      <c r="R499" s="85" t="n"/>
      <c r="S499" s="85" t="n"/>
      <c r="T499" s="85" t="n"/>
      <c r="U499" s="85" t="n"/>
      <c r="V499" s="44" t="n"/>
      <c r="W499" s="50">
        <f>IF(OR(M499="",Q499="",S499=""),"",IF(ABS(ROUND(((ROUND(N(M499)*100,0))-(ROUND(N(Q499)*100,0))),0)-(ROUND(N(S499)*100,0)))&lt;=0,"OK","ABWEICHUNG"))</f>
        <v/>
      </c>
      <c r="X499" s="50">
        <f>IF(OR(K499="",M499="",N499=""),"",IF(ABS(ROUND(((ROUND(N(K499)*100,0)+ROUND(N(L499)*100,0))-(ROUND(N(M499)*100,0))),0)-(ROUND(N(N499)*100,0)))&lt;=0,"OK",IF(OR(L499=""),"UNVOLLSTÄNDIG","ABWEICHUNG")))</f>
        <v/>
      </c>
      <c r="Y499" s="50">
        <f>IF(OR(K499="",O499="",R499=""),"",IF(ABS(ROUND(((ROUND(N(K499)*100,0))-(ROUND(N(O499)*100,0))),0)-(ROUND(N(R499)*100,0)))&lt;=0,"OK","ABWEICHUNG"))</f>
        <v/>
      </c>
      <c r="Z499" s="50">
        <f>IF(OR(N499="",O499="",P499="",Q499="",T499=""),"",IF(ABS(ROUND(((ROUND(N(N499)*100,0)+ROUND(N(Q499)*100,0))-(ROUND(N(O499)*100,0)+ROUND(N(P499)*100,0))),0)-(ROUND(N(T499)*100,0)))&lt;=0,"OK","ABWEICHUNG"))</f>
        <v/>
      </c>
      <c r="AA499" s="44" t="n"/>
      <c r="AB499" s="44" t="n"/>
      <c r="AC499" s="44" t="n"/>
      <c r="AD499" s="44" t="n"/>
      <c r="AE499" s="85" t="n"/>
      <c r="AF499" s="85" t="n"/>
      <c r="AG499" s="44" t="n"/>
      <c r="AH499" s="44" t="n"/>
    </row>
    <row r="500">
      <c r="A500" s="44" t="n"/>
      <c r="B500" s="44" t="n"/>
      <c r="C500" s="44" t="n"/>
      <c r="D500" s="44" t="n"/>
      <c r="E500" s="44" t="n"/>
      <c r="F500" s="44" t="n"/>
      <c r="G500" s="45" t="n"/>
      <c r="H500" s="44" t="n"/>
      <c r="I500" s="45" t="n"/>
      <c r="J500" s="44" t="n"/>
      <c r="K500" s="85" t="n"/>
      <c r="L500" s="85" t="n"/>
      <c r="M500" s="85" t="n"/>
      <c r="N500" s="85" t="n"/>
      <c r="O500" s="85" t="n"/>
      <c r="P500" s="85" t="n"/>
      <c r="Q500" s="85" t="n"/>
      <c r="R500" s="85" t="n"/>
      <c r="S500" s="85" t="n"/>
      <c r="T500" s="85" t="n"/>
      <c r="U500" s="85" t="n"/>
      <c r="V500" s="44" t="n"/>
      <c r="W500" s="50">
        <f>IF(OR(M500="",Q500="",S500=""),"",IF(ABS(ROUND(((ROUND(N(M500)*100,0))-(ROUND(N(Q500)*100,0))),0)-(ROUND(N(S500)*100,0)))&lt;=0,"OK","ABWEICHUNG"))</f>
        <v/>
      </c>
      <c r="X500" s="50">
        <f>IF(OR(K500="",M500="",N500=""),"",IF(ABS(ROUND(((ROUND(N(K500)*100,0)+ROUND(N(L500)*100,0))-(ROUND(N(M500)*100,0))),0)-(ROUND(N(N500)*100,0)))&lt;=0,"OK",IF(OR(L500=""),"UNVOLLSTÄNDIG","ABWEICHUNG")))</f>
        <v/>
      </c>
      <c r="Y500" s="50">
        <f>IF(OR(K500="",O500="",R500=""),"",IF(ABS(ROUND(((ROUND(N(K500)*100,0))-(ROUND(N(O500)*100,0))),0)-(ROUND(N(R500)*100,0)))&lt;=0,"OK","ABWEICHUNG"))</f>
        <v/>
      </c>
      <c r="Z500" s="50">
        <f>IF(OR(N500="",O500="",P500="",Q500="",T500=""),"",IF(ABS(ROUND(((ROUND(N(N500)*100,0)+ROUND(N(Q500)*100,0))-(ROUND(N(O500)*100,0)+ROUND(N(P500)*100,0))),0)-(ROUND(N(T500)*100,0)))&lt;=0,"OK","ABWEICHUNG"))</f>
        <v/>
      </c>
      <c r="AA500" s="44" t="n"/>
      <c r="AB500" s="44" t="n"/>
      <c r="AC500" s="44" t="n"/>
      <c r="AD500" s="44" t="n"/>
      <c r="AE500" s="85" t="n"/>
      <c r="AF500" s="85" t="n"/>
      <c r="AG500" s="44" t="n"/>
      <c r="AH500" s="44" t="n"/>
    </row>
    <row r="501">
      <c r="A501" s="44" t="n"/>
      <c r="B501" s="44" t="n"/>
      <c r="C501" s="44" t="n"/>
      <c r="D501" s="44" t="n"/>
      <c r="E501" s="44" t="n"/>
      <c r="F501" s="44" t="n"/>
      <c r="G501" s="45" t="n"/>
      <c r="H501" s="44" t="n"/>
      <c r="I501" s="45" t="n"/>
      <c r="J501" s="44" t="n"/>
      <c r="K501" s="85" t="n"/>
      <c r="L501" s="85" t="n"/>
      <c r="M501" s="85" t="n"/>
      <c r="N501" s="85" t="n"/>
      <c r="O501" s="85" t="n"/>
      <c r="P501" s="85" t="n"/>
      <c r="Q501" s="85" t="n"/>
      <c r="R501" s="85" t="n"/>
      <c r="S501" s="85" t="n"/>
      <c r="T501" s="85" t="n"/>
      <c r="U501" s="85" t="n"/>
      <c r="V501" s="44" t="n"/>
      <c r="W501" s="50">
        <f>IF(OR(M501="",Q501="",S501=""),"",IF(ABS(ROUND(((ROUND(N(M501)*100,0))-(ROUND(N(Q501)*100,0))),0)-(ROUND(N(S501)*100,0)))&lt;=0,"OK","ABWEICHUNG"))</f>
        <v/>
      </c>
      <c r="X501" s="50">
        <f>IF(OR(K501="",M501="",N501=""),"",IF(ABS(ROUND(((ROUND(N(K501)*100,0)+ROUND(N(L501)*100,0))-(ROUND(N(M501)*100,0))),0)-(ROUND(N(N501)*100,0)))&lt;=0,"OK",IF(OR(L501=""),"UNVOLLSTÄNDIG","ABWEICHUNG")))</f>
        <v/>
      </c>
      <c r="Y501" s="50">
        <f>IF(OR(K501="",O501="",R501=""),"",IF(ABS(ROUND(((ROUND(N(K501)*100,0))-(ROUND(N(O501)*100,0))),0)-(ROUND(N(R501)*100,0)))&lt;=0,"OK","ABWEICHUNG"))</f>
        <v/>
      </c>
      <c r="Z501" s="50">
        <f>IF(OR(N501="",O501="",P501="",Q501="",T501=""),"",IF(ABS(ROUND(((ROUND(N(N501)*100,0)+ROUND(N(Q501)*100,0))-(ROUND(N(O501)*100,0)+ROUND(N(P501)*100,0))),0)-(ROUND(N(T501)*100,0)))&lt;=0,"OK","ABWEICHUNG"))</f>
        <v/>
      </c>
      <c r="AA501" s="44" t="n"/>
      <c r="AB501" s="44" t="n"/>
      <c r="AC501" s="44" t="n"/>
      <c r="AD501" s="44" t="n"/>
      <c r="AE501" s="85" t="n"/>
      <c r="AF501" s="85" t="n"/>
      <c r="AG501" s="44" t="n"/>
      <c r="AH501" s="44" t="n"/>
    </row>
  </sheetData>
  <autoFilter ref="A1:AH501"/>
  <dataValidations count="3">
    <dataValidation sqref="J2:J501" showDropDown="0" showInputMessage="0" showErrorMessage="0" allowBlank="1" type="list">
      <formula1>"EUR,USD,CHF,GBP,Sonstige"</formula1>
    </dataValidation>
    <dataValidation sqref="AA2:AA501" showDropDown="0" showInputMessage="0" showErrorMessage="0" allowBlank="1" type="list">
      <formula1>"Verkauf,Verschrottung,Diebstahl / Verlust,Tausch,Umbuchung ins Umlaufvermögen,Entnahme,Sonstiges"</formula1>
    </dataValidation>
    <dataValidation sqref="AD2:AD501" showDropDown="0" showInputMessage="0" showErrorMessage="0" allowBlank="1" type="list">
      <formula1>"Ja,Nein"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U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5" customWidth="1" min="2" max="2"/>
    <col width="20" customWidth="1" min="3" max="3"/>
    <col width="14" customWidth="1" min="4" max="4"/>
    <col width="26" customWidth="1" min="5" max="5"/>
    <col width="26" customWidth="1" min="6" max="6"/>
    <col width="20" customWidth="1" min="7" max="7"/>
    <col width="20" customWidth="1" min="8" max="8"/>
    <col width="14" customWidth="1" min="9" max="9"/>
    <col width="14" customWidth="1" min="10" max="10"/>
    <col width="16" customWidth="1" min="11" max="11"/>
    <col width="16" customWidth="1" min="12" max="12"/>
    <col width="12" customWidth="1" min="13" max="13"/>
    <col width="12" customWidth="1" min="14" max="14"/>
    <col width="20" customWidth="1" min="15" max="15"/>
    <col width="14" customWidth="1" min="16" max="16"/>
    <col width="14" customWidth="1" min="17" max="17"/>
    <col width="30" customWidth="1" min="18" max="18"/>
    <col width="14" customWidth="1" min="19" max="19"/>
    <col width="14" customWidth="1" min="20" max="20"/>
    <col width="16" customWidth="1" min="21" max="21"/>
    <col width="26" customWidth="1" min="22" max="22"/>
    <col width="14" customWidth="1" min="23" max="23"/>
    <col width="14" customWidth="1" min="24" max="24"/>
    <col width="20" customWidth="1" min="25" max="25"/>
    <col width="16" customWidth="1" min="26" max="26"/>
    <col width="14" customWidth="1" min="27" max="27"/>
    <col width="14" customWidth="1" min="28" max="28"/>
    <col width="14" customWidth="1" min="29" max="29"/>
    <col width="26" customWidth="1" min="30" max="30"/>
    <col width="26" customWidth="1" min="31" max="31"/>
    <col width="12"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26" customWidth="1" min="49" max="49"/>
    <col width="16" customWidth="1" min="50" max="50"/>
    <col width="12" customWidth="1" min="51" max="51"/>
    <col width="12" customWidth="1" min="52" max="52"/>
    <col width="14" customWidth="1" min="53" max="53"/>
    <col width="10" customWidth="1" min="54" max="54"/>
    <col width="12" customWidth="1" min="55" max="55"/>
    <col width="30" customWidth="1" min="56" max="56"/>
    <col width="10" customWidth="1" min="57" max="57"/>
    <col width="16" customWidth="1" min="58" max="58"/>
    <col width="26" customWidth="1" min="59" max="59"/>
    <col width="26" customWidth="1" min="60" max="60"/>
    <col width="16" customWidth="1" min="61" max="61"/>
    <col width="26" customWidth="1" min="62" max="62"/>
    <col width="14" customWidth="1" min="63" max="63"/>
    <col width="26" customWidth="1" min="64" max="64"/>
    <col width="16" customWidth="1" min="65" max="65"/>
    <col width="14" customWidth="1" min="66" max="66"/>
    <col width="16" customWidth="1" min="67" max="67"/>
    <col width="12" customWidth="1" min="68" max="68"/>
    <col width="20" customWidth="1" min="69" max="69"/>
    <col width="20" customWidth="1" min="70" max="70"/>
    <col width="12" customWidth="1" min="71" max="71"/>
    <col width="16" customWidth="1" min="72" max="72"/>
    <col hidden="1" width="13" customWidth="1" min="73" max="73"/>
  </cols>
  <sheetData>
    <row r="1" ht="30" customHeight="1">
      <c r="A1" s="39" t="inlineStr">
        <is>
          <t>Beleg (Anlagen-Nr. · Belegart · Belegnummer)</t>
        </is>
      </c>
      <c r="B1" s="39" t="inlineStr">
        <is>
          <t>Anlagen-Nr.</t>
        </is>
      </c>
      <c r="C1" s="39" t="inlineStr">
        <is>
          <t>Belegart</t>
        </is>
      </c>
      <c r="D1" s="39" t="inlineStr">
        <is>
          <t>Status</t>
        </is>
      </c>
      <c r="E1" s="42" t="inlineStr">
        <is>
          <t>Aussteller</t>
        </is>
      </c>
      <c r="F1" s="42" t="inlineStr">
        <is>
          <t>Empfänger / Adressat</t>
        </is>
      </c>
      <c r="G1" s="42" t="inlineStr">
        <is>
          <t>Belegnummer</t>
        </is>
      </c>
      <c r="H1" s="42" t="inlineStr">
        <is>
          <t>Bezug: Rechnungs-Nr. laut Gutschrift</t>
        </is>
      </c>
      <c r="I1" s="42" t="inlineStr">
        <is>
          <t>Belegdatum</t>
        </is>
      </c>
      <c r="J1" s="42" t="inlineStr">
        <is>
          <t>Liefer-/Leistungsdatum laut Beleg</t>
        </is>
      </c>
      <c r="K1" s="40" t="inlineStr">
        <is>
          <t>Netto laut Beleg</t>
        </is>
      </c>
      <c r="L1" s="40" t="inlineStr">
        <is>
          <t>Brutto laut Beleg</t>
        </is>
      </c>
      <c r="M1" s="40" t="inlineStr">
        <is>
          <t>USt-Satz laut Beleg in %</t>
        </is>
      </c>
      <c r="N1" s="40" t="inlineStr">
        <is>
          <t>Skonto laut Beleg in %</t>
        </is>
      </c>
      <c r="O1" s="42" t="inlineStr">
        <is>
          <t>Bestell-Nr. laut Beleg</t>
        </is>
      </c>
      <c r="P1" s="41" t="inlineStr">
        <is>
          <t>Lieferdatum laut Lieferschein</t>
        </is>
      </c>
      <c r="Q1" s="41" t="inlineStr">
        <is>
          <t>Gefahrübergang</t>
        </is>
      </c>
      <c r="R1" s="41" t="inlineStr">
        <is>
          <t>Grundlage Gefahrübergang</t>
        </is>
      </c>
      <c r="S1" s="41" t="inlineStr">
        <is>
          <t>Abnahme / betriebsbereit</t>
        </is>
      </c>
      <c r="T1" s="41" t="inlineStr">
        <is>
          <t>Inbetriebnahme</t>
        </is>
      </c>
      <c r="U1" s="40" t="inlineStr">
        <is>
          <t>Gezahlter Betrag</t>
        </is>
      </c>
      <c r="V1" s="49" t="inlineStr">
        <is>
          <t>Zahlungsempfänger</t>
        </is>
      </c>
      <c r="W1" s="49" t="inlineStr">
        <is>
          <t>Zahlungsdatum</t>
        </is>
      </c>
      <c r="X1" s="49" t="inlineStr">
        <is>
          <t>Genehmigt am</t>
        </is>
      </c>
      <c r="Y1" s="49" t="inlineStr">
        <is>
          <t>Genehmigt durch</t>
        </is>
      </c>
      <c r="Z1" s="40" t="inlineStr">
        <is>
          <t>Genehmigter Betrag</t>
        </is>
      </c>
      <c r="AA1" s="49" t="inlineStr">
        <is>
          <t>USt-IdNr./St.-Nr. Aussteller</t>
        </is>
      </c>
      <c r="AB1" s="49" t="inlineStr">
        <is>
          <t>Übrige Pflichtangaben § 14 UStG</t>
        </is>
      </c>
      <c r="AC1" s="49" t="inlineStr">
        <is>
          <t>Original / Kopie</t>
        </is>
      </c>
      <c r="AD1" s="42" t="inlineStr">
        <is>
          <t>Käufer laut Notarvertrag</t>
        </is>
      </c>
      <c r="AE1" s="42" t="inlineStr">
        <is>
          <t>Eigentümer laut Grundbuch</t>
        </is>
      </c>
      <c r="AF1" s="40" t="inlineStr">
        <is>
          <t>Anteil Grund laut Notarvertrag in %</t>
        </is>
      </c>
      <c r="AG1" s="40" t="inlineStr">
        <is>
          <t>Kaufpreis laut Notarvertrag</t>
        </is>
      </c>
      <c r="AH1" s="40" t="inlineStr">
        <is>
          <t>Summe HK-Kalkulation</t>
        </is>
      </c>
      <c r="AI1" s="40" t="inlineStr">
        <is>
          <t>Materialeinzelkosten laut Kalkulation</t>
        </is>
      </c>
      <c r="AJ1" s="40" t="inlineStr">
        <is>
          <t>Fertigungseinzelkosten laut Kalkulation</t>
        </is>
      </c>
      <c r="AK1" s="40" t="inlineStr">
        <is>
          <t>Sondereinzelkosten der Fertigung laut Kalkulation</t>
        </is>
      </c>
      <c r="AL1" s="40" t="inlineStr">
        <is>
          <t>Materialgemeinkosten laut Kalkulation</t>
        </is>
      </c>
      <c r="AM1" s="40" t="inlineStr">
        <is>
          <t>Fertigungsgemeinkosten laut Kalkulation</t>
        </is>
      </c>
      <c r="AN1" s="40" t="inlineStr">
        <is>
          <t>Werteverzehr des Anlagevermögens laut Kalkulation</t>
        </is>
      </c>
      <c r="AO1" s="40" t="inlineStr">
        <is>
          <t>Allgemeine Verwaltungskosten laut Kalkulation</t>
        </is>
      </c>
      <c r="AP1" s="40" t="inlineStr">
        <is>
          <t>Soziale Aufwendungen laut Kalkulation</t>
        </is>
      </c>
      <c r="AQ1" s="40" t="inlineStr">
        <is>
          <t>Fremdkapitalzinsen der Herstellung laut Kalkulation</t>
        </is>
      </c>
      <c r="AR1" s="40" t="inlineStr">
        <is>
          <t>Forschungskosten laut Kalkulation</t>
        </is>
      </c>
      <c r="AS1" s="40" t="inlineStr">
        <is>
          <t>Vertriebskosten laut Kalkulation</t>
        </is>
      </c>
      <c r="AT1" s="40" t="inlineStr">
        <is>
          <t>Zuschuss laut Zuwendungsbescheid</t>
        </is>
      </c>
      <c r="AU1" s="40" t="inlineStr">
        <is>
          <t>Summe Projektkostenliste</t>
        </is>
      </c>
      <c r="AV1" s="40" t="inlineStr">
        <is>
          <t>AHK des Leasinggebers</t>
        </is>
      </c>
      <c r="AW1" s="42" t="inlineStr">
        <is>
          <t>Leasinggeber laut Vertrag</t>
        </is>
      </c>
      <c r="AX1" s="40" t="inlineStr">
        <is>
          <t>Leasingrate laut Vertrag</t>
        </is>
      </c>
      <c r="AY1" s="40" t="inlineStr">
        <is>
          <t>Zins laut Leasingvertrag in %</t>
        </is>
      </c>
      <c r="AZ1" s="40" t="inlineStr">
        <is>
          <t>Raten im Geschäftsjahr laut Ratenplan</t>
        </is>
      </c>
      <c r="BA1" s="42" t="inlineStr">
        <is>
          <t>Zahlungsweise der Raten</t>
        </is>
      </c>
      <c r="BB1" s="40" t="inlineStr">
        <is>
          <t>Währung laut Beleg</t>
        </is>
      </c>
      <c r="BC1" s="40" t="inlineStr">
        <is>
          <t>Umrechnungskurs laut Beleg</t>
        </is>
      </c>
      <c r="BD1" s="42" t="inlineStr">
        <is>
          <t>Leistungsbeschreibung laut Beleg</t>
        </is>
      </c>
      <c r="BE1" s="40" t="inlineStr">
        <is>
          <t>Menge laut Beleg</t>
        </is>
      </c>
      <c r="BF1" s="40" t="inlineStr">
        <is>
          <t>Einzelpreis laut Beleg</t>
        </is>
      </c>
      <c r="BG1" s="49" t="inlineStr">
        <is>
          <t>Verwendungszweck</t>
        </is>
      </c>
      <c r="BH1" s="49" t="inlineStr">
        <is>
          <t>IBAN</t>
        </is>
      </c>
      <c r="BI1" s="40" t="inlineStr">
        <is>
          <t>Marktwert laut Nachweis</t>
        </is>
      </c>
      <c r="BJ1" s="49" t="inlineStr">
        <is>
          <t>Bankkonto des Mandanten</t>
        </is>
      </c>
      <c r="BK1" s="41" t="inlineStr">
        <is>
          <t>Umbuchungsdatum</t>
        </is>
      </c>
      <c r="BL1" s="49" t="inlineStr">
        <is>
          <t>Bevollmächtigter</t>
        </is>
      </c>
      <c r="BM1" s="40" t="inlineStr">
        <is>
          <t>Betragsgrenze laut Unterschriftenregelung</t>
        </is>
      </c>
      <c r="BN1" s="49" t="inlineStr">
        <is>
          <t>Kaufoption laut Leasingvertrag</t>
        </is>
      </c>
      <c r="BO1" s="40" t="inlineStr">
        <is>
          <t>Optionspreis laut Leasingvertrag</t>
        </is>
      </c>
      <c r="BP1" s="40" t="inlineStr">
        <is>
          <t>Grundmietzeit in Monaten</t>
        </is>
      </c>
      <c r="BQ1" s="42" t="inlineStr">
        <is>
          <t>Zahlungsintervall der Raten</t>
        </is>
      </c>
      <c r="BR1" s="49" t="inlineStr">
        <is>
          <t>Fundstelle im Beleg</t>
        </is>
      </c>
      <c r="BS1" s="49" t="inlineStr">
        <is>
          <t>Lesesicherheit</t>
        </is>
      </c>
      <c r="BT1" s="49" t="inlineStr">
        <is>
          <t>Kontrolle</t>
        </is>
      </c>
      <c r="BU1" s="43" t="inlineStr">
        <is>
          <t>Zeilen-ID</t>
        </is>
      </c>
    </row>
    <row r="2">
      <c r="A2" s="50" t="n"/>
      <c r="B2" s="44" t="n"/>
      <c r="C2" s="44" t="n"/>
      <c r="D2" s="44" t="n"/>
      <c r="E2" s="44" t="n"/>
      <c r="F2" s="44" t="n"/>
      <c r="G2" s="44" t="n"/>
      <c r="H2" s="44" t="n"/>
      <c r="I2" s="45" t="n"/>
      <c r="J2" s="45" t="n"/>
      <c r="K2" s="85" t="n"/>
      <c r="L2" s="85" t="n"/>
      <c r="M2" s="88" t="n"/>
      <c r="N2" s="88" t="n"/>
      <c r="O2" s="44" t="n"/>
      <c r="P2" s="45" t="n"/>
      <c r="Q2" s="45" t="n"/>
      <c r="R2" s="44" t="n"/>
      <c r="S2" s="45" t="n"/>
      <c r="T2" s="45" t="n"/>
      <c r="U2" s="85" t="n"/>
      <c r="V2" s="44" t="n"/>
      <c r="W2" s="45" t="n"/>
      <c r="X2" s="45" t="n"/>
      <c r="Y2" s="44" t="n"/>
      <c r="Z2" s="85" t="n"/>
      <c r="AA2" s="44" t="n"/>
      <c r="AB2" s="44" t="n"/>
      <c r="AC2" s="44" t="n"/>
      <c r="AD2" s="44" t="n"/>
      <c r="AE2" s="44" t="n"/>
      <c r="AF2" s="88" t="n"/>
      <c r="AG2" s="85" t="n"/>
      <c r="AH2" s="85" t="n"/>
      <c r="AI2" s="85" t="n"/>
      <c r="AJ2" s="85" t="n"/>
      <c r="AK2" s="85" t="n"/>
      <c r="AL2" s="85" t="n"/>
      <c r="AM2" s="85" t="n"/>
      <c r="AN2" s="85" t="n"/>
      <c r="AO2" s="85" t="n"/>
      <c r="AP2" s="85" t="n"/>
      <c r="AQ2" s="85" t="n"/>
      <c r="AR2" s="85" t="n"/>
      <c r="AS2" s="85" t="n"/>
      <c r="AT2" s="85" t="n"/>
      <c r="AU2" s="85" t="n"/>
      <c r="AV2" s="85" t="n"/>
      <c r="AW2" s="44" t="n"/>
      <c r="AX2" s="85" t="n"/>
      <c r="AY2" s="88" t="n"/>
      <c r="AZ2" s="86" t="n"/>
      <c r="BA2" s="44" t="n"/>
      <c r="BB2" s="44" t="n"/>
      <c r="BC2" s="87" t="n"/>
      <c r="BD2" s="44" t="n"/>
      <c r="BE2" s="87" t="n"/>
      <c r="BF2" s="85" t="n"/>
      <c r="BG2" s="44" t="n"/>
      <c r="BH2" s="44" t="n"/>
      <c r="BI2" s="85" t="n"/>
      <c r="BJ2" s="44" t="n"/>
      <c r="BK2" s="45" t="n"/>
      <c r="BL2" s="44" t="n"/>
      <c r="BM2" s="85" t="n"/>
      <c r="BN2" s="44" t="n"/>
      <c r="BO2" s="85" t="n"/>
      <c r="BP2" s="86" t="n"/>
      <c r="BQ2" s="44" t="n"/>
      <c r="BR2" s="50" t="n"/>
      <c r="BS2" s="89" t="n"/>
      <c r="BT2" s="50">
        <f>IF(OR(K2="",L2="",M2=""),"",IF(ABS(ROUND(((ROUND(N(K2)*100,0))-(0))*(100+N(M2))/100,0)-(ROUND(N(L2)*100,0)))&lt;=0+IF(((ROUND(N(K2)*100,0))-(0))*(100+N(M2))/100&lt;&gt;ROUND(((ROUND(N(K2)*100,0))-(0))*(100+N(M2))/100,0),1,0),"OK","ABWEICHUNG"))</f>
        <v/>
      </c>
    </row>
    <row r="3">
      <c r="A3" s="50" t="n"/>
      <c r="B3" s="44" t="n"/>
      <c r="C3" s="44" t="n"/>
      <c r="D3" s="44" t="n"/>
      <c r="E3" s="44" t="n"/>
      <c r="F3" s="44" t="n"/>
      <c r="G3" s="44" t="n"/>
      <c r="H3" s="44" t="n"/>
      <c r="I3" s="45" t="n"/>
      <c r="J3" s="45" t="n"/>
      <c r="K3" s="85" t="n"/>
      <c r="L3" s="85" t="n"/>
      <c r="M3" s="88" t="n"/>
      <c r="N3" s="88" t="n"/>
      <c r="O3" s="44" t="n"/>
      <c r="P3" s="45" t="n"/>
      <c r="Q3" s="45" t="n"/>
      <c r="R3" s="44" t="n"/>
      <c r="S3" s="45" t="n"/>
      <c r="T3" s="45" t="n"/>
      <c r="U3" s="85" t="n"/>
      <c r="V3" s="44" t="n"/>
      <c r="W3" s="45" t="n"/>
      <c r="X3" s="45" t="n"/>
      <c r="Y3" s="44" t="n"/>
      <c r="Z3" s="85" t="n"/>
      <c r="AA3" s="44" t="n"/>
      <c r="AB3" s="44" t="n"/>
      <c r="AC3" s="44" t="n"/>
      <c r="AD3" s="44" t="n"/>
      <c r="AE3" s="44" t="n"/>
      <c r="AF3" s="88" t="n"/>
      <c r="AG3" s="85" t="n"/>
      <c r="AH3" s="85" t="n"/>
      <c r="AI3" s="85" t="n"/>
      <c r="AJ3" s="85" t="n"/>
      <c r="AK3" s="85" t="n"/>
      <c r="AL3" s="85" t="n"/>
      <c r="AM3" s="85" t="n"/>
      <c r="AN3" s="85" t="n"/>
      <c r="AO3" s="85" t="n"/>
      <c r="AP3" s="85" t="n"/>
      <c r="AQ3" s="85" t="n"/>
      <c r="AR3" s="85" t="n"/>
      <c r="AS3" s="85" t="n"/>
      <c r="AT3" s="85" t="n"/>
      <c r="AU3" s="85" t="n"/>
      <c r="AV3" s="85" t="n"/>
      <c r="AW3" s="44" t="n"/>
      <c r="AX3" s="85" t="n"/>
      <c r="AY3" s="88" t="n"/>
      <c r="AZ3" s="86" t="n"/>
      <c r="BA3" s="44" t="n"/>
      <c r="BB3" s="44" t="n"/>
      <c r="BC3" s="87" t="n"/>
      <c r="BD3" s="44" t="n"/>
      <c r="BE3" s="87" t="n"/>
      <c r="BF3" s="85" t="n"/>
      <c r="BG3" s="44" t="n"/>
      <c r="BH3" s="44" t="n"/>
      <c r="BI3" s="85" t="n"/>
      <c r="BJ3" s="44" t="n"/>
      <c r="BK3" s="45" t="n"/>
      <c r="BL3" s="44" t="n"/>
      <c r="BM3" s="85" t="n"/>
      <c r="BN3" s="44" t="n"/>
      <c r="BO3" s="85" t="n"/>
      <c r="BP3" s="86" t="n"/>
      <c r="BQ3" s="44" t="n"/>
      <c r="BR3" s="50" t="n"/>
      <c r="BS3" s="89" t="n"/>
      <c r="BT3" s="50">
        <f>IF(OR(K3="",L3="",M3=""),"",IF(ABS(ROUND(((ROUND(N(K3)*100,0))-(0))*(100+N(M3))/100,0)-(ROUND(N(L3)*100,0)))&lt;=0+IF(((ROUND(N(K3)*100,0))-(0))*(100+N(M3))/100&lt;&gt;ROUND(((ROUND(N(K3)*100,0))-(0))*(100+N(M3))/100,0),1,0),"OK","ABWEICHUNG"))</f>
        <v/>
      </c>
    </row>
    <row r="4">
      <c r="A4" s="50" t="n"/>
      <c r="B4" s="44" t="n"/>
      <c r="C4" s="44" t="n"/>
      <c r="D4" s="44" t="n"/>
      <c r="E4" s="44" t="n"/>
      <c r="F4" s="44" t="n"/>
      <c r="G4" s="44" t="n"/>
      <c r="H4" s="44" t="n"/>
      <c r="I4" s="45" t="n"/>
      <c r="J4" s="45" t="n"/>
      <c r="K4" s="85" t="n"/>
      <c r="L4" s="85" t="n"/>
      <c r="M4" s="88" t="n"/>
      <c r="N4" s="88" t="n"/>
      <c r="O4" s="44" t="n"/>
      <c r="P4" s="45" t="n"/>
      <c r="Q4" s="45" t="n"/>
      <c r="R4" s="44" t="n"/>
      <c r="S4" s="45" t="n"/>
      <c r="T4" s="45" t="n"/>
      <c r="U4" s="85" t="n"/>
      <c r="V4" s="44" t="n"/>
      <c r="W4" s="45" t="n"/>
      <c r="X4" s="45" t="n"/>
      <c r="Y4" s="44" t="n"/>
      <c r="Z4" s="85" t="n"/>
      <c r="AA4" s="44" t="n"/>
      <c r="AB4" s="44" t="n"/>
      <c r="AC4" s="44" t="n"/>
      <c r="AD4" s="44" t="n"/>
      <c r="AE4" s="44" t="n"/>
      <c r="AF4" s="88" t="n"/>
      <c r="AG4" s="85" t="n"/>
      <c r="AH4" s="85" t="n"/>
      <c r="AI4" s="85" t="n"/>
      <c r="AJ4" s="85" t="n"/>
      <c r="AK4" s="85" t="n"/>
      <c r="AL4" s="85" t="n"/>
      <c r="AM4" s="85" t="n"/>
      <c r="AN4" s="85" t="n"/>
      <c r="AO4" s="85" t="n"/>
      <c r="AP4" s="85" t="n"/>
      <c r="AQ4" s="85" t="n"/>
      <c r="AR4" s="85" t="n"/>
      <c r="AS4" s="85" t="n"/>
      <c r="AT4" s="85" t="n"/>
      <c r="AU4" s="85" t="n"/>
      <c r="AV4" s="85" t="n"/>
      <c r="AW4" s="44" t="n"/>
      <c r="AX4" s="85" t="n"/>
      <c r="AY4" s="88" t="n"/>
      <c r="AZ4" s="86" t="n"/>
      <c r="BA4" s="44" t="n"/>
      <c r="BB4" s="44" t="n"/>
      <c r="BC4" s="87" t="n"/>
      <c r="BD4" s="44" t="n"/>
      <c r="BE4" s="87" t="n"/>
      <c r="BF4" s="85" t="n"/>
      <c r="BG4" s="44" t="n"/>
      <c r="BH4" s="44" t="n"/>
      <c r="BI4" s="85" t="n"/>
      <c r="BJ4" s="44" t="n"/>
      <c r="BK4" s="45" t="n"/>
      <c r="BL4" s="44" t="n"/>
      <c r="BM4" s="85" t="n"/>
      <c r="BN4" s="44" t="n"/>
      <c r="BO4" s="85" t="n"/>
      <c r="BP4" s="86" t="n"/>
      <c r="BQ4" s="44" t="n"/>
      <c r="BR4" s="50" t="n"/>
      <c r="BS4" s="89" t="n"/>
      <c r="BT4" s="50">
        <f>IF(OR(K4="",L4="",M4=""),"",IF(ABS(ROUND(((ROUND(N(K4)*100,0))-(0))*(100+N(M4))/100,0)-(ROUND(N(L4)*100,0)))&lt;=0+IF(((ROUND(N(K4)*100,0))-(0))*(100+N(M4))/100&lt;&gt;ROUND(((ROUND(N(K4)*100,0))-(0))*(100+N(M4))/100,0),1,0),"OK","ABWEICHUNG"))</f>
        <v/>
      </c>
    </row>
    <row r="5">
      <c r="A5" s="50" t="n"/>
      <c r="B5" s="44" t="n"/>
      <c r="C5" s="44" t="n"/>
      <c r="D5" s="44" t="n"/>
      <c r="E5" s="44" t="n"/>
      <c r="F5" s="44" t="n"/>
      <c r="G5" s="44" t="n"/>
      <c r="H5" s="44" t="n"/>
      <c r="I5" s="45" t="n"/>
      <c r="J5" s="45" t="n"/>
      <c r="K5" s="85" t="n"/>
      <c r="L5" s="85" t="n"/>
      <c r="M5" s="88" t="n"/>
      <c r="N5" s="88" t="n"/>
      <c r="O5" s="44" t="n"/>
      <c r="P5" s="45" t="n"/>
      <c r="Q5" s="45" t="n"/>
      <c r="R5" s="44" t="n"/>
      <c r="S5" s="45" t="n"/>
      <c r="T5" s="45" t="n"/>
      <c r="U5" s="85" t="n"/>
      <c r="V5" s="44" t="n"/>
      <c r="W5" s="45" t="n"/>
      <c r="X5" s="45" t="n"/>
      <c r="Y5" s="44" t="n"/>
      <c r="Z5" s="85" t="n"/>
      <c r="AA5" s="44" t="n"/>
      <c r="AB5" s="44" t="n"/>
      <c r="AC5" s="44" t="n"/>
      <c r="AD5" s="44" t="n"/>
      <c r="AE5" s="44" t="n"/>
      <c r="AF5" s="88" t="n"/>
      <c r="AG5" s="85" t="n"/>
      <c r="AH5" s="85" t="n"/>
      <c r="AI5" s="85" t="n"/>
      <c r="AJ5" s="85" t="n"/>
      <c r="AK5" s="85" t="n"/>
      <c r="AL5" s="85" t="n"/>
      <c r="AM5" s="85" t="n"/>
      <c r="AN5" s="85" t="n"/>
      <c r="AO5" s="85" t="n"/>
      <c r="AP5" s="85" t="n"/>
      <c r="AQ5" s="85" t="n"/>
      <c r="AR5" s="85" t="n"/>
      <c r="AS5" s="85" t="n"/>
      <c r="AT5" s="85" t="n"/>
      <c r="AU5" s="85" t="n"/>
      <c r="AV5" s="85" t="n"/>
      <c r="AW5" s="44" t="n"/>
      <c r="AX5" s="85" t="n"/>
      <c r="AY5" s="88" t="n"/>
      <c r="AZ5" s="86" t="n"/>
      <c r="BA5" s="44" t="n"/>
      <c r="BB5" s="44" t="n"/>
      <c r="BC5" s="87" t="n"/>
      <c r="BD5" s="44" t="n"/>
      <c r="BE5" s="87" t="n"/>
      <c r="BF5" s="85" t="n"/>
      <c r="BG5" s="44" t="n"/>
      <c r="BH5" s="44" t="n"/>
      <c r="BI5" s="85" t="n"/>
      <c r="BJ5" s="44" t="n"/>
      <c r="BK5" s="45" t="n"/>
      <c r="BL5" s="44" t="n"/>
      <c r="BM5" s="85" t="n"/>
      <c r="BN5" s="44" t="n"/>
      <c r="BO5" s="85" t="n"/>
      <c r="BP5" s="86" t="n"/>
      <c r="BQ5" s="44" t="n"/>
      <c r="BR5" s="50" t="n"/>
      <c r="BS5" s="89" t="n"/>
      <c r="BT5" s="50">
        <f>IF(OR(K5="",L5="",M5=""),"",IF(ABS(ROUND(((ROUND(N(K5)*100,0))-(0))*(100+N(M5))/100,0)-(ROUND(N(L5)*100,0)))&lt;=0+IF(((ROUND(N(K5)*100,0))-(0))*(100+N(M5))/100&lt;&gt;ROUND(((ROUND(N(K5)*100,0))-(0))*(100+N(M5))/100,0),1,0),"OK","ABWEICHUNG"))</f>
        <v/>
      </c>
    </row>
    <row r="6">
      <c r="A6" s="50" t="n"/>
      <c r="B6" s="44" t="n"/>
      <c r="C6" s="44" t="n"/>
      <c r="D6" s="44" t="n"/>
      <c r="E6" s="44" t="n"/>
      <c r="F6" s="44" t="n"/>
      <c r="G6" s="44" t="n"/>
      <c r="H6" s="44" t="n"/>
      <c r="I6" s="45" t="n"/>
      <c r="J6" s="45" t="n"/>
      <c r="K6" s="85" t="n"/>
      <c r="L6" s="85" t="n"/>
      <c r="M6" s="88" t="n"/>
      <c r="N6" s="88" t="n"/>
      <c r="O6" s="44" t="n"/>
      <c r="P6" s="45" t="n"/>
      <c r="Q6" s="45" t="n"/>
      <c r="R6" s="44" t="n"/>
      <c r="S6" s="45" t="n"/>
      <c r="T6" s="45" t="n"/>
      <c r="U6" s="85" t="n"/>
      <c r="V6" s="44" t="n"/>
      <c r="W6" s="45" t="n"/>
      <c r="X6" s="45" t="n"/>
      <c r="Y6" s="44" t="n"/>
      <c r="Z6" s="85" t="n"/>
      <c r="AA6" s="44" t="n"/>
      <c r="AB6" s="44" t="n"/>
      <c r="AC6" s="44" t="n"/>
      <c r="AD6" s="44" t="n"/>
      <c r="AE6" s="44" t="n"/>
      <c r="AF6" s="88" t="n"/>
      <c r="AG6" s="85" t="n"/>
      <c r="AH6" s="85" t="n"/>
      <c r="AI6" s="85" t="n"/>
      <c r="AJ6" s="85" t="n"/>
      <c r="AK6" s="85" t="n"/>
      <c r="AL6" s="85" t="n"/>
      <c r="AM6" s="85" t="n"/>
      <c r="AN6" s="85" t="n"/>
      <c r="AO6" s="85" t="n"/>
      <c r="AP6" s="85" t="n"/>
      <c r="AQ6" s="85" t="n"/>
      <c r="AR6" s="85" t="n"/>
      <c r="AS6" s="85" t="n"/>
      <c r="AT6" s="85" t="n"/>
      <c r="AU6" s="85" t="n"/>
      <c r="AV6" s="85" t="n"/>
      <c r="AW6" s="44" t="n"/>
      <c r="AX6" s="85" t="n"/>
      <c r="AY6" s="88" t="n"/>
      <c r="AZ6" s="86" t="n"/>
      <c r="BA6" s="44" t="n"/>
      <c r="BB6" s="44" t="n"/>
      <c r="BC6" s="87" t="n"/>
      <c r="BD6" s="44" t="n"/>
      <c r="BE6" s="87" t="n"/>
      <c r="BF6" s="85" t="n"/>
      <c r="BG6" s="44" t="n"/>
      <c r="BH6" s="44" t="n"/>
      <c r="BI6" s="85" t="n"/>
      <c r="BJ6" s="44" t="n"/>
      <c r="BK6" s="45" t="n"/>
      <c r="BL6" s="44" t="n"/>
      <c r="BM6" s="85" t="n"/>
      <c r="BN6" s="44" t="n"/>
      <c r="BO6" s="85" t="n"/>
      <c r="BP6" s="86" t="n"/>
      <c r="BQ6" s="44" t="n"/>
      <c r="BR6" s="50" t="n"/>
      <c r="BS6" s="89" t="n"/>
      <c r="BT6" s="50">
        <f>IF(OR(K6="",L6="",M6=""),"",IF(ABS(ROUND(((ROUND(N(K6)*100,0))-(0))*(100+N(M6))/100,0)-(ROUND(N(L6)*100,0)))&lt;=0+IF(((ROUND(N(K6)*100,0))-(0))*(100+N(M6))/100&lt;&gt;ROUND(((ROUND(N(K6)*100,0))-(0))*(100+N(M6))/100,0),1,0),"OK","ABWEICHUNG"))</f>
        <v/>
      </c>
    </row>
    <row r="7">
      <c r="A7" s="50" t="n"/>
      <c r="B7" s="44" t="n"/>
      <c r="C7" s="44" t="n"/>
      <c r="D7" s="44" t="n"/>
      <c r="E7" s="44" t="n"/>
      <c r="F7" s="44" t="n"/>
      <c r="G7" s="44" t="n"/>
      <c r="H7" s="44" t="n"/>
      <c r="I7" s="45" t="n"/>
      <c r="J7" s="45" t="n"/>
      <c r="K7" s="85" t="n"/>
      <c r="L7" s="85" t="n"/>
      <c r="M7" s="88" t="n"/>
      <c r="N7" s="88" t="n"/>
      <c r="O7" s="44" t="n"/>
      <c r="P7" s="45" t="n"/>
      <c r="Q7" s="45" t="n"/>
      <c r="R7" s="44" t="n"/>
      <c r="S7" s="45" t="n"/>
      <c r="T7" s="45" t="n"/>
      <c r="U7" s="85" t="n"/>
      <c r="V7" s="44" t="n"/>
      <c r="W7" s="45" t="n"/>
      <c r="X7" s="45" t="n"/>
      <c r="Y7" s="44" t="n"/>
      <c r="Z7" s="85" t="n"/>
      <c r="AA7" s="44" t="n"/>
      <c r="AB7" s="44" t="n"/>
      <c r="AC7" s="44" t="n"/>
      <c r="AD7" s="44" t="n"/>
      <c r="AE7" s="44" t="n"/>
      <c r="AF7" s="88" t="n"/>
      <c r="AG7" s="85" t="n"/>
      <c r="AH7" s="85" t="n"/>
      <c r="AI7" s="85" t="n"/>
      <c r="AJ7" s="85" t="n"/>
      <c r="AK7" s="85" t="n"/>
      <c r="AL7" s="85" t="n"/>
      <c r="AM7" s="85" t="n"/>
      <c r="AN7" s="85" t="n"/>
      <c r="AO7" s="85" t="n"/>
      <c r="AP7" s="85" t="n"/>
      <c r="AQ7" s="85" t="n"/>
      <c r="AR7" s="85" t="n"/>
      <c r="AS7" s="85" t="n"/>
      <c r="AT7" s="85" t="n"/>
      <c r="AU7" s="85" t="n"/>
      <c r="AV7" s="85" t="n"/>
      <c r="AW7" s="44" t="n"/>
      <c r="AX7" s="85" t="n"/>
      <c r="AY7" s="88" t="n"/>
      <c r="AZ7" s="86" t="n"/>
      <c r="BA7" s="44" t="n"/>
      <c r="BB7" s="44" t="n"/>
      <c r="BC7" s="87" t="n"/>
      <c r="BD7" s="44" t="n"/>
      <c r="BE7" s="87" t="n"/>
      <c r="BF7" s="85" t="n"/>
      <c r="BG7" s="44" t="n"/>
      <c r="BH7" s="44" t="n"/>
      <c r="BI7" s="85" t="n"/>
      <c r="BJ7" s="44" t="n"/>
      <c r="BK7" s="45" t="n"/>
      <c r="BL7" s="44" t="n"/>
      <c r="BM7" s="85" t="n"/>
      <c r="BN7" s="44" t="n"/>
      <c r="BO7" s="85" t="n"/>
      <c r="BP7" s="86" t="n"/>
      <c r="BQ7" s="44" t="n"/>
      <c r="BR7" s="50" t="n"/>
      <c r="BS7" s="89" t="n"/>
      <c r="BT7" s="50">
        <f>IF(OR(K7="",L7="",M7=""),"",IF(ABS(ROUND(((ROUND(N(K7)*100,0))-(0))*(100+N(M7))/100,0)-(ROUND(N(L7)*100,0)))&lt;=0+IF(((ROUND(N(K7)*100,0))-(0))*(100+N(M7))/100&lt;&gt;ROUND(((ROUND(N(K7)*100,0))-(0))*(100+N(M7))/100,0),1,0),"OK","ABWEICHUNG"))</f>
        <v/>
      </c>
    </row>
    <row r="8">
      <c r="A8" s="50" t="n"/>
      <c r="B8" s="44" t="n"/>
      <c r="C8" s="44" t="n"/>
      <c r="D8" s="44" t="n"/>
      <c r="E8" s="44" t="n"/>
      <c r="F8" s="44" t="n"/>
      <c r="G8" s="44" t="n"/>
      <c r="H8" s="44" t="n"/>
      <c r="I8" s="45" t="n"/>
      <c r="J8" s="45" t="n"/>
      <c r="K8" s="85" t="n"/>
      <c r="L8" s="85" t="n"/>
      <c r="M8" s="88" t="n"/>
      <c r="N8" s="88" t="n"/>
      <c r="O8" s="44" t="n"/>
      <c r="P8" s="45" t="n"/>
      <c r="Q8" s="45" t="n"/>
      <c r="R8" s="44" t="n"/>
      <c r="S8" s="45" t="n"/>
      <c r="T8" s="45" t="n"/>
      <c r="U8" s="85" t="n"/>
      <c r="V8" s="44" t="n"/>
      <c r="W8" s="45" t="n"/>
      <c r="X8" s="45" t="n"/>
      <c r="Y8" s="44" t="n"/>
      <c r="Z8" s="85" t="n"/>
      <c r="AA8" s="44" t="n"/>
      <c r="AB8" s="44" t="n"/>
      <c r="AC8" s="44" t="n"/>
      <c r="AD8" s="44" t="n"/>
      <c r="AE8" s="44" t="n"/>
      <c r="AF8" s="88" t="n"/>
      <c r="AG8" s="85" t="n"/>
      <c r="AH8" s="85" t="n"/>
      <c r="AI8" s="85" t="n"/>
      <c r="AJ8" s="85" t="n"/>
      <c r="AK8" s="85" t="n"/>
      <c r="AL8" s="85" t="n"/>
      <c r="AM8" s="85" t="n"/>
      <c r="AN8" s="85" t="n"/>
      <c r="AO8" s="85" t="n"/>
      <c r="AP8" s="85" t="n"/>
      <c r="AQ8" s="85" t="n"/>
      <c r="AR8" s="85" t="n"/>
      <c r="AS8" s="85" t="n"/>
      <c r="AT8" s="85" t="n"/>
      <c r="AU8" s="85" t="n"/>
      <c r="AV8" s="85" t="n"/>
      <c r="AW8" s="44" t="n"/>
      <c r="AX8" s="85" t="n"/>
      <c r="AY8" s="88" t="n"/>
      <c r="AZ8" s="86" t="n"/>
      <c r="BA8" s="44" t="n"/>
      <c r="BB8" s="44" t="n"/>
      <c r="BC8" s="87" t="n"/>
      <c r="BD8" s="44" t="n"/>
      <c r="BE8" s="87" t="n"/>
      <c r="BF8" s="85" t="n"/>
      <c r="BG8" s="44" t="n"/>
      <c r="BH8" s="44" t="n"/>
      <c r="BI8" s="85" t="n"/>
      <c r="BJ8" s="44" t="n"/>
      <c r="BK8" s="45" t="n"/>
      <c r="BL8" s="44" t="n"/>
      <c r="BM8" s="85" t="n"/>
      <c r="BN8" s="44" t="n"/>
      <c r="BO8" s="85" t="n"/>
      <c r="BP8" s="86" t="n"/>
      <c r="BQ8" s="44" t="n"/>
      <c r="BR8" s="50" t="n"/>
      <c r="BS8" s="89" t="n"/>
      <c r="BT8" s="50">
        <f>IF(OR(K8="",L8="",M8=""),"",IF(ABS(ROUND(((ROUND(N(K8)*100,0))-(0))*(100+N(M8))/100,0)-(ROUND(N(L8)*100,0)))&lt;=0+IF(((ROUND(N(K8)*100,0))-(0))*(100+N(M8))/100&lt;&gt;ROUND(((ROUND(N(K8)*100,0))-(0))*(100+N(M8))/100,0),1,0),"OK","ABWEICHUNG"))</f>
        <v/>
      </c>
    </row>
    <row r="9">
      <c r="A9" s="50" t="n"/>
      <c r="B9" s="44" t="n"/>
      <c r="C9" s="44" t="n"/>
      <c r="D9" s="44" t="n"/>
      <c r="E9" s="44" t="n"/>
      <c r="F9" s="44" t="n"/>
      <c r="G9" s="44" t="n"/>
      <c r="H9" s="44" t="n"/>
      <c r="I9" s="45" t="n"/>
      <c r="J9" s="45" t="n"/>
      <c r="K9" s="85" t="n"/>
      <c r="L9" s="85" t="n"/>
      <c r="M9" s="88" t="n"/>
      <c r="N9" s="88" t="n"/>
      <c r="O9" s="44" t="n"/>
      <c r="P9" s="45" t="n"/>
      <c r="Q9" s="45" t="n"/>
      <c r="R9" s="44" t="n"/>
      <c r="S9" s="45" t="n"/>
      <c r="T9" s="45" t="n"/>
      <c r="U9" s="85" t="n"/>
      <c r="V9" s="44" t="n"/>
      <c r="W9" s="45" t="n"/>
      <c r="X9" s="45" t="n"/>
      <c r="Y9" s="44" t="n"/>
      <c r="Z9" s="85" t="n"/>
      <c r="AA9" s="44" t="n"/>
      <c r="AB9" s="44" t="n"/>
      <c r="AC9" s="44" t="n"/>
      <c r="AD9" s="44" t="n"/>
      <c r="AE9" s="44" t="n"/>
      <c r="AF9" s="88" t="n"/>
      <c r="AG9" s="85" t="n"/>
      <c r="AH9" s="85" t="n"/>
      <c r="AI9" s="85" t="n"/>
      <c r="AJ9" s="85" t="n"/>
      <c r="AK9" s="85" t="n"/>
      <c r="AL9" s="85" t="n"/>
      <c r="AM9" s="85" t="n"/>
      <c r="AN9" s="85" t="n"/>
      <c r="AO9" s="85" t="n"/>
      <c r="AP9" s="85" t="n"/>
      <c r="AQ9" s="85" t="n"/>
      <c r="AR9" s="85" t="n"/>
      <c r="AS9" s="85" t="n"/>
      <c r="AT9" s="85" t="n"/>
      <c r="AU9" s="85" t="n"/>
      <c r="AV9" s="85" t="n"/>
      <c r="AW9" s="44" t="n"/>
      <c r="AX9" s="85" t="n"/>
      <c r="AY9" s="88" t="n"/>
      <c r="AZ9" s="86" t="n"/>
      <c r="BA9" s="44" t="n"/>
      <c r="BB9" s="44" t="n"/>
      <c r="BC9" s="87" t="n"/>
      <c r="BD9" s="44" t="n"/>
      <c r="BE9" s="87" t="n"/>
      <c r="BF9" s="85" t="n"/>
      <c r="BG9" s="44" t="n"/>
      <c r="BH9" s="44" t="n"/>
      <c r="BI9" s="85" t="n"/>
      <c r="BJ9" s="44" t="n"/>
      <c r="BK9" s="45" t="n"/>
      <c r="BL9" s="44" t="n"/>
      <c r="BM9" s="85" t="n"/>
      <c r="BN9" s="44" t="n"/>
      <c r="BO9" s="85" t="n"/>
      <c r="BP9" s="86" t="n"/>
      <c r="BQ9" s="44" t="n"/>
      <c r="BR9" s="50" t="n"/>
      <c r="BS9" s="89" t="n"/>
      <c r="BT9" s="50">
        <f>IF(OR(K9="",L9="",M9=""),"",IF(ABS(ROUND(((ROUND(N(K9)*100,0))-(0))*(100+N(M9))/100,0)-(ROUND(N(L9)*100,0)))&lt;=0+IF(((ROUND(N(K9)*100,0))-(0))*(100+N(M9))/100&lt;&gt;ROUND(((ROUND(N(K9)*100,0))-(0))*(100+N(M9))/100,0),1,0),"OK","ABWEICHUNG"))</f>
        <v/>
      </c>
    </row>
    <row r="10">
      <c r="A10" s="50" t="n"/>
      <c r="B10" s="44" t="n"/>
      <c r="C10" s="44" t="n"/>
      <c r="D10" s="44" t="n"/>
      <c r="E10" s="44" t="n"/>
      <c r="F10" s="44" t="n"/>
      <c r="G10" s="44" t="n"/>
      <c r="H10" s="44" t="n"/>
      <c r="I10" s="45" t="n"/>
      <c r="J10" s="45" t="n"/>
      <c r="K10" s="85" t="n"/>
      <c r="L10" s="85" t="n"/>
      <c r="M10" s="88" t="n"/>
      <c r="N10" s="88" t="n"/>
      <c r="O10" s="44" t="n"/>
      <c r="P10" s="45" t="n"/>
      <c r="Q10" s="45" t="n"/>
      <c r="R10" s="44" t="n"/>
      <c r="S10" s="45" t="n"/>
      <c r="T10" s="45" t="n"/>
      <c r="U10" s="85" t="n"/>
      <c r="V10" s="44" t="n"/>
      <c r="W10" s="45" t="n"/>
      <c r="X10" s="45" t="n"/>
      <c r="Y10" s="44" t="n"/>
      <c r="Z10" s="85" t="n"/>
      <c r="AA10" s="44" t="n"/>
      <c r="AB10" s="44" t="n"/>
      <c r="AC10" s="44" t="n"/>
      <c r="AD10" s="44" t="n"/>
      <c r="AE10" s="44" t="n"/>
      <c r="AF10" s="88" t="n"/>
      <c r="AG10" s="85" t="n"/>
      <c r="AH10" s="85" t="n"/>
      <c r="AI10" s="85" t="n"/>
      <c r="AJ10" s="85" t="n"/>
      <c r="AK10" s="85" t="n"/>
      <c r="AL10" s="85" t="n"/>
      <c r="AM10" s="85" t="n"/>
      <c r="AN10" s="85" t="n"/>
      <c r="AO10" s="85" t="n"/>
      <c r="AP10" s="85" t="n"/>
      <c r="AQ10" s="85" t="n"/>
      <c r="AR10" s="85" t="n"/>
      <c r="AS10" s="85" t="n"/>
      <c r="AT10" s="85" t="n"/>
      <c r="AU10" s="85" t="n"/>
      <c r="AV10" s="85" t="n"/>
      <c r="AW10" s="44" t="n"/>
      <c r="AX10" s="85" t="n"/>
      <c r="AY10" s="88" t="n"/>
      <c r="AZ10" s="86" t="n"/>
      <c r="BA10" s="44" t="n"/>
      <c r="BB10" s="44" t="n"/>
      <c r="BC10" s="87" t="n"/>
      <c r="BD10" s="44" t="n"/>
      <c r="BE10" s="87" t="n"/>
      <c r="BF10" s="85" t="n"/>
      <c r="BG10" s="44" t="n"/>
      <c r="BH10" s="44" t="n"/>
      <c r="BI10" s="85" t="n"/>
      <c r="BJ10" s="44" t="n"/>
      <c r="BK10" s="45" t="n"/>
      <c r="BL10" s="44" t="n"/>
      <c r="BM10" s="85" t="n"/>
      <c r="BN10" s="44" t="n"/>
      <c r="BO10" s="85" t="n"/>
      <c r="BP10" s="86" t="n"/>
      <c r="BQ10" s="44" t="n"/>
      <c r="BR10" s="50" t="n"/>
      <c r="BS10" s="89" t="n"/>
      <c r="BT10" s="50">
        <f>IF(OR(K10="",L10="",M10=""),"",IF(ABS(ROUND(((ROUND(N(K10)*100,0))-(0))*(100+N(M10))/100,0)-(ROUND(N(L10)*100,0)))&lt;=0+IF(((ROUND(N(K10)*100,0))-(0))*(100+N(M10))/100&lt;&gt;ROUND(((ROUND(N(K10)*100,0))-(0))*(100+N(M10))/100,0),1,0),"OK","ABWEICHUNG"))</f>
        <v/>
      </c>
    </row>
    <row r="11">
      <c r="A11" s="50" t="n"/>
      <c r="B11" s="44" t="n"/>
      <c r="C11" s="44" t="n"/>
      <c r="D11" s="44" t="n"/>
      <c r="E11" s="44" t="n"/>
      <c r="F11" s="44" t="n"/>
      <c r="G11" s="44" t="n"/>
      <c r="H11" s="44" t="n"/>
      <c r="I11" s="45" t="n"/>
      <c r="J11" s="45" t="n"/>
      <c r="K11" s="85" t="n"/>
      <c r="L11" s="85" t="n"/>
      <c r="M11" s="88" t="n"/>
      <c r="N11" s="88" t="n"/>
      <c r="O11" s="44" t="n"/>
      <c r="P11" s="45" t="n"/>
      <c r="Q11" s="45" t="n"/>
      <c r="R11" s="44" t="n"/>
      <c r="S11" s="45" t="n"/>
      <c r="T11" s="45" t="n"/>
      <c r="U11" s="85" t="n"/>
      <c r="V11" s="44" t="n"/>
      <c r="W11" s="45" t="n"/>
      <c r="X11" s="45" t="n"/>
      <c r="Y11" s="44" t="n"/>
      <c r="Z11" s="85" t="n"/>
      <c r="AA11" s="44" t="n"/>
      <c r="AB11" s="44" t="n"/>
      <c r="AC11" s="44" t="n"/>
      <c r="AD11" s="44" t="n"/>
      <c r="AE11" s="44" t="n"/>
      <c r="AF11" s="88" t="n"/>
      <c r="AG11" s="85" t="n"/>
      <c r="AH11" s="85" t="n"/>
      <c r="AI11" s="85" t="n"/>
      <c r="AJ11" s="85" t="n"/>
      <c r="AK11" s="85" t="n"/>
      <c r="AL11" s="85" t="n"/>
      <c r="AM11" s="85" t="n"/>
      <c r="AN11" s="85" t="n"/>
      <c r="AO11" s="85" t="n"/>
      <c r="AP11" s="85" t="n"/>
      <c r="AQ11" s="85" t="n"/>
      <c r="AR11" s="85" t="n"/>
      <c r="AS11" s="85" t="n"/>
      <c r="AT11" s="85" t="n"/>
      <c r="AU11" s="85" t="n"/>
      <c r="AV11" s="85" t="n"/>
      <c r="AW11" s="44" t="n"/>
      <c r="AX11" s="85" t="n"/>
      <c r="AY11" s="88" t="n"/>
      <c r="AZ11" s="86" t="n"/>
      <c r="BA11" s="44" t="n"/>
      <c r="BB11" s="44" t="n"/>
      <c r="BC11" s="87" t="n"/>
      <c r="BD11" s="44" t="n"/>
      <c r="BE11" s="87" t="n"/>
      <c r="BF11" s="85" t="n"/>
      <c r="BG11" s="44" t="n"/>
      <c r="BH11" s="44" t="n"/>
      <c r="BI11" s="85" t="n"/>
      <c r="BJ11" s="44" t="n"/>
      <c r="BK11" s="45" t="n"/>
      <c r="BL11" s="44" t="n"/>
      <c r="BM11" s="85" t="n"/>
      <c r="BN11" s="44" t="n"/>
      <c r="BO11" s="85" t="n"/>
      <c r="BP11" s="86" t="n"/>
      <c r="BQ11" s="44" t="n"/>
      <c r="BR11" s="50" t="n"/>
      <c r="BS11" s="89" t="n"/>
      <c r="BT11" s="50">
        <f>IF(OR(K11="",L11="",M11=""),"",IF(ABS(ROUND(((ROUND(N(K11)*100,0))-(0))*(100+N(M11))/100,0)-(ROUND(N(L11)*100,0)))&lt;=0+IF(((ROUND(N(K11)*100,0))-(0))*(100+N(M11))/100&lt;&gt;ROUND(((ROUND(N(K11)*100,0))-(0))*(100+N(M11))/100,0),1,0),"OK","ABWEICHUNG"))</f>
        <v/>
      </c>
    </row>
    <row r="12">
      <c r="A12" s="50" t="n"/>
      <c r="B12" s="44" t="n"/>
      <c r="C12" s="44" t="n"/>
      <c r="D12" s="44" t="n"/>
      <c r="E12" s="44" t="n"/>
      <c r="F12" s="44" t="n"/>
      <c r="G12" s="44" t="n"/>
      <c r="H12" s="44" t="n"/>
      <c r="I12" s="45" t="n"/>
      <c r="J12" s="45" t="n"/>
      <c r="K12" s="85" t="n"/>
      <c r="L12" s="85" t="n"/>
      <c r="M12" s="88" t="n"/>
      <c r="N12" s="88" t="n"/>
      <c r="O12" s="44" t="n"/>
      <c r="P12" s="45" t="n"/>
      <c r="Q12" s="45" t="n"/>
      <c r="R12" s="44" t="n"/>
      <c r="S12" s="45" t="n"/>
      <c r="T12" s="45" t="n"/>
      <c r="U12" s="85" t="n"/>
      <c r="V12" s="44" t="n"/>
      <c r="W12" s="45" t="n"/>
      <c r="X12" s="45" t="n"/>
      <c r="Y12" s="44" t="n"/>
      <c r="Z12" s="85" t="n"/>
      <c r="AA12" s="44" t="n"/>
      <c r="AB12" s="44" t="n"/>
      <c r="AC12" s="44" t="n"/>
      <c r="AD12" s="44" t="n"/>
      <c r="AE12" s="44" t="n"/>
      <c r="AF12" s="88" t="n"/>
      <c r="AG12" s="85" t="n"/>
      <c r="AH12" s="85" t="n"/>
      <c r="AI12" s="85" t="n"/>
      <c r="AJ12" s="85" t="n"/>
      <c r="AK12" s="85" t="n"/>
      <c r="AL12" s="85" t="n"/>
      <c r="AM12" s="85" t="n"/>
      <c r="AN12" s="85" t="n"/>
      <c r="AO12" s="85" t="n"/>
      <c r="AP12" s="85" t="n"/>
      <c r="AQ12" s="85" t="n"/>
      <c r="AR12" s="85" t="n"/>
      <c r="AS12" s="85" t="n"/>
      <c r="AT12" s="85" t="n"/>
      <c r="AU12" s="85" t="n"/>
      <c r="AV12" s="85" t="n"/>
      <c r="AW12" s="44" t="n"/>
      <c r="AX12" s="85" t="n"/>
      <c r="AY12" s="88" t="n"/>
      <c r="AZ12" s="86" t="n"/>
      <c r="BA12" s="44" t="n"/>
      <c r="BB12" s="44" t="n"/>
      <c r="BC12" s="87" t="n"/>
      <c r="BD12" s="44" t="n"/>
      <c r="BE12" s="87" t="n"/>
      <c r="BF12" s="85" t="n"/>
      <c r="BG12" s="44" t="n"/>
      <c r="BH12" s="44" t="n"/>
      <c r="BI12" s="85" t="n"/>
      <c r="BJ12" s="44" t="n"/>
      <c r="BK12" s="45" t="n"/>
      <c r="BL12" s="44" t="n"/>
      <c r="BM12" s="85" t="n"/>
      <c r="BN12" s="44" t="n"/>
      <c r="BO12" s="85" t="n"/>
      <c r="BP12" s="86" t="n"/>
      <c r="BQ12" s="44" t="n"/>
      <c r="BR12" s="50" t="n"/>
      <c r="BS12" s="89" t="n"/>
      <c r="BT12" s="50">
        <f>IF(OR(K12="",L12="",M12=""),"",IF(ABS(ROUND(((ROUND(N(K12)*100,0))-(0))*(100+N(M12))/100,0)-(ROUND(N(L12)*100,0)))&lt;=0+IF(((ROUND(N(K12)*100,0))-(0))*(100+N(M12))/100&lt;&gt;ROUND(((ROUND(N(K12)*100,0))-(0))*(100+N(M12))/100,0),1,0),"OK","ABWEICHUNG"))</f>
        <v/>
      </c>
    </row>
    <row r="13">
      <c r="A13" s="50" t="n"/>
      <c r="B13" s="44" t="n"/>
      <c r="C13" s="44" t="n"/>
      <c r="D13" s="44" t="n"/>
      <c r="E13" s="44" t="n"/>
      <c r="F13" s="44" t="n"/>
      <c r="G13" s="44" t="n"/>
      <c r="H13" s="44" t="n"/>
      <c r="I13" s="45" t="n"/>
      <c r="J13" s="45" t="n"/>
      <c r="K13" s="85" t="n"/>
      <c r="L13" s="85" t="n"/>
      <c r="M13" s="88" t="n"/>
      <c r="N13" s="88" t="n"/>
      <c r="O13" s="44" t="n"/>
      <c r="P13" s="45" t="n"/>
      <c r="Q13" s="45" t="n"/>
      <c r="R13" s="44" t="n"/>
      <c r="S13" s="45" t="n"/>
      <c r="T13" s="45" t="n"/>
      <c r="U13" s="85" t="n"/>
      <c r="V13" s="44" t="n"/>
      <c r="W13" s="45" t="n"/>
      <c r="X13" s="45" t="n"/>
      <c r="Y13" s="44" t="n"/>
      <c r="Z13" s="85" t="n"/>
      <c r="AA13" s="44" t="n"/>
      <c r="AB13" s="44" t="n"/>
      <c r="AC13" s="44" t="n"/>
      <c r="AD13" s="44" t="n"/>
      <c r="AE13" s="44" t="n"/>
      <c r="AF13" s="88" t="n"/>
      <c r="AG13" s="85" t="n"/>
      <c r="AH13" s="85" t="n"/>
      <c r="AI13" s="85" t="n"/>
      <c r="AJ13" s="85" t="n"/>
      <c r="AK13" s="85" t="n"/>
      <c r="AL13" s="85" t="n"/>
      <c r="AM13" s="85" t="n"/>
      <c r="AN13" s="85" t="n"/>
      <c r="AO13" s="85" t="n"/>
      <c r="AP13" s="85" t="n"/>
      <c r="AQ13" s="85" t="n"/>
      <c r="AR13" s="85" t="n"/>
      <c r="AS13" s="85" t="n"/>
      <c r="AT13" s="85" t="n"/>
      <c r="AU13" s="85" t="n"/>
      <c r="AV13" s="85" t="n"/>
      <c r="AW13" s="44" t="n"/>
      <c r="AX13" s="85" t="n"/>
      <c r="AY13" s="88" t="n"/>
      <c r="AZ13" s="86" t="n"/>
      <c r="BA13" s="44" t="n"/>
      <c r="BB13" s="44" t="n"/>
      <c r="BC13" s="87" t="n"/>
      <c r="BD13" s="44" t="n"/>
      <c r="BE13" s="87" t="n"/>
      <c r="BF13" s="85" t="n"/>
      <c r="BG13" s="44" t="n"/>
      <c r="BH13" s="44" t="n"/>
      <c r="BI13" s="85" t="n"/>
      <c r="BJ13" s="44" t="n"/>
      <c r="BK13" s="45" t="n"/>
      <c r="BL13" s="44" t="n"/>
      <c r="BM13" s="85" t="n"/>
      <c r="BN13" s="44" t="n"/>
      <c r="BO13" s="85" t="n"/>
      <c r="BP13" s="86" t="n"/>
      <c r="BQ13" s="44" t="n"/>
      <c r="BR13" s="50" t="n"/>
      <c r="BS13" s="89" t="n"/>
      <c r="BT13" s="50">
        <f>IF(OR(K13="",L13="",M13=""),"",IF(ABS(ROUND(((ROUND(N(K13)*100,0))-(0))*(100+N(M13))/100,0)-(ROUND(N(L13)*100,0)))&lt;=0+IF(((ROUND(N(K13)*100,0))-(0))*(100+N(M13))/100&lt;&gt;ROUND(((ROUND(N(K13)*100,0))-(0))*(100+N(M13))/100,0),1,0),"OK","ABWEICHUNG"))</f>
        <v/>
      </c>
    </row>
    <row r="14">
      <c r="A14" s="50" t="n"/>
      <c r="B14" s="44" t="n"/>
      <c r="C14" s="44" t="n"/>
      <c r="D14" s="44" t="n"/>
      <c r="E14" s="44" t="n"/>
      <c r="F14" s="44" t="n"/>
      <c r="G14" s="44" t="n"/>
      <c r="H14" s="44" t="n"/>
      <c r="I14" s="45" t="n"/>
      <c r="J14" s="45" t="n"/>
      <c r="K14" s="85" t="n"/>
      <c r="L14" s="85" t="n"/>
      <c r="M14" s="88" t="n"/>
      <c r="N14" s="88" t="n"/>
      <c r="O14" s="44" t="n"/>
      <c r="P14" s="45" t="n"/>
      <c r="Q14" s="45" t="n"/>
      <c r="R14" s="44" t="n"/>
      <c r="S14" s="45" t="n"/>
      <c r="T14" s="45" t="n"/>
      <c r="U14" s="85" t="n"/>
      <c r="V14" s="44" t="n"/>
      <c r="W14" s="45" t="n"/>
      <c r="X14" s="45" t="n"/>
      <c r="Y14" s="44" t="n"/>
      <c r="Z14" s="85" t="n"/>
      <c r="AA14" s="44" t="n"/>
      <c r="AB14" s="44" t="n"/>
      <c r="AC14" s="44" t="n"/>
      <c r="AD14" s="44" t="n"/>
      <c r="AE14" s="44" t="n"/>
      <c r="AF14" s="88" t="n"/>
      <c r="AG14" s="85" t="n"/>
      <c r="AH14" s="85" t="n"/>
      <c r="AI14" s="85" t="n"/>
      <c r="AJ14" s="85" t="n"/>
      <c r="AK14" s="85" t="n"/>
      <c r="AL14" s="85" t="n"/>
      <c r="AM14" s="85" t="n"/>
      <c r="AN14" s="85" t="n"/>
      <c r="AO14" s="85" t="n"/>
      <c r="AP14" s="85" t="n"/>
      <c r="AQ14" s="85" t="n"/>
      <c r="AR14" s="85" t="n"/>
      <c r="AS14" s="85" t="n"/>
      <c r="AT14" s="85" t="n"/>
      <c r="AU14" s="85" t="n"/>
      <c r="AV14" s="85" t="n"/>
      <c r="AW14" s="44" t="n"/>
      <c r="AX14" s="85" t="n"/>
      <c r="AY14" s="88" t="n"/>
      <c r="AZ14" s="86" t="n"/>
      <c r="BA14" s="44" t="n"/>
      <c r="BB14" s="44" t="n"/>
      <c r="BC14" s="87" t="n"/>
      <c r="BD14" s="44" t="n"/>
      <c r="BE14" s="87" t="n"/>
      <c r="BF14" s="85" t="n"/>
      <c r="BG14" s="44" t="n"/>
      <c r="BH14" s="44" t="n"/>
      <c r="BI14" s="85" t="n"/>
      <c r="BJ14" s="44" t="n"/>
      <c r="BK14" s="45" t="n"/>
      <c r="BL14" s="44" t="n"/>
      <c r="BM14" s="85" t="n"/>
      <c r="BN14" s="44" t="n"/>
      <c r="BO14" s="85" t="n"/>
      <c r="BP14" s="86" t="n"/>
      <c r="BQ14" s="44" t="n"/>
      <c r="BR14" s="50" t="n"/>
      <c r="BS14" s="89" t="n"/>
      <c r="BT14" s="50">
        <f>IF(OR(K14="",L14="",M14=""),"",IF(ABS(ROUND(((ROUND(N(K14)*100,0))-(0))*(100+N(M14))/100,0)-(ROUND(N(L14)*100,0)))&lt;=0+IF(((ROUND(N(K14)*100,0))-(0))*(100+N(M14))/100&lt;&gt;ROUND(((ROUND(N(K14)*100,0))-(0))*(100+N(M14))/100,0),1,0),"OK","ABWEICHUNG"))</f>
        <v/>
      </c>
    </row>
    <row r="15">
      <c r="A15" s="50" t="n"/>
      <c r="B15" s="44" t="n"/>
      <c r="C15" s="44" t="n"/>
      <c r="D15" s="44" t="n"/>
      <c r="E15" s="44" t="n"/>
      <c r="F15" s="44" t="n"/>
      <c r="G15" s="44" t="n"/>
      <c r="H15" s="44" t="n"/>
      <c r="I15" s="45" t="n"/>
      <c r="J15" s="45" t="n"/>
      <c r="K15" s="85" t="n"/>
      <c r="L15" s="85" t="n"/>
      <c r="M15" s="88" t="n"/>
      <c r="N15" s="88" t="n"/>
      <c r="O15" s="44" t="n"/>
      <c r="P15" s="45" t="n"/>
      <c r="Q15" s="45" t="n"/>
      <c r="R15" s="44" t="n"/>
      <c r="S15" s="45" t="n"/>
      <c r="T15" s="45" t="n"/>
      <c r="U15" s="85" t="n"/>
      <c r="V15" s="44" t="n"/>
      <c r="W15" s="45" t="n"/>
      <c r="X15" s="45" t="n"/>
      <c r="Y15" s="44" t="n"/>
      <c r="Z15" s="85" t="n"/>
      <c r="AA15" s="44" t="n"/>
      <c r="AB15" s="44" t="n"/>
      <c r="AC15" s="44" t="n"/>
      <c r="AD15" s="44" t="n"/>
      <c r="AE15" s="44" t="n"/>
      <c r="AF15" s="88" t="n"/>
      <c r="AG15" s="85" t="n"/>
      <c r="AH15" s="85" t="n"/>
      <c r="AI15" s="85" t="n"/>
      <c r="AJ15" s="85" t="n"/>
      <c r="AK15" s="85" t="n"/>
      <c r="AL15" s="85" t="n"/>
      <c r="AM15" s="85" t="n"/>
      <c r="AN15" s="85" t="n"/>
      <c r="AO15" s="85" t="n"/>
      <c r="AP15" s="85" t="n"/>
      <c r="AQ15" s="85" t="n"/>
      <c r="AR15" s="85" t="n"/>
      <c r="AS15" s="85" t="n"/>
      <c r="AT15" s="85" t="n"/>
      <c r="AU15" s="85" t="n"/>
      <c r="AV15" s="85" t="n"/>
      <c r="AW15" s="44" t="n"/>
      <c r="AX15" s="85" t="n"/>
      <c r="AY15" s="88" t="n"/>
      <c r="AZ15" s="86" t="n"/>
      <c r="BA15" s="44" t="n"/>
      <c r="BB15" s="44" t="n"/>
      <c r="BC15" s="87" t="n"/>
      <c r="BD15" s="44" t="n"/>
      <c r="BE15" s="87" t="n"/>
      <c r="BF15" s="85" t="n"/>
      <c r="BG15" s="44" t="n"/>
      <c r="BH15" s="44" t="n"/>
      <c r="BI15" s="85" t="n"/>
      <c r="BJ15" s="44" t="n"/>
      <c r="BK15" s="45" t="n"/>
      <c r="BL15" s="44" t="n"/>
      <c r="BM15" s="85" t="n"/>
      <c r="BN15" s="44" t="n"/>
      <c r="BO15" s="85" t="n"/>
      <c r="BP15" s="86" t="n"/>
      <c r="BQ15" s="44" t="n"/>
      <c r="BR15" s="50" t="n"/>
      <c r="BS15" s="89" t="n"/>
      <c r="BT15" s="50">
        <f>IF(OR(K15="",L15="",M15=""),"",IF(ABS(ROUND(((ROUND(N(K15)*100,0))-(0))*(100+N(M15))/100,0)-(ROUND(N(L15)*100,0)))&lt;=0+IF(((ROUND(N(K15)*100,0))-(0))*(100+N(M15))/100&lt;&gt;ROUND(((ROUND(N(K15)*100,0))-(0))*(100+N(M15))/100,0),1,0),"OK","ABWEICHUNG"))</f>
        <v/>
      </c>
    </row>
    <row r="16">
      <c r="A16" s="50" t="n"/>
      <c r="B16" s="44" t="n"/>
      <c r="C16" s="44" t="n"/>
      <c r="D16" s="44" t="n"/>
      <c r="E16" s="44" t="n"/>
      <c r="F16" s="44" t="n"/>
      <c r="G16" s="44" t="n"/>
      <c r="H16" s="44" t="n"/>
      <c r="I16" s="45" t="n"/>
      <c r="J16" s="45" t="n"/>
      <c r="K16" s="85" t="n"/>
      <c r="L16" s="85" t="n"/>
      <c r="M16" s="88" t="n"/>
      <c r="N16" s="88" t="n"/>
      <c r="O16" s="44" t="n"/>
      <c r="P16" s="45" t="n"/>
      <c r="Q16" s="45" t="n"/>
      <c r="R16" s="44" t="n"/>
      <c r="S16" s="45" t="n"/>
      <c r="T16" s="45" t="n"/>
      <c r="U16" s="85" t="n"/>
      <c r="V16" s="44" t="n"/>
      <c r="W16" s="45" t="n"/>
      <c r="X16" s="45" t="n"/>
      <c r="Y16" s="44" t="n"/>
      <c r="Z16" s="85" t="n"/>
      <c r="AA16" s="44" t="n"/>
      <c r="AB16" s="44" t="n"/>
      <c r="AC16" s="44" t="n"/>
      <c r="AD16" s="44" t="n"/>
      <c r="AE16" s="44" t="n"/>
      <c r="AF16" s="88" t="n"/>
      <c r="AG16" s="85" t="n"/>
      <c r="AH16" s="85" t="n"/>
      <c r="AI16" s="85" t="n"/>
      <c r="AJ16" s="85" t="n"/>
      <c r="AK16" s="85" t="n"/>
      <c r="AL16" s="85" t="n"/>
      <c r="AM16" s="85" t="n"/>
      <c r="AN16" s="85" t="n"/>
      <c r="AO16" s="85" t="n"/>
      <c r="AP16" s="85" t="n"/>
      <c r="AQ16" s="85" t="n"/>
      <c r="AR16" s="85" t="n"/>
      <c r="AS16" s="85" t="n"/>
      <c r="AT16" s="85" t="n"/>
      <c r="AU16" s="85" t="n"/>
      <c r="AV16" s="85" t="n"/>
      <c r="AW16" s="44" t="n"/>
      <c r="AX16" s="85" t="n"/>
      <c r="AY16" s="88" t="n"/>
      <c r="AZ16" s="86" t="n"/>
      <c r="BA16" s="44" t="n"/>
      <c r="BB16" s="44" t="n"/>
      <c r="BC16" s="87" t="n"/>
      <c r="BD16" s="44" t="n"/>
      <c r="BE16" s="87" t="n"/>
      <c r="BF16" s="85" t="n"/>
      <c r="BG16" s="44" t="n"/>
      <c r="BH16" s="44" t="n"/>
      <c r="BI16" s="85" t="n"/>
      <c r="BJ16" s="44" t="n"/>
      <c r="BK16" s="45" t="n"/>
      <c r="BL16" s="44" t="n"/>
      <c r="BM16" s="85" t="n"/>
      <c r="BN16" s="44" t="n"/>
      <c r="BO16" s="85" t="n"/>
      <c r="BP16" s="86" t="n"/>
      <c r="BQ16" s="44" t="n"/>
      <c r="BR16" s="50" t="n"/>
      <c r="BS16" s="89" t="n"/>
      <c r="BT16" s="50">
        <f>IF(OR(K16="",L16="",M16=""),"",IF(ABS(ROUND(((ROUND(N(K16)*100,0))-(0))*(100+N(M16))/100,0)-(ROUND(N(L16)*100,0)))&lt;=0+IF(((ROUND(N(K16)*100,0))-(0))*(100+N(M16))/100&lt;&gt;ROUND(((ROUND(N(K16)*100,0))-(0))*(100+N(M16))/100,0),1,0),"OK","ABWEICHUNG"))</f>
        <v/>
      </c>
    </row>
    <row r="17">
      <c r="A17" s="50" t="n"/>
      <c r="B17" s="44" t="n"/>
      <c r="C17" s="44" t="n"/>
      <c r="D17" s="44" t="n"/>
      <c r="E17" s="44" t="n"/>
      <c r="F17" s="44" t="n"/>
      <c r="G17" s="44" t="n"/>
      <c r="H17" s="44" t="n"/>
      <c r="I17" s="45" t="n"/>
      <c r="J17" s="45" t="n"/>
      <c r="K17" s="85" t="n"/>
      <c r="L17" s="85" t="n"/>
      <c r="M17" s="88" t="n"/>
      <c r="N17" s="88" t="n"/>
      <c r="O17" s="44" t="n"/>
      <c r="P17" s="45" t="n"/>
      <c r="Q17" s="45" t="n"/>
      <c r="R17" s="44" t="n"/>
      <c r="S17" s="45" t="n"/>
      <c r="T17" s="45" t="n"/>
      <c r="U17" s="85" t="n"/>
      <c r="V17" s="44" t="n"/>
      <c r="W17" s="45" t="n"/>
      <c r="X17" s="45" t="n"/>
      <c r="Y17" s="44" t="n"/>
      <c r="Z17" s="85" t="n"/>
      <c r="AA17" s="44" t="n"/>
      <c r="AB17" s="44" t="n"/>
      <c r="AC17" s="44" t="n"/>
      <c r="AD17" s="44" t="n"/>
      <c r="AE17" s="44" t="n"/>
      <c r="AF17" s="88" t="n"/>
      <c r="AG17" s="85" t="n"/>
      <c r="AH17" s="85" t="n"/>
      <c r="AI17" s="85" t="n"/>
      <c r="AJ17" s="85" t="n"/>
      <c r="AK17" s="85" t="n"/>
      <c r="AL17" s="85" t="n"/>
      <c r="AM17" s="85" t="n"/>
      <c r="AN17" s="85" t="n"/>
      <c r="AO17" s="85" t="n"/>
      <c r="AP17" s="85" t="n"/>
      <c r="AQ17" s="85" t="n"/>
      <c r="AR17" s="85" t="n"/>
      <c r="AS17" s="85" t="n"/>
      <c r="AT17" s="85" t="n"/>
      <c r="AU17" s="85" t="n"/>
      <c r="AV17" s="85" t="n"/>
      <c r="AW17" s="44" t="n"/>
      <c r="AX17" s="85" t="n"/>
      <c r="AY17" s="88" t="n"/>
      <c r="AZ17" s="86" t="n"/>
      <c r="BA17" s="44" t="n"/>
      <c r="BB17" s="44" t="n"/>
      <c r="BC17" s="87" t="n"/>
      <c r="BD17" s="44" t="n"/>
      <c r="BE17" s="87" t="n"/>
      <c r="BF17" s="85" t="n"/>
      <c r="BG17" s="44" t="n"/>
      <c r="BH17" s="44" t="n"/>
      <c r="BI17" s="85" t="n"/>
      <c r="BJ17" s="44" t="n"/>
      <c r="BK17" s="45" t="n"/>
      <c r="BL17" s="44" t="n"/>
      <c r="BM17" s="85" t="n"/>
      <c r="BN17" s="44" t="n"/>
      <c r="BO17" s="85" t="n"/>
      <c r="BP17" s="86" t="n"/>
      <c r="BQ17" s="44" t="n"/>
      <c r="BR17" s="50" t="n"/>
      <c r="BS17" s="89" t="n"/>
      <c r="BT17" s="50">
        <f>IF(OR(K17="",L17="",M17=""),"",IF(ABS(ROUND(((ROUND(N(K17)*100,0))-(0))*(100+N(M17))/100,0)-(ROUND(N(L17)*100,0)))&lt;=0+IF(((ROUND(N(K17)*100,0))-(0))*(100+N(M17))/100&lt;&gt;ROUND(((ROUND(N(K17)*100,0))-(0))*(100+N(M17))/100,0),1,0),"OK","ABWEICHUNG"))</f>
        <v/>
      </c>
    </row>
    <row r="18">
      <c r="A18" s="50" t="n"/>
      <c r="B18" s="44" t="n"/>
      <c r="C18" s="44" t="n"/>
      <c r="D18" s="44" t="n"/>
      <c r="E18" s="44" t="n"/>
      <c r="F18" s="44" t="n"/>
      <c r="G18" s="44" t="n"/>
      <c r="H18" s="44" t="n"/>
      <c r="I18" s="45" t="n"/>
      <c r="J18" s="45" t="n"/>
      <c r="K18" s="85" t="n"/>
      <c r="L18" s="85" t="n"/>
      <c r="M18" s="88" t="n"/>
      <c r="N18" s="88" t="n"/>
      <c r="O18" s="44" t="n"/>
      <c r="P18" s="45" t="n"/>
      <c r="Q18" s="45" t="n"/>
      <c r="R18" s="44" t="n"/>
      <c r="S18" s="45" t="n"/>
      <c r="T18" s="45" t="n"/>
      <c r="U18" s="85" t="n"/>
      <c r="V18" s="44" t="n"/>
      <c r="W18" s="45" t="n"/>
      <c r="X18" s="45" t="n"/>
      <c r="Y18" s="44" t="n"/>
      <c r="Z18" s="85" t="n"/>
      <c r="AA18" s="44" t="n"/>
      <c r="AB18" s="44" t="n"/>
      <c r="AC18" s="44" t="n"/>
      <c r="AD18" s="44" t="n"/>
      <c r="AE18" s="44" t="n"/>
      <c r="AF18" s="88" t="n"/>
      <c r="AG18" s="85" t="n"/>
      <c r="AH18" s="85" t="n"/>
      <c r="AI18" s="85" t="n"/>
      <c r="AJ18" s="85" t="n"/>
      <c r="AK18" s="85" t="n"/>
      <c r="AL18" s="85" t="n"/>
      <c r="AM18" s="85" t="n"/>
      <c r="AN18" s="85" t="n"/>
      <c r="AO18" s="85" t="n"/>
      <c r="AP18" s="85" t="n"/>
      <c r="AQ18" s="85" t="n"/>
      <c r="AR18" s="85" t="n"/>
      <c r="AS18" s="85" t="n"/>
      <c r="AT18" s="85" t="n"/>
      <c r="AU18" s="85" t="n"/>
      <c r="AV18" s="85" t="n"/>
      <c r="AW18" s="44" t="n"/>
      <c r="AX18" s="85" t="n"/>
      <c r="AY18" s="88" t="n"/>
      <c r="AZ18" s="86" t="n"/>
      <c r="BA18" s="44" t="n"/>
      <c r="BB18" s="44" t="n"/>
      <c r="BC18" s="87" t="n"/>
      <c r="BD18" s="44" t="n"/>
      <c r="BE18" s="87" t="n"/>
      <c r="BF18" s="85" t="n"/>
      <c r="BG18" s="44" t="n"/>
      <c r="BH18" s="44" t="n"/>
      <c r="BI18" s="85" t="n"/>
      <c r="BJ18" s="44" t="n"/>
      <c r="BK18" s="45" t="n"/>
      <c r="BL18" s="44" t="n"/>
      <c r="BM18" s="85" t="n"/>
      <c r="BN18" s="44" t="n"/>
      <c r="BO18" s="85" t="n"/>
      <c r="BP18" s="86" t="n"/>
      <c r="BQ18" s="44" t="n"/>
      <c r="BR18" s="50" t="n"/>
      <c r="BS18" s="89" t="n"/>
      <c r="BT18" s="50">
        <f>IF(OR(K18="",L18="",M18=""),"",IF(ABS(ROUND(((ROUND(N(K18)*100,0))-(0))*(100+N(M18))/100,0)-(ROUND(N(L18)*100,0)))&lt;=0+IF(((ROUND(N(K18)*100,0))-(0))*(100+N(M18))/100&lt;&gt;ROUND(((ROUND(N(K18)*100,0))-(0))*(100+N(M18))/100,0),1,0),"OK","ABWEICHUNG"))</f>
        <v/>
      </c>
    </row>
    <row r="19">
      <c r="A19" s="50" t="n"/>
      <c r="B19" s="44" t="n"/>
      <c r="C19" s="44" t="n"/>
      <c r="D19" s="44" t="n"/>
      <c r="E19" s="44" t="n"/>
      <c r="F19" s="44" t="n"/>
      <c r="G19" s="44" t="n"/>
      <c r="H19" s="44" t="n"/>
      <c r="I19" s="45" t="n"/>
      <c r="J19" s="45" t="n"/>
      <c r="K19" s="85" t="n"/>
      <c r="L19" s="85" t="n"/>
      <c r="M19" s="88" t="n"/>
      <c r="N19" s="88" t="n"/>
      <c r="O19" s="44" t="n"/>
      <c r="P19" s="45" t="n"/>
      <c r="Q19" s="45" t="n"/>
      <c r="R19" s="44" t="n"/>
      <c r="S19" s="45" t="n"/>
      <c r="T19" s="45" t="n"/>
      <c r="U19" s="85" t="n"/>
      <c r="V19" s="44" t="n"/>
      <c r="W19" s="45" t="n"/>
      <c r="X19" s="45" t="n"/>
      <c r="Y19" s="44" t="n"/>
      <c r="Z19" s="85" t="n"/>
      <c r="AA19" s="44" t="n"/>
      <c r="AB19" s="44" t="n"/>
      <c r="AC19" s="44" t="n"/>
      <c r="AD19" s="44" t="n"/>
      <c r="AE19" s="44" t="n"/>
      <c r="AF19" s="88" t="n"/>
      <c r="AG19" s="85" t="n"/>
      <c r="AH19" s="85" t="n"/>
      <c r="AI19" s="85" t="n"/>
      <c r="AJ19" s="85" t="n"/>
      <c r="AK19" s="85" t="n"/>
      <c r="AL19" s="85" t="n"/>
      <c r="AM19" s="85" t="n"/>
      <c r="AN19" s="85" t="n"/>
      <c r="AO19" s="85" t="n"/>
      <c r="AP19" s="85" t="n"/>
      <c r="AQ19" s="85" t="n"/>
      <c r="AR19" s="85" t="n"/>
      <c r="AS19" s="85" t="n"/>
      <c r="AT19" s="85" t="n"/>
      <c r="AU19" s="85" t="n"/>
      <c r="AV19" s="85" t="n"/>
      <c r="AW19" s="44" t="n"/>
      <c r="AX19" s="85" t="n"/>
      <c r="AY19" s="88" t="n"/>
      <c r="AZ19" s="86" t="n"/>
      <c r="BA19" s="44" t="n"/>
      <c r="BB19" s="44" t="n"/>
      <c r="BC19" s="87" t="n"/>
      <c r="BD19" s="44" t="n"/>
      <c r="BE19" s="87" t="n"/>
      <c r="BF19" s="85" t="n"/>
      <c r="BG19" s="44" t="n"/>
      <c r="BH19" s="44" t="n"/>
      <c r="BI19" s="85" t="n"/>
      <c r="BJ19" s="44" t="n"/>
      <c r="BK19" s="45" t="n"/>
      <c r="BL19" s="44" t="n"/>
      <c r="BM19" s="85" t="n"/>
      <c r="BN19" s="44" t="n"/>
      <c r="BO19" s="85" t="n"/>
      <c r="BP19" s="86" t="n"/>
      <c r="BQ19" s="44" t="n"/>
      <c r="BR19" s="50" t="n"/>
      <c r="BS19" s="89" t="n"/>
      <c r="BT19" s="50">
        <f>IF(OR(K19="",L19="",M19=""),"",IF(ABS(ROUND(((ROUND(N(K19)*100,0))-(0))*(100+N(M19))/100,0)-(ROUND(N(L19)*100,0)))&lt;=0+IF(((ROUND(N(K19)*100,0))-(0))*(100+N(M19))/100&lt;&gt;ROUND(((ROUND(N(K19)*100,0))-(0))*(100+N(M19))/100,0),1,0),"OK","ABWEICHUNG"))</f>
        <v/>
      </c>
    </row>
    <row r="20">
      <c r="A20" s="50" t="n"/>
      <c r="B20" s="44" t="n"/>
      <c r="C20" s="44" t="n"/>
      <c r="D20" s="44" t="n"/>
      <c r="E20" s="44" t="n"/>
      <c r="F20" s="44" t="n"/>
      <c r="G20" s="44" t="n"/>
      <c r="H20" s="44" t="n"/>
      <c r="I20" s="45" t="n"/>
      <c r="J20" s="45" t="n"/>
      <c r="K20" s="85" t="n"/>
      <c r="L20" s="85" t="n"/>
      <c r="M20" s="88" t="n"/>
      <c r="N20" s="88" t="n"/>
      <c r="O20" s="44" t="n"/>
      <c r="P20" s="45" t="n"/>
      <c r="Q20" s="45" t="n"/>
      <c r="R20" s="44" t="n"/>
      <c r="S20" s="45" t="n"/>
      <c r="T20" s="45" t="n"/>
      <c r="U20" s="85" t="n"/>
      <c r="V20" s="44" t="n"/>
      <c r="W20" s="45" t="n"/>
      <c r="X20" s="45" t="n"/>
      <c r="Y20" s="44" t="n"/>
      <c r="Z20" s="85" t="n"/>
      <c r="AA20" s="44" t="n"/>
      <c r="AB20" s="44" t="n"/>
      <c r="AC20" s="44" t="n"/>
      <c r="AD20" s="44" t="n"/>
      <c r="AE20" s="44" t="n"/>
      <c r="AF20" s="88" t="n"/>
      <c r="AG20" s="85" t="n"/>
      <c r="AH20" s="85" t="n"/>
      <c r="AI20" s="85" t="n"/>
      <c r="AJ20" s="85" t="n"/>
      <c r="AK20" s="85" t="n"/>
      <c r="AL20" s="85" t="n"/>
      <c r="AM20" s="85" t="n"/>
      <c r="AN20" s="85" t="n"/>
      <c r="AO20" s="85" t="n"/>
      <c r="AP20" s="85" t="n"/>
      <c r="AQ20" s="85" t="n"/>
      <c r="AR20" s="85" t="n"/>
      <c r="AS20" s="85" t="n"/>
      <c r="AT20" s="85" t="n"/>
      <c r="AU20" s="85" t="n"/>
      <c r="AV20" s="85" t="n"/>
      <c r="AW20" s="44" t="n"/>
      <c r="AX20" s="85" t="n"/>
      <c r="AY20" s="88" t="n"/>
      <c r="AZ20" s="86" t="n"/>
      <c r="BA20" s="44" t="n"/>
      <c r="BB20" s="44" t="n"/>
      <c r="BC20" s="87" t="n"/>
      <c r="BD20" s="44" t="n"/>
      <c r="BE20" s="87" t="n"/>
      <c r="BF20" s="85" t="n"/>
      <c r="BG20" s="44" t="n"/>
      <c r="BH20" s="44" t="n"/>
      <c r="BI20" s="85" t="n"/>
      <c r="BJ20" s="44" t="n"/>
      <c r="BK20" s="45" t="n"/>
      <c r="BL20" s="44" t="n"/>
      <c r="BM20" s="85" t="n"/>
      <c r="BN20" s="44" t="n"/>
      <c r="BO20" s="85" t="n"/>
      <c r="BP20" s="86" t="n"/>
      <c r="BQ20" s="44" t="n"/>
      <c r="BR20" s="50" t="n"/>
      <c r="BS20" s="89" t="n"/>
      <c r="BT20" s="50">
        <f>IF(OR(K20="",L20="",M20=""),"",IF(ABS(ROUND(((ROUND(N(K20)*100,0))-(0))*(100+N(M20))/100,0)-(ROUND(N(L20)*100,0)))&lt;=0+IF(((ROUND(N(K20)*100,0))-(0))*(100+N(M20))/100&lt;&gt;ROUND(((ROUND(N(K20)*100,0))-(0))*(100+N(M20))/100,0),1,0),"OK","ABWEICHUNG"))</f>
        <v/>
      </c>
    </row>
    <row r="21">
      <c r="A21" s="50" t="n"/>
      <c r="B21" s="44" t="n"/>
      <c r="C21" s="44" t="n"/>
      <c r="D21" s="44" t="n"/>
      <c r="E21" s="44" t="n"/>
      <c r="F21" s="44" t="n"/>
      <c r="G21" s="44" t="n"/>
      <c r="H21" s="44" t="n"/>
      <c r="I21" s="45" t="n"/>
      <c r="J21" s="45" t="n"/>
      <c r="K21" s="85" t="n"/>
      <c r="L21" s="85" t="n"/>
      <c r="M21" s="88" t="n"/>
      <c r="N21" s="88" t="n"/>
      <c r="O21" s="44" t="n"/>
      <c r="P21" s="45" t="n"/>
      <c r="Q21" s="45" t="n"/>
      <c r="R21" s="44" t="n"/>
      <c r="S21" s="45" t="n"/>
      <c r="T21" s="45" t="n"/>
      <c r="U21" s="85" t="n"/>
      <c r="V21" s="44" t="n"/>
      <c r="W21" s="45" t="n"/>
      <c r="X21" s="45" t="n"/>
      <c r="Y21" s="44" t="n"/>
      <c r="Z21" s="85" t="n"/>
      <c r="AA21" s="44" t="n"/>
      <c r="AB21" s="44" t="n"/>
      <c r="AC21" s="44" t="n"/>
      <c r="AD21" s="44" t="n"/>
      <c r="AE21" s="44" t="n"/>
      <c r="AF21" s="88" t="n"/>
      <c r="AG21" s="85" t="n"/>
      <c r="AH21" s="85" t="n"/>
      <c r="AI21" s="85" t="n"/>
      <c r="AJ21" s="85" t="n"/>
      <c r="AK21" s="85" t="n"/>
      <c r="AL21" s="85" t="n"/>
      <c r="AM21" s="85" t="n"/>
      <c r="AN21" s="85" t="n"/>
      <c r="AO21" s="85" t="n"/>
      <c r="AP21" s="85" t="n"/>
      <c r="AQ21" s="85" t="n"/>
      <c r="AR21" s="85" t="n"/>
      <c r="AS21" s="85" t="n"/>
      <c r="AT21" s="85" t="n"/>
      <c r="AU21" s="85" t="n"/>
      <c r="AV21" s="85" t="n"/>
      <c r="AW21" s="44" t="n"/>
      <c r="AX21" s="85" t="n"/>
      <c r="AY21" s="88" t="n"/>
      <c r="AZ21" s="86" t="n"/>
      <c r="BA21" s="44" t="n"/>
      <c r="BB21" s="44" t="n"/>
      <c r="BC21" s="87" t="n"/>
      <c r="BD21" s="44" t="n"/>
      <c r="BE21" s="87" t="n"/>
      <c r="BF21" s="85" t="n"/>
      <c r="BG21" s="44" t="n"/>
      <c r="BH21" s="44" t="n"/>
      <c r="BI21" s="85" t="n"/>
      <c r="BJ21" s="44" t="n"/>
      <c r="BK21" s="45" t="n"/>
      <c r="BL21" s="44" t="n"/>
      <c r="BM21" s="85" t="n"/>
      <c r="BN21" s="44" t="n"/>
      <c r="BO21" s="85" t="n"/>
      <c r="BP21" s="86" t="n"/>
      <c r="BQ21" s="44" t="n"/>
      <c r="BR21" s="50" t="n"/>
      <c r="BS21" s="89" t="n"/>
      <c r="BT21" s="50">
        <f>IF(OR(K21="",L21="",M21=""),"",IF(ABS(ROUND(((ROUND(N(K21)*100,0))-(0))*(100+N(M21))/100,0)-(ROUND(N(L21)*100,0)))&lt;=0+IF(((ROUND(N(K21)*100,0))-(0))*(100+N(M21))/100&lt;&gt;ROUND(((ROUND(N(K21)*100,0))-(0))*(100+N(M21))/100,0),1,0),"OK","ABWEICHUNG"))</f>
        <v/>
      </c>
    </row>
    <row r="22">
      <c r="A22" s="50" t="n"/>
      <c r="B22" s="44" t="n"/>
      <c r="C22" s="44" t="n"/>
      <c r="D22" s="44" t="n"/>
      <c r="E22" s="44" t="n"/>
      <c r="F22" s="44" t="n"/>
      <c r="G22" s="44" t="n"/>
      <c r="H22" s="44" t="n"/>
      <c r="I22" s="45" t="n"/>
      <c r="J22" s="45" t="n"/>
      <c r="K22" s="85" t="n"/>
      <c r="L22" s="85" t="n"/>
      <c r="M22" s="88" t="n"/>
      <c r="N22" s="88" t="n"/>
      <c r="O22" s="44" t="n"/>
      <c r="P22" s="45" t="n"/>
      <c r="Q22" s="45" t="n"/>
      <c r="R22" s="44" t="n"/>
      <c r="S22" s="45" t="n"/>
      <c r="T22" s="45" t="n"/>
      <c r="U22" s="85" t="n"/>
      <c r="V22" s="44" t="n"/>
      <c r="W22" s="45" t="n"/>
      <c r="X22" s="45" t="n"/>
      <c r="Y22" s="44" t="n"/>
      <c r="Z22" s="85" t="n"/>
      <c r="AA22" s="44" t="n"/>
      <c r="AB22" s="44" t="n"/>
      <c r="AC22" s="44" t="n"/>
      <c r="AD22" s="44" t="n"/>
      <c r="AE22" s="44" t="n"/>
      <c r="AF22" s="88" t="n"/>
      <c r="AG22" s="85" t="n"/>
      <c r="AH22" s="85" t="n"/>
      <c r="AI22" s="85" t="n"/>
      <c r="AJ22" s="85" t="n"/>
      <c r="AK22" s="85" t="n"/>
      <c r="AL22" s="85" t="n"/>
      <c r="AM22" s="85" t="n"/>
      <c r="AN22" s="85" t="n"/>
      <c r="AO22" s="85" t="n"/>
      <c r="AP22" s="85" t="n"/>
      <c r="AQ22" s="85" t="n"/>
      <c r="AR22" s="85" t="n"/>
      <c r="AS22" s="85" t="n"/>
      <c r="AT22" s="85" t="n"/>
      <c r="AU22" s="85" t="n"/>
      <c r="AV22" s="85" t="n"/>
      <c r="AW22" s="44" t="n"/>
      <c r="AX22" s="85" t="n"/>
      <c r="AY22" s="88" t="n"/>
      <c r="AZ22" s="86" t="n"/>
      <c r="BA22" s="44" t="n"/>
      <c r="BB22" s="44" t="n"/>
      <c r="BC22" s="87" t="n"/>
      <c r="BD22" s="44" t="n"/>
      <c r="BE22" s="87" t="n"/>
      <c r="BF22" s="85" t="n"/>
      <c r="BG22" s="44" t="n"/>
      <c r="BH22" s="44" t="n"/>
      <c r="BI22" s="85" t="n"/>
      <c r="BJ22" s="44" t="n"/>
      <c r="BK22" s="45" t="n"/>
      <c r="BL22" s="44" t="n"/>
      <c r="BM22" s="85" t="n"/>
      <c r="BN22" s="44" t="n"/>
      <c r="BO22" s="85" t="n"/>
      <c r="BP22" s="86" t="n"/>
      <c r="BQ22" s="44" t="n"/>
      <c r="BR22" s="50" t="n"/>
      <c r="BS22" s="89" t="n"/>
      <c r="BT22" s="50">
        <f>IF(OR(K22="",L22="",M22=""),"",IF(ABS(ROUND(((ROUND(N(K22)*100,0))-(0))*(100+N(M22))/100,0)-(ROUND(N(L22)*100,0)))&lt;=0+IF(((ROUND(N(K22)*100,0))-(0))*(100+N(M22))/100&lt;&gt;ROUND(((ROUND(N(K22)*100,0))-(0))*(100+N(M22))/100,0),1,0),"OK","ABWEICHUNG"))</f>
        <v/>
      </c>
    </row>
    <row r="23">
      <c r="A23" s="50" t="n"/>
      <c r="B23" s="44" t="n"/>
      <c r="C23" s="44" t="n"/>
      <c r="D23" s="44" t="n"/>
      <c r="E23" s="44" t="n"/>
      <c r="F23" s="44" t="n"/>
      <c r="G23" s="44" t="n"/>
      <c r="H23" s="44" t="n"/>
      <c r="I23" s="45" t="n"/>
      <c r="J23" s="45" t="n"/>
      <c r="K23" s="85" t="n"/>
      <c r="L23" s="85" t="n"/>
      <c r="M23" s="88" t="n"/>
      <c r="N23" s="88" t="n"/>
      <c r="O23" s="44" t="n"/>
      <c r="P23" s="45" t="n"/>
      <c r="Q23" s="45" t="n"/>
      <c r="R23" s="44" t="n"/>
      <c r="S23" s="45" t="n"/>
      <c r="T23" s="45" t="n"/>
      <c r="U23" s="85" t="n"/>
      <c r="V23" s="44" t="n"/>
      <c r="W23" s="45" t="n"/>
      <c r="X23" s="45" t="n"/>
      <c r="Y23" s="44" t="n"/>
      <c r="Z23" s="85" t="n"/>
      <c r="AA23" s="44" t="n"/>
      <c r="AB23" s="44" t="n"/>
      <c r="AC23" s="44" t="n"/>
      <c r="AD23" s="44" t="n"/>
      <c r="AE23" s="44" t="n"/>
      <c r="AF23" s="88" t="n"/>
      <c r="AG23" s="85" t="n"/>
      <c r="AH23" s="85" t="n"/>
      <c r="AI23" s="85" t="n"/>
      <c r="AJ23" s="85" t="n"/>
      <c r="AK23" s="85" t="n"/>
      <c r="AL23" s="85" t="n"/>
      <c r="AM23" s="85" t="n"/>
      <c r="AN23" s="85" t="n"/>
      <c r="AO23" s="85" t="n"/>
      <c r="AP23" s="85" t="n"/>
      <c r="AQ23" s="85" t="n"/>
      <c r="AR23" s="85" t="n"/>
      <c r="AS23" s="85" t="n"/>
      <c r="AT23" s="85" t="n"/>
      <c r="AU23" s="85" t="n"/>
      <c r="AV23" s="85" t="n"/>
      <c r="AW23" s="44" t="n"/>
      <c r="AX23" s="85" t="n"/>
      <c r="AY23" s="88" t="n"/>
      <c r="AZ23" s="86" t="n"/>
      <c r="BA23" s="44" t="n"/>
      <c r="BB23" s="44" t="n"/>
      <c r="BC23" s="87" t="n"/>
      <c r="BD23" s="44" t="n"/>
      <c r="BE23" s="87" t="n"/>
      <c r="BF23" s="85" t="n"/>
      <c r="BG23" s="44" t="n"/>
      <c r="BH23" s="44" t="n"/>
      <c r="BI23" s="85" t="n"/>
      <c r="BJ23" s="44" t="n"/>
      <c r="BK23" s="45" t="n"/>
      <c r="BL23" s="44" t="n"/>
      <c r="BM23" s="85" t="n"/>
      <c r="BN23" s="44" t="n"/>
      <c r="BO23" s="85" t="n"/>
      <c r="BP23" s="86" t="n"/>
      <c r="BQ23" s="44" t="n"/>
      <c r="BR23" s="50" t="n"/>
      <c r="BS23" s="89" t="n"/>
      <c r="BT23" s="50">
        <f>IF(OR(K23="",L23="",M23=""),"",IF(ABS(ROUND(((ROUND(N(K23)*100,0))-(0))*(100+N(M23))/100,0)-(ROUND(N(L23)*100,0)))&lt;=0+IF(((ROUND(N(K23)*100,0))-(0))*(100+N(M23))/100&lt;&gt;ROUND(((ROUND(N(K23)*100,0))-(0))*(100+N(M23))/100,0),1,0),"OK","ABWEICHUNG"))</f>
        <v/>
      </c>
    </row>
    <row r="24">
      <c r="A24" s="50" t="n"/>
      <c r="B24" s="44" t="n"/>
      <c r="C24" s="44" t="n"/>
      <c r="D24" s="44" t="n"/>
      <c r="E24" s="44" t="n"/>
      <c r="F24" s="44" t="n"/>
      <c r="G24" s="44" t="n"/>
      <c r="H24" s="44" t="n"/>
      <c r="I24" s="45" t="n"/>
      <c r="J24" s="45" t="n"/>
      <c r="K24" s="85" t="n"/>
      <c r="L24" s="85" t="n"/>
      <c r="M24" s="88" t="n"/>
      <c r="N24" s="88" t="n"/>
      <c r="O24" s="44" t="n"/>
      <c r="P24" s="45" t="n"/>
      <c r="Q24" s="45" t="n"/>
      <c r="R24" s="44" t="n"/>
      <c r="S24" s="45" t="n"/>
      <c r="T24" s="45" t="n"/>
      <c r="U24" s="85" t="n"/>
      <c r="V24" s="44" t="n"/>
      <c r="W24" s="45" t="n"/>
      <c r="X24" s="45" t="n"/>
      <c r="Y24" s="44" t="n"/>
      <c r="Z24" s="85" t="n"/>
      <c r="AA24" s="44" t="n"/>
      <c r="AB24" s="44" t="n"/>
      <c r="AC24" s="44" t="n"/>
      <c r="AD24" s="44" t="n"/>
      <c r="AE24" s="44" t="n"/>
      <c r="AF24" s="88" t="n"/>
      <c r="AG24" s="85" t="n"/>
      <c r="AH24" s="85" t="n"/>
      <c r="AI24" s="85" t="n"/>
      <c r="AJ24" s="85" t="n"/>
      <c r="AK24" s="85" t="n"/>
      <c r="AL24" s="85" t="n"/>
      <c r="AM24" s="85" t="n"/>
      <c r="AN24" s="85" t="n"/>
      <c r="AO24" s="85" t="n"/>
      <c r="AP24" s="85" t="n"/>
      <c r="AQ24" s="85" t="n"/>
      <c r="AR24" s="85" t="n"/>
      <c r="AS24" s="85" t="n"/>
      <c r="AT24" s="85" t="n"/>
      <c r="AU24" s="85" t="n"/>
      <c r="AV24" s="85" t="n"/>
      <c r="AW24" s="44" t="n"/>
      <c r="AX24" s="85" t="n"/>
      <c r="AY24" s="88" t="n"/>
      <c r="AZ24" s="86" t="n"/>
      <c r="BA24" s="44" t="n"/>
      <c r="BB24" s="44" t="n"/>
      <c r="BC24" s="87" t="n"/>
      <c r="BD24" s="44" t="n"/>
      <c r="BE24" s="87" t="n"/>
      <c r="BF24" s="85" t="n"/>
      <c r="BG24" s="44" t="n"/>
      <c r="BH24" s="44" t="n"/>
      <c r="BI24" s="85" t="n"/>
      <c r="BJ24" s="44" t="n"/>
      <c r="BK24" s="45" t="n"/>
      <c r="BL24" s="44" t="n"/>
      <c r="BM24" s="85" t="n"/>
      <c r="BN24" s="44" t="n"/>
      <c r="BO24" s="85" t="n"/>
      <c r="BP24" s="86" t="n"/>
      <c r="BQ24" s="44" t="n"/>
      <c r="BR24" s="50" t="n"/>
      <c r="BS24" s="89" t="n"/>
      <c r="BT24" s="50">
        <f>IF(OR(K24="",L24="",M24=""),"",IF(ABS(ROUND(((ROUND(N(K24)*100,0))-(0))*(100+N(M24))/100,0)-(ROUND(N(L24)*100,0)))&lt;=0+IF(((ROUND(N(K24)*100,0))-(0))*(100+N(M24))/100&lt;&gt;ROUND(((ROUND(N(K24)*100,0))-(0))*(100+N(M24))/100,0),1,0),"OK","ABWEICHUNG"))</f>
        <v/>
      </c>
    </row>
    <row r="25">
      <c r="A25" s="50" t="n"/>
      <c r="B25" s="44" t="n"/>
      <c r="C25" s="44" t="n"/>
      <c r="D25" s="44" t="n"/>
      <c r="E25" s="44" t="n"/>
      <c r="F25" s="44" t="n"/>
      <c r="G25" s="44" t="n"/>
      <c r="H25" s="44" t="n"/>
      <c r="I25" s="45" t="n"/>
      <c r="J25" s="45" t="n"/>
      <c r="K25" s="85" t="n"/>
      <c r="L25" s="85" t="n"/>
      <c r="M25" s="88" t="n"/>
      <c r="N25" s="88" t="n"/>
      <c r="O25" s="44" t="n"/>
      <c r="P25" s="45" t="n"/>
      <c r="Q25" s="45" t="n"/>
      <c r="R25" s="44" t="n"/>
      <c r="S25" s="45" t="n"/>
      <c r="T25" s="45" t="n"/>
      <c r="U25" s="85" t="n"/>
      <c r="V25" s="44" t="n"/>
      <c r="W25" s="45" t="n"/>
      <c r="X25" s="45" t="n"/>
      <c r="Y25" s="44" t="n"/>
      <c r="Z25" s="85" t="n"/>
      <c r="AA25" s="44" t="n"/>
      <c r="AB25" s="44" t="n"/>
      <c r="AC25" s="44" t="n"/>
      <c r="AD25" s="44" t="n"/>
      <c r="AE25" s="44" t="n"/>
      <c r="AF25" s="88" t="n"/>
      <c r="AG25" s="85" t="n"/>
      <c r="AH25" s="85" t="n"/>
      <c r="AI25" s="85" t="n"/>
      <c r="AJ25" s="85" t="n"/>
      <c r="AK25" s="85" t="n"/>
      <c r="AL25" s="85" t="n"/>
      <c r="AM25" s="85" t="n"/>
      <c r="AN25" s="85" t="n"/>
      <c r="AO25" s="85" t="n"/>
      <c r="AP25" s="85" t="n"/>
      <c r="AQ25" s="85" t="n"/>
      <c r="AR25" s="85" t="n"/>
      <c r="AS25" s="85" t="n"/>
      <c r="AT25" s="85" t="n"/>
      <c r="AU25" s="85" t="n"/>
      <c r="AV25" s="85" t="n"/>
      <c r="AW25" s="44" t="n"/>
      <c r="AX25" s="85" t="n"/>
      <c r="AY25" s="88" t="n"/>
      <c r="AZ25" s="86" t="n"/>
      <c r="BA25" s="44" t="n"/>
      <c r="BB25" s="44" t="n"/>
      <c r="BC25" s="87" t="n"/>
      <c r="BD25" s="44" t="n"/>
      <c r="BE25" s="87" t="n"/>
      <c r="BF25" s="85" t="n"/>
      <c r="BG25" s="44" t="n"/>
      <c r="BH25" s="44" t="n"/>
      <c r="BI25" s="85" t="n"/>
      <c r="BJ25" s="44" t="n"/>
      <c r="BK25" s="45" t="n"/>
      <c r="BL25" s="44" t="n"/>
      <c r="BM25" s="85" t="n"/>
      <c r="BN25" s="44" t="n"/>
      <c r="BO25" s="85" t="n"/>
      <c r="BP25" s="86" t="n"/>
      <c r="BQ25" s="44" t="n"/>
      <c r="BR25" s="50" t="n"/>
      <c r="BS25" s="89" t="n"/>
      <c r="BT25" s="50">
        <f>IF(OR(K25="",L25="",M25=""),"",IF(ABS(ROUND(((ROUND(N(K25)*100,0))-(0))*(100+N(M25))/100,0)-(ROUND(N(L25)*100,0)))&lt;=0+IF(((ROUND(N(K25)*100,0))-(0))*(100+N(M25))/100&lt;&gt;ROUND(((ROUND(N(K25)*100,0))-(0))*(100+N(M25))/100,0),1,0),"OK","ABWEICHUNG"))</f>
        <v/>
      </c>
    </row>
    <row r="26">
      <c r="A26" s="50" t="n"/>
      <c r="B26" s="44" t="n"/>
      <c r="C26" s="44" t="n"/>
      <c r="D26" s="44" t="n"/>
      <c r="E26" s="44" t="n"/>
      <c r="F26" s="44" t="n"/>
      <c r="G26" s="44" t="n"/>
      <c r="H26" s="44" t="n"/>
      <c r="I26" s="45" t="n"/>
      <c r="J26" s="45" t="n"/>
      <c r="K26" s="85" t="n"/>
      <c r="L26" s="85" t="n"/>
      <c r="M26" s="88" t="n"/>
      <c r="N26" s="88" t="n"/>
      <c r="O26" s="44" t="n"/>
      <c r="P26" s="45" t="n"/>
      <c r="Q26" s="45" t="n"/>
      <c r="R26" s="44" t="n"/>
      <c r="S26" s="45" t="n"/>
      <c r="T26" s="45" t="n"/>
      <c r="U26" s="85" t="n"/>
      <c r="V26" s="44" t="n"/>
      <c r="W26" s="45" t="n"/>
      <c r="X26" s="45" t="n"/>
      <c r="Y26" s="44" t="n"/>
      <c r="Z26" s="85" t="n"/>
      <c r="AA26" s="44" t="n"/>
      <c r="AB26" s="44" t="n"/>
      <c r="AC26" s="44" t="n"/>
      <c r="AD26" s="44" t="n"/>
      <c r="AE26" s="44" t="n"/>
      <c r="AF26" s="88" t="n"/>
      <c r="AG26" s="85" t="n"/>
      <c r="AH26" s="85" t="n"/>
      <c r="AI26" s="85" t="n"/>
      <c r="AJ26" s="85" t="n"/>
      <c r="AK26" s="85" t="n"/>
      <c r="AL26" s="85" t="n"/>
      <c r="AM26" s="85" t="n"/>
      <c r="AN26" s="85" t="n"/>
      <c r="AO26" s="85" t="n"/>
      <c r="AP26" s="85" t="n"/>
      <c r="AQ26" s="85" t="n"/>
      <c r="AR26" s="85" t="n"/>
      <c r="AS26" s="85" t="n"/>
      <c r="AT26" s="85" t="n"/>
      <c r="AU26" s="85" t="n"/>
      <c r="AV26" s="85" t="n"/>
      <c r="AW26" s="44" t="n"/>
      <c r="AX26" s="85" t="n"/>
      <c r="AY26" s="88" t="n"/>
      <c r="AZ26" s="86" t="n"/>
      <c r="BA26" s="44" t="n"/>
      <c r="BB26" s="44" t="n"/>
      <c r="BC26" s="87" t="n"/>
      <c r="BD26" s="44" t="n"/>
      <c r="BE26" s="87" t="n"/>
      <c r="BF26" s="85" t="n"/>
      <c r="BG26" s="44" t="n"/>
      <c r="BH26" s="44" t="n"/>
      <c r="BI26" s="85" t="n"/>
      <c r="BJ26" s="44" t="n"/>
      <c r="BK26" s="45" t="n"/>
      <c r="BL26" s="44" t="n"/>
      <c r="BM26" s="85" t="n"/>
      <c r="BN26" s="44" t="n"/>
      <c r="BO26" s="85" t="n"/>
      <c r="BP26" s="86" t="n"/>
      <c r="BQ26" s="44" t="n"/>
      <c r="BR26" s="50" t="n"/>
      <c r="BS26" s="89" t="n"/>
      <c r="BT26" s="50">
        <f>IF(OR(K26="",L26="",M26=""),"",IF(ABS(ROUND(((ROUND(N(K26)*100,0))-(0))*(100+N(M26))/100,0)-(ROUND(N(L26)*100,0)))&lt;=0+IF(((ROUND(N(K26)*100,0))-(0))*(100+N(M26))/100&lt;&gt;ROUND(((ROUND(N(K26)*100,0))-(0))*(100+N(M26))/100,0),1,0),"OK","ABWEICHUNG"))</f>
        <v/>
      </c>
    </row>
    <row r="27">
      <c r="A27" s="50" t="n"/>
      <c r="B27" s="44" t="n"/>
      <c r="C27" s="44" t="n"/>
      <c r="D27" s="44" t="n"/>
      <c r="E27" s="44" t="n"/>
      <c r="F27" s="44" t="n"/>
      <c r="G27" s="44" t="n"/>
      <c r="H27" s="44" t="n"/>
      <c r="I27" s="45" t="n"/>
      <c r="J27" s="45" t="n"/>
      <c r="K27" s="85" t="n"/>
      <c r="L27" s="85" t="n"/>
      <c r="M27" s="88" t="n"/>
      <c r="N27" s="88" t="n"/>
      <c r="O27" s="44" t="n"/>
      <c r="P27" s="45" t="n"/>
      <c r="Q27" s="45" t="n"/>
      <c r="R27" s="44" t="n"/>
      <c r="S27" s="45" t="n"/>
      <c r="T27" s="45" t="n"/>
      <c r="U27" s="85" t="n"/>
      <c r="V27" s="44" t="n"/>
      <c r="W27" s="45" t="n"/>
      <c r="X27" s="45" t="n"/>
      <c r="Y27" s="44" t="n"/>
      <c r="Z27" s="85" t="n"/>
      <c r="AA27" s="44" t="n"/>
      <c r="AB27" s="44" t="n"/>
      <c r="AC27" s="44" t="n"/>
      <c r="AD27" s="44" t="n"/>
      <c r="AE27" s="44" t="n"/>
      <c r="AF27" s="88" t="n"/>
      <c r="AG27" s="85" t="n"/>
      <c r="AH27" s="85" t="n"/>
      <c r="AI27" s="85" t="n"/>
      <c r="AJ27" s="85" t="n"/>
      <c r="AK27" s="85" t="n"/>
      <c r="AL27" s="85" t="n"/>
      <c r="AM27" s="85" t="n"/>
      <c r="AN27" s="85" t="n"/>
      <c r="AO27" s="85" t="n"/>
      <c r="AP27" s="85" t="n"/>
      <c r="AQ27" s="85" t="n"/>
      <c r="AR27" s="85" t="n"/>
      <c r="AS27" s="85" t="n"/>
      <c r="AT27" s="85" t="n"/>
      <c r="AU27" s="85" t="n"/>
      <c r="AV27" s="85" t="n"/>
      <c r="AW27" s="44" t="n"/>
      <c r="AX27" s="85" t="n"/>
      <c r="AY27" s="88" t="n"/>
      <c r="AZ27" s="86" t="n"/>
      <c r="BA27" s="44" t="n"/>
      <c r="BB27" s="44" t="n"/>
      <c r="BC27" s="87" t="n"/>
      <c r="BD27" s="44" t="n"/>
      <c r="BE27" s="87" t="n"/>
      <c r="BF27" s="85" t="n"/>
      <c r="BG27" s="44" t="n"/>
      <c r="BH27" s="44" t="n"/>
      <c r="BI27" s="85" t="n"/>
      <c r="BJ27" s="44" t="n"/>
      <c r="BK27" s="45" t="n"/>
      <c r="BL27" s="44" t="n"/>
      <c r="BM27" s="85" t="n"/>
      <c r="BN27" s="44" t="n"/>
      <c r="BO27" s="85" t="n"/>
      <c r="BP27" s="86" t="n"/>
      <c r="BQ27" s="44" t="n"/>
      <c r="BR27" s="50" t="n"/>
      <c r="BS27" s="89" t="n"/>
      <c r="BT27" s="50">
        <f>IF(OR(K27="",L27="",M27=""),"",IF(ABS(ROUND(((ROUND(N(K27)*100,0))-(0))*(100+N(M27))/100,0)-(ROUND(N(L27)*100,0)))&lt;=0+IF(((ROUND(N(K27)*100,0))-(0))*(100+N(M27))/100&lt;&gt;ROUND(((ROUND(N(K27)*100,0))-(0))*(100+N(M27))/100,0),1,0),"OK","ABWEICHUNG"))</f>
        <v/>
      </c>
    </row>
    <row r="28">
      <c r="A28" s="50" t="n"/>
      <c r="B28" s="44" t="n"/>
      <c r="C28" s="44" t="n"/>
      <c r="D28" s="44" t="n"/>
      <c r="E28" s="44" t="n"/>
      <c r="F28" s="44" t="n"/>
      <c r="G28" s="44" t="n"/>
      <c r="H28" s="44" t="n"/>
      <c r="I28" s="45" t="n"/>
      <c r="J28" s="45" t="n"/>
      <c r="K28" s="85" t="n"/>
      <c r="L28" s="85" t="n"/>
      <c r="M28" s="88" t="n"/>
      <c r="N28" s="88" t="n"/>
      <c r="O28" s="44" t="n"/>
      <c r="P28" s="45" t="n"/>
      <c r="Q28" s="45" t="n"/>
      <c r="R28" s="44" t="n"/>
      <c r="S28" s="45" t="n"/>
      <c r="T28" s="45" t="n"/>
      <c r="U28" s="85" t="n"/>
      <c r="V28" s="44" t="n"/>
      <c r="W28" s="45" t="n"/>
      <c r="X28" s="45" t="n"/>
      <c r="Y28" s="44" t="n"/>
      <c r="Z28" s="85" t="n"/>
      <c r="AA28" s="44" t="n"/>
      <c r="AB28" s="44" t="n"/>
      <c r="AC28" s="44" t="n"/>
      <c r="AD28" s="44" t="n"/>
      <c r="AE28" s="44" t="n"/>
      <c r="AF28" s="88" t="n"/>
      <c r="AG28" s="85" t="n"/>
      <c r="AH28" s="85" t="n"/>
      <c r="AI28" s="85" t="n"/>
      <c r="AJ28" s="85" t="n"/>
      <c r="AK28" s="85" t="n"/>
      <c r="AL28" s="85" t="n"/>
      <c r="AM28" s="85" t="n"/>
      <c r="AN28" s="85" t="n"/>
      <c r="AO28" s="85" t="n"/>
      <c r="AP28" s="85" t="n"/>
      <c r="AQ28" s="85" t="n"/>
      <c r="AR28" s="85" t="n"/>
      <c r="AS28" s="85" t="n"/>
      <c r="AT28" s="85" t="n"/>
      <c r="AU28" s="85" t="n"/>
      <c r="AV28" s="85" t="n"/>
      <c r="AW28" s="44" t="n"/>
      <c r="AX28" s="85" t="n"/>
      <c r="AY28" s="88" t="n"/>
      <c r="AZ28" s="86" t="n"/>
      <c r="BA28" s="44" t="n"/>
      <c r="BB28" s="44" t="n"/>
      <c r="BC28" s="87" t="n"/>
      <c r="BD28" s="44" t="n"/>
      <c r="BE28" s="87" t="n"/>
      <c r="BF28" s="85" t="n"/>
      <c r="BG28" s="44" t="n"/>
      <c r="BH28" s="44" t="n"/>
      <c r="BI28" s="85" t="n"/>
      <c r="BJ28" s="44" t="n"/>
      <c r="BK28" s="45" t="n"/>
      <c r="BL28" s="44" t="n"/>
      <c r="BM28" s="85" t="n"/>
      <c r="BN28" s="44" t="n"/>
      <c r="BO28" s="85" t="n"/>
      <c r="BP28" s="86" t="n"/>
      <c r="BQ28" s="44" t="n"/>
      <c r="BR28" s="50" t="n"/>
      <c r="BS28" s="89" t="n"/>
      <c r="BT28" s="50">
        <f>IF(OR(K28="",L28="",M28=""),"",IF(ABS(ROUND(((ROUND(N(K28)*100,0))-(0))*(100+N(M28))/100,0)-(ROUND(N(L28)*100,0)))&lt;=0+IF(((ROUND(N(K28)*100,0))-(0))*(100+N(M28))/100&lt;&gt;ROUND(((ROUND(N(K28)*100,0))-(0))*(100+N(M28))/100,0),1,0),"OK","ABWEICHUNG"))</f>
        <v/>
      </c>
    </row>
    <row r="29">
      <c r="A29" s="50" t="n"/>
      <c r="B29" s="44" t="n"/>
      <c r="C29" s="44" t="n"/>
      <c r="D29" s="44" t="n"/>
      <c r="E29" s="44" t="n"/>
      <c r="F29" s="44" t="n"/>
      <c r="G29" s="44" t="n"/>
      <c r="H29" s="44" t="n"/>
      <c r="I29" s="45" t="n"/>
      <c r="J29" s="45" t="n"/>
      <c r="K29" s="85" t="n"/>
      <c r="L29" s="85" t="n"/>
      <c r="M29" s="88" t="n"/>
      <c r="N29" s="88" t="n"/>
      <c r="O29" s="44" t="n"/>
      <c r="P29" s="45" t="n"/>
      <c r="Q29" s="45" t="n"/>
      <c r="R29" s="44" t="n"/>
      <c r="S29" s="45" t="n"/>
      <c r="T29" s="45" t="n"/>
      <c r="U29" s="85" t="n"/>
      <c r="V29" s="44" t="n"/>
      <c r="W29" s="45" t="n"/>
      <c r="X29" s="45" t="n"/>
      <c r="Y29" s="44" t="n"/>
      <c r="Z29" s="85" t="n"/>
      <c r="AA29" s="44" t="n"/>
      <c r="AB29" s="44" t="n"/>
      <c r="AC29" s="44" t="n"/>
      <c r="AD29" s="44" t="n"/>
      <c r="AE29" s="44" t="n"/>
      <c r="AF29" s="88" t="n"/>
      <c r="AG29" s="85" t="n"/>
      <c r="AH29" s="85" t="n"/>
      <c r="AI29" s="85" t="n"/>
      <c r="AJ29" s="85" t="n"/>
      <c r="AK29" s="85" t="n"/>
      <c r="AL29" s="85" t="n"/>
      <c r="AM29" s="85" t="n"/>
      <c r="AN29" s="85" t="n"/>
      <c r="AO29" s="85" t="n"/>
      <c r="AP29" s="85" t="n"/>
      <c r="AQ29" s="85" t="n"/>
      <c r="AR29" s="85" t="n"/>
      <c r="AS29" s="85" t="n"/>
      <c r="AT29" s="85" t="n"/>
      <c r="AU29" s="85" t="n"/>
      <c r="AV29" s="85" t="n"/>
      <c r="AW29" s="44" t="n"/>
      <c r="AX29" s="85" t="n"/>
      <c r="AY29" s="88" t="n"/>
      <c r="AZ29" s="86" t="n"/>
      <c r="BA29" s="44" t="n"/>
      <c r="BB29" s="44" t="n"/>
      <c r="BC29" s="87" t="n"/>
      <c r="BD29" s="44" t="n"/>
      <c r="BE29" s="87" t="n"/>
      <c r="BF29" s="85" t="n"/>
      <c r="BG29" s="44" t="n"/>
      <c r="BH29" s="44" t="n"/>
      <c r="BI29" s="85" t="n"/>
      <c r="BJ29" s="44" t="n"/>
      <c r="BK29" s="45" t="n"/>
      <c r="BL29" s="44" t="n"/>
      <c r="BM29" s="85" t="n"/>
      <c r="BN29" s="44" t="n"/>
      <c r="BO29" s="85" t="n"/>
      <c r="BP29" s="86" t="n"/>
      <c r="BQ29" s="44" t="n"/>
      <c r="BR29" s="50" t="n"/>
      <c r="BS29" s="89" t="n"/>
      <c r="BT29" s="50">
        <f>IF(OR(K29="",L29="",M29=""),"",IF(ABS(ROUND(((ROUND(N(K29)*100,0))-(0))*(100+N(M29))/100,0)-(ROUND(N(L29)*100,0)))&lt;=0+IF(((ROUND(N(K29)*100,0))-(0))*(100+N(M29))/100&lt;&gt;ROUND(((ROUND(N(K29)*100,0))-(0))*(100+N(M29))/100,0),1,0),"OK","ABWEICHUNG"))</f>
        <v/>
      </c>
    </row>
    <row r="30">
      <c r="A30" s="50" t="n"/>
      <c r="B30" s="44" t="n"/>
      <c r="C30" s="44" t="n"/>
      <c r="D30" s="44" t="n"/>
      <c r="E30" s="44" t="n"/>
      <c r="F30" s="44" t="n"/>
      <c r="G30" s="44" t="n"/>
      <c r="H30" s="44" t="n"/>
      <c r="I30" s="45" t="n"/>
      <c r="J30" s="45" t="n"/>
      <c r="K30" s="85" t="n"/>
      <c r="L30" s="85" t="n"/>
      <c r="M30" s="88" t="n"/>
      <c r="N30" s="88" t="n"/>
      <c r="O30" s="44" t="n"/>
      <c r="P30" s="45" t="n"/>
      <c r="Q30" s="45" t="n"/>
      <c r="R30" s="44" t="n"/>
      <c r="S30" s="45" t="n"/>
      <c r="T30" s="45" t="n"/>
      <c r="U30" s="85" t="n"/>
      <c r="V30" s="44" t="n"/>
      <c r="W30" s="45" t="n"/>
      <c r="X30" s="45" t="n"/>
      <c r="Y30" s="44" t="n"/>
      <c r="Z30" s="85" t="n"/>
      <c r="AA30" s="44" t="n"/>
      <c r="AB30" s="44" t="n"/>
      <c r="AC30" s="44" t="n"/>
      <c r="AD30" s="44" t="n"/>
      <c r="AE30" s="44" t="n"/>
      <c r="AF30" s="88" t="n"/>
      <c r="AG30" s="85" t="n"/>
      <c r="AH30" s="85" t="n"/>
      <c r="AI30" s="85" t="n"/>
      <c r="AJ30" s="85" t="n"/>
      <c r="AK30" s="85" t="n"/>
      <c r="AL30" s="85" t="n"/>
      <c r="AM30" s="85" t="n"/>
      <c r="AN30" s="85" t="n"/>
      <c r="AO30" s="85" t="n"/>
      <c r="AP30" s="85" t="n"/>
      <c r="AQ30" s="85" t="n"/>
      <c r="AR30" s="85" t="n"/>
      <c r="AS30" s="85" t="n"/>
      <c r="AT30" s="85" t="n"/>
      <c r="AU30" s="85" t="n"/>
      <c r="AV30" s="85" t="n"/>
      <c r="AW30" s="44" t="n"/>
      <c r="AX30" s="85" t="n"/>
      <c r="AY30" s="88" t="n"/>
      <c r="AZ30" s="86" t="n"/>
      <c r="BA30" s="44" t="n"/>
      <c r="BB30" s="44" t="n"/>
      <c r="BC30" s="87" t="n"/>
      <c r="BD30" s="44" t="n"/>
      <c r="BE30" s="87" t="n"/>
      <c r="BF30" s="85" t="n"/>
      <c r="BG30" s="44" t="n"/>
      <c r="BH30" s="44" t="n"/>
      <c r="BI30" s="85" t="n"/>
      <c r="BJ30" s="44" t="n"/>
      <c r="BK30" s="45" t="n"/>
      <c r="BL30" s="44" t="n"/>
      <c r="BM30" s="85" t="n"/>
      <c r="BN30" s="44" t="n"/>
      <c r="BO30" s="85" t="n"/>
      <c r="BP30" s="86" t="n"/>
      <c r="BQ30" s="44" t="n"/>
      <c r="BR30" s="50" t="n"/>
      <c r="BS30" s="89" t="n"/>
      <c r="BT30" s="50">
        <f>IF(OR(K30="",L30="",M30=""),"",IF(ABS(ROUND(((ROUND(N(K30)*100,0))-(0))*(100+N(M30))/100,0)-(ROUND(N(L30)*100,0)))&lt;=0+IF(((ROUND(N(K30)*100,0))-(0))*(100+N(M30))/100&lt;&gt;ROUND(((ROUND(N(K30)*100,0))-(0))*(100+N(M30))/100,0),1,0),"OK","ABWEICHUNG"))</f>
        <v/>
      </c>
    </row>
    <row r="31">
      <c r="A31" s="50" t="n"/>
      <c r="B31" s="44" t="n"/>
      <c r="C31" s="44" t="n"/>
      <c r="D31" s="44" t="n"/>
      <c r="E31" s="44" t="n"/>
      <c r="F31" s="44" t="n"/>
      <c r="G31" s="44" t="n"/>
      <c r="H31" s="44" t="n"/>
      <c r="I31" s="45" t="n"/>
      <c r="J31" s="45" t="n"/>
      <c r="K31" s="85" t="n"/>
      <c r="L31" s="85" t="n"/>
      <c r="M31" s="88" t="n"/>
      <c r="N31" s="88" t="n"/>
      <c r="O31" s="44" t="n"/>
      <c r="P31" s="45" t="n"/>
      <c r="Q31" s="45" t="n"/>
      <c r="R31" s="44" t="n"/>
      <c r="S31" s="45" t="n"/>
      <c r="T31" s="45" t="n"/>
      <c r="U31" s="85" t="n"/>
      <c r="V31" s="44" t="n"/>
      <c r="W31" s="45" t="n"/>
      <c r="X31" s="45" t="n"/>
      <c r="Y31" s="44" t="n"/>
      <c r="Z31" s="85" t="n"/>
      <c r="AA31" s="44" t="n"/>
      <c r="AB31" s="44" t="n"/>
      <c r="AC31" s="44" t="n"/>
      <c r="AD31" s="44" t="n"/>
      <c r="AE31" s="44" t="n"/>
      <c r="AF31" s="88" t="n"/>
      <c r="AG31" s="85" t="n"/>
      <c r="AH31" s="85" t="n"/>
      <c r="AI31" s="85" t="n"/>
      <c r="AJ31" s="85" t="n"/>
      <c r="AK31" s="85" t="n"/>
      <c r="AL31" s="85" t="n"/>
      <c r="AM31" s="85" t="n"/>
      <c r="AN31" s="85" t="n"/>
      <c r="AO31" s="85" t="n"/>
      <c r="AP31" s="85" t="n"/>
      <c r="AQ31" s="85" t="n"/>
      <c r="AR31" s="85" t="n"/>
      <c r="AS31" s="85" t="n"/>
      <c r="AT31" s="85" t="n"/>
      <c r="AU31" s="85" t="n"/>
      <c r="AV31" s="85" t="n"/>
      <c r="AW31" s="44" t="n"/>
      <c r="AX31" s="85" t="n"/>
      <c r="AY31" s="88" t="n"/>
      <c r="AZ31" s="86" t="n"/>
      <c r="BA31" s="44" t="n"/>
      <c r="BB31" s="44" t="n"/>
      <c r="BC31" s="87" t="n"/>
      <c r="BD31" s="44" t="n"/>
      <c r="BE31" s="87" t="n"/>
      <c r="BF31" s="85" t="n"/>
      <c r="BG31" s="44" t="n"/>
      <c r="BH31" s="44" t="n"/>
      <c r="BI31" s="85" t="n"/>
      <c r="BJ31" s="44" t="n"/>
      <c r="BK31" s="45" t="n"/>
      <c r="BL31" s="44" t="n"/>
      <c r="BM31" s="85" t="n"/>
      <c r="BN31" s="44" t="n"/>
      <c r="BO31" s="85" t="n"/>
      <c r="BP31" s="86" t="n"/>
      <c r="BQ31" s="44" t="n"/>
      <c r="BR31" s="50" t="n"/>
      <c r="BS31" s="89" t="n"/>
      <c r="BT31" s="50">
        <f>IF(OR(K31="",L31="",M31=""),"",IF(ABS(ROUND(((ROUND(N(K31)*100,0))-(0))*(100+N(M31))/100,0)-(ROUND(N(L31)*100,0)))&lt;=0+IF(((ROUND(N(K31)*100,0))-(0))*(100+N(M31))/100&lt;&gt;ROUND(((ROUND(N(K31)*100,0))-(0))*(100+N(M31))/100,0),1,0),"OK","ABWEICHUNG"))</f>
        <v/>
      </c>
    </row>
    <row r="32">
      <c r="A32" s="50" t="n"/>
      <c r="B32" s="44" t="n"/>
      <c r="C32" s="44" t="n"/>
      <c r="D32" s="44" t="n"/>
      <c r="E32" s="44" t="n"/>
      <c r="F32" s="44" t="n"/>
      <c r="G32" s="44" t="n"/>
      <c r="H32" s="44" t="n"/>
      <c r="I32" s="45" t="n"/>
      <c r="J32" s="45" t="n"/>
      <c r="K32" s="85" t="n"/>
      <c r="L32" s="85" t="n"/>
      <c r="M32" s="88" t="n"/>
      <c r="N32" s="88" t="n"/>
      <c r="O32" s="44" t="n"/>
      <c r="P32" s="45" t="n"/>
      <c r="Q32" s="45" t="n"/>
      <c r="R32" s="44" t="n"/>
      <c r="S32" s="45" t="n"/>
      <c r="T32" s="45" t="n"/>
      <c r="U32" s="85" t="n"/>
      <c r="V32" s="44" t="n"/>
      <c r="W32" s="45" t="n"/>
      <c r="X32" s="45" t="n"/>
      <c r="Y32" s="44" t="n"/>
      <c r="Z32" s="85" t="n"/>
      <c r="AA32" s="44" t="n"/>
      <c r="AB32" s="44" t="n"/>
      <c r="AC32" s="44" t="n"/>
      <c r="AD32" s="44" t="n"/>
      <c r="AE32" s="44" t="n"/>
      <c r="AF32" s="88" t="n"/>
      <c r="AG32" s="85" t="n"/>
      <c r="AH32" s="85" t="n"/>
      <c r="AI32" s="85" t="n"/>
      <c r="AJ32" s="85" t="n"/>
      <c r="AK32" s="85" t="n"/>
      <c r="AL32" s="85" t="n"/>
      <c r="AM32" s="85" t="n"/>
      <c r="AN32" s="85" t="n"/>
      <c r="AO32" s="85" t="n"/>
      <c r="AP32" s="85" t="n"/>
      <c r="AQ32" s="85" t="n"/>
      <c r="AR32" s="85" t="n"/>
      <c r="AS32" s="85" t="n"/>
      <c r="AT32" s="85" t="n"/>
      <c r="AU32" s="85" t="n"/>
      <c r="AV32" s="85" t="n"/>
      <c r="AW32" s="44" t="n"/>
      <c r="AX32" s="85" t="n"/>
      <c r="AY32" s="88" t="n"/>
      <c r="AZ32" s="86" t="n"/>
      <c r="BA32" s="44" t="n"/>
      <c r="BB32" s="44" t="n"/>
      <c r="BC32" s="87" t="n"/>
      <c r="BD32" s="44" t="n"/>
      <c r="BE32" s="87" t="n"/>
      <c r="BF32" s="85" t="n"/>
      <c r="BG32" s="44" t="n"/>
      <c r="BH32" s="44" t="n"/>
      <c r="BI32" s="85" t="n"/>
      <c r="BJ32" s="44" t="n"/>
      <c r="BK32" s="45" t="n"/>
      <c r="BL32" s="44" t="n"/>
      <c r="BM32" s="85" t="n"/>
      <c r="BN32" s="44" t="n"/>
      <c r="BO32" s="85" t="n"/>
      <c r="BP32" s="86" t="n"/>
      <c r="BQ32" s="44" t="n"/>
      <c r="BR32" s="50" t="n"/>
      <c r="BS32" s="89" t="n"/>
      <c r="BT32" s="50">
        <f>IF(OR(K32="",L32="",M32=""),"",IF(ABS(ROUND(((ROUND(N(K32)*100,0))-(0))*(100+N(M32))/100,0)-(ROUND(N(L32)*100,0)))&lt;=0+IF(((ROUND(N(K32)*100,0))-(0))*(100+N(M32))/100&lt;&gt;ROUND(((ROUND(N(K32)*100,0))-(0))*(100+N(M32))/100,0),1,0),"OK","ABWEICHUNG"))</f>
        <v/>
      </c>
    </row>
    <row r="33">
      <c r="A33" s="50" t="n"/>
      <c r="B33" s="44" t="n"/>
      <c r="C33" s="44" t="n"/>
      <c r="D33" s="44" t="n"/>
      <c r="E33" s="44" t="n"/>
      <c r="F33" s="44" t="n"/>
      <c r="G33" s="44" t="n"/>
      <c r="H33" s="44" t="n"/>
      <c r="I33" s="45" t="n"/>
      <c r="J33" s="45" t="n"/>
      <c r="K33" s="85" t="n"/>
      <c r="L33" s="85" t="n"/>
      <c r="M33" s="88" t="n"/>
      <c r="N33" s="88" t="n"/>
      <c r="O33" s="44" t="n"/>
      <c r="P33" s="45" t="n"/>
      <c r="Q33" s="45" t="n"/>
      <c r="R33" s="44" t="n"/>
      <c r="S33" s="45" t="n"/>
      <c r="T33" s="45" t="n"/>
      <c r="U33" s="85" t="n"/>
      <c r="V33" s="44" t="n"/>
      <c r="W33" s="45" t="n"/>
      <c r="X33" s="45" t="n"/>
      <c r="Y33" s="44" t="n"/>
      <c r="Z33" s="85" t="n"/>
      <c r="AA33" s="44" t="n"/>
      <c r="AB33" s="44" t="n"/>
      <c r="AC33" s="44" t="n"/>
      <c r="AD33" s="44" t="n"/>
      <c r="AE33" s="44" t="n"/>
      <c r="AF33" s="88" t="n"/>
      <c r="AG33" s="85" t="n"/>
      <c r="AH33" s="85" t="n"/>
      <c r="AI33" s="85" t="n"/>
      <c r="AJ33" s="85" t="n"/>
      <c r="AK33" s="85" t="n"/>
      <c r="AL33" s="85" t="n"/>
      <c r="AM33" s="85" t="n"/>
      <c r="AN33" s="85" t="n"/>
      <c r="AO33" s="85" t="n"/>
      <c r="AP33" s="85" t="n"/>
      <c r="AQ33" s="85" t="n"/>
      <c r="AR33" s="85" t="n"/>
      <c r="AS33" s="85" t="n"/>
      <c r="AT33" s="85" t="n"/>
      <c r="AU33" s="85" t="n"/>
      <c r="AV33" s="85" t="n"/>
      <c r="AW33" s="44" t="n"/>
      <c r="AX33" s="85" t="n"/>
      <c r="AY33" s="88" t="n"/>
      <c r="AZ33" s="86" t="n"/>
      <c r="BA33" s="44" t="n"/>
      <c r="BB33" s="44" t="n"/>
      <c r="BC33" s="87" t="n"/>
      <c r="BD33" s="44" t="n"/>
      <c r="BE33" s="87" t="n"/>
      <c r="BF33" s="85" t="n"/>
      <c r="BG33" s="44" t="n"/>
      <c r="BH33" s="44" t="n"/>
      <c r="BI33" s="85" t="n"/>
      <c r="BJ33" s="44" t="n"/>
      <c r="BK33" s="45" t="n"/>
      <c r="BL33" s="44" t="n"/>
      <c r="BM33" s="85" t="n"/>
      <c r="BN33" s="44" t="n"/>
      <c r="BO33" s="85" t="n"/>
      <c r="BP33" s="86" t="n"/>
      <c r="BQ33" s="44" t="n"/>
      <c r="BR33" s="50" t="n"/>
      <c r="BS33" s="89" t="n"/>
      <c r="BT33" s="50">
        <f>IF(OR(K33="",L33="",M33=""),"",IF(ABS(ROUND(((ROUND(N(K33)*100,0))-(0))*(100+N(M33))/100,0)-(ROUND(N(L33)*100,0)))&lt;=0+IF(((ROUND(N(K33)*100,0))-(0))*(100+N(M33))/100&lt;&gt;ROUND(((ROUND(N(K33)*100,0))-(0))*(100+N(M33))/100,0),1,0),"OK","ABWEICHUNG"))</f>
        <v/>
      </c>
    </row>
    <row r="34">
      <c r="A34" s="50" t="n"/>
      <c r="B34" s="44" t="n"/>
      <c r="C34" s="44" t="n"/>
      <c r="D34" s="44" t="n"/>
      <c r="E34" s="44" t="n"/>
      <c r="F34" s="44" t="n"/>
      <c r="G34" s="44" t="n"/>
      <c r="H34" s="44" t="n"/>
      <c r="I34" s="45" t="n"/>
      <c r="J34" s="45" t="n"/>
      <c r="K34" s="85" t="n"/>
      <c r="L34" s="85" t="n"/>
      <c r="M34" s="88" t="n"/>
      <c r="N34" s="88" t="n"/>
      <c r="O34" s="44" t="n"/>
      <c r="P34" s="45" t="n"/>
      <c r="Q34" s="45" t="n"/>
      <c r="R34" s="44" t="n"/>
      <c r="S34" s="45" t="n"/>
      <c r="T34" s="45" t="n"/>
      <c r="U34" s="85" t="n"/>
      <c r="V34" s="44" t="n"/>
      <c r="W34" s="45" t="n"/>
      <c r="X34" s="45" t="n"/>
      <c r="Y34" s="44" t="n"/>
      <c r="Z34" s="85" t="n"/>
      <c r="AA34" s="44" t="n"/>
      <c r="AB34" s="44" t="n"/>
      <c r="AC34" s="44" t="n"/>
      <c r="AD34" s="44" t="n"/>
      <c r="AE34" s="44" t="n"/>
      <c r="AF34" s="88" t="n"/>
      <c r="AG34" s="85" t="n"/>
      <c r="AH34" s="85" t="n"/>
      <c r="AI34" s="85" t="n"/>
      <c r="AJ34" s="85" t="n"/>
      <c r="AK34" s="85" t="n"/>
      <c r="AL34" s="85" t="n"/>
      <c r="AM34" s="85" t="n"/>
      <c r="AN34" s="85" t="n"/>
      <c r="AO34" s="85" t="n"/>
      <c r="AP34" s="85" t="n"/>
      <c r="AQ34" s="85" t="n"/>
      <c r="AR34" s="85" t="n"/>
      <c r="AS34" s="85" t="n"/>
      <c r="AT34" s="85" t="n"/>
      <c r="AU34" s="85" t="n"/>
      <c r="AV34" s="85" t="n"/>
      <c r="AW34" s="44" t="n"/>
      <c r="AX34" s="85" t="n"/>
      <c r="AY34" s="88" t="n"/>
      <c r="AZ34" s="86" t="n"/>
      <c r="BA34" s="44" t="n"/>
      <c r="BB34" s="44" t="n"/>
      <c r="BC34" s="87" t="n"/>
      <c r="BD34" s="44" t="n"/>
      <c r="BE34" s="87" t="n"/>
      <c r="BF34" s="85" t="n"/>
      <c r="BG34" s="44" t="n"/>
      <c r="BH34" s="44" t="n"/>
      <c r="BI34" s="85" t="n"/>
      <c r="BJ34" s="44" t="n"/>
      <c r="BK34" s="45" t="n"/>
      <c r="BL34" s="44" t="n"/>
      <c r="BM34" s="85" t="n"/>
      <c r="BN34" s="44" t="n"/>
      <c r="BO34" s="85" t="n"/>
      <c r="BP34" s="86" t="n"/>
      <c r="BQ34" s="44" t="n"/>
      <c r="BR34" s="50" t="n"/>
      <c r="BS34" s="89" t="n"/>
      <c r="BT34" s="50">
        <f>IF(OR(K34="",L34="",M34=""),"",IF(ABS(ROUND(((ROUND(N(K34)*100,0))-(0))*(100+N(M34))/100,0)-(ROUND(N(L34)*100,0)))&lt;=0+IF(((ROUND(N(K34)*100,0))-(0))*(100+N(M34))/100&lt;&gt;ROUND(((ROUND(N(K34)*100,0))-(0))*(100+N(M34))/100,0),1,0),"OK","ABWEICHUNG"))</f>
        <v/>
      </c>
    </row>
    <row r="35">
      <c r="A35" s="50" t="n"/>
      <c r="B35" s="44" t="n"/>
      <c r="C35" s="44" t="n"/>
      <c r="D35" s="44" t="n"/>
      <c r="E35" s="44" t="n"/>
      <c r="F35" s="44" t="n"/>
      <c r="G35" s="44" t="n"/>
      <c r="H35" s="44" t="n"/>
      <c r="I35" s="45" t="n"/>
      <c r="J35" s="45" t="n"/>
      <c r="K35" s="85" t="n"/>
      <c r="L35" s="85" t="n"/>
      <c r="M35" s="88" t="n"/>
      <c r="N35" s="88" t="n"/>
      <c r="O35" s="44" t="n"/>
      <c r="P35" s="45" t="n"/>
      <c r="Q35" s="45" t="n"/>
      <c r="R35" s="44" t="n"/>
      <c r="S35" s="45" t="n"/>
      <c r="T35" s="45" t="n"/>
      <c r="U35" s="85" t="n"/>
      <c r="V35" s="44" t="n"/>
      <c r="W35" s="45" t="n"/>
      <c r="X35" s="45" t="n"/>
      <c r="Y35" s="44" t="n"/>
      <c r="Z35" s="85" t="n"/>
      <c r="AA35" s="44" t="n"/>
      <c r="AB35" s="44" t="n"/>
      <c r="AC35" s="44" t="n"/>
      <c r="AD35" s="44" t="n"/>
      <c r="AE35" s="44" t="n"/>
      <c r="AF35" s="88" t="n"/>
      <c r="AG35" s="85" t="n"/>
      <c r="AH35" s="85" t="n"/>
      <c r="AI35" s="85" t="n"/>
      <c r="AJ35" s="85" t="n"/>
      <c r="AK35" s="85" t="n"/>
      <c r="AL35" s="85" t="n"/>
      <c r="AM35" s="85" t="n"/>
      <c r="AN35" s="85" t="n"/>
      <c r="AO35" s="85" t="n"/>
      <c r="AP35" s="85" t="n"/>
      <c r="AQ35" s="85" t="n"/>
      <c r="AR35" s="85" t="n"/>
      <c r="AS35" s="85" t="n"/>
      <c r="AT35" s="85" t="n"/>
      <c r="AU35" s="85" t="n"/>
      <c r="AV35" s="85" t="n"/>
      <c r="AW35" s="44" t="n"/>
      <c r="AX35" s="85" t="n"/>
      <c r="AY35" s="88" t="n"/>
      <c r="AZ35" s="86" t="n"/>
      <c r="BA35" s="44" t="n"/>
      <c r="BB35" s="44" t="n"/>
      <c r="BC35" s="87" t="n"/>
      <c r="BD35" s="44" t="n"/>
      <c r="BE35" s="87" t="n"/>
      <c r="BF35" s="85" t="n"/>
      <c r="BG35" s="44" t="n"/>
      <c r="BH35" s="44" t="n"/>
      <c r="BI35" s="85" t="n"/>
      <c r="BJ35" s="44" t="n"/>
      <c r="BK35" s="45" t="n"/>
      <c r="BL35" s="44" t="n"/>
      <c r="BM35" s="85" t="n"/>
      <c r="BN35" s="44" t="n"/>
      <c r="BO35" s="85" t="n"/>
      <c r="BP35" s="86" t="n"/>
      <c r="BQ35" s="44" t="n"/>
      <c r="BR35" s="50" t="n"/>
      <c r="BS35" s="89" t="n"/>
      <c r="BT35" s="50">
        <f>IF(OR(K35="",L35="",M35=""),"",IF(ABS(ROUND(((ROUND(N(K35)*100,0))-(0))*(100+N(M35))/100,0)-(ROUND(N(L35)*100,0)))&lt;=0+IF(((ROUND(N(K35)*100,0))-(0))*(100+N(M35))/100&lt;&gt;ROUND(((ROUND(N(K35)*100,0))-(0))*(100+N(M35))/100,0),1,0),"OK","ABWEICHUNG"))</f>
        <v/>
      </c>
    </row>
    <row r="36">
      <c r="A36" s="50" t="n"/>
      <c r="B36" s="44" t="n"/>
      <c r="C36" s="44" t="n"/>
      <c r="D36" s="44" t="n"/>
      <c r="E36" s="44" t="n"/>
      <c r="F36" s="44" t="n"/>
      <c r="G36" s="44" t="n"/>
      <c r="H36" s="44" t="n"/>
      <c r="I36" s="45" t="n"/>
      <c r="J36" s="45" t="n"/>
      <c r="K36" s="85" t="n"/>
      <c r="L36" s="85" t="n"/>
      <c r="M36" s="88" t="n"/>
      <c r="N36" s="88" t="n"/>
      <c r="O36" s="44" t="n"/>
      <c r="P36" s="45" t="n"/>
      <c r="Q36" s="45" t="n"/>
      <c r="R36" s="44" t="n"/>
      <c r="S36" s="45" t="n"/>
      <c r="T36" s="45" t="n"/>
      <c r="U36" s="85" t="n"/>
      <c r="V36" s="44" t="n"/>
      <c r="W36" s="45" t="n"/>
      <c r="X36" s="45" t="n"/>
      <c r="Y36" s="44" t="n"/>
      <c r="Z36" s="85" t="n"/>
      <c r="AA36" s="44" t="n"/>
      <c r="AB36" s="44" t="n"/>
      <c r="AC36" s="44" t="n"/>
      <c r="AD36" s="44" t="n"/>
      <c r="AE36" s="44" t="n"/>
      <c r="AF36" s="88" t="n"/>
      <c r="AG36" s="85" t="n"/>
      <c r="AH36" s="85" t="n"/>
      <c r="AI36" s="85" t="n"/>
      <c r="AJ36" s="85" t="n"/>
      <c r="AK36" s="85" t="n"/>
      <c r="AL36" s="85" t="n"/>
      <c r="AM36" s="85" t="n"/>
      <c r="AN36" s="85" t="n"/>
      <c r="AO36" s="85" t="n"/>
      <c r="AP36" s="85" t="n"/>
      <c r="AQ36" s="85" t="n"/>
      <c r="AR36" s="85" t="n"/>
      <c r="AS36" s="85" t="n"/>
      <c r="AT36" s="85" t="n"/>
      <c r="AU36" s="85" t="n"/>
      <c r="AV36" s="85" t="n"/>
      <c r="AW36" s="44" t="n"/>
      <c r="AX36" s="85" t="n"/>
      <c r="AY36" s="88" t="n"/>
      <c r="AZ36" s="86" t="n"/>
      <c r="BA36" s="44" t="n"/>
      <c r="BB36" s="44" t="n"/>
      <c r="BC36" s="87" t="n"/>
      <c r="BD36" s="44" t="n"/>
      <c r="BE36" s="87" t="n"/>
      <c r="BF36" s="85" t="n"/>
      <c r="BG36" s="44" t="n"/>
      <c r="BH36" s="44" t="n"/>
      <c r="BI36" s="85" t="n"/>
      <c r="BJ36" s="44" t="n"/>
      <c r="BK36" s="45" t="n"/>
      <c r="BL36" s="44" t="n"/>
      <c r="BM36" s="85" t="n"/>
      <c r="BN36" s="44" t="n"/>
      <c r="BO36" s="85" t="n"/>
      <c r="BP36" s="86" t="n"/>
      <c r="BQ36" s="44" t="n"/>
      <c r="BR36" s="50" t="n"/>
      <c r="BS36" s="89" t="n"/>
      <c r="BT36" s="50">
        <f>IF(OR(K36="",L36="",M36=""),"",IF(ABS(ROUND(((ROUND(N(K36)*100,0))-(0))*(100+N(M36))/100,0)-(ROUND(N(L36)*100,0)))&lt;=0+IF(((ROUND(N(K36)*100,0))-(0))*(100+N(M36))/100&lt;&gt;ROUND(((ROUND(N(K36)*100,0))-(0))*(100+N(M36))/100,0),1,0),"OK","ABWEICHUNG"))</f>
        <v/>
      </c>
    </row>
    <row r="37">
      <c r="A37" s="50" t="n"/>
      <c r="B37" s="44" t="n"/>
      <c r="C37" s="44" t="n"/>
      <c r="D37" s="44" t="n"/>
      <c r="E37" s="44" t="n"/>
      <c r="F37" s="44" t="n"/>
      <c r="G37" s="44" t="n"/>
      <c r="H37" s="44" t="n"/>
      <c r="I37" s="45" t="n"/>
      <c r="J37" s="45" t="n"/>
      <c r="K37" s="85" t="n"/>
      <c r="L37" s="85" t="n"/>
      <c r="M37" s="88" t="n"/>
      <c r="N37" s="88" t="n"/>
      <c r="O37" s="44" t="n"/>
      <c r="P37" s="45" t="n"/>
      <c r="Q37" s="45" t="n"/>
      <c r="R37" s="44" t="n"/>
      <c r="S37" s="45" t="n"/>
      <c r="T37" s="45" t="n"/>
      <c r="U37" s="85" t="n"/>
      <c r="V37" s="44" t="n"/>
      <c r="W37" s="45" t="n"/>
      <c r="X37" s="45" t="n"/>
      <c r="Y37" s="44" t="n"/>
      <c r="Z37" s="85" t="n"/>
      <c r="AA37" s="44" t="n"/>
      <c r="AB37" s="44" t="n"/>
      <c r="AC37" s="44" t="n"/>
      <c r="AD37" s="44" t="n"/>
      <c r="AE37" s="44" t="n"/>
      <c r="AF37" s="88" t="n"/>
      <c r="AG37" s="85" t="n"/>
      <c r="AH37" s="85" t="n"/>
      <c r="AI37" s="85" t="n"/>
      <c r="AJ37" s="85" t="n"/>
      <c r="AK37" s="85" t="n"/>
      <c r="AL37" s="85" t="n"/>
      <c r="AM37" s="85" t="n"/>
      <c r="AN37" s="85" t="n"/>
      <c r="AO37" s="85" t="n"/>
      <c r="AP37" s="85" t="n"/>
      <c r="AQ37" s="85" t="n"/>
      <c r="AR37" s="85" t="n"/>
      <c r="AS37" s="85" t="n"/>
      <c r="AT37" s="85" t="n"/>
      <c r="AU37" s="85" t="n"/>
      <c r="AV37" s="85" t="n"/>
      <c r="AW37" s="44" t="n"/>
      <c r="AX37" s="85" t="n"/>
      <c r="AY37" s="88" t="n"/>
      <c r="AZ37" s="86" t="n"/>
      <c r="BA37" s="44" t="n"/>
      <c r="BB37" s="44" t="n"/>
      <c r="BC37" s="87" t="n"/>
      <c r="BD37" s="44" t="n"/>
      <c r="BE37" s="87" t="n"/>
      <c r="BF37" s="85" t="n"/>
      <c r="BG37" s="44" t="n"/>
      <c r="BH37" s="44" t="n"/>
      <c r="BI37" s="85" t="n"/>
      <c r="BJ37" s="44" t="n"/>
      <c r="BK37" s="45" t="n"/>
      <c r="BL37" s="44" t="n"/>
      <c r="BM37" s="85" t="n"/>
      <c r="BN37" s="44" t="n"/>
      <c r="BO37" s="85" t="n"/>
      <c r="BP37" s="86" t="n"/>
      <c r="BQ37" s="44" t="n"/>
      <c r="BR37" s="50" t="n"/>
      <c r="BS37" s="89" t="n"/>
      <c r="BT37" s="50">
        <f>IF(OR(K37="",L37="",M37=""),"",IF(ABS(ROUND(((ROUND(N(K37)*100,0))-(0))*(100+N(M37))/100,0)-(ROUND(N(L37)*100,0)))&lt;=0+IF(((ROUND(N(K37)*100,0))-(0))*(100+N(M37))/100&lt;&gt;ROUND(((ROUND(N(K37)*100,0))-(0))*(100+N(M37))/100,0),1,0),"OK","ABWEICHUNG"))</f>
        <v/>
      </c>
    </row>
    <row r="38">
      <c r="A38" s="50" t="n"/>
      <c r="B38" s="44" t="n"/>
      <c r="C38" s="44" t="n"/>
      <c r="D38" s="44" t="n"/>
      <c r="E38" s="44" t="n"/>
      <c r="F38" s="44" t="n"/>
      <c r="G38" s="44" t="n"/>
      <c r="H38" s="44" t="n"/>
      <c r="I38" s="45" t="n"/>
      <c r="J38" s="45" t="n"/>
      <c r="K38" s="85" t="n"/>
      <c r="L38" s="85" t="n"/>
      <c r="M38" s="88" t="n"/>
      <c r="N38" s="88" t="n"/>
      <c r="O38" s="44" t="n"/>
      <c r="P38" s="45" t="n"/>
      <c r="Q38" s="45" t="n"/>
      <c r="R38" s="44" t="n"/>
      <c r="S38" s="45" t="n"/>
      <c r="T38" s="45" t="n"/>
      <c r="U38" s="85" t="n"/>
      <c r="V38" s="44" t="n"/>
      <c r="W38" s="45" t="n"/>
      <c r="X38" s="45" t="n"/>
      <c r="Y38" s="44" t="n"/>
      <c r="Z38" s="85" t="n"/>
      <c r="AA38" s="44" t="n"/>
      <c r="AB38" s="44" t="n"/>
      <c r="AC38" s="44" t="n"/>
      <c r="AD38" s="44" t="n"/>
      <c r="AE38" s="44" t="n"/>
      <c r="AF38" s="88" t="n"/>
      <c r="AG38" s="85" t="n"/>
      <c r="AH38" s="85" t="n"/>
      <c r="AI38" s="85" t="n"/>
      <c r="AJ38" s="85" t="n"/>
      <c r="AK38" s="85" t="n"/>
      <c r="AL38" s="85" t="n"/>
      <c r="AM38" s="85" t="n"/>
      <c r="AN38" s="85" t="n"/>
      <c r="AO38" s="85" t="n"/>
      <c r="AP38" s="85" t="n"/>
      <c r="AQ38" s="85" t="n"/>
      <c r="AR38" s="85" t="n"/>
      <c r="AS38" s="85" t="n"/>
      <c r="AT38" s="85" t="n"/>
      <c r="AU38" s="85" t="n"/>
      <c r="AV38" s="85" t="n"/>
      <c r="AW38" s="44" t="n"/>
      <c r="AX38" s="85" t="n"/>
      <c r="AY38" s="88" t="n"/>
      <c r="AZ38" s="86" t="n"/>
      <c r="BA38" s="44" t="n"/>
      <c r="BB38" s="44" t="n"/>
      <c r="BC38" s="87" t="n"/>
      <c r="BD38" s="44" t="n"/>
      <c r="BE38" s="87" t="n"/>
      <c r="BF38" s="85" t="n"/>
      <c r="BG38" s="44" t="n"/>
      <c r="BH38" s="44" t="n"/>
      <c r="BI38" s="85" t="n"/>
      <c r="BJ38" s="44" t="n"/>
      <c r="BK38" s="45" t="n"/>
      <c r="BL38" s="44" t="n"/>
      <c r="BM38" s="85" t="n"/>
      <c r="BN38" s="44" t="n"/>
      <c r="BO38" s="85" t="n"/>
      <c r="BP38" s="86" t="n"/>
      <c r="BQ38" s="44" t="n"/>
      <c r="BR38" s="50" t="n"/>
      <c r="BS38" s="89" t="n"/>
      <c r="BT38" s="50">
        <f>IF(OR(K38="",L38="",M38=""),"",IF(ABS(ROUND(((ROUND(N(K38)*100,0))-(0))*(100+N(M38))/100,0)-(ROUND(N(L38)*100,0)))&lt;=0+IF(((ROUND(N(K38)*100,0))-(0))*(100+N(M38))/100&lt;&gt;ROUND(((ROUND(N(K38)*100,0))-(0))*(100+N(M38))/100,0),1,0),"OK","ABWEICHUNG"))</f>
        <v/>
      </c>
    </row>
    <row r="39">
      <c r="A39" s="50" t="n"/>
      <c r="B39" s="44" t="n"/>
      <c r="C39" s="44" t="n"/>
      <c r="D39" s="44" t="n"/>
      <c r="E39" s="44" t="n"/>
      <c r="F39" s="44" t="n"/>
      <c r="G39" s="44" t="n"/>
      <c r="H39" s="44" t="n"/>
      <c r="I39" s="45" t="n"/>
      <c r="J39" s="45" t="n"/>
      <c r="K39" s="85" t="n"/>
      <c r="L39" s="85" t="n"/>
      <c r="M39" s="88" t="n"/>
      <c r="N39" s="88" t="n"/>
      <c r="O39" s="44" t="n"/>
      <c r="P39" s="45" t="n"/>
      <c r="Q39" s="45" t="n"/>
      <c r="R39" s="44" t="n"/>
      <c r="S39" s="45" t="n"/>
      <c r="T39" s="45" t="n"/>
      <c r="U39" s="85" t="n"/>
      <c r="V39" s="44" t="n"/>
      <c r="W39" s="45" t="n"/>
      <c r="X39" s="45" t="n"/>
      <c r="Y39" s="44" t="n"/>
      <c r="Z39" s="85" t="n"/>
      <c r="AA39" s="44" t="n"/>
      <c r="AB39" s="44" t="n"/>
      <c r="AC39" s="44" t="n"/>
      <c r="AD39" s="44" t="n"/>
      <c r="AE39" s="44" t="n"/>
      <c r="AF39" s="88" t="n"/>
      <c r="AG39" s="85" t="n"/>
      <c r="AH39" s="85" t="n"/>
      <c r="AI39" s="85" t="n"/>
      <c r="AJ39" s="85" t="n"/>
      <c r="AK39" s="85" t="n"/>
      <c r="AL39" s="85" t="n"/>
      <c r="AM39" s="85" t="n"/>
      <c r="AN39" s="85" t="n"/>
      <c r="AO39" s="85" t="n"/>
      <c r="AP39" s="85" t="n"/>
      <c r="AQ39" s="85" t="n"/>
      <c r="AR39" s="85" t="n"/>
      <c r="AS39" s="85" t="n"/>
      <c r="AT39" s="85" t="n"/>
      <c r="AU39" s="85" t="n"/>
      <c r="AV39" s="85" t="n"/>
      <c r="AW39" s="44" t="n"/>
      <c r="AX39" s="85" t="n"/>
      <c r="AY39" s="88" t="n"/>
      <c r="AZ39" s="86" t="n"/>
      <c r="BA39" s="44" t="n"/>
      <c r="BB39" s="44" t="n"/>
      <c r="BC39" s="87" t="n"/>
      <c r="BD39" s="44" t="n"/>
      <c r="BE39" s="87" t="n"/>
      <c r="BF39" s="85" t="n"/>
      <c r="BG39" s="44" t="n"/>
      <c r="BH39" s="44" t="n"/>
      <c r="BI39" s="85" t="n"/>
      <c r="BJ39" s="44" t="n"/>
      <c r="BK39" s="45" t="n"/>
      <c r="BL39" s="44" t="n"/>
      <c r="BM39" s="85" t="n"/>
      <c r="BN39" s="44" t="n"/>
      <c r="BO39" s="85" t="n"/>
      <c r="BP39" s="86" t="n"/>
      <c r="BQ39" s="44" t="n"/>
      <c r="BR39" s="50" t="n"/>
      <c r="BS39" s="89" t="n"/>
      <c r="BT39" s="50">
        <f>IF(OR(K39="",L39="",M39=""),"",IF(ABS(ROUND(((ROUND(N(K39)*100,0))-(0))*(100+N(M39))/100,0)-(ROUND(N(L39)*100,0)))&lt;=0+IF(((ROUND(N(K39)*100,0))-(0))*(100+N(M39))/100&lt;&gt;ROUND(((ROUND(N(K39)*100,0))-(0))*(100+N(M39))/100,0),1,0),"OK","ABWEICHUNG"))</f>
        <v/>
      </c>
    </row>
    <row r="40">
      <c r="A40" s="50" t="n"/>
      <c r="B40" s="44" t="n"/>
      <c r="C40" s="44" t="n"/>
      <c r="D40" s="44" t="n"/>
      <c r="E40" s="44" t="n"/>
      <c r="F40" s="44" t="n"/>
      <c r="G40" s="44" t="n"/>
      <c r="H40" s="44" t="n"/>
      <c r="I40" s="45" t="n"/>
      <c r="J40" s="45" t="n"/>
      <c r="K40" s="85" t="n"/>
      <c r="L40" s="85" t="n"/>
      <c r="M40" s="88" t="n"/>
      <c r="N40" s="88" t="n"/>
      <c r="O40" s="44" t="n"/>
      <c r="P40" s="45" t="n"/>
      <c r="Q40" s="45" t="n"/>
      <c r="R40" s="44" t="n"/>
      <c r="S40" s="45" t="n"/>
      <c r="T40" s="45" t="n"/>
      <c r="U40" s="85" t="n"/>
      <c r="V40" s="44" t="n"/>
      <c r="W40" s="45" t="n"/>
      <c r="X40" s="45" t="n"/>
      <c r="Y40" s="44" t="n"/>
      <c r="Z40" s="85" t="n"/>
      <c r="AA40" s="44" t="n"/>
      <c r="AB40" s="44" t="n"/>
      <c r="AC40" s="44" t="n"/>
      <c r="AD40" s="44" t="n"/>
      <c r="AE40" s="44" t="n"/>
      <c r="AF40" s="88" t="n"/>
      <c r="AG40" s="85" t="n"/>
      <c r="AH40" s="85" t="n"/>
      <c r="AI40" s="85" t="n"/>
      <c r="AJ40" s="85" t="n"/>
      <c r="AK40" s="85" t="n"/>
      <c r="AL40" s="85" t="n"/>
      <c r="AM40" s="85" t="n"/>
      <c r="AN40" s="85" t="n"/>
      <c r="AO40" s="85" t="n"/>
      <c r="AP40" s="85" t="n"/>
      <c r="AQ40" s="85" t="n"/>
      <c r="AR40" s="85" t="n"/>
      <c r="AS40" s="85" t="n"/>
      <c r="AT40" s="85" t="n"/>
      <c r="AU40" s="85" t="n"/>
      <c r="AV40" s="85" t="n"/>
      <c r="AW40" s="44" t="n"/>
      <c r="AX40" s="85" t="n"/>
      <c r="AY40" s="88" t="n"/>
      <c r="AZ40" s="86" t="n"/>
      <c r="BA40" s="44" t="n"/>
      <c r="BB40" s="44" t="n"/>
      <c r="BC40" s="87" t="n"/>
      <c r="BD40" s="44" t="n"/>
      <c r="BE40" s="87" t="n"/>
      <c r="BF40" s="85" t="n"/>
      <c r="BG40" s="44" t="n"/>
      <c r="BH40" s="44" t="n"/>
      <c r="BI40" s="85" t="n"/>
      <c r="BJ40" s="44" t="n"/>
      <c r="BK40" s="45" t="n"/>
      <c r="BL40" s="44" t="n"/>
      <c r="BM40" s="85" t="n"/>
      <c r="BN40" s="44" t="n"/>
      <c r="BO40" s="85" t="n"/>
      <c r="BP40" s="86" t="n"/>
      <c r="BQ40" s="44" t="n"/>
      <c r="BR40" s="50" t="n"/>
      <c r="BS40" s="89" t="n"/>
      <c r="BT40" s="50">
        <f>IF(OR(K40="",L40="",M40=""),"",IF(ABS(ROUND(((ROUND(N(K40)*100,0))-(0))*(100+N(M40))/100,0)-(ROUND(N(L40)*100,0)))&lt;=0+IF(((ROUND(N(K40)*100,0))-(0))*(100+N(M40))/100&lt;&gt;ROUND(((ROUND(N(K40)*100,0))-(0))*(100+N(M40))/100,0),1,0),"OK","ABWEICHUNG"))</f>
        <v/>
      </c>
    </row>
    <row r="41">
      <c r="A41" s="50" t="n"/>
      <c r="B41" s="44" t="n"/>
      <c r="C41" s="44" t="n"/>
      <c r="D41" s="44" t="n"/>
      <c r="E41" s="44" t="n"/>
      <c r="F41" s="44" t="n"/>
      <c r="G41" s="44" t="n"/>
      <c r="H41" s="44" t="n"/>
      <c r="I41" s="45" t="n"/>
      <c r="J41" s="45" t="n"/>
      <c r="K41" s="85" t="n"/>
      <c r="L41" s="85" t="n"/>
      <c r="M41" s="88" t="n"/>
      <c r="N41" s="88" t="n"/>
      <c r="O41" s="44" t="n"/>
      <c r="P41" s="45" t="n"/>
      <c r="Q41" s="45" t="n"/>
      <c r="R41" s="44" t="n"/>
      <c r="S41" s="45" t="n"/>
      <c r="T41" s="45" t="n"/>
      <c r="U41" s="85" t="n"/>
      <c r="V41" s="44" t="n"/>
      <c r="W41" s="45" t="n"/>
      <c r="X41" s="45" t="n"/>
      <c r="Y41" s="44" t="n"/>
      <c r="Z41" s="85" t="n"/>
      <c r="AA41" s="44" t="n"/>
      <c r="AB41" s="44" t="n"/>
      <c r="AC41" s="44" t="n"/>
      <c r="AD41" s="44" t="n"/>
      <c r="AE41" s="44" t="n"/>
      <c r="AF41" s="88" t="n"/>
      <c r="AG41" s="85" t="n"/>
      <c r="AH41" s="85" t="n"/>
      <c r="AI41" s="85" t="n"/>
      <c r="AJ41" s="85" t="n"/>
      <c r="AK41" s="85" t="n"/>
      <c r="AL41" s="85" t="n"/>
      <c r="AM41" s="85" t="n"/>
      <c r="AN41" s="85" t="n"/>
      <c r="AO41" s="85" t="n"/>
      <c r="AP41" s="85" t="n"/>
      <c r="AQ41" s="85" t="n"/>
      <c r="AR41" s="85" t="n"/>
      <c r="AS41" s="85" t="n"/>
      <c r="AT41" s="85" t="n"/>
      <c r="AU41" s="85" t="n"/>
      <c r="AV41" s="85" t="n"/>
      <c r="AW41" s="44" t="n"/>
      <c r="AX41" s="85" t="n"/>
      <c r="AY41" s="88" t="n"/>
      <c r="AZ41" s="86" t="n"/>
      <c r="BA41" s="44" t="n"/>
      <c r="BB41" s="44" t="n"/>
      <c r="BC41" s="87" t="n"/>
      <c r="BD41" s="44" t="n"/>
      <c r="BE41" s="87" t="n"/>
      <c r="BF41" s="85" t="n"/>
      <c r="BG41" s="44" t="n"/>
      <c r="BH41" s="44" t="n"/>
      <c r="BI41" s="85" t="n"/>
      <c r="BJ41" s="44" t="n"/>
      <c r="BK41" s="45" t="n"/>
      <c r="BL41" s="44" t="n"/>
      <c r="BM41" s="85" t="n"/>
      <c r="BN41" s="44" t="n"/>
      <c r="BO41" s="85" t="n"/>
      <c r="BP41" s="86" t="n"/>
      <c r="BQ41" s="44" t="n"/>
      <c r="BR41" s="50" t="n"/>
      <c r="BS41" s="89" t="n"/>
      <c r="BT41" s="50">
        <f>IF(OR(K41="",L41="",M41=""),"",IF(ABS(ROUND(((ROUND(N(K41)*100,0))-(0))*(100+N(M41))/100,0)-(ROUND(N(L41)*100,0)))&lt;=0+IF(((ROUND(N(K41)*100,0))-(0))*(100+N(M41))/100&lt;&gt;ROUND(((ROUND(N(K41)*100,0))-(0))*(100+N(M41))/100,0),1,0),"OK","ABWEICHUNG"))</f>
        <v/>
      </c>
    </row>
    <row r="42">
      <c r="A42" s="50" t="n"/>
      <c r="B42" s="44" t="n"/>
      <c r="C42" s="44" t="n"/>
      <c r="D42" s="44" t="n"/>
      <c r="E42" s="44" t="n"/>
      <c r="F42" s="44" t="n"/>
      <c r="G42" s="44" t="n"/>
      <c r="H42" s="44" t="n"/>
      <c r="I42" s="45" t="n"/>
      <c r="J42" s="45" t="n"/>
      <c r="K42" s="85" t="n"/>
      <c r="L42" s="85" t="n"/>
      <c r="M42" s="88" t="n"/>
      <c r="N42" s="88" t="n"/>
      <c r="O42" s="44" t="n"/>
      <c r="P42" s="45" t="n"/>
      <c r="Q42" s="45" t="n"/>
      <c r="R42" s="44" t="n"/>
      <c r="S42" s="45" t="n"/>
      <c r="T42" s="45" t="n"/>
      <c r="U42" s="85" t="n"/>
      <c r="V42" s="44" t="n"/>
      <c r="W42" s="45" t="n"/>
      <c r="X42" s="45" t="n"/>
      <c r="Y42" s="44" t="n"/>
      <c r="Z42" s="85" t="n"/>
      <c r="AA42" s="44" t="n"/>
      <c r="AB42" s="44" t="n"/>
      <c r="AC42" s="44" t="n"/>
      <c r="AD42" s="44" t="n"/>
      <c r="AE42" s="44" t="n"/>
      <c r="AF42" s="88" t="n"/>
      <c r="AG42" s="85" t="n"/>
      <c r="AH42" s="85" t="n"/>
      <c r="AI42" s="85" t="n"/>
      <c r="AJ42" s="85" t="n"/>
      <c r="AK42" s="85" t="n"/>
      <c r="AL42" s="85" t="n"/>
      <c r="AM42" s="85" t="n"/>
      <c r="AN42" s="85" t="n"/>
      <c r="AO42" s="85" t="n"/>
      <c r="AP42" s="85" t="n"/>
      <c r="AQ42" s="85" t="n"/>
      <c r="AR42" s="85" t="n"/>
      <c r="AS42" s="85" t="n"/>
      <c r="AT42" s="85" t="n"/>
      <c r="AU42" s="85" t="n"/>
      <c r="AV42" s="85" t="n"/>
      <c r="AW42" s="44" t="n"/>
      <c r="AX42" s="85" t="n"/>
      <c r="AY42" s="88" t="n"/>
      <c r="AZ42" s="86" t="n"/>
      <c r="BA42" s="44" t="n"/>
      <c r="BB42" s="44" t="n"/>
      <c r="BC42" s="87" t="n"/>
      <c r="BD42" s="44" t="n"/>
      <c r="BE42" s="87" t="n"/>
      <c r="BF42" s="85" t="n"/>
      <c r="BG42" s="44" t="n"/>
      <c r="BH42" s="44" t="n"/>
      <c r="BI42" s="85" t="n"/>
      <c r="BJ42" s="44" t="n"/>
      <c r="BK42" s="45" t="n"/>
      <c r="BL42" s="44" t="n"/>
      <c r="BM42" s="85" t="n"/>
      <c r="BN42" s="44" t="n"/>
      <c r="BO42" s="85" t="n"/>
      <c r="BP42" s="86" t="n"/>
      <c r="BQ42" s="44" t="n"/>
      <c r="BR42" s="50" t="n"/>
      <c r="BS42" s="89" t="n"/>
      <c r="BT42" s="50">
        <f>IF(OR(K42="",L42="",M42=""),"",IF(ABS(ROUND(((ROUND(N(K42)*100,0))-(0))*(100+N(M42))/100,0)-(ROUND(N(L42)*100,0)))&lt;=0+IF(((ROUND(N(K42)*100,0))-(0))*(100+N(M42))/100&lt;&gt;ROUND(((ROUND(N(K42)*100,0))-(0))*(100+N(M42))/100,0),1,0),"OK","ABWEICHUNG"))</f>
        <v/>
      </c>
    </row>
    <row r="43">
      <c r="A43" s="50" t="n"/>
      <c r="B43" s="44" t="n"/>
      <c r="C43" s="44" t="n"/>
      <c r="D43" s="44" t="n"/>
      <c r="E43" s="44" t="n"/>
      <c r="F43" s="44" t="n"/>
      <c r="G43" s="44" t="n"/>
      <c r="H43" s="44" t="n"/>
      <c r="I43" s="45" t="n"/>
      <c r="J43" s="45" t="n"/>
      <c r="K43" s="85" t="n"/>
      <c r="L43" s="85" t="n"/>
      <c r="M43" s="88" t="n"/>
      <c r="N43" s="88" t="n"/>
      <c r="O43" s="44" t="n"/>
      <c r="P43" s="45" t="n"/>
      <c r="Q43" s="45" t="n"/>
      <c r="R43" s="44" t="n"/>
      <c r="S43" s="45" t="n"/>
      <c r="T43" s="45" t="n"/>
      <c r="U43" s="85" t="n"/>
      <c r="V43" s="44" t="n"/>
      <c r="W43" s="45" t="n"/>
      <c r="X43" s="45" t="n"/>
      <c r="Y43" s="44" t="n"/>
      <c r="Z43" s="85" t="n"/>
      <c r="AA43" s="44" t="n"/>
      <c r="AB43" s="44" t="n"/>
      <c r="AC43" s="44" t="n"/>
      <c r="AD43" s="44" t="n"/>
      <c r="AE43" s="44" t="n"/>
      <c r="AF43" s="88" t="n"/>
      <c r="AG43" s="85" t="n"/>
      <c r="AH43" s="85" t="n"/>
      <c r="AI43" s="85" t="n"/>
      <c r="AJ43" s="85" t="n"/>
      <c r="AK43" s="85" t="n"/>
      <c r="AL43" s="85" t="n"/>
      <c r="AM43" s="85" t="n"/>
      <c r="AN43" s="85" t="n"/>
      <c r="AO43" s="85" t="n"/>
      <c r="AP43" s="85" t="n"/>
      <c r="AQ43" s="85" t="n"/>
      <c r="AR43" s="85" t="n"/>
      <c r="AS43" s="85" t="n"/>
      <c r="AT43" s="85" t="n"/>
      <c r="AU43" s="85" t="n"/>
      <c r="AV43" s="85" t="n"/>
      <c r="AW43" s="44" t="n"/>
      <c r="AX43" s="85" t="n"/>
      <c r="AY43" s="88" t="n"/>
      <c r="AZ43" s="86" t="n"/>
      <c r="BA43" s="44" t="n"/>
      <c r="BB43" s="44" t="n"/>
      <c r="BC43" s="87" t="n"/>
      <c r="BD43" s="44" t="n"/>
      <c r="BE43" s="87" t="n"/>
      <c r="BF43" s="85" t="n"/>
      <c r="BG43" s="44" t="n"/>
      <c r="BH43" s="44" t="n"/>
      <c r="BI43" s="85" t="n"/>
      <c r="BJ43" s="44" t="n"/>
      <c r="BK43" s="45" t="n"/>
      <c r="BL43" s="44" t="n"/>
      <c r="BM43" s="85" t="n"/>
      <c r="BN43" s="44" t="n"/>
      <c r="BO43" s="85" t="n"/>
      <c r="BP43" s="86" t="n"/>
      <c r="BQ43" s="44" t="n"/>
      <c r="BR43" s="50" t="n"/>
      <c r="BS43" s="89" t="n"/>
      <c r="BT43" s="50">
        <f>IF(OR(K43="",L43="",M43=""),"",IF(ABS(ROUND(((ROUND(N(K43)*100,0))-(0))*(100+N(M43))/100,0)-(ROUND(N(L43)*100,0)))&lt;=0+IF(((ROUND(N(K43)*100,0))-(0))*(100+N(M43))/100&lt;&gt;ROUND(((ROUND(N(K43)*100,0))-(0))*(100+N(M43))/100,0),1,0),"OK","ABWEICHUNG"))</f>
        <v/>
      </c>
    </row>
    <row r="44">
      <c r="A44" s="50" t="n"/>
      <c r="B44" s="44" t="n"/>
      <c r="C44" s="44" t="n"/>
      <c r="D44" s="44" t="n"/>
      <c r="E44" s="44" t="n"/>
      <c r="F44" s="44" t="n"/>
      <c r="G44" s="44" t="n"/>
      <c r="H44" s="44" t="n"/>
      <c r="I44" s="45" t="n"/>
      <c r="J44" s="45" t="n"/>
      <c r="K44" s="85" t="n"/>
      <c r="L44" s="85" t="n"/>
      <c r="M44" s="88" t="n"/>
      <c r="N44" s="88" t="n"/>
      <c r="O44" s="44" t="n"/>
      <c r="P44" s="45" t="n"/>
      <c r="Q44" s="45" t="n"/>
      <c r="R44" s="44" t="n"/>
      <c r="S44" s="45" t="n"/>
      <c r="T44" s="45" t="n"/>
      <c r="U44" s="85" t="n"/>
      <c r="V44" s="44" t="n"/>
      <c r="W44" s="45" t="n"/>
      <c r="X44" s="45" t="n"/>
      <c r="Y44" s="44" t="n"/>
      <c r="Z44" s="85" t="n"/>
      <c r="AA44" s="44" t="n"/>
      <c r="AB44" s="44" t="n"/>
      <c r="AC44" s="44" t="n"/>
      <c r="AD44" s="44" t="n"/>
      <c r="AE44" s="44" t="n"/>
      <c r="AF44" s="88" t="n"/>
      <c r="AG44" s="85" t="n"/>
      <c r="AH44" s="85" t="n"/>
      <c r="AI44" s="85" t="n"/>
      <c r="AJ44" s="85" t="n"/>
      <c r="AK44" s="85" t="n"/>
      <c r="AL44" s="85" t="n"/>
      <c r="AM44" s="85" t="n"/>
      <c r="AN44" s="85" t="n"/>
      <c r="AO44" s="85" t="n"/>
      <c r="AP44" s="85" t="n"/>
      <c r="AQ44" s="85" t="n"/>
      <c r="AR44" s="85" t="n"/>
      <c r="AS44" s="85" t="n"/>
      <c r="AT44" s="85" t="n"/>
      <c r="AU44" s="85" t="n"/>
      <c r="AV44" s="85" t="n"/>
      <c r="AW44" s="44" t="n"/>
      <c r="AX44" s="85" t="n"/>
      <c r="AY44" s="88" t="n"/>
      <c r="AZ44" s="86" t="n"/>
      <c r="BA44" s="44" t="n"/>
      <c r="BB44" s="44" t="n"/>
      <c r="BC44" s="87" t="n"/>
      <c r="BD44" s="44" t="n"/>
      <c r="BE44" s="87" t="n"/>
      <c r="BF44" s="85" t="n"/>
      <c r="BG44" s="44" t="n"/>
      <c r="BH44" s="44" t="n"/>
      <c r="BI44" s="85" t="n"/>
      <c r="BJ44" s="44" t="n"/>
      <c r="BK44" s="45" t="n"/>
      <c r="BL44" s="44" t="n"/>
      <c r="BM44" s="85" t="n"/>
      <c r="BN44" s="44" t="n"/>
      <c r="BO44" s="85" t="n"/>
      <c r="BP44" s="86" t="n"/>
      <c r="BQ44" s="44" t="n"/>
      <c r="BR44" s="50" t="n"/>
      <c r="BS44" s="89" t="n"/>
      <c r="BT44" s="50">
        <f>IF(OR(K44="",L44="",M44=""),"",IF(ABS(ROUND(((ROUND(N(K44)*100,0))-(0))*(100+N(M44))/100,0)-(ROUND(N(L44)*100,0)))&lt;=0+IF(((ROUND(N(K44)*100,0))-(0))*(100+N(M44))/100&lt;&gt;ROUND(((ROUND(N(K44)*100,0))-(0))*(100+N(M44))/100,0),1,0),"OK","ABWEICHUNG"))</f>
        <v/>
      </c>
    </row>
    <row r="45">
      <c r="A45" s="50" t="n"/>
      <c r="B45" s="44" t="n"/>
      <c r="C45" s="44" t="n"/>
      <c r="D45" s="44" t="n"/>
      <c r="E45" s="44" t="n"/>
      <c r="F45" s="44" t="n"/>
      <c r="G45" s="44" t="n"/>
      <c r="H45" s="44" t="n"/>
      <c r="I45" s="45" t="n"/>
      <c r="J45" s="45" t="n"/>
      <c r="K45" s="85" t="n"/>
      <c r="L45" s="85" t="n"/>
      <c r="M45" s="88" t="n"/>
      <c r="N45" s="88" t="n"/>
      <c r="O45" s="44" t="n"/>
      <c r="P45" s="45" t="n"/>
      <c r="Q45" s="45" t="n"/>
      <c r="R45" s="44" t="n"/>
      <c r="S45" s="45" t="n"/>
      <c r="T45" s="45" t="n"/>
      <c r="U45" s="85" t="n"/>
      <c r="V45" s="44" t="n"/>
      <c r="W45" s="45" t="n"/>
      <c r="X45" s="45" t="n"/>
      <c r="Y45" s="44" t="n"/>
      <c r="Z45" s="85" t="n"/>
      <c r="AA45" s="44" t="n"/>
      <c r="AB45" s="44" t="n"/>
      <c r="AC45" s="44" t="n"/>
      <c r="AD45" s="44" t="n"/>
      <c r="AE45" s="44" t="n"/>
      <c r="AF45" s="88" t="n"/>
      <c r="AG45" s="85" t="n"/>
      <c r="AH45" s="85" t="n"/>
      <c r="AI45" s="85" t="n"/>
      <c r="AJ45" s="85" t="n"/>
      <c r="AK45" s="85" t="n"/>
      <c r="AL45" s="85" t="n"/>
      <c r="AM45" s="85" t="n"/>
      <c r="AN45" s="85" t="n"/>
      <c r="AO45" s="85" t="n"/>
      <c r="AP45" s="85" t="n"/>
      <c r="AQ45" s="85" t="n"/>
      <c r="AR45" s="85" t="n"/>
      <c r="AS45" s="85" t="n"/>
      <c r="AT45" s="85" t="n"/>
      <c r="AU45" s="85" t="n"/>
      <c r="AV45" s="85" t="n"/>
      <c r="AW45" s="44" t="n"/>
      <c r="AX45" s="85" t="n"/>
      <c r="AY45" s="88" t="n"/>
      <c r="AZ45" s="86" t="n"/>
      <c r="BA45" s="44" t="n"/>
      <c r="BB45" s="44" t="n"/>
      <c r="BC45" s="87" t="n"/>
      <c r="BD45" s="44" t="n"/>
      <c r="BE45" s="87" t="n"/>
      <c r="BF45" s="85" t="n"/>
      <c r="BG45" s="44" t="n"/>
      <c r="BH45" s="44" t="n"/>
      <c r="BI45" s="85" t="n"/>
      <c r="BJ45" s="44" t="n"/>
      <c r="BK45" s="45" t="n"/>
      <c r="BL45" s="44" t="n"/>
      <c r="BM45" s="85" t="n"/>
      <c r="BN45" s="44" t="n"/>
      <c r="BO45" s="85" t="n"/>
      <c r="BP45" s="86" t="n"/>
      <c r="BQ45" s="44" t="n"/>
      <c r="BR45" s="50" t="n"/>
      <c r="BS45" s="89" t="n"/>
      <c r="BT45" s="50">
        <f>IF(OR(K45="",L45="",M45=""),"",IF(ABS(ROUND(((ROUND(N(K45)*100,0))-(0))*(100+N(M45))/100,0)-(ROUND(N(L45)*100,0)))&lt;=0+IF(((ROUND(N(K45)*100,0))-(0))*(100+N(M45))/100&lt;&gt;ROUND(((ROUND(N(K45)*100,0))-(0))*(100+N(M45))/100,0),1,0),"OK","ABWEICHUNG"))</f>
        <v/>
      </c>
    </row>
    <row r="46">
      <c r="A46" s="50" t="n"/>
      <c r="B46" s="44" t="n"/>
      <c r="C46" s="44" t="n"/>
      <c r="D46" s="44" t="n"/>
      <c r="E46" s="44" t="n"/>
      <c r="F46" s="44" t="n"/>
      <c r="G46" s="44" t="n"/>
      <c r="H46" s="44" t="n"/>
      <c r="I46" s="45" t="n"/>
      <c r="J46" s="45" t="n"/>
      <c r="K46" s="85" t="n"/>
      <c r="L46" s="85" t="n"/>
      <c r="M46" s="88" t="n"/>
      <c r="N46" s="88" t="n"/>
      <c r="O46" s="44" t="n"/>
      <c r="P46" s="45" t="n"/>
      <c r="Q46" s="45" t="n"/>
      <c r="R46" s="44" t="n"/>
      <c r="S46" s="45" t="n"/>
      <c r="T46" s="45" t="n"/>
      <c r="U46" s="85" t="n"/>
      <c r="V46" s="44" t="n"/>
      <c r="W46" s="45" t="n"/>
      <c r="X46" s="45" t="n"/>
      <c r="Y46" s="44" t="n"/>
      <c r="Z46" s="85" t="n"/>
      <c r="AA46" s="44" t="n"/>
      <c r="AB46" s="44" t="n"/>
      <c r="AC46" s="44" t="n"/>
      <c r="AD46" s="44" t="n"/>
      <c r="AE46" s="44" t="n"/>
      <c r="AF46" s="88" t="n"/>
      <c r="AG46" s="85" t="n"/>
      <c r="AH46" s="85" t="n"/>
      <c r="AI46" s="85" t="n"/>
      <c r="AJ46" s="85" t="n"/>
      <c r="AK46" s="85" t="n"/>
      <c r="AL46" s="85" t="n"/>
      <c r="AM46" s="85" t="n"/>
      <c r="AN46" s="85" t="n"/>
      <c r="AO46" s="85" t="n"/>
      <c r="AP46" s="85" t="n"/>
      <c r="AQ46" s="85" t="n"/>
      <c r="AR46" s="85" t="n"/>
      <c r="AS46" s="85" t="n"/>
      <c r="AT46" s="85" t="n"/>
      <c r="AU46" s="85" t="n"/>
      <c r="AV46" s="85" t="n"/>
      <c r="AW46" s="44" t="n"/>
      <c r="AX46" s="85" t="n"/>
      <c r="AY46" s="88" t="n"/>
      <c r="AZ46" s="86" t="n"/>
      <c r="BA46" s="44" t="n"/>
      <c r="BB46" s="44" t="n"/>
      <c r="BC46" s="87" t="n"/>
      <c r="BD46" s="44" t="n"/>
      <c r="BE46" s="87" t="n"/>
      <c r="BF46" s="85" t="n"/>
      <c r="BG46" s="44" t="n"/>
      <c r="BH46" s="44" t="n"/>
      <c r="BI46" s="85" t="n"/>
      <c r="BJ46" s="44" t="n"/>
      <c r="BK46" s="45" t="n"/>
      <c r="BL46" s="44" t="n"/>
      <c r="BM46" s="85" t="n"/>
      <c r="BN46" s="44" t="n"/>
      <c r="BO46" s="85" t="n"/>
      <c r="BP46" s="86" t="n"/>
      <c r="BQ46" s="44" t="n"/>
      <c r="BR46" s="50" t="n"/>
      <c r="BS46" s="89" t="n"/>
      <c r="BT46" s="50">
        <f>IF(OR(K46="",L46="",M46=""),"",IF(ABS(ROUND(((ROUND(N(K46)*100,0))-(0))*(100+N(M46))/100,0)-(ROUND(N(L46)*100,0)))&lt;=0+IF(((ROUND(N(K46)*100,0))-(0))*(100+N(M46))/100&lt;&gt;ROUND(((ROUND(N(K46)*100,0))-(0))*(100+N(M46))/100,0),1,0),"OK","ABWEICHUNG"))</f>
        <v/>
      </c>
    </row>
    <row r="47">
      <c r="A47" s="50" t="n"/>
      <c r="B47" s="44" t="n"/>
      <c r="C47" s="44" t="n"/>
      <c r="D47" s="44" t="n"/>
      <c r="E47" s="44" t="n"/>
      <c r="F47" s="44" t="n"/>
      <c r="G47" s="44" t="n"/>
      <c r="H47" s="44" t="n"/>
      <c r="I47" s="45" t="n"/>
      <c r="J47" s="45" t="n"/>
      <c r="K47" s="85" t="n"/>
      <c r="L47" s="85" t="n"/>
      <c r="M47" s="88" t="n"/>
      <c r="N47" s="88" t="n"/>
      <c r="O47" s="44" t="n"/>
      <c r="P47" s="45" t="n"/>
      <c r="Q47" s="45" t="n"/>
      <c r="R47" s="44" t="n"/>
      <c r="S47" s="45" t="n"/>
      <c r="T47" s="45" t="n"/>
      <c r="U47" s="85" t="n"/>
      <c r="V47" s="44" t="n"/>
      <c r="W47" s="45" t="n"/>
      <c r="X47" s="45" t="n"/>
      <c r="Y47" s="44" t="n"/>
      <c r="Z47" s="85" t="n"/>
      <c r="AA47" s="44" t="n"/>
      <c r="AB47" s="44" t="n"/>
      <c r="AC47" s="44" t="n"/>
      <c r="AD47" s="44" t="n"/>
      <c r="AE47" s="44" t="n"/>
      <c r="AF47" s="88" t="n"/>
      <c r="AG47" s="85" t="n"/>
      <c r="AH47" s="85" t="n"/>
      <c r="AI47" s="85" t="n"/>
      <c r="AJ47" s="85" t="n"/>
      <c r="AK47" s="85" t="n"/>
      <c r="AL47" s="85" t="n"/>
      <c r="AM47" s="85" t="n"/>
      <c r="AN47" s="85" t="n"/>
      <c r="AO47" s="85" t="n"/>
      <c r="AP47" s="85" t="n"/>
      <c r="AQ47" s="85" t="n"/>
      <c r="AR47" s="85" t="n"/>
      <c r="AS47" s="85" t="n"/>
      <c r="AT47" s="85" t="n"/>
      <c r="AU47" s="85" t="n"/>
      <c r="AV47" s="85" t="n"/>
      <c r="AW47" s="44" t="n"/>
      <c r="AX47" s="85" t="n"/>
      <c r="AY47" s="88" t="n"/>
      <c r="AZ47" s="86" t="n"/>
      <c r="BA47" s="44" t="n"/>
      <c r="BB47" s="44" t="n"/>
      <c r="BC47" s="87" t="n"/>
      <c r="BD47" s="44" t="n"/>
      <c r="BE47" s="87" t="n"/>
      <c r="BF47" s="85" t="n"/>
      <c r="BG47" s="44" t="n"/>
      <c r="BH47" s="44" t="n"/>
      <c r="BI47" s="85" t="n"/>
      <c r="BJ47" s="44" t="n"/>
      <c r="BK47" s="45" t="n"/>
      <c r="BL47" s="44" t="n"/>
      <c r="BM47" s="85" t="n"/>
      <c r="BN47" s="44" t="n"/>
      <c r="BO47" s="85" t="n"/>
      <c r="BP47" s="86" t="n"/>
      <c r="BQ47" s="44" t="n"/>
      <c r="BR47" s="50" t="n"/>
      <c r="BS47" s="89" t="n"/>
      <c r="BT47" s="50">
        <f>IF(OR(K47="",L47="",M47=""),"",IF(ABS(ROUND(((ROUND(N(K47)*100,0))-(0))*(100+N(M47))/100,0)-(ROUND(N(L47)*100,0)))&lt;=0+IF(((ROUND(N(K47)*100,0))-(0))*(100+N(M47))/100&lt;&gt;ROUND(((ROUND(N(K47)*100,0))-(0))*(100+N(M47))/100,0),1,0),"OK","ABWEICHUNG"))</f>
        <v/>
      </c>
    </row>
    <row r="48">
      <c r="A48" s="50" t="n"/>
      <c r="B48" s="44" t="n"/>
      <c r="C48" s="44" t="n"/>
      <c r="D48" s="44" t="n"/>
      <c r="E48" s="44" t="n"/>
      <c r="F48" s="44" t="n"/>
      <c r="G48" s="44" t="n"/>
      <c r="H48" s="44" t="n"/>
      <c r="I48" s="45" t="n"/>
      <c r="J48" s="45" t="n"/>
      <c r="K48" s="85" t="n"/>
      <c r="L48" s="85" t="n"/>
      <c r="M48" s="88" t="n"/>
      <c r="N48" s="88" t="n"/>
      <c r="O48" s="44" t="n"/>
      <c r="P48" s="45" t="n"/>
      <c r="Q48" s="45" t="n"/>
      <c r="R48" s="44" t="n"/>
      <c r="S48" s="45" t="n"/>
      <c r="T48" s="45" t="n"/>
      <c r="U48" s="85" t="n"/>
      <c r="V48" s="44" t="n"/>
      <c r="W48" s="45" t="n"/>
      <c r="X48" s="45" t="n"/>
      <c r="Y48" s="44" t="n"/>
      <c r="Z48" s="85" t="n"/>
      <c r="AA48" s="44" t="n"/>
      <c r="AB48" s="44" t="n"/>
      <c r="AC48" s="44" t="n"/>
      <c r="AD48" s="44" t="n"/>
      <c r="AE48" s="44" t="n"/>
      <c r="AF48" s="88" t="n"/>
      <c r="AG48" s="85" t="n"/>
      <c r="AH48" s="85" t="n"/>
      <c r="AI48" s="85" t="n"/>
      <c r="AJ48" s="85" t="n"/>
      <c r="AK48" s="85" t="n"/>
      <c r="AL48" s="85" t="n"/>
      <c r="AM48" s="85" t="n"/>
      <c r="AN48" s="85" t="n"/>
      <c r="AO48" s="85" t="n"/>
      <c r="AP48" s="85" t="n"/>
      <c r="AQ48" s="85" t="n"/>
      <c r="AR48" s="85" t="n"/>
      <c r="AS48" s="85" t="n"/>
      <c r="AT48" s="85" t="n"/>
      <c r="AU48" s="85" t="n"/>
      <c r="AV48" s="85" t="n"/>
      <c r="AW48" s="44" t="n"/>
      <c r="AX48" s="85" t="n"/>
      <c r="AY48" s="88" t="n"/>
      <c r="AZ48" s="86" t="n"/>
      <c r="BA48" s="44" t="n"/>
      <c r="BB48" s="44" t="n"/>
      <c r="BC48" s="87" t="n"/>
      <c r="BD48" s="44" t="n"/>
      <c r="BE48" s="87" t="n"/>
      <c r="BF48" s="85" t="n"/>
      <c r="BG48" s="44" t="n"/>
      <c r="BH48" s="44" t="n"/>
      <c r="BI48" s="85" t="n"/>
      <c r="BJ48" s="44" t="n"/>
      <c r="BK48" s="45" t="n"/>
      <c r="BL48" s="44" t="n"/>
      <c r="BM48" s="85" t="n"/>
      <c r="BN48" s="44" t="n"/>
      <c r="BO48" s="85" t="n"/>
      <c r="BP48" s="86" t="n"/>
      <c r="BQ48" s="44" t="n"/>
      <c r="BR48" s="50" t="n"/>
      <c r="BS48" s="89" t="n"/>
      <c r="BT48" s="50">
        <f>IF(OR(K48="",L48="",M48=""),"",IF(ABS(ROUND(((ROUND(N(K48)*100,0))-(0))*(100+N(M48))/100,0)-(ROUND(N(L48)*100,0)))&lt;=0+IF(((ROUND(N(K48)*100,0))-(0))*(100+N(M48))/100&lt;&gt;ROUND(((ROUND(N(K48)*100,0))-(0))*(100+N(M48))/100,0),1,0),"OK","ABWEICHUNG"))</f>
        <v/>
      </c>
    </row>
    <row r="49">
      <c r="A49" s="50" t="n"/>
      <c r="B49" s="44" t="n"/>
      <c r="C49" s="44" t="n"/>
      <c r="D49" s="44" t="n"/>
      <c r="E49" s="44" t="n"/>
      <c r="F49" s="44" t="n"/>
      <c r="G49" s="44" t="n"/>
      <c r="H49" s="44" t="n"/>
      <c r="I49" s="45" t="n"/>
      <c r="J49" s="45" t="n"/>
      <c r="K49" s="85" t="n"/>
      <c r="L49" s="85" t="n"/>
      <c r="M49" s="88" t="n"/>
      <c r="N49" s="88" t="n"/>
      <c r="O49" s="44" t="n"/>
      <c r="P49" s="45" t="n"/>
      <c r="Q49" s="45" t="n"/>
      <c r="R49" s="44" t="n"/>
      <c r="S49" s="45" t="n"/>
      <c r="T49" s="45" t="n"/>
      <c r="U49" s="85" t="n"/>
      <c r="V49" s="44" t="n"/>
      <c r="W49" s="45" t="n"/>
      <c r="X49" s="45" t="n"/>
      <c r="Y49" s="44" t="n"/>
      <c r="Z49" s="85" t="n"/>
      <c r="AA49" s="44" t="n"/>
      <c r="AB49" s="44" t="n"/>
      <c r="AC49" s="44" t="n"/>
      <c r="AD49" s="44" t="n"/>
      <c r="AE49" s="44" t="n"/>
      <c r="AF49" s="88" t="n"/>
      <c r="AG49" s="85" t="n"/>
      <c r="AH49" s="85" t="n"/>
      <c r="AI49" s="85" t="n"/>
      <c r="AJ49" s="85" t="n"/>
      <c r="AK49" s="85" t="n"/>
      <c r="AL49" s="85" t="n"/>
      <c r="AM49" s="85" t="n"/>
      <c r="AN49" s="85" t="n"/>
      <c r="AO49" s="85" t="n"/>
      <c r="AP49" s="85" t="n"/>
      <c r="AQ49" s="85" t="n"/>
      <c r="AR49" s="85" t="n"/>
      <c r="AS49" s="85" t="n"/>
      <c r="AT49" s="85" t="n"/>
      <c r="AU49" s="85" t="n"/>
      <c r="AV49" s="85" t="n"/>
      <c r="AW49" s="44" t="n"/>
      <c r="AX49" s="85" t="n"/>
      <c r="AY49" s="88" t="n"/>
      <c r="AZ49" s="86" t="n"/>
      <c r="BA49" s="44" t="n"/>
      <c r="BB49" s="44" t="n"/>
      <c r="BC49" s="87" t="n"/>
      <c r="BD49" s="44" t="n"/>
      <c r="BE49" s="87" t="n"/>
      <c r="BF49" s="85" t="n"/>
      <c r="BG49" s="44" t="n"/>
      <c r="BH49" s="44" t="n"/>
      <c r="BI49" s="85" t="n"/>
      <c r="BJ49" s="44" t="n"/>
      <c r="BK49" s="45" t="n"/>
      <c r="BL49" s="44" t="n"/>
      <c r="BM49" s="85" t="n"/>
      <c r="BN49" s="44" t="n"/>
      <c r="BO49" s="85" t="n"/>
      <c r="BP49" s="86" t="n"/>
      <c r="BQ49" s="44" t="n"/>
      <c r="BR49" s="50" t="n"/>
      <c r="BS49" s="89" t="n"/>
      <c r="BT49" s="50">
        <f>IF(OR(K49="",L49="",M49=""),"",IF(ABS(ROUND(((ROUND(N(K49)*100,0))-(0))*(100+N(M49))/100,0)-(ROUND(N(L49)*100,0)))&lt;=0+IF(((ROUND(N(K49)*100,0))-(0))*(100+N(M49))/100&lt;&gt;ROUND(((ROUND(N(K49)*100,0))-(0))*(100+N(M49))/100,0),1,0),"OK","ABWEICHUNG"))</f>
        <v/>
      </c>
    </row>
    <row r="50">
      <c r="A50" s="50" t="n"/>
      <c r="B50" s="44" t="n"/>
      <c r="C50" s="44" t="n"/>
      <c r="D50" s="44" t="n"/>
      <c r="E50" s="44" t="n"/>
      <c r="F50" s="44" t="n"/>
      <c r="G50" s="44" t="n"/>
      <c r="H50" s="44" t="n"/>
      <c r="I50" s="45" t="n"/>
      <c r="J50" s="45" t="n"/>
      <c r="K50" s="85" t="n"/>
      <c r="L50" s="85" t="n"/>
      <c r="M50" s="88" t="n"/>
      <c r="N50" s="88" t="n"/>
      <c r="O50" s="44" t="n"/>
      <c r="P50" s="45" t="n"/>
      <c r="Q50" s="45" t="n"/>
      <c r="R50" s="44" t="n"/>
      <c r="S50" s="45" t="n"/>
      <c r="T50" s="45" t="n"/>
      <c r="U50" s="85" t="n"/>
      <c r="V50" s="44" t="n"/>
      <c r="W50" s="45" t="n"/>
      <c r="X50" s="45" t="n"/>
      <c r="Y50" s="44" t="n"/>
      <c r="Z50" s="85" t="n"/>
      <c r="AA50" s="44" t="n"/>
      <c r="AB50" s="44" t="n"/>
      <c r="AC50" s="44" t="n"/>
      <c r="AD50" s="44" t="n"/>
      <c r="AE50" s="44" t="n"/>
      <c r="AF50" s="88" t="n"/>
      <c r="AG50" s="85" t="n"/>
      <c r="AH50" s="85" t="n"/>
      <c r="AI50" s="85" t="n"/>
      <c r="AJ50" s="85" t="n"/>
      <c r="AK50" s="85" t="n"/>
      <c r="AL50" s="85" t="n"/>
      <c r="AM50" s="85" t="n"/>
      <c r="AN50" s="85" t="n"/>
      <c r="AO50" s="85" t="n"/>
      <c r="AP50" s="85" t="n"/>
      <c r="AQ50" s="85" t="n"/>
      <c r="AR50" s="85" t="n"/>
      <c r="AS50" s="85" t="n"/>
      <c r="AT50" s="85" t="n"/>
      <c r="AU50" s="85" t="n"/>
      <c r="AV50" s="85" t="n"/>
      <c r="AW50" s="44" t="n"/>
      <c r="AX50" s="85" t="n"/>
      <c r="AY50" s="88" t="n"/>
      <c r="AZ50" s="86" t="n"/>
      <c r="BA50" s="44" t="n"/>
      <c r="BB50" s="44" t="n"/>
      <c r="BC50" s="87" t="n"/>
      <c r="BD50" s="44" t="n"/>
      <c r="BE50" s="87" t="n"/>
      <c r="BF50" s="85" t="n"/>
      <c r="BG50" s="44" t="n"/>
      <c r="BH50" s="44" t="n"/>
      <c r="BI50" s="85" t="n"/>
      <c r="BJ50" s="44" t="n"/>
      <c r="BK50" s="45" t="n"/>
      <c r="BL50" s="44" t="n"/>
      <c r="BM50" s="85" t="n"/>
      <c r="BN50" s="44" t="n"/>
      <c r="BO50" s="85" t="n"/>
      <c r="BP50" s="86" t="n"/>
      <c r="BQ50" s="44" t="n"/>
      <c r="BR50" s="50" t="n"/>
      <c r="BS50" s="89" t="n"/>
      <c r="BT50" s="50">
        <f>IF(OR(K50="",L50="",M50=""),"",IF(ABS(ROUND(((ROUND(N(K50)*100,0))-(0))*(100+N(M50))/100,0)-(ROUND(N(L50)*100,0)))&lt;=0+IF(((ROUND(N(K50)*100,0))-(0))*(100+N(M50))/100&lt;&gt;ROUND(((ROUND(N(K50)*100,0))-(0))*(100+N(M50))/100,0),1,0),"OK","ABWEICHUNG"))</f>
        <v/>
      </c>
    </row>
    <row r="51">
      <c r="A51" s="50" t="n"/>
      <c r="B51" s="44" t="n"/>
      <c r="C51" s="44" t="n"/>
      <c r="D51" s="44" t="n"/>
      <c r="E51" s="44" t="n"/>
      <c r="F51" s="44" t="n"/>
      <c r="G51" s="44" t="n"/>
      <c r="H51" s="44" t="n"/>
      <c r="I51" s="45" t="n"/>
      <c r="J51" s="45" t="n"/>
      <c r="K51" s="85" t="n"/>
      <c r="L51" s="85" t="n"/>
      <c r="M51" s="88" t="n"/>
      <c r="N51" s="88" t="n"/>
      <c r="O51" s="44" t="n"/>
      <c r="P51" s="45" t="n"/>
      <c r="Q51" s="45" t="n"/>
      <c r="R51" s="44" t="n"/>
      <c r="S51" s="45" t="n"/>
      <c r="T51" s="45" t="n"/>
      <c r="U51" s="85" t="n"/>
      <c r="V51" s="44" t="n"/>
      <c r="W51" s="45" t="n"/>
      <c r="X51" s="45" t="n"/>
      <c r="Y51" s="44" t="n"/>
      <c r="Z51" s="85" t="n"/>
      <c r="AA51" s="44" t="n"/>
      <c r="AB51" s="44" t="n"/>
      <c r="AC51" s="44" t="n"/>
      <c r="AD51" s="44" t="n"/>
      <c r="AE51" s="44" t="n"/>
      <c r="AF51" s="88" t="n"/>
      <c r="AG51" s="85" t="n"/>
      <c r="AH51" s="85" t="n"/>
      <c r="AI51" s="85" t="n"/>
      <c r="AJ51" s="85" t="n"/>
      <c r="AK51" s="85" t="n"/>
      <c r="AL51" s="85" t="n"/>
      <c r="AM51" s="85" t="n"/>
      <c r="AN51" s="85" t="n"/>
      <c r="AO51" s="85" t="n"/>
      <c r="AP51" s="85" t="n"/>
      <c r="AQ51" s="85" t="n"/>
      <c r="AR51" s="85" t="n"/>
      <c r="AS51" s="85" t="n"/>
      <c r="AT51" s="85" t="n"/>
      <c r="AU51" s="85" t="n"/>
      <c r="AV51" s="85" t="n"/>
      <c r="AW51" s="44" t="n"/>
      <c r="AX51" s="85" t="n"/>
      <c r="AY51" s="88" t="n"/>
      <c r="AZ51" s="86" t="n"/>
      <c r="BA51" s="44" t="n"/>
      <c r="BB51" s="44" t="n"/>
      <c r="BC51" s="87" t="n"/>
      <c r="BD51" s="44" t="n"/>
      <c r="BE51" s="87" t="n"/>
      <c r="BF51" s="85" t="n"/>
      <c r="BG51" s="44" t="n"/>
      <c r="BH51" s="44" t="n"/>
      <c r="BI51" s="85" t="n"/>
      <c r="BJ51" s="44" t="n"/>
      <c r="BK51" s="45" t="n"/>
      <c r="BL51" s="44" t="n"/>
      <c r="BM51" s="85" t="n"/>
      <c r="BN51" s="44" t="n"/>
      <c r="BO51" s="85" t="n"/>
      <c r="BP51" s="86" t="n"/>
      <c r="BQ51" s="44" t="n"/>
      <c r="BR51" s="50" t="n"/>
      <c r="BS51" s="89" t="n"/>
      <c r="BT51" s="50">
        <f>IF(OR(K51="",L51="",M51=""),"",IF(ABS(ROUND(((ROUND(N(K51)*100,0))-(0))*(100+N(M51))/100,0)-(ROUND(N(L51)*100,0)))&lt;=0+IF(((ROUND(N(K51)*100,0))-(0))*(100+N(M51))/100&lt;&gt;ROUND(((ROUND(N(K51)*100,0))-(0))*(100+N(M51))/100,0),1,0),"OK","ABWEICHUNG"))</f>
        <v/>
      </c>
    </row>
    <row r="52">
      <c r="A52" s="50" t="n"/>
      <c r="B52" s="44" t="n"/>
      <c r="C52" s="44" t="n"/>
      <c r="D52" s="44" t="n"/>
      <c r="E52" s="44" t="n"/>
      <c r="F52" s="44" t="n"/>
      <c r="G52" s="44" t="n"/>
      <c r="H52" s="44" t="n"/>
      <c r="I52" s="45" t="n"/>
      <c r="J52" s="45" t="n"/>
      <c r="K52" s="85" t="n"/>
      <c r="L52" s="85" t="n"/>
      <c r="M52" s="88" t="n"/>
      <c r="N52" s="88" t="n"/>
      <c r="O52" s="44" t="n"/>
      <c r="P52" s="45" t="n"/>
      <c r="Q52" s="45" t="n"/>
      <c r="R52" s="44" t="n"/>
      <c r="S52" s="45" t="n"/>
      <c r="T52" s="45" t="n"/>
      <c r="U52" s="85" t="n"/>
      <c r="V52" s="44" t="n"/>
      <c r="W52" s="45" t="n"/>
      <c r="X52" s="45" t="n"/>
      <c r="Y52" s="44" t="n"/>
      <c r="Z52" s="85" t="n"/>
      <c r="AA52" s="44" t="n"/>
      <c r="AB52" s="44" t="n"/>
      <c r="AC52" s="44" t="n"/>
      <c r="AD52" s="44" t="n"/>
      <c r="AE52" s="44" t="n"/>
      <c r="AF52" s="88" t="n"/>
      <c r="AG52" s="85" t="n"/>
      <c r="AH52" s="85" t="n"/>
      <c r="AI52" s="85" t="n"/>
      <c r="AJ52" s="85" t="n"/>
      <c r="AK52" s="85" t="n"/>
      <c r="AL52" s="85" t="n"/>
      <c r="AM52" s="85" t="n"/>
      <c r="AN52" s="85" t="n"/>
      <c r="AO52" s="85" t="n"/>
      <c r="AP52" s="85" t="n"/>
      <c r="AQ52" s="85" t="n"/>
      <c r="AR52" s="85" t="n"/>
      <c r="AS52" s="85" t="n"/>
      <c r="AT52" s="85" t="n"/>
      <c r="AU52" s="85" t="n"/>
      <c r="AV52" s="85" t="n"/>
      <c r="AW52" s="44" t="n"/>
      <c r="AX52" s="85" t="n"/>
      <c r="AY52" s="88" t="n"/>
      <c r="AZ52" s="86" t="n"/>
      <c r="BA52" s="44" t="n"/>
      <c r="BB52" s="44" t="n"/>
      <c r="BC52" s="87" t="n"/>
      <c r="BD52" s="44" t="n"/>
      <c r="BE52" s="87" t="n"/>
      <c r="BF52" s="85" t="n"/>
      <c r="BG52" s="44" t="n"/>
      <c r="BH52" s="44" t="n"/>
      <c r="BI52" s="85" t="n"/>
      <c r="BJ52" s="44" t="n"/>
      <c r="BK52" s="45" t="n"/>
      <c r="BL52" s="44" t="n"/>
      <c r="BM52" s="85" t="n"/>
      <c r="BN52" s="44" t="n"/>
      <c r="BO52" s="85" t="n"/>
      <c r="BP52" s="86" t="n"/>
      <c r="BQ52" s="44" t="n"/>
      <c r="BR52" s="50" t="n"/>
      <c r="BS52" s="89" t="n"/>
      <c r="BT52" s="50">
        <f>IF(OR(K52="",L52="",M52=""),"",IF(ABS(ROUND(((ROUND(N(K52)*100,0))-(0))*(100+N(M52))/100,0)-(ROUND(N(L52)*100,0)))&lt;=0+IF(((ROUND(N(K52)*100,0))-(0))*(100+N(M52))/100&lt;&gt;ROUND(((ROUND(N(K52)*100,0))-(0))*(100+N(M52))/100,0),1,0),"OK","ABWEICHUNG"))</f>
        <v/>
      </c>
    </row>
    <row r="53">
      <c r="A53" s="50" t="n"/>
      <c r="B53" s="44" t="n"/>
      <c r="C53" s="44" t="n"/>
      <c r="D53" s="44" t="n"/>
      <c r="E53" s="44" t="n"/>
      <c r="F53" s="44" t="n"/>
      <c r="G53" s="44" t="n"/>
      <c r="H53" s="44" t="n"/>
      <c r="I53" s="45" t="n"/>
      <c r="J53" s="45" t="n"/>
      <c r="K53" s="85" t="n"/>
      <c r="L53" s="85" t="n"/>
      <c r="M53" s="88" t="n"/>
      <c r="N53" s="88" t="n"/>
      <c r="O53" s="44" t="n"/>
      <c r="P53" s="45" t="n"/>
      <c r="Q53" s="45" t="n"/>
      <c r="R53" s="44" t="n"/>
      <c r="S53" s="45" t="n"/>
      <c r="T53" s="45" t="n"/>
      <c r="U53" s="85" t="n"/>
      <c r="V53" s="44" t="n"/>
      <c r="W53" s="45" t="n"/>
      <c r="X53" s="45" t="n"/>
      <c r="Y53" s="44" t="n"/>
      <c r="Z53" s="85" t="n"/>
      <c r="AA53" s="44" t="n"/>
      <c r="AB53" s="44" t="n"/>
      <c r="AC53" s="44" t="n"/>
      <c r="AD53" s="44" t="n"/>
      <c r="AE53" s="44" t="n"/>
      <c r="AF53" s="88" t="n"/>
      <c r="AG53" s="85" t="n"/>
      <c r="AH53" s="85" t="n"/>
      <c r="AI53" s="85" t="n"/>
      <c r="AJ53" s="85" t="n"/>
      <c r="AK53" s="85" t="n"/>
      <c r="AL53" s="85" t="n"/>
      <c r="AM53" s="85" t="n"/>
      <c r="AN53" s="85" t="n"/>
      <c r="AO53" s="85" t="n"/>
      <c r="AP53" s="85" t="n"/>
      <c r="AQ53" s="85" t="n"/>
      <c r="AR53" s="85" t="n"/>
      <c r="AS53" s="85" t="n"/>
      <c r="AT53" s="85" t="n"/>
      <c r="AU53" s="85" t="n"/>
      <c r="AV53" s="85" t="n"/>
      <c r="AW53" s="44" t="n"/>
      <c r="AX53" s="85" t="n"/>
      <c r="AY53" s="88" t="n"/>
      <c r="AZ53" s="86" t="n"/>
      <c r="BA53" s="44" t="n"/>
      <c r="BB53" s="44" t="n"/>
      <c r="BC53" s="87" t="n"/>
      <c r="BD53" s="44" t="n"/>
      <c r="BE53" s="87" t="n"/>
      <c r="BF53" s="85" t="n"/>
      <c r="BG53" s="44" t="n"/>
      <c r="BH53" s="44" t="n"/>
      <c r="BI53" s="85" t="n"/>
      <c r="BJ53" s="44" t="n"/>
      <c r="BK53" s="45" t="n"/>
      <c r="BL53" s="44" t="n"/>
      <c r="BM53" s="85" t="n"/>
      <c r="BN53" s="44" t="n"/>
      <c r="BO53" s="85" t="n"/>
      <c r="BP53" s="86" t="n"/>
      <c r="BQ53" s="44" t="n"/>
      <c r="BR53" s="50" t="n"/>
      <c r="BS53" s="89" t="n"/>
      <c r="BT53" s="50">
        <f>IF(OR(K53="",L53="",M53=""),"",IF(ABS(ROUND(((ROUND(N(K53)*100,0))-(0))*(100+N(M53))/100,0)-(ROUND(N(L53)*100,0)))&lt;=0+IF(((ROUND(N(K53)*100,0))-(0))*(100+N(M53))/100&lt;&gt;ROUND(((ROUND(N(K53)*100,0))-(0))*(100+N(M53))/100,0),1,0),"OK","ABWEICHUNG"))</f>
        <v/>
      </c>
    </row>
    <row r="54">
      <c r="A54" s="50" t="n"/>
      <c r="B54" s="44" t="n"/>
      <c r="C54" s="44" t="n"/>
      <c r="D54" s="44" t="n"/>
      <c r="E54" s="44" t="n"/>
      <c r="F54" s="44" t="n"/>
      <c r="G54" s="44" t="n"/>
      <c r="H54" s="44" t="n"/>
      <c r="I54" s="45" t="n"/>
      <c r="J54" s="45" t="n"/>
      <c r="K54" s="85" t="n"/>
      <c r="L54" s="85" t="n"/>
      <c r="M54" s="88" t="n"/>
      <c r="N54" s="88" t="n"/>
      <c r="O54" s="44" t="n"/>
      <c r="P54" s="45" t="n"/>
      <c r="Q54" s="45" t="n"/>
      <c r="R54" s="44" t="n"/>
      <c r="S54" s="45" t="n"/>
      <c r="T54" s="45" t="n"/>
      <c r="U54" s="85" t="n"/>
      <c r="V54" s="44" t="n"/>
      <c r="W54" s="45" t="n"/>
      <c r="X54" s="45" t="n"/>
      <c r="Y54" s="44" t="n"/>
      <c r="Z54" s="85" t="n"/>
      <c r="AA54" s="44" t="n"/>
      <c r="AB54" s="44" t="n"/>
      <c r="AC54" s="44" t="n"/>
      <c r="AD54" s="44" t="n"/>
      <c r="AE54" s="44" t="n"/>
      <c r="AF54" s="88" t="n"/>
      <c r="AG54" s="85" t="n"/>
      <c r="AH54" s="85" t="n"/>
      <c r="AI54" s="85" t="n"/>
      <c r="AJ54" s="85" t="n"/>
      <c r="AK54" s="85" t="n"/>
      <c r="AL54" s="85" t="n"/>
      <c r="AM54" s="85" t="n"/>
      <c r="AN54" s="85" t="n"/>
      <c r="AO54" s="85" t="n"/>
      <c r="AP54" s="85" t="n"/>
      <c r="AQ54" s="85" t="n"/>
      <c r="AR54" s="85" t="n"/>
      <c r="AS54" s="85" t="n"/>
      <c r="AT54" s="85" t="n"/>
      <c r="AU54" s="85" t="n"/>
      <c r="AV54" s="85" t="n"/>
      <c r="AW54" s="44" t="n"/>
      <c r="AX54" s="85" t="n"/>
      <c r="AY54" s="88" t="n"/>
      <c r="AZ54" s="86" t="n"/>
      <c r="BA54" s="44" t="n"/>
      <c r="BB54" s="44" t="n"/>
      <c r="BC54" s="87" t="n"/>
      <c r="BD54" s="44" t="n"/>
      <c r="BE54" s="87" t="n"/>
      <c r="BF54" s="85" t="n"/>
      <c r="BG54" s="44" t="n"/>
      <c r="BH54" s="44" t="n"/>
      <c r="BI54" s="85" t="n"/>
      <c r="BJ54" s="44" t="n"/>
      <c r="BK54" s="45" t="n"/>
      <c r="BL54" s="44" t="n"/>
      <c r="BM54" s="85" t="n"/>
      <c r="BN54" s="44" t="n"/>
      <c r="BO54" s="85" t="n"/>
      <c r="BP54" s="86" t="n"/>
      <c r="BQ54" s="44" t="n"/>
      <c r="BR54" s="50" t="n"/>
      <c r="BS54" s="89" t="n"/>
      <c r="BT54" s="50">
        <f>IF(OR(K54="",L54="",M54=""),"",IF(ABS(ROUND(((ROUND(N(K54)*100,0))-(0))*(100+N(M54))/100,0)-(ROUND(N(L54)*100,0)))&lt;=0+IF(((ROUND(N(K54)*100,0))-(0))*(100+N(M54))/100&lt;&gt;ROUND(((ROUND(N(K54)*100,0))-(0))*(100+N(M54))/100,0),1,0),"OK","ABWEICHUNG"))</f>
        <v/>
      </c>
    </row>
    <row r="55">
      <c r="A55" s="50" t="n"/>
      <c r="B55" s="44" t="n"/>
      <c r="C55" s="44" t="n"/>
      <c r="D55" s="44" t="n"/>
      <c r="E55" s="44" t="n"/>
      <c r="F55" s="44" t="n"/>
      <c r="G55" s="44" t="n"/>
      <c r="H55" s="44" t="n"/>
      <c r="I55" s="45" t="n"/>
      <c r="J55" s="45" t="n"/>
      <c r="K55" s="85" t="n"/>
      <c r="L55" s="85" t="n"/>
      <c r="M55" s="88" t="n"/>
      <c r="N55" s="88" t="n"/>
      <c r="O55" s="44" t="n"/>
      <c r="P55" s="45" t="n"/>
      <c r="Q55" s="45" t="n"/>
      <c r="R55" s="44" t="n"/>
      <c r="S55" s="45" t="n"/>
      <c r="T55" s="45" t="n"/>
      <c r="U55" s="85" t="n"/>
      <c r="V55" s="44" t="n"/>
      <c r="W55" s="45" t="n"/>
      <c r="X55" s="45" t="n"/>
      <c r="Y55" s="44" t="n"/>
      <c r="Z55" s="85" t="n"/>
      <c r="AA55" s="44" t="n"/>
      <c r="AB55" s="44" t="n"/>
      <c r="AC55" s="44" t="n"/>
      <c r="AD55" s="44" t="n"/>
      <c r="AE55" s="44" t="n"/>
      <c r="AF55" s="88" t="n"/>
      <c r="AG55" s="85" t="n"/>
      <c r="AH55" s="85" t="n"/>
      <c r="AI55" s="85" t="n"/>
      <c r="AJ55" s="85" t="n"/>
      <c r="AK55" s="85" t="n"/>
      <c r="AL55" s="85" t="n"/>
      <c r="AM55" s="85" t="n"/>
      <c r="AN55" s="85" t="n"/>
      <c r="AO55" s="85" t="n"/>
      <c r="AP55" s="85" t="n"/>
      <c r="AQ55" s="85" t="n"/>
      <c r="AR55" s="85" t="n"/>
      <c r="AS55" s="85" t="n"/>
      <c r="AT55" s="85" t="n"/>
      <c r="AU55" s="85" t="n"/>
      <c r="AV55" s="85" t="n"/>
      <c r="AW55" s="44" t="n"/>
      <c r="AX55" s="85" t="n"/>
      <c r="AY55" s="88" t="n"/>
      <c r="AZ55" s="86" t="n"/>
      <c r="BA55" s="44" t="n"/>
      <c r="BB55" s="44" t="n"/>
      <c r="BC55" s="87" t="n"/>
      <c r="BD55" s="44" t="n"/>
      <c r="BE55" s="87" t="n"/>
      <c r="BF55" s="85" t="n"/>
      <c r="BG55" s="44" t="n"/>
      <c r="BH55" s="44" t="n"/>
      <c r="BI55" s="85" t="n"/>
      <c r="BJ55" s="44" t="n"/>
      <c r="BK55" s="45" t="n"/>
      <c r="BL55" s="44" t="n"/>
      <c r="BM55" s="85" t="n"/>
      <c r="BN55" s="44" t="n"/>
      <c r="BO55" s="85" t="n"/>
      <c r="BP55" s="86" t="n"/>
      <c r="BQ55" s="44" t="n"/>
      <c r="BR55" s="50" t="n"/>
      <c r="BS55" s="89" t="n"/>
      <c r="BT55" s="50">
        <f>IF(OR(K55="",L55="",M55=""),"",IF(ABS(ROUND(((ROUND(N(K55)*100,0))-(0))*(100+N(M55))/100,0)-(ROUND(N(L55)*100,0)))&lt;=0+IF(((ROUND(N(K55)*100,0))-(0))*(100+N(M55))/100&lt;&gt;ROUND(((ROUND(N(K55)*100,0))-(0))*(100+N(M55))/100,0),1,0),"OK","ABWEICHUNG"))</f>
        <v/>
      </c>
    </row>
    <row r="56">
      <c r="A56" s="50" t="n"/>
      <c r="B56" s="44" t="n"/>
      <c r="C56" s="44" t="n"/>
      <c r="D56" s="44" t="n"/>
      <c r="E56" s="44" t="n"/>
      <c r="F56" s="44" t="n"/>
      <c r="G56" s="44" t="n"/>
      <c r="H56" s="44" t="n"/>
      <c r="I56" s="45" t="n"/>
      <c r="J56" s="45" t="n"/>
      <c r="K56" s="85" t="n"/>
      <c r="L56" s="85" t="n"/>
      <c r="M56" s="88" t="n"/>
      <c r="N56" s="88" t="n"/>
      <c r="O56" s="44" t="n"/>
      <c r="P56" s="45" t="n"/>
      <c r="Q56" s="45" t="n"/>
      <c r="R56" s="44" t="n"/>
      <c r="S56" s="45" t="n"/>
      <c r="T56" s="45" t="n"/>
      <c r="U56" s="85" t="n"/>
      <c r="V56" s="44" t="n"/>
      <c r="W56" s="45" t="n"/>
      <c r="X56" s="45" t="n"/>
      <c r="Y56" s="44" t="n"/>
      <c r="Z56" s="85" t="n"/>
      <c r="AA56" s="44" t="n"/>
      <c r="AB56" s="44" t="n"/>
      <c r="AC56" s="44" t="n"/>
      <c r="AD56" s="44" t="n"/>
      <c r="AE56" s="44" t="n"/>
      <c r="AF56" s="88" t="n"/>
      <c r="AG56" s="85" t="n"/>
      <c r="AH56" s="85" t="n"/>
      <c r="AI56" s="85" t="n"/>
      <c r="AJ56" s="85" t="n"/>
      <c r="AK56" s="85" t="n"/>
      <c r="AL56" s="85" t="n"/>
      <c r="AM56" s="85" t="n"/>
      <c r="AN56" s="85" t="n"/>
      <c r="AO56" s="85" t="n"/>
      <c r="AP56" s="85" t="n"/>
      <c r="AQ56" s="85" t="n"/>
      <c r="AR56" s="85" t="n"/>
      <c r="AS56" s="85" t="n"/>
      <c r="AT56" s="85" t="n"/>
      <c r="AU56" s="85" t="n"/>
      <c r="AV56" s="85" t="n"/>
      <c r="AW56" s="44" t="n"/>
      <c r="AX56" s="85" t="n"/>
      <c r="AY56" s="88" t="n"/>
      <c r="AZ56" s="86" t="n"/>
      <c r="BA56" s="44" t="n"/>
      <c r="BB56" s="44" t="n"/>
      <c r="BC56" s="87" t="n"/>
      <c r="BD56" s="44" t="n"/>
      <c r="BE56" s="87" t="n"/>
      <c r="BF56" s="85" t="n"/>
      <c r="BG56" s="44" t="n"/>
      <c r="BH56" s="44" t="n"/>
      <c r="BI56" s="85" t="n"/>
      <c r="BJ56" s="44" t="n"/>
      <c r="BK56" s="45" t="n"/>
      <c r="BL56" s="44" t="n"/>
      <c r="BM56" s="85" t="n"/>
      <c r="BN56" s="44" t="n"/>
      <c r="BO56" s="85" t="n"/>
      <c r="BP56" s="86" t="n"/>
      <c r="BQ56" s="44" t="n"/>
      <c r="BR56" s="50" t="n"/>
      <c r="BS56" s="89" t="n"/>
      <c r="BT56" s="50">
        <f>IF(OR(K56="",L56="",M56=""),"",IF(ABS(ROUND(((ROUND(N(K56)*100,0))-(0))*(100+N(M56))/100,0)-(ROUND(N(L56)*100,0)))&lt;=0+IF(((ROUND(N(K56)*100,0))-(0))*(100+N(M56))/100&lt;&gt;ROUND(((ROUND(N(K56)*100,0))-(0))*(100+N(M56))/100,0),1,0),"OK","ABWEICHUNG"))</f>
        <v/>
      </c>
    </row>
    <row r="57">
      <c r="A57" s="50" t="n"/>
      <c r="B57" s="44" t="n"/>
      <c r="C57" s="44" t="n"/>
      <c r="D57" s="44" t="n"/>
      <c r="E57" s="44" t="n"/>
      <c r="F57" s="44" t="n"/>
      <c r="G57" s="44" t="n"/>
      <c r="H57" s="44" t="n"/>
      <c r="I57" s="45" t="n"/>
      <c r="J57" s="45" t="n"/>
      <c r="K57" s="85" t="n"/>
      <c r="L57" s="85" t="n"/>
      <c r="M57" s="88" t="n"/>
      <c r="N57" s="88" t="n"/>
      <c r="O57" s="44" t="n"/>
      <c r="P57" s="45" t="n"/>
      <c r="Q57" s="45" t="n"/>
      <c r="R57" s="44" t="n"/>
      <c r="S57" s="45" t="n"/>
      <c r="T57" s="45" t="n"/>
      <c r="U57" s="85" t="n"/>
      <c r="V57" s="44" t="n"/>
      <c r="W57" s="45" t="n"/>
      <c r="X57" s="45" t="n"/>
      <c r="Y57" s="44" t="n"/>
      <c r="Z57" s="85" t="n"/>
      <c r="AA57" s="44" t="n"/>
      <c r="AB57" s="44" t="n"/>
      <c r="AC57" s="44" t="n"/>
      <c r="AD57" s="44" t="n"/>
      <c r="AE57" s="44" t="n"/>
      <c r="AF57" s="88" t="n"/>
      <c r="AG57" s="85" t="n"/>
      <c r="AH57" s="85" t="n"/>
      <c r="AI57" s="85" t="n"/>
      <c r="AJ57" s="85" t="n"/>
      <c r="AK57" s="85" t="n"/>
      <c r="AL57" s="85" t="n"/>
      <c r="AM57" s="85" t="n"/>
      <c r="AN57" s="85" t="n"/>
      <c r="AO57" s="85" t="n"/>
      <c r="AP57" s="85" t="n"/>
      <c r="AQ57" s="85" t="n"/>
      <c r="AR57" s="85" t="n"/>
      <c r="AS57" s="85" t="n"/>
      <c r="AT57" s="85" t="n"/>
      <c r="AU57" s="85" t="n"/>
      <c r="AV57" s="85" t="n"/>
      <c r="AW57" s="44" t="n"/>
      <c r="AX57" s="85" t="n"/>
      <c r="AY57" s="88" t="n"/>
      <c r="AZ57" s="86" t="n"/>
      <c r="BA57" s="44" t="n"/>
      <c r="BB57" s="44" t="n"/>
      <c r="BC57" s="87" t="n"/>
      <c r="BD57" s="44" t="n"/>
      <c r="BE57" s="87" t="n"/>
      <c r="BF57" s="85" t="n"/>
      <c r="BG57" s="44" t="n"/>
      <c r="BH57" s="44" t="n"/>
      <c r="BI57" s="85" t="n"/>
      <c r="BJ57" s="44" t="n"/>
      <c r="BK57" s="45" t="n"/>
      <c r="BL57" s="44" t="n"/>
      <c r="BM57" s="85" t="n"/>
      <c r="BN57" s="44" t="n"/>
      <c r="BO57" s="85" t="n"/>
      <c r="BP57" s="86" t="n"/>
      <c r="BQ57" s="44" t="n"/>
      <c r="BR57" s="50" t="n"/>
      <c r="BS57" s="89" t="n"/>
      <c r="BT57" s="50">
        <f>IF(OR(K57="",L57="",M57=""),"",IF(ABS(ROUND(((ROUND(N(K57)*100,0))-(0))*(100+N(M57))/100,0)-(ROUND(N(L57)*100,0)))&lt;=0+IF(((ROUND(N(K57)*100,0))-(0))*(100+N(M57))/100&lt;&gt;ROUND(((ROUND(N(K57)*100,0))-(0))*(100+N(M57))/100,0),1,0),"OK","ABWEICHUNG"))</f>
        <v/>
      </c>
    </row>
    <row r="58">
      <c r="A58" s="50" t="n"/>
      <c r="B58" s="44" t="n"/>
      <c r="C58" s="44" t="n"/>
      <c r="D58" s="44" t="n"/>
      <c r="E58" s="44" t="n"/>
      <c r="F58" s="44" t="n"/>
      <c r="G58" s="44" t="n"/>
      <c r="H58" s="44" t="n"/>
      <c r="I58" s="45" t="n"/>
      <c r="J58" s="45" t="n"/>
      <c r="K58" s="85" t="n"/>
      <c r="L58" s="85" t="n"/>
      <c r="M58" s="88" t="n"/>
      <c r="N58" s="88" t="n"/>
      <c r="O58" s="44" t="n"/>
      <c r="P58" s="45" t="n"/>
      <c r="Q58" s="45" t="n"/>
      <c r="R58" s="44" t="n"/>
      <c r="S58" s="45" t="n"/>
      <c r="T58" s="45" t="n"/>
      <c r="U58" s="85" t="n"/>
      <c r="V58" s="44" t="n"/>
      <c r="W58" s="45" t="n"/>
      <c r="X58" s="45" t="n"/>
      <c r="Y58" s="44" t="n"/>
      <c r="Z58" s="85" t="n"/>
      <c r="AA58" s="44" t="n"/>
      <c r="AB58" s="44" t="n"/>
      <c r="AC58" s="44" t="n"/>
      <c r="AD58" s="44" t="n"/>
      <c r="AE58" s="44" t="n"/>
      <c r="AF58" s="88" t="n"/>
      <c r="AG58" s="85" t="n"/>
      <c r="AH58" s="85" t="n"/>
      <c r="AI58" s="85" t="n"/>
      <c r="AJ58" s="85" t="n"/>
      <c r="AK58" s="85" t="n"/>
      <c r="AL58" s="85" t="n"/>
      <c r="AM58" s="85" t="n"/>
      <c r="AN58" s="85" t="n"/>
      <c r="AO58" s="85" t="n"/>
      <c r="AP58" s="85" t="n"/>
      <c r="AQ58" s="85" t="n"/>
      <c r="AR58" s="85" t="n"/>
      <c r="AS58" s="85" t="n"/>
      <c r="AT58" s="85" t="n"/>
      <c r="AU58" s="85" t="n"/>
      <c r="AV58" s="85" t="n"/>
      <c r="AW58" s="44" t="n"/>
      <c r="AX58" s="85" t="n"/>
      <c r="AY58" s="88" t="n"/>
      <c r="AZ58" s="86" t="n"/>
      <c r="BA58" s="44" t="n"/>
      <c r="BB58" s="44" t="n"/>
      <c r="BC58" s="87" t="n"/>
      <c r="BD58" s="44" t="n"/>
      <c r="BE58" s="87" t="n"/>
      <c r="BF58" s="85" t="n"/>
      <c r="BG58" s="44" t="n"/>
      <c r="BH58" s="44" t="n"/>
      <c r="BI58" s="85" t="n"/>
      <c r="BJ58" s="44" t="n"/>
      <c r="BK58" s="45" t="n"/>
      <c r="BL58" s="44" t="n"/>
      <c r="BM58" s="85" t="n"/>
      <c r="BN58" s="44" t="n"/>
      <c r="BO58" s="85" t="n"/>
      <c r="BP58" s="86" t="n"/>
      <c r="BQ58" s="44" t="n"/>
      <c r="BR58" s="50" t="n"/>
      <c r="BS58" s="89" t="n"/>
      <c r="BT58" s="50">
        <f>IF(OR(K58="",L58="",M58=""),"",IF(ABS(ROUND(((ROUND(N(K58)*100,0))-(0))*(100+N(M58))/100,0)-(ROUND(N(L58)*100,0)))&lt;=0+IF(((ROUND(N(K58)*100,0))-(0))*(100+N(M58))/100&lt;&gt;ROUND(((ROUND(N(K58)*100,0))-(0))*(100+N(M58))/100,0),1,0),"OK","ABWEICHUNG"))</f>
        <v/>
      </c>
    </row>
    <row r="59">
      <c r="A59" s="50" t="n"/>
      <c r="B59" s="44" t="n"/>
      <c r="C59" s="44" t="n"/>
      <c r="D59" s="44" t="n"/>
      <c r="E59" s="44" t="n"/>
      <c r="F59" s="44" t="n"/>
      <c r="G59" s="44" t="n"/>
      <c r="H59" s="44" t="n"/>
      <c r="I59" s="45" t="n"/>
      <c r="J59" s="45" t="n"/>
      <c r="K59" s="85" t="n"/>
      <c r="L59" s="85" t="n"/>
      <c r="M59" s="88" t="n"/>
      <c r="N59" s="88" t="n"/>
      <c r="O59" s="44" t="n"/>
      <c r="P59" s="45" t="n"/>
      <c r="Q59" s="45" t="n"/>
      <c r="R59" s="44" t="n"/>
      <c r="S59" s="45" t="n"/>
      <c r="T59" s="45" t="n"/>
      <c r="U59" s="85" t="n"/>
      <c r="V59" s="44" t="n"/>
      <c r="W59" s="45" t="n"/>
      <c r="X59" s="45" t="n"/>
      <c r="Y59" s="44" t="n"/>
      <c r="Z59" s="85" t="n"/>
      <c r="AA59" s="44" t="n"/>
      <c r="AB59" s="44" t="n"/>
      <c r="AC59" s="44" t="n"/>
      <c r="AD59" s="44" t="n"/>
      <c r="AE59" s="44" t="n"/>
      <c r="AF59" s="88" t="n"/>
      <c r="AG59" s="85" t="n"/>
      <c r="AH59" s="85" t="n"/>
      <c r="AI59" s="85" t="n"/>
      <c r="AJ59" s="85" t="n"/>
      <c r="AK59" s="85" t="n"/>
      <c r="AL59" s="85" t="n"/>
      <c r="AM59" s="85" t="n"/>
      <c r="AN59" s="85" t="n"/>
      <c r="AO59" s="85" t="n"/>
      <c r="AP59" s="85" t="n"/>
      <c r="AQ59" s="85" t="n"/>
      <c r="AR59" s="85" t="n"/>
      <c r="AS59" s="85" t="n"/>
      <c r="AT59" s="85" t="n"/>
      <c r="AU59" s="85" t="n"/>
      <c r="AV59" s="85" t="n"/>
      <c r="AW59" s="44" t="n"/>
      <c r="AX59" s="85" t="n"/>
      <c r="AY59" s="88" t="n"/>
      <c r="AZ59" s="86" t="n"/>
      <c r="BA59" s="44" t="n"/>
      <c r="BB59" s="44" t="n"/>
      <c r="BC59" s="87" t="n"/>
      <c r="BD59" s="44" t="n"/>
      <c r="BE59" s="87" t="n"/>
      <c r="BF59" s="85" t="n"/>
      <c r="BG59" s="44" t="n"/>
      <c r="BH59" s="44" t="n"/>
      <c r="BI59" s="85" t="n"/>
      <c r="BJ59" s="44" t="n"/>
      <c r="BK59" s="45" t="n"/>
      <c r="BL59" s="44" t="n"/>
      <c r="BM59" s="85" t="n"/>
      <c r="BN59" s="44" t="n"/>
      <c r="BO59" s="85" t="n"/>
      <c r="BP59" s="86" t="n"/>
      <c r="BQ59" s="44" t="n"/>
      <c r="BR59" s="50" t="n"/>
      <c r="BS59" s="89" t="n"/>
      <c r="BT59" s="50">
        <f>IF(OR(K59="",L59="",M59=""),"",IF(ABS(ROUND(((ROUND(N(K59)*100,0))-(0))*(100+N(M59))/100,0)-(ROUND(N(L59)*100,0)))&lt;=0+IF(((ROUND(N(K59)*100,0))-(0))*(100+N(M59))/100&lt;&gt;ROUND(((ROUND(N(K59)*100,0))-(0))*(100+N(M59))/100,0),1,0),"OK","ABWEICHUNG"))</f>
        <v/>
      </c>
    </row>
    <row r="60">
      <c r="A60" s="50" t="n"/>
      <c r="B60" s="44" t="n"/>
      <c r="C60" s="44" t="n"/>
      <c r="D60" s="44" t="n"/>
      <c r="E60" s="44" t="n"/>
      <c r="F60" s="44" t="n"/>
      <c r="G60" s="44" t="n"/>
      <c r="H60" s="44" t="n"/>
      <c r="I60" s="45" t="n"/>
      <c r="J60" s="45" t="n"/>
      <c r="K60" s="85" t="n"/>
      <c r="L60" s="85" t="n"/>
      <c r="M60" s="88" t="n"/>
      <c r="N60" s="88" t="n"/>
      <c r="O60" s="44" t="n"/>
      <c r="P60" s="45" t="n"/>
      <c r="Q60" s="45" t="n"/>
      <c r="R60" s="44" t="n"/>
      <c r="S60" s="45" t="n"/>
      <c r="T60" s="45" t="n"/>
      <c r="U60" s="85" t="n"/>
      <c r="V60" s="44" t="n"/>
      <c r="W60" s="45" t="n"/>
      <c r="X60" s="45" t="n"/>
      <c r="Y60" s="44" t="n"/>
      <c r="Z60" s="85" t="n"/>
      <c r="AA60" s="44" t="n"/>
      <c r="AB60" s="44" t="n"/>
      <c r="AC60" s="44" t="n"/>
      <c r="AD60" s="44" t="n"/>
      <c r="AE60" s="44" t="n"/>
      <c r="AF60" s="88" t="n"/>
      <c r="AG60" s="85" t="n"/>
      <c r="AH60" s="85" t="n"/>
      <c r="AI60" s="85" t="n"/>
      <c r="AJ60" s="85" t="n"/>
      <c r="AK60" s="85" t="n"/>
      <c r="AL60" s="85" t="n"/>
      <c r="AM60" s="85" t="n"/>
      <c r="AN60" s="85" t="n"/>
      <c r="AO60" s="85" t="n"/>
      <c r="AP60" s="85" t="n"/>
      <c r="AQ60" s="85" t="n"/>
      <c r="AR60" s="85" t="n"/>
      <c r="AS60" s="85" t="n"/>
      <c r="AT60" s="85" t="n"/>
      <c r="AU60" s="85" t="n"/>
      <c r="AV60" s="85" t="n"/>
      <c r="AW60" s="44" t="n"/>
      <c r="AX60" s="85" t="n"/>
      <c r="AY60" s="88" t="n"/>
      <c r="AZ60" s="86" t="n"/>
      <c r="BA60" s="44" t="n"/>
      <c r="BB60" s="44" t="n"/>
      <c r="BC60" s="87" t="n"/>
      <c r="BD60" s="44" t="n"/>
      <c r="BE60" s="87" t="n"/>
      <c r="BF60" s="85" t="n"/>
      <c r="BG60" s="44" t="n"/>
      <c r="BH60" s="44" t="n"/>
      <c r="BI60" s="85" t="n"/>
      <c r="BJ60" s="44" t="n"/>
      <c r="BK60" s="45" t="n"/>
      <c r="BL60" s="44" t="n"/>
      <c r="BM60" s="85" t="n"/>
      <c r="BN60" s="44" t="n"/>
      <c r="BO60" s="85" t="n"/>
      <c r="BP60" s="86" t="n"/>
      <c r="BQ60" s="44" t="n"/>
      <c r="BR60" s="50" t="n"/>
      <c r="BS60" s="89" t="n"/>
      <c r="BT60" s="50">
        <f>IF(OR(K60="",L60="",M60=""),"",IF(ABS(ROUND(((ROUND(N(K60)*100,0))-(0))*(100+N(M60))/100,0)-(ROUND(N(L60)*100,0)))&lt;=0+IF(((ROUND(N(K60)*100,0))-(0))*(100+N(M60))/100&lt;&gt;ROUND(((ROUND(N(K60)*100,0))-(0))*(100+N(M60))/100,0),1,0),"OK","ABWEICHUNG"))</f>
        <v/>
      </c>
    </row>
    <row r="61">
      <c r="A61" s="50" t="n"/>
      <c r="B61" s="44" t="n"/>
      <c r="C61" s="44" t="n"/>
      <c r="D61" s="44" t="n"/>
      <c r="E61" s="44" t="n"/>
      <c r="F61" s="44" t="n"/>
      <c r="G61" s="44" t="n"/>
      <c r="H61" s="44" t="n"/>
      <c r="I61" s="45" t="n"/>
      <c r="J61" s="45" t="n"/>
      <c r="K61" s="85" t="n"/>
      <c r="L61" s="85" t="n"/>
      <c r="M61" s="88" t="n"/>
      <c r="N61" s="88" t="n"/>
      <c r="O61" s="44" t="n"/>
      <c r="P61" s="45" t="n"/>
      <c r="Q61" s="45" t="n"/>
      <c r="R61" s="44" t="n"/>
      <c r="S61" s="45" t="n"/>
      <c r="T61" s="45" t="n"/>
      <c r="U61" s="85" t="n"/>
      <c r="V61" s="44" t="n"/>
      <c r="W61" s="45" t="n"/>
      <c r="X61" s="45" t="n"/>
      <c r="Y61" s="44" t="n"/>
      <c r="Z61" s="85" t="n"/>
      <c r="AA61" s="44" t="n"/>
      <c r="AB61" s="44" t="n"/>
      <c r="AC61" s="44" t="n"/>
      <c r="AD61" s="44" t="n"/>
      <c r="AE61" s="44" t="n"/>
      <c r="AF61" s="88" t="n"/>
      <c r="AG61" s="85" t="n"/>
      <c r="AH61" s="85" t="n"/>
      <c r="AI61" s="85" t="n"/>
      <c r="AJ61" s="85" t="n"/>
      <c r="AK61" s="85" t="n"/>
      <c r="AL61" s="85" t="n"/>
      <c r="AM61" s="85" t="n"/>
      <c r="AN61" s="85" t="n"/>
      <c r="AO61" s="85" t="n"/>
      <c r="AP61" s="85" t="n"/>
      <c r="AQ61" s="85" t="n"/>
      <c r="AR61" s="85" t="n"/>
      <c r="AS61" s="85" t="n"/>
      <c r="AT61" s="85" t="n"/>
      <c r="AU61" s="85" t="n"/>
      <c r="AV61" s="85" t="n"/>
      <c r="AW61" s="44" t="n"/>
      <c r="AX61" s="85" t="n"/>
      <c r="AY61" s="88" t="n"/>
      <c r="AZ61" s="86" t="n"/>
      <c r="BA61" s="44" t="n"/>
      <c r="BB61" s="44" t="n"/>
      <c r="BC61" s="87" t="n"/>
      <c r="BD61" s="44" t="n"/>
      <c r="BE61" s="87" t="n"/>
      <c r="BF61" s="85" t="n"/>
      <c r="BG61" s="44" t="n"/>
      <c r="BH61" s="44" t="n"/>
      <c r="BI61" s="85" t="n"/>
      <c r="BJ61" s="44" t="n"/>
      <c r="BK61" s="45" t="n"/>
      <c r="BL61" s="44" t="n"/>
      <c r="BM61" s="85" t="n"/>
      <c r="BN61" s="44" t="n"/>
      <c r="BO61" s="85" t="n"/>
      <c r="BP61" s="86" t="n"/>
      <c r="BQ61" s="44" t="n"/>
      <c r="BR61" s="50" t="n"/>
      <c r="BS61" s="89" t="n"/>
      <c r="BT61" s="50">
        <f>IF(OR(K61="",L61="",M61=""),"",IF(ABS(ROUND(((ROUND(N(K61)*100,0))-(0))*(100+N(M61))/100,0)-(ROUND(N(L61)*100,0)))&lt;=0+IF(((ROUND(N(K61)*100,0))-(0))*(100+N(M61))/100&lt;&gt;ROUND(((ROUND(N(K61)*100,0))-(0))*(100+N(M61))/100,0),1,0),"OK","ABWEICHUNG"))</f>
        <v/>
      </c>
    </row>
    <row r="62">
      <c r="A62" s="50" t="n"/>
      <c r="B62" s="44" t="n"/>
      <c r="C62" s="44" t="n"/>
      <c r="D62" s="44" t="n"/>
      <c r="E62" s="44" t="n"/>
      <c r="F62" s="44" t="n"/>
      <c r="G62" s="44" t="n"/>
      <c r="H62" s="44" t="n"/>
      <c r="I62" s="45" t="n"/>
      <c r="J62" s="45" t="n"/>
      <c r="K62" s="85" t="n"/>
      <c r="L62" s="85" t="n"/>
      <c r="M62" s="88" t="n"/>
      <c r="N62" s="88" t="n"/>
      <c r="O62" s="44" t="n"/>
      <c r="P62" s="45" t="n"/>
      <c r="Q62" s="45" t="n"/>
      <c r="R62" s="44" t="n"/>
      <c r="S62" s="45" t="n"/>
      <c r="T62" s="45" t="n"/>
      <c r="U62" s="85" t="n"/>
      <c r="V62" s="44" t="n"/>
      <c r="W62" s="45" t="n"/>
      <c r="X62" s="45" t="n"/>
      <c r="Y62" s="44" t="n"/>
      <c r="Z62" s="85" t="n"/>
      <c r="AA62" s="44" t="n"/>
      <c r="AB62" s="44" t="n"/>
      <c r="AC62" s="44" t="n"/>
      <c r="AD62" s="44" t="n"/>
      <c r="AE62" s="44" t="n"/>
      <c r="AF62" s="88" t="n"/>
      <c r="AG62" s="85" t="n"/>
      <c r="AH62" s="85" t="n"/>
      <c r="AI62" s="85" t="n"/>
      <c r="AJ62" s="85" t="n"/>
      <c r="AK62" s="85" t="n"/>
      <c r="AL62" s="85" t="n"/>
      <c r="AM62" s="85" t="n"/>
      <c r="AN62" s="85" t="n"/>
      <c r="AO62" s="85" t="n"/>
      <c r="AP62" s="85" t="n"/>
      <c r="AQ62" s="85" t="n"/>
      <c r="AR62" s="85" t="n"/>
      <c r="AS62" s="85" t="n"/>
      <c r="AT62" s="85" t="n"/>
      <c r="AU62" s="85" t="n"/>
      <c r="AV62" s="85" t="n"/>
      <c r="AW62" s="44" t="n"/>
      <c r="AX62" s="85" t="n"/>
      <c r="AY62" s="88" t="n"/>
      <c r="AZ62" s="86" t="n"/>
      <c r="BA62" s="44" t="n"/>
      <c r="BB62" s="44" t="n"/>
      <c r="BC62" s="87" t="n"/>
      <c r="BD62" s="44" t="n"/>
      <c r="BE62" s="87" t="n"/>
      <c r="BF62" s="85" t="n"/>
      <c r="BG62" s="44" t="n"/>
      <c r="BH62" s="44" t="n"/>
      <c r="BI62" s="85" t="n"/>
      <c r="BJ62" s="44" t="n"/>
      <c r="BK62" s="45" t="n"/>
      <c r="BL62" s="44" t="n"/>
      <c r="BM62" s="85" t="n"/>
      <c r="BN62" s="44" t="n"/>
      <c r="BO62" s="85" t="n"/>
      <c r="BP62" s="86" t="n"/>
      <c r="BQ62" s="44" t="n"/>
      <c r="BR62" s="50" t="n"/>
      <c r="BS62" s="89" t="n"/>
      <c r="BT62" s="50">
        <f>IF(OR(K62="",L62="",M62=""),"",IF(ABS(ROUND(((ROUND(N(K62)*100,0))-(0))*(100+N(M62))/100,0)-(ROUND(N(L62)*100,0)))&lt;=0+IF(((ROUND(N(K62)*100,0))-(0))*(100+N(M62))/100&lt;&gt;ROUND(((ROUND(N(K62)*100,0))-(0))*(100+N(M62))/100,0),1,0),"OK","ABWEICHUNG"))</f>
        <v/>
      </c>
    </row>
    <row r="63">
      <c r="A63" s="50" t="n"/>
      <c r="B63" s="44" t="n"/>
      <c r="C63" s="44" t="n"/>
      <c r="D63" s="44" t="n"/>
      <c r="E63" s="44" t="n"/>
      <c r="F63" s="44" t="n"/>
      <c r="G63" s="44" t="n"/>
      <c r="H63" s="44" t="n"/>
      <c r="I63" s="45" t="n"/>
      <c r="J63" s="45" t="n"/>
      <c r="K63" s="85" t="n"/>
      <c r="L63" s="85" t="n"/>
      <c r="M63" s="88" t="n"/>
      <c r="N63" s="88" t="n"/>
      <c r="O63" s="44" t="n"/>
      <c r="P63" s="45" t="n"/>
      <c r="Q63" s="45" t="n"/>
      <c r="R63" s="44" t="n"/>
      <c r="S63" s="45" t="n"/>
      <c r="T63" s="45" t="n"/>
      <c r="U63" s="85" t="n"/>
      <c r="V63" s="44" t="n"/>
      <c r="W63" s="45" t="n"/>
      <c r="X63" s="45" t="n"/>
      <c r="Y63" s="44" t="n"/>
      <c r="Z63" s="85" t="n"/>
      <c r="AA63" s="44" t="n"/>
      <c r="AB63" s="44" t="n"/>
      <c r="AC63" s="44" t="n"/>
      <c r="AD63" s="44" t="n"/>
      <c r="AE63" s="44" t="n"/>
      <c r="AF63" s="88" t="n"/>
      <c r="AG63" s="85" t="n"/>
      <c r="AH63" s="85" t="n"/>
      <c r="AI63" s="85" t="n"/>
      <c r="AJ63" s="85" t="n"/>
      <c r="AK63" s="85" t="n"/>
      <c r="AL63" s="85" t="n"/>
      <c r="AM63" s="85" t="n"/>
      <c r="AN63" s="85" t="n"/>
      <c r="AO63" s="85" t="n"/>
      <c r="AP63" s="85" t="n"/>
      <c r="AQ63" s="85" t="n"/>
      <c r="AR63" s="85" t="n"/>
      <c r="AS63" s="85" t="n"/>
      <c r="AT63" s="85" t="n"/>
      <c r="AU63" s="85" t="n"/>
      <c r="AV63" s="85" t="n"/>
      <c r="AW63" s="44" t="n"/>
      <c r="AX63" s="85" t="n"/>
      <c r="AY63" s="88" t="n"/>
      <c r="AZ63" s="86" t="n"/>
      <c r="BA63" s="44" t="n"/>
      <c r="BB63" s="44" t="n"/>
      <c r="BC63" s="87" t="n"/>
      <c r="BD63" s="44" t="n"/>
      <c r="BE63" s="87" t="n"/>
      <c r="BF63" s="85" t="n"/>
      <c r="BG63" s="44" t="n"/>
      <c r="BH63" s="44" t="n"/>
      <c r="BI63" s="85" t="n"/>
      <c r="BJ63" s="44" t="n"/>
      <c r="BK63" s="45" t="n"/>
      <c r="BL63" s="44" t="n"/>
      <c r="BM63" s="85" t="n"/>
      <c r="BN63" s="44" t="n"/>
      <c r="BO63" s="85" t="n"/>
      <c r="BP63" s="86" t="n"/>
      <c r="BQ63" s="44" t="n"/>
      <c r="BR63" s="50" t="n"/>
      <c r="BS63" s="89" t="n"/>
      <c r="BT63" s="50">
        <f>IF(OR(K63="",L63="",M63=""),"",IF(ABS(ROUND(((ROUND(N(K63)*100,0))-(0))*(100+N(M63))/100,0)-(ROUND(N(L63)*100,0)))&lt;=0+IF(((ROUND(N(K63)*100,0))-(0))*(100+N(M63))/100&lt;&gt;ROUND(((ROUND(N(K63)*100,0))-(0))*(100+N(M63))/100,0),1,0),"OK","ABWEICHUNG"))</f>
        <v/>
      </c>
    </row>
    <row r="64">
      <c r="A64" s="50" t="n"/>
      <c r="B64" s="44" t="n"/>
      <c r="C64" s="44" t="n"/>
      <c r="D64" s="44" t="n"/>
      <c r="E64" s="44" t="n"/>
      <c r="F64" s="44" t="n"/>
      <c r="G64" s="44" t="n"/>
      <c r="H64" s="44" t="n"/>
      <c r="I64" s="45" t="n"/>
      <c r="J64" s="45" t="n"/>
      <c r="K64" s="85" t="n"/>
      <c r="L64" s="85" t="n"/>
      <c r="M64" s="88" t="n"/>
      <c r="N64" s="88" t="n"/>
      <c r="O64" s="44" t="n"/>
      <c r="P64" s="45" t="n"/>
      <c r="Q64" s="45" t="n"/>
      <c r="R64" s="44" t="n"/>
      <c r="S64" s="45" t="n"/>
      <c r="T64" s="45" t="n"/>
      <c r="U64" s="85" t="n"/>
      <c r="V64" s="44" t="n"/>
      <c r="W64" s="45" t="n"/>
      <c r="X64" s="45" t="n"/>
      <c r="Y64" s="44" t="n"/>
      <c r="Z64" s="85" t="n"/>
      <c r="AA64" s="44" t="n"/>
      <c r="AB64" s="44" t="n"/>
      <c r="AC64" s="44" t="n"/>
      <c r="AD64" s="44" t="n"/>
      <c r="AE64" s="44" t="n"/>
      <c r="AF64" s="88" t="n"/>
      <c r="AG64" s="85" t="n"/>
      <c r="AH64" s="85" t="n"/>
      <c r="AI64" s="85" t="n"/>
      <c r="AJ64" s="85" t="n"/>
      <c r="AK64" s="85" t="n"/>
      <c r="AL64" s="85" t="n"/>
      <c r="AM64" s="85" t="n"/>
      <c r="AN64" s="85" t="n"/>
      <c r="AO64" s="85" t="n"/>
      <c r="AP64" s="85" t="n"/>
      <c r="AQ64" s="85" t="n"/>
      <c r="AR64" s="85" t="n"/>
      <c r="AS64" s="85" t="n"/>
      <c r="AT64" s="85" t="n"/>
      <c r="AU64" s="85" t="n"/>
      <c r="AV64" s="85" t="n"/>
      <c r="AW64" s="44" t="n"/>
      <c r="AX64" s="85" t="n"/>
      <c r="AY64" s="88" t="n"/>
      <c r="AZ64" s="86" t="n"/>
      <c r="BA64" s="44" t="n"/>
      <c r="BB64" s="44" t="n"/>
      <c r="BC64" s="87" t="n"/>
      <c r="BD64" s="44" t="n"/>
      <c r="BE64" s="87" t="n"/>
      <c r="BF64" s="85" t="n"/>
      <c r="BG64" s="44" t="n"/>
      <c r="BH64" s="44" t="n"/>
      <c r="BI64" s="85" t="n"/>
      <c r="BJ64" s="44" t="n"/>
      <c r="BK64" s="45" t="n"/>
      <c r="BL64" s="44" t="n"/>
      <c r="BM64" s="85" t="n"/>
      <c r="BN64" s="44" t="n"/>
      <c r="BO64" s="85" t="n"/>
      <c r="BP64" s="86" t="n"/>
      <c r="BQ64" s="44" t="n"/>
      <c r="BR64" s="50" t="n"/>
      <c r="BS64" s="89" t="n"/>
      <c r="BT64" s="50">
        <f>IF(OR(K64="",L64="",M64=""),"",IF(ABS(ROUND(((ROUND(N(K64)*100,0))-(0))*(100+N(M64))/100,0)-(ROUND(N(L64)*100,0)))&lt;=0+IF(((ROUND(N(K64)*100,0))-(0))*(100+N(M64))/100&lt;&gt;ROUND(((ROUND(N(K64)*100,0))-(0))*(100+N(M64))/100,0),1,0),"OK","ABWEICHUNG"))</f>
        <v/>
      </c>
    </row>
    <row r="65">
      <c r="A65" s="50" t="n"/>
      <c r="B65" s="44" t="n"/>
      <c r="C65" s="44" t="n"/>
      <c r="D65" s="44" t="n"/>
      <c r="E65" s="44" t="n"/>
      <c r="F65" s="44" t="n"/>
      <c r="G65" s="44" t="n"/>
      <c r="H65" s="44" t="n"/>
      <c r="I65" s="45" t="n"/>
      <c r="J65" s="45" t="n"/>
      <c r="K65" s="85" t="n"/>
      <c r="L65" s="85" t="n"/>
      <c r="M65" s="88" t="n"/>
      <c r="N65" s="88" t="n"/>
      <c r="O65" s="44" t="n"/>
      <c r="P65" s="45" t="n"/>
      <c r="Q65" s="45" t="n"/>
      <c r="R65" s="44" t="n"/>
      <c r="S65" s="45" t="n"/>
      <c r="T65" s="45" t="n"/>
      <c r="U65" s="85" t="n"/>
      <c r="V65" s="44" t="n"/>
      <c r="W65" s="45" t="n"/>
      <c r="X65" s="45" t="n"/>
      <c r="Y65" s="44" t="n"/>
      <c r="Z65" s="85" t="n"/>
      <c r="AA65" s="44" t="n"/>
      <c r="AB65" s="44" t="n"/>
      <c r="AC65" s="44" t="n"/>
      <c r="AD65" s="44" t="n"/>
      <c r="AE65" s="44" t="n"/>
      <c r="AF65" s="88" t="n"/>
      <c r="AG65" s="85" t="n"/>
      <c r="AH65" s="85" t="n"/>
      <c r="AI65" s="85" t="n"/>
      <c r="AJ65" s="85" t="n"/>
      <c r="AK65" s="85" t="n"/>
      <c r="AL65" s="85" t="n"/>
      <c r="AM65" s="85" t="n"/>
      <c r="AN65" s="85" t="n"/>
      <c r="AO65" s="85" t="n"/>
      <c r="AP65" s="85" t="n"/>
      <c r="AQ65" s="85" t="n"/>
      <c r="AR65" s="85" t="n"/>
      <c r="AS65" s="85" t="n"/>
      <c r="AT65" s="85" t="n"/>
      <c r="AU65" s="85" t="n"/>
      <c r="AV65" s="85" t="n"/>
      <c r="AW65" s="44" t="n"/>
      <c r="AX65" s="85" t="n"/>
      <c r="AY65" s="88" t="n"/>
      <c r="AZ65" s="86" t="n"/>
      <c r="BA65" s="44" t="n"/>
      <c r="BB65" s="44" t="n"/>
      <c r="BC65" s="87" t="n"/>
      <c r="BD65" s="44" t="n"/>
      <c r="BE65" s="87" t="n"/>
      <c r="BF65" s="85" t="n"/>
      <c r="BG65" s="44" t="n"/>
      <c r="BH65" s="44" t="n"/>
      <c r="BI65" s="85" t="n"/>
      <c r="BJ65" s="44" t="n"/>
      <c r="BK65" s="45" t="n"/>
      <c r="BL65" s="44" t="n"/>
      <c r="BM65" s="85" t="n"/>
      <c r="BN65" s="44" t="n"/>
      <c r="BO65" s="85" t="n"/>
      <c r="BP65" s="86" t="n"/>
      <c r="BQ65" s="44" t="n"/>
      <c r="BR65" s="50" t="n"/>
      <c r="BS65" s="89" t="n"/>
      <c r="BT65" s="50">
        <f>IF(OR(K65="",L65="",M65=""),"",IF(ABS(ROUND(((ROUND(N(K65)*100,0))-(0))*(100+N(M65))/100,0)-(ROUND(N(L65)*100,0)))&lt;=0+IF(((ROUND(N(K65)*100,0))-(0))*(100+N(M65))/100&lt;&gt;ROUND(((ROUND(N(K65)*100,0))-(0))*(100+N(M65))/100,0),1,0),"OK","ABWEICHUNG"))</f>
        <v/>
      </c>
    </row>
    <row r="66">
      <c r="A66" s="50" t="n"/>
      <c r="B66" s="44" t="n"/>
      <c r="C66" s="44" t="n"/>
      <c r="D66" s="44" t="n"/>
      <c r="E66" s="44" t="n"/>
      <c r="F66" s="44" t="n"/>
      <c r="G66" s="44" t="n"/>
      <c r="H66" s="44" t="n"/>
      <c r="I66" s="45" t="n"/>
      <c r="J66" s="45" t="n"/>
      <c r="K66" s="85" t="n"/>
      <c r="L66" s="85" t="n"/>
      <c r="M66" s="88" t="n"/>
      <c r="N66" s="88" t="n"/>
      <c r="O66" s="44" t="n"/>
      <c r="P66" s="45" t="n"/>
      <c r="Q66" s="45" t="n"/>
      <c r="R66" s="44" t="n"/>
      <c r="S66" s="45" t="n"/>
      <c r="T66" s="45" t="n"/>
      <c r="U66" s="85" t="n"/>
      <c r="V66" s="44" t="n"/>
      <c r="W66" s="45" t="n"/>
      <c r="X66" s="45" t="n"/>
      <c r="Y66" s="44" t="n"/>
      <c r="Z66" s="85" t="n"/>
      <c r="AA66" s="44" t="n"/>
      <c r="AB66" s="44" t="n"/>
      <c r="AC66" s="44" t="n"/>
      <c r="AD66" s="44" t="n"/>
      <c r="AE66" s="44" t="n"/>
      <c r="AF66" s="88" t="n"/>
      <c r="AG66" s="85" t="n"/>
      <c r="AH66" s="85" t="n"/>
      <c r="AI66" s="85" t="n"/>
      <c r="AJ66" s="85" t="n"/>
      <c r="AK66" s="85" t="n"/>
      <c r="AL66" s="85" t="n"/>
      <c r="AM66" s="85" t="n"/>
      <c r="AN66" s="85" t="n"/>
      <c r="AO66" s="85" t="n"/>
      <c r="AP66" s="85" t="n"/>
      <c r="AQ66" s="85" t="n"/>
      <c r="AR66" s="85" t="n"/>
      <c r="AS66" s="85" t="n"/>
      <c r="AT66" s="85" t="n"/>
      <c r="AU66" s="85" t="n"/>
      <c r="AV66" s="85" t="n"/>
      <c r="AW66" s="44" t="n"/>
      <c r="AX66" s="85" t="n"/>
      <c r="AY66" s="88" t="n"/>
      <c r="AZ66" s="86" t="n"/>
      <c r="BA66" s="44" t="n"/>
      <c r="BB66" s="44" t="n"/>
      <c r="BC66" s="87" t="n"/>
      <c r="BD66" s="44" t="n"/>
      <c r="BE66" s="87" t="n"/>
      <c r="BF66" s="85" t="n"/>
      <c r="BG66" s="44" t="n"/>
      <c r="BH66" s="44" t="n"/>
      <c r="BI66" s="85" t="n"/>
      <c r="BJ66" s="44" t="n"/>
      <c r="BK66" s="45" t="n"/>
      <c r="BL66" s="44" t="n"/>
      <c r="BM66" s="85" t="n"/>
      <c r="BN66" s="44" t="n"/>
      <c r="BO66" s="85" t="n"/>
      <c r="BP66" s="86" t="n"/>
      <c r="BQ66" s="44" t="n"/>
      <c r="BR66" s="50" t="n"/>
      <c r="BS66" s="89" t="n"/>
      <c r="BT66" s="50">
        <f>IF(OR(K66="",L66="",M66=""),"",IF(ABS(ROUND(((ROUND(N(K66)*100,0))-(0))*(100+N(M66))/100,0)-(ROUND(N(L66)*100,0)))&lt;=0+IF(((ROUND(N(K66)*100,0))-(0))*(100+N(M66))/100&lt;&gt;ROUND(((ROUND(N(K66)*100,0))-(0))*(100+N(M66))/100,0),1,0),"OK","ABWEICHUNG"))</f>
        <v/>
      </c>
    </row>
    <row r="67">
      <c r="A67" s="50" t="n"/>
      <c r="B67" s="44" t="n"/>
      <c r="C67" s="44" t="n"/>
      <c r="D67" s="44" t="n"/>
      <c r="E67" s="44" t="n"/>
      <c r="F67" s="44" t="n"/>
      <c r="G67" s="44" t="n"/>
      <c r="H67" s="44" t="n"/>
      <c r="I67" s="45" t="n"/>
      <c r="J67" s="45" t="n"/>
      <c r="K67" s="85" t="n"/>
      <c r="L67" s="85" t="n"/>
      <c r="M67" s="88" t="n"/>
      <c r="N67" s="88" t="n"/>
      <c r="O67" s="44" t="n"/>
      <c r="P67" s="45" t="n"/>
      <c r="Q67" s="45" t="n"/>
      <c r="R67" s="44" t="n"/>
      <c r="S67" s="45" t="n"/>
      <c r="T67" s="45" t="n"/>
      <c r="U67" s="85" t="n"/>
      <c r="V67" s="44" t="n"/>
      <c r="W67" s="45" t="n"/>
      <c r="X67" s="45" t="n"/>
      <c r="Y67" s="44" t="n"/>
      <c r="Z67" s="85" t="n"/>
      <c r="AA67" s="44" t="n"/>
      <c r="AB67" s="44" t="n"/>
      <c r="AC67" s="44" t="n"/>
      <c r="AD67" s="44" t="n"/>
      <c r="AE67" s="44" t="n"/>
      <c r="AF67" s="88" t="n"/>
      <c r="AG67" s="85" t="n"/>
      <c r="AH67" s="85" t="n"/>
      <c r="AI67" s="85" t="n"/>
      <c r="AJ67" s="85" t="n"/>
      <c r="AK67" s="85" t="n"/>
      <c r="AL67" s="85" t="n"/>
      <c r="AM67" s="85" t="n"/>
      <c r="AN67" s="85" t="n"/>
      <c r="AO67" s="85" t="n"/>
      <c r="AP67" s="85" t="n"/>
      <c r="AQ67" s="85" t="n"/>
      <c r="AR67" s="85" t="n"/>
      <c r="AS67" s="85" t="n"/>
      <c r="AT67" s="85" t="n"/>
      <c r="AU67" s="85" t="n"/>
      <c r="AV67" s="85" t="n"/>
      <c r="AW67" s="44" t="n"/>
      <c r="AX67" s="85" t="n"/>
      <c r="AY67" s="88" t="n"/>
      <c r="AZ67" s="86" t="n"/>
      <c r="BA67" s="44" t="n"/>
      <c r="BB67" s="44" t="n"/>
      <c r="BC67" s="87" t="n"/>
      <c r="BD67" s="44" t="n"/>
      <c r="BE67" s="87" t="n"/>
      <c r="BF67" s="85" t="n"/>
      <c r="BG67" s="44" t="n"/>
      <c r="BH67" s="44" t="n"/>
      <c r="BI67" s="85" t="n"/>
      <c r="BJ67" s="44" t="n"/>
      <c r="BK67" s="45" t="n"/>
      <c r="BL67" s="44" t="n"/>
      <c r="BM67" s="85" t="n"/>
      <c r="BN67" s="44" t="n"/>
      <c r="BO67" s="85" t="n"/>
      <c r="BP67" s="86" t="n"/>
      <c r="BQ67" s="44" t="n"/>
      <c r="BR67" s="50" t="n"/>
      <c r="BS67" s="89" t="n"/>
      <c r="BT67" s="50">
        <f>IF(OR(K67="",L67="",M67=""),"",IF(ABS(ROUND(((ROUND(N(K67)*100,0))-(0))*(100+N(M67))/100,0)-(ROUND(N(L67)*100,0)))&lt;=0+IF(((ROUND(N(K67)*100,0))-(0))*(100+N(M67))/100&lt;&gt;ROUND(((ROUND(N(K67)*100,0))-(0))*(100+N(M67))/100,0),1,0),"OK","ABWEICHUNG"))</f>
        <v/>
      </c>
    </row>
    <row r="68">
      <c r="A68" s="50" t="n"/>
      <c r="B68" s="44" t="n"/>
      <c r="C68" s="44" t="n"/>
      <c r="D68" s="44" t="n"/>
      <c r="E68" s="44" t="n"/>
      <c r="F68" s="44" t="n"/>
      <c r="G68" s="44" t="n"/>
      <c r="H68" s="44" t="n"/>
      <c r="I68" s="45" t="n"/>
      <c r="J68" s="45" t="n"/>
      <c r="K68" s="85" t="n"/>
      <c r="L68" s="85" t="n"/>
      <c r="M68" s="88" t="n"/>
      <c r="N68" s="88" t="n"/>
      <c r="O68" s="44" t="n"/>
      <c r="P68" s="45" t="n"/>
      <c r="Q68" s="45" t="n"/>
      <c r="R68" s="44" t="n"/>
      <c r="S68" s="45" t="n"/>
      <c r="T68" s="45" t="n"/>
      <c r="U68" s="85" t="n"/>
      <c r="V68" s="44" t="n"/>
      <c r="W68" s="45" t="n"/>
      <c r="X68" s="45" t="n"/>
      <c r="Y68" s="44" t="n"/>
      <c r="Z68" s="85" t="n"/>
      <c r="AA68" s="44" t="n"/>
      <c r="AB68" s="44" t="n"/>
      <c r="AC68" s="44" t="n"/>
      <c r="AD68" s="44" t="n"/>
      <c r="AE68" s="44" t="n"/>
      <c r="AF68" s="88" t="n"/>
      <c r="AG68" s="85" t="n"/>
      <c r="AH68" s="85" t="n"/>
      <c r="AI68" s="85" t="n"/>
      <c r="AJ68" s="85" t="n"/>
      <c r="AK68" s="85" t="n"/>
      <c r="AL68" s="85" t="n"/>
      <c r="AM68" s="85" t="n"/>
      <c r="AN68" s="85" t="n"/>
      <c r="AO68" s="85" t="n"/>
      <c r="AP68" s="85" t="n"/>
      <c r="AQ68" s="85" t="n"/>
      <c r="AR68" s="85" t="n"/>
      <c r="AS68" s="85" t="n"/>
      <c r="AT68" s="85" t="n"/>
      <c r="AU68" s="85" t="n"/>
      <c r="AV68" s="85" t="n"/>
      <c r="AW68" s="44" t="n"/>
      <c r="AX68" s="85" t="n"/>
      <c r="AY68" s="88" t="n"/>
      <c r="AZ68" s="86" t="n"/>
      <c r="BA68" s="44" t="n"/>
      <c r="BB68" s="44" t="n"/>
      <c r="BC68" s="87" t="n"/>
      <c r="BD68" s="44" t="n"/>
      <c r="BE68" s="87" t="n"/>
      <c r="BF68" s="85" t="n"/>
      <c r="BG68" s="44" t="n"/>
      <c r="BH68" s="44" t="n"/>
      <c r="BI68" s="85" t="n"/>
      <c r="BJ68" s="44" t="n"/>
      <c r="BK68" s="45" t="n"/>
      <c r="BL68" s="44" t="n"/>
      <c r="BM68" s="85" t="n"/>
      <c r="BN68" s="44" t="n"/>
      <c r="BO68" s="85" t="n"/>
      <c r="BP68" s="86" t="n"/>
      <c r="BQ68" s="44" t="n"/>
      <c r="BR68" s="50" t="n"/>
      <c r="BS68" s="89" t="n"/>
      <c r="BT68" s="50">
        <f>IF(OR(K68="",L68="",M68=""),"",IF(ABS(ROUND(((ROUND(N(K68)*100,0))-(0))*(100+N(M68))/100,0)-(ROUND(N(L68)*100,0)))&lt;=0+IF(((ROUND(N(K68)*100,0))-(0))*(100+N(M68))/100&lt;&gt;ROUND(((ROUND(N(K68)*100,0))-(0))*(100+N(M68))/100,0),1,0),"OK","ABWEICHUNG"))</f>
        <v/>
      </c>
    </row>
    <row r="69">
      <c r="A69" s="50" t="n"/>
      <c r="B69" s="44" t="n"/>
      <c r="C69" s="44" t="n"/>
      <c r="D69" s="44" t="n"/>
      <c r="E69" s="44" t="n"/>
      <c r="F69" s="44" t="n"/>
      <c r="G69" s="44" t="n"/>
      <c r="H69" s="44" t="n"/>
      <c r="I69" s="45" t="n"/>
      <c r="J69" s="45" t="n"/>
      <c r="K69" s="85" t="n"/>
      <c r="L69" s="85" t="n"/>
      <c r="M69" s="88" t="n"/>
      <c r="N69" s="88" t="n"/>
      <c r="O69" s="44" t="n"/>
      <c r="P69" s="45" t="n"/>
      <c r="Q69" s="45" t="n"/>
      <c r="R69" s="44" t="n"/>
      <c r="S69" s="45" t="n"/>
      <c r="T69" s="45" t="n"/>
      <c r="U69" s="85" t="n"/>
      <c r="V69" s="44" t="n"/>
      <c r="W69" s="45" t="n"/>
      <c r="X69" s="45" t="n"/>
      <c r="Y69" s="44" t="n"/>
      <c r="Z69" s="85" t="n"/>
      <c r="AA69" s="44" t="n"/>
      <c r="AB69" s="44" t="n"/>
      <c r="AC69" s="44" t="n"/>
      <c r="AD69" s="44" t="n"/>
      <c r="AE69" s="44" t="n"/>
      <c r="AF69" s="88" t="n"/>
      <c r="AG69" s="85" t="n"/>
      <c r="AH69" s="85" t="n"/>
      <c r="AI69" s="85" t="n"/>
      <c r="AJ69" s="85" t="n"/>
      <c r="AK69" s="85" t="n"/>
      <c r="AL69" s="85" t="n"/>
      <c r="AM69" s="85" t="n"/>
      <c r="AN69" s="85" t="n"/>
      <c r="AO69" s="85" t="n"/>
      <c r="AP69" s="85" t="n"/>
      <c r="AQ69" s="85" t="n"/>
      <c r="AR69" s="85" t="n"/>
      <c r="AS69" s="85" t="n"/>
      <c r="AT69" s="85" t="n"/>
      <c r="AU69" s="85" t="n"/>
      <c r="AV69" s="85" t="n"/>
      <c r="AW69" s="44" t="n"/>
      <c r="AX69" s="85" t="n"/>
      <c r="AY69" s="88" t="n"/>
      <c r="AZ69" s="86" t="n"/>
      <c r="BA69" s="44" t="n"/>
      <c r="BB69" s="44" t="n"/>
      <c r="BC69" s="87" t="n"/>
      <c r="BD69" s="44" t="n"/>
      <c r="BE69" s="87" t="n"/>
      <c r="BF69" s="85" t="n"/>
      <c r="BG69" s="44" t="n"/>
      <c r="BH69" s="44" t="n"/>
      <c r="BI69" s="85" t="n"/>
      <c r="BJ69" s="44" t="n"/>
      <c r="BK69" s="45" t="n"/>
      <c r="BL69" s="44" t="n"/>
      <c r="BM69" s="85" t="n"/>
      <c r="BN69" s="44" t="n"/>
      <c r="BO69" s="85" t="n"/>
      <c r="BP69" s="86" t="n"/>
      <c r="BQ69" s="44" t="n"/>
      <c r="BR69" s="50" t="n"/>
      <c r="BS69" s="89" t="n"/>
      <c r="BT69" s="50">
        <f>IF(OR(K69="",L69="",M69=""),"",IF(ABS(ROUND(((ROUND(N(K69)*100,0))-(0))*(100+N(M69))/100,0)-(ROUND(N(L69)*100,0)))&lt;=0+IF(((ROUND(N(K69)*100,0))-(0))*(100+N(M69))/100&lt;&gt;ROUND(((ROUND(N(K69)*100,0))-(0))*(100+N(M69))/100,0),1,0),"OK","ABWEICHUNG"))</f>
        <v/>
      </c>
    </row>
    <row r="70">
      <c r="A70" s="50" t="n"/>
      <c r="B70" s="44" t="n"/>
      <c r="C70" s="44" t="n"/>
      <c r="D70" s="44" t="n"/>
      <c r="E70" s="44" t="n"/>
      <c r="F70" s="44" t="n"/>
      <c r="G70" s="44" t="n"/>
      <c r="H70" s="44" t="n"/>
      <c r="I70" s="45" t="n"/>
      <c r="J70" s="45" t="n"/>
      <c r="K70" s="85" t="n"/>
      <c r="L70" s="85" t="n"/>
      <c r="M70" s="88" t="n"/>
      <c r="N70" s="88" t="n"/>
      <c r="O70" s="44" t="n"/>
      <c r="P70" s="45" t="n"/>
      <c r="Q70" s="45" t="n"/>
      <c r="R70" s="44" t="n"/>
      <c r="S70" s="45" t="n"/>
      <c r="T70" s="45" t="n"/>
      <c r="U70" s="85" t="n"/>
      <c r="V70" s="44" t="n"/>
      <c r="W70" s="45" t="n"/>
      <c r="X70" s="45" t="n"/>
      <c r="Y70" s="44" t="n"/>
      <c r="Z70" s="85" t="n"/>
      <c r="AA70" s="44" t="n"/>
      <c r="AB70" s="44" t="n"/>
      <c r="AC70" s="44" t="n"/>
      <c r="AD70" s="44" t="n"/>
      <c r="AE70" s="44" t="n"/>
      <c r="AF70" s="88" t="n"/>
      <c r="AG70" s="85" t="n"/>
      <c r="AH70" s="85" t="n"/>
      <c r="AI70" s="85" t="n"/>
      <c r="AJ70" s="85" t="n"/>
      <c r="AK70" s="85" t="n"/>
      <c r="AL70" s="85" t="n"/>
      <c r="AM70" s="85" t="n"/>
      <c r="AN70" s="85" t="n"/>
      <c r="AO70" s="85" t="n"/>
      <c r="AP70" s="85" t="n"/>
      <c r="AQ70" s="85" t="n"/>
      <c r="AR70" s="85" t="n"/>
      <c r="AS70" s="85" t="n"/>
      <c r="AT70" s="85" t="n"/>
      <c r="AU70" s="85" t="n"/>
      <c r="AV70" s="85" t="n"/>
      <c r="AW70" s="44" t="n"/>
      <c r="AX70" s="85" t="n"/>
      <c r="AY70" s="88" t="n"/>
      <c r="AZ70" s="86" t="n"/>
      <c r="BA70" s="44" t="n"/>
      <c r="BB70" s="44" t="n"/>
      <c r="BC70" s="87" t="n"/>
      <c r="BD70" s="44" t="n"/>
      <c r="BE70" s="87" t="n"/>
      <c r="BF70" s="85" t="n"/>
      <c r="BG70" s="44" t="n"/>
      <c r="BH70" s="44" t="n"/>
      <c r="BI70" s="85" t="n"/>
      <c r="BJ70" s="44" t="n"/>
      <c r="BK70" s="45" t="n"/>
      <c r="BL70" s="44" t="n"/>
      <c r="BM70" s="85" t="n"/>
      <c r="BN70" s="44" t="n"/>
      <c r="BO70" s="85" t="n"/>
      <c r="BP70" s="86" t="n"/>
      <c r="BQ70" s="44" t="n"/>
      <c r="BR70" s="50" t="n"/>
      <c r="BS70" s="89" t="n"/>
      <c r="BT70" s="50">
        <f>IF(OR(K70="",L70="",M70=""),"",IF(ABS(ROUND(((ROUND(N(K70)*100,0))-(0))*(100+N(M70))/100,0)-(ROUND(N(L70)*100,0)))&lt;=0+IF(((ROUND(N(K70)*100,0))-(0))*(100+N(M70))/100&lt;&gt;ROUND(((ROUND(N(K70)*100,0))-(0))*(100+N(M70))/100,0),1,0),"OK","ABWEICHUNG"))</f>
        <v/>
      </c>
    </row>
    <row r="71">
      <c r="A71" s="50" t="n"/>
      <c r="B71" s="44" t="n"/>
      <c r="C71" s="44" t="n"/>
      <c r="D71" s="44" t="n"/>
      <c r="E71" s="44" t="n"/>
      <c r="F71" s="44" t="n"/>
      <c r="G71" s="44" t="n"/>
      <c r="H71" s="44" t="n"/>
      <c r="I71" s="45" t="n"/>
      <c r="J71" s="45" t="n"/>
      <c r="K71" s="85" t="n"/>
      <c r="L71" s="85" t="n"/>
      <c r="M71" s="88" t="n"/>
      <c r="N71" s="88" t="n"/>
      <c r="O71" s="44" t="n"/>
      <c r="P71" s="45" t="n"/>
      <c r="Q71" s="45" t="n"/>
      <c r="R71" s="44" t="n"/>
      <c r="S71" s="45" t="n"/>
      <c r="T71" s="45" t="n"/>
      <c r="U71" s="85" t="n"/>
      <c r="V71" s="44" t="n"/>
      <c r="W71" s="45" t="n"/>
      <c r="X71" s="45" t="n"/>
      <c r="Y71" s="44" t="n"/>
      <c r="Z71" s="85" t="n"/>
      <c r="AA71" s="44" t="n"/>
      <c r="AB71" s="44" t="n"/>
      <c r="AC71" s="44" t="n"/>
      <c r="AD71" s="44" t="n"/>
      <c r="AE71" s="44" t="n"/>
      <c r="AF71" s="88" t="n"/>
      <c r="AG71" s="85" t="n"/>
      <c r="AH71" s="85" t="n"/>
      <c r="AI71" s="85" t="n"/>
      <c r="AJ71" s="85" t="n"/>
      <c r="AK71" s="85" t="n"/>
      <c r="AL71" s="85" t="n"/>
      <c r="AM71" s="85" t="n"/>
      <c r="AN71" s="85" t="n"/>
      <c r="AO71" s="85" t="n"/>
      <c r="AP71" s="85" t="n"/>
      <c r="AQ71" s="85" t="n"/>
      <c r="AR71" s="85" t="n"/>
      <c r="AS71" s="85" t="n"/>
      <c r="AT71" s="85" t="n"/>
      <c r="AU71" s="85" t="n"/>
      <c r="AV71" s="85" t="n"/>
      <c r="AW71" s="44" t="n"/>
      <c r="AX71" s="85" t="n"/>
      <c r="AY71" s="88" t="n"/>
      <c r="AZ71" s="86" t="n"/>
      <c r="BA71" s="44" t="n"/>
      <c r="BB71" s="44" t="n"/>
      <c r="BC71" s="87" t="n"/>
      <c r="BD71" s="44" t="n"/>
      <c r="BE71" s="87" t="n"/>
      <c r="BF71" s="85" t="n"/>
      <c r="BG71" s="44" t="n"/>
      <c r="BH71" s="44" t="n"/>
      <c r="BI71" s="85" t="n"/>
      <c r="BJ71" s="44" t="n"/>
      <c r="BK71" s="45" t="n"/>
      <c r="BL71" s="44" t="n"/>
      <c r="BM71" s="85" t="n"/>
      <c r="BN71" s="44" t="n"/>
      <c r="BO71" s="85" t="n"/>
      <c r="BP71" s="86" t="n"/>
      <c r="BQ71" s="44" t="n"/>
      <c r="BR71" s="50" t="n"/>
      <c r="BS71" s="89" t="n"/>
      <c r="BT71" s="50">
        <f>IF(OR(K71="",L71="",M71=""),"",IF(ABS(ROUND(((ROUND(N(K71)*100,0))-(0))*(100+N(M71))/100,0)-(ROUND(N(L71)*100,0)))&lt;=0+IF(((ROUND(N(K71)*100,0))-(0))*(100+N(M71))/100&lt;&gt;ROUND(((ROUND(N(K71)*100,0))-(0))*(100+N(M71))/100,0),1,0),"OK","ABWEICHUNG"))</f>
        <v/>
      </c>
    </row>
    <row r="72">
      <c r="A72" s="50" t="n"/>
      <c r="B72" s="44" t="n"/>
      <c r="C72" s="44" t="n"/>
      <c r="D72" s="44" t="n"/>
      <c r="E72" s="44" t="n"/>
      <c r="F72" s="44" t="n"/>
      <c r="G72" s="44" t="n"/>
      <c r="H72" s="44" t="n"/>
      <c r="I72" s="45" t="n"/>
      <c r="J72" s="45" t="n"/>
      <c r="K72" s="85" t="n"/>
      <c r="L72" s="85" t="n"/>
      <c r="M72" s="88" t="n"/>
      <c r="N72" s="88" t="n"/>
      <c r="O72" s="44" t="n"/>
      <c r="P72" s="45" t="n"/>
      <c r="Q72" s="45" t="n"/>
      <c r="R72" s="44" t="n"/>
      <c r="S72" s="45" t="n"/>
      <c r="T72" s="45" t="n"/>
      <c r="U72" s="85" t="n"/>
      <c r="V72" s="44" t="n"/>
      <c r="W72" s="45" t="n"/>
      <c r="X72" s="45" t="n"/>
      <c r="Y72" s="44" t="n"/>
      <c r="Z72" s="85" t="n"/>
      <c r="AA72" s="44" t="n"/>
      <c r="AB72" s="44" t="n"/>
      <c r="AC72" s="44" t="n"/>
      <c r="AD72" s="44" t="n"/>
      <c r="AE72" s="44" t="n"/>
      <c r="AF72" s="88" t="n"/>
      <c r="AG72" s="85" t="n"/>
      <c r="AH72" s="85" t="n"/>
      <c r="AI72" s="85" t="n"/>
      <c r="AJ72" s="85" t="n"/>
      <c r="AK72" s="85" t="n"/>
      <c r="AL72" s="85" t="n"/>
      <c r="AM72" s="85" t="n"/>
      <c r="AN72" s="85" t="n"/>
      <c r="AO72" s="85" t="n"/>
      <c r="AP72" s="85" t="n"/>
      <c r="AQ72" s="85" t="n"/>
      <c r="AR72" s="85" t="n"/>
      <c r="AS72" s="85" t="n"/>
      <c r="AT72" s="85" t="n"/>
      <c r="AU72" s="85" t="n"/>
      <c r="AV72" s="85" t="n"/>
      <c r="AW72" s="44" t="n"/>
      <c r="AX72" s="85" t="n"/>
      <c r="AY72" s="88" t="n"/>
      <c r="AZ72" s="86" t="n"/>
      <c r="BA72" s="44" t="n"/>
      <c r="BB72" s="44" t="n"/>
      <c r="BC72" s="87" t="n"/>
      <c r="BD72" s="44" t="n"/>
      <c r="BE72" s="87" t="n"/>
      <c r="BF72" s="85" t="n"/>
      <c r="BG72" s="44" t="n"/>
      <c r="BH72" s="44" t="n"/>
      <c r="BI72" s="85" t="n"/>
      <c r="BJ72" s="44" t="n"/>
      <c r="BK72" s="45" t="n"/>
      <c r="BL72" s="44" t="n"/>
      <c r="BM72" s="85" t="n"/>
      <c r="BN72" s="44" t="n"/>
      <c r="BO72" s="85" t="n"/>
      <c r="BP72" s="86" t="n"/>
      <c r="BQ72" s="44" t="n"/>
      <c r="BR72" s="50" t="n"/>
      <c r="BS72" s="89" t="n"/>
      <c r="BT72" s="50">
        <f>IF(OR(K72="",L72="",M72=""),"",IF(ABS(ROUND(((ROUND(N(K72)*100,0))-(0))*(100+N(M72))/100,0)-(ROUND(N(L72)*100,0)))&lt;=0+IF(((ROUND(N(K72)*100,0))-(0))*(100+N(M72))/100&lt;&gt;ROUND(((ROUND(N(K72)*100,0))-(0))*(100+N(M72))/100,0),1,0),"OK","ABWEICHUNG"))</f>
        <v/>
      </c>
    </row>
    <row r="73">
      <c r="A73" s="50" t="n"/>
      <c r="B73" s="44" t="n"/>
      <c r="C73" s="44" t="n"/>
      <c r="D73" s="44" t="n"/>
      <c r="E73" s="44" t="n"/>
      <c r="F73" s="44" t="n"/>
      <c r="G73" s="44" t="n"/>
      <c r="H73" s="44" t="n"/>
      <c r="I73" s="45" t="n"/>
      <c r="J73" s="45" t="n"/>
      <c r="K73" s="85" t="n"/>
      <c r="L73" s="85" t="n"/>
      <c r="M73" s="88" t="n"/>
      <c r="N73" s="88" t="n"/>
      <c r="O73" s="44" t="n"/>
      <c r="P73" s="45" t="n"/>
      <c r="Q73" s="45" t="n"/>
      <c r="R73" s="44" t="n"/>
      <c r="S73" s="45" t="n"/>
      <c r="T73" s="45" t="n"/>
      <c r="U73" s="85" t="n"/>
      <c r="V73" s="44" t="n"/>
      <c r="W73" s="45" t="n"/>
      <c r="X73" s="45" t="n"/>
      <c r="Y73" s="44" t="n"/>
      <c r="Z73" s="85" t="n"/>
      <c r="AA73" s="44" t="n"/>
      <c r="AB73" s="44" t="n"/>
      <c r="AC73" s="44" t="n"/>
      <c r="AD73" s="44" t="n"/>
      <c r="AE73" s="44" t="n"/>
      <c r="AF73" s="88" t="n"/>
      <c r="AG73" s="85" t="n"/>
      <c r="AH73" s="85" t="n"/>
      <c r="AI73" s="85" t="n"/>
      <c r="AJ73" s="85" t="n"/>
      <c r="AK73" s="85" t="n"/>
      <c r="AL73" s="85" t="n"/>
      <c r="AM73" s="85" t="n"/>
      <c r="AN73" s="85" t="n"/>
      <c r="AO73" s="85" t="n"/>
      <c r="AP73" s="85" t="n"/>
      <c r="AQ73" s="85" t="n"/>
      <c r="AR73" s="85" t="n"/>
      <c r="AS73" s="85" t="n"/>
      <c r="AT73" s="85" t="n"/>
      <c r="AU73" s="85" t="n"/>
      <c r="AV73" s="85" t="n"/>
      <c r="AW73" s="44" t="n"/>
      <c r="AX73" s="85" t="n"/>
      <c r="AY73" s="88" t="n"/>
      <c r="AZ73" s="86" t="n"/>
      <c r="BA73" s="44" t="n"/>
      <c r="BB73" s="44" t="n"/>
      <c r="BC73" s="87" t="n"/>
      <c r="BD73" s="44" t="n"/>
      <c r="BE73" s="87" t="n"/>
      <c r="BF73" s="85" t="n"/>
      <c r="BG73" s="44" t="n"/>
      <c r="BH73" s="44" t="n"/>
      <c r="BI73" s="85" t="n"/>
      <c r="BJ73" s="44" t="n"/>
      <c r="BK73" s="45" t="n"/>
      <c r="BL73" s="44" t="n"/>
      <c r="BM73" s="85" t="n"/>
      <c r="BN73" s="44" t="n"/>
      <c r="BO73" s="85" t="n"/>
      <c r="BP73" s="86" t="n"/>
      <c r="BQ73" s="44" t="n"/>
      <c r="BR73" s="50" t="n"/>
      <c r="BS73" s="89" t="n"/>
      <c r="BT73" s="50">
        <f>IF(OR(K73="",L73="",M73=""),"",IF(ABS(ROUND(((ROUND(N(K73)*100,0))-(0))*(100+N(M73))/100,0)-(ROUND(N(L73)*100,0)))&lt;=0+IF(((ROUND(N(K73)*100,0))-(0))*(100+N(M73))/100&lt;&gt;ROUND(((ROUND(N(K73)*100,0))-(0))*(100+N(M73))/100,0),1,0),"OK","ABWEICHUNG"))</f>
        <v/>
      </c>
    </row>
    <row r="74">
      <c r="A74" s="50" t="n"/>
      <c r="B74" s="44" t="n"/>
      <c r="C74" s="44" t="n"/>
      <c r="D74" s="44" t="n"/>
      <c r="E74" s="44" t="n"/>
      <c r="F74" s="44" t="n"/>
      <c r="G74" s="44" t="n"/>
      <c r="H74" s="44" t="n"/>
      <c r="I74" s="45" t="n"/>
      <c r="J74" s="45" t="n"/>
      <c r="K74" s="85" t="n"/>
      <c r="L74" s="85" t="n"/>
      <c r="M74" s="88" t="n"/>
      <c r="N74" s="88" t="n"/>
      <c r="O74" s="44" t="n"/>
      <c r="P74" s="45" t="n"/>
      <c r="Q74" s="45" t="n"/>
      <c r="R74" s="44" t="n"/>
      <c r="S74" s="45" t="n"/>
      <c r="T74" s="45" t="n"/>
      <c r="U74" s="85" t="n"/>
      <c r="V74" s="44" t="n"/>
      <c r="W74" s="45" t="n"/>
      <c r="X74" s="45" t="n"/>
      <c r="Y74" s="44" t="n"/>
      <c r="Z74" s="85" t="n"/>
      <c r="AA74" s="44" t="n"/>
      <c r="AB74" s="44" t="n"/>
      <c r="AC74" s="44" t="n"/>
      <c r="AD74" s="44" t="n"/>
      <c r="AE74" s="44" t="n"/>
      <c r="AF74" s="88" t="n"/>
      <c r="AG74" s="85" t="n"/>
      <c r="AH74" s="85" t="n"/>
      <c r="AI74" s="85" t="n"/>
      <c r="AJ74" s="85" t="n"/>
      <c r="AK74" s="85" t="n"/>
      <c r="AL74" s="85" t="n"/>
      <c r="AM74" s="85" t="n"/>
      <c r="AN74" s="85" t="n"/>
      <c r="AO74" s="85" t="n"/>
      <c r="AP74" s="85" t="n"/>
      <c r="AQ74" s="85" t="n"/>
      <c r="AR74" s="85" t="n"/>
      <c r="AS74" s="85" t="n"/>
      <c r="AT74" s="85" t="n"/>
      <c r="AU74" s="85" t="n"/>
      <c r="AV74" s="85" t="n"/>
      <c r="AW74" s="44" t="n"/>
      <c r="AX74" s="85" t="n"/>
      <c r="AY74" s="88" t="n"/>
      <c r="AZ74" s="86" t="n"/>
      <c r="BA74" s="44" t="n"/>
      <c r="BB74" s="44" t="n"/>
      <c r="BC74" s="87" t="n"/>
      <c r="BD74" s="44" t="n"/>
      <c r="BE74" s="87" t="n"/>
      <c r="BF74" s="85" t="n"/>
      <c r="BG74" s="44" t="n"/>
      <c r="BH74" s="44" t="n"/>
      <c r="BI74" s="85" t="n"/>
      <c r="BJ74" s="44" t="n"/>
      <c r="BK74" s="45" t="n"/>
      <c r="BL74" s="44" t="n"/>
      <c r="BM74" s="85" t="n"/>
      <c r="BN74" s="44" t="n"/>
      <c r="BO74" s="85" t="n"/>
      <c r="BP74" s="86" t="n"/>
      <c r="BQ74" s="44" t="n"/>
      <c r="BR74" s="50" t="n"/>
      <c r="BS74" s="89" t="n"/>
      <c r="BT74" s="50">
        <f>IF(OR(K74="",L74="",M74=""),"",IF(ABS(ROUND(((ROUND(N(K74)*100,0))-(0))*(100+N(M74))/100,0)-(ROUND(N(L74)*100,0)))&lt;=0+IF(((ROUND(N(K74)*100,0))-(0))*(100+N(M74))/100&lt;&gt;ROUND(((ROUND(N(K74)*100,0))-(0))*(100+N(M74))/100,0),1,0),"OK","ABWEICHUNG"))</f>
        <v/>
      </c>
    </row>
    <row r="75">
      <c r="A75" s="50" t="n"/>
      <c r="B75" s="44" t="n"/>
      <c r="C75" s="44" t="n"/>
      <c r="D75" s="44" t="n"/>
      <c r="E75" s="44" t="n"/>
      <c r="F75" s="44" t="n"/>
      <c r="G75" s="44" t="n"/>
      <c r="H75" s="44" t="n"/>
      <c r="I75" s="45" t="n"/>
      <c r="J75" s="45" t="n"/>
      <c r="K75" s="85" t="n"/>
      <c r="L75" s="85" t="n"/>
      <c r="M75" s="88" t="n"/>
      <c r="N75" s="88" t="n"/>
      <c r="O75" s="44" t="n"/>
      <c r="P75" s="45" t="n"/>
      <c r="Q75" s="45" t="n"/>
      <c r="R75" s="44" t="n"/>
      <c r="S75" s="45" t="n"/>
      <c r="T75" s="45" t="n"/>
      <c r="U75" s="85" t="n"/>
      <c r="V75" s="44" t="n"/>
      <c r="W75" s="45" t="n"/>
      <c r="X75" s="45" t="n"/>
      <c r="Y75" s="44" t="n"/>
      <c r="Z75" s="85" t="n"/>
      <c r="AA75" s="44" t="n"/>
      <c r="AB75" s="44" t="n"/>
      <c r="AC75" s="44" t="n"/>
      <c r="AD75" s="44" t="n"/>
      <c r="AE75" s="44" t="n"/>
      <c r="AF75" s="88" t="n"/>
      <c r="AG75" s="85" t="n"/>
      <c r="AH75" s="85" t="n"/>
      <c r="AI75" s="85" t="n"/>
      <c r="AJ75" s="85" t="n"/>
      <c r="AK75" s="85" t="n"/>
      <c r="AL75" s="85" t="n"/>
      <c r="AM75" s="85" t="n"/>
      <c r="AN75" s="85" t="n"/>
      <c r="AO75" s="85" t="n"/>
      <c r="AP75" s="85" t="n"/>
      <c r="AQ75" s="85" t="n"/>
      <c r="AR75" s="85" t="n"/>
      <c r="AS75" s="85" t="n"/>
      <c r="AT75" s="85" t="n"/>
      <c r="AU75" s="85" t="n"/>
      <c r="AV75" s="85" t="n"/>
      <c r="AW75" s="44" t="n"/>
      <c r="AX75" s="85" t="n"/>
      <c r="AY75" s="88" t="n"/>
      <c r="AZ75" s="86" t="n"/>
      <c r="BA75" s="44" t="n"/>
      <c r="BB75" s="44" t="n"/>
      <c r="BC75" s="87" t="n"/>
      <c r="BD75" s="44" t="n"/>
      <c r="BE75" s="87" t="n"/>
      <c r="BF75" s="85" t="n"/>
      <c r="BG75" s="44" t="n"/>
      <c r="BH75" s="44" t="n"/>
      <c r="BI75" s="85" t="n"/>
      <c r="BJ75" s="44" t="n"/>
      <c r="BK75" s="45" t="n"/>
      <c r="BL75" s="44" t="n"/>
      <c r="BM75" s="85" t="n"/>
      <c r="BN75" s="44" t="n"/>
      <c r="BO75" s="85" t="n"/>
      <c r="BP75" s="86" t="n"/>
      <c r="BQ75" s="44" t="n"/>
      <c r="BR75" s="50" t="n"/>
      <c r="BS75" s="89" t="n"/>
      <c r="BT75" s="50">
        <f>IF(OR(K75="",L75="",M75=""),"",IF(ABS(ROUND(((ROUND(N(K75)*100,0))-(0))*(100+N(M75))/100,0)-(ROUND(N(L75)*100,0)))&lt;=0+IF(((ROUND(N(K75)*100,0))-(0))*(100+N(M75))/100&lt;&gt;ROUND(((ROUND(N(K75)*100,0))-(0))*(100+N(M75))/100,0),1,0),"OK","ABWEICHUNG"))</f>
        <v/>
      </c>
    </row>
    <row r="76">
      <c r="A76" s="50" t="n"/>
      <c r="B76" s="44" t="n"/>
      <c r="C76" s="44" t="n"/>
      <c r="D76" s="44" t="n"/>
      <c r="E76" s="44" t="n"/>
      <c r="F76" s="44" t="n"/>
      <c r="G76" s="44" t="n"/>
      <c r="H76" s="44" t="n"/>
      <c r="I76" s="45" t="n"/>
      <c r="J76" s="45" t="n"/>
      <c r="K76" s="85" t="n"/>
      <c r="L76" s="85" t="n"/>
      <c r="M76" s="88" t="n"/>
      <c r="N76" s="88" t="n"/>
      <c r="O76" s="44" t="n"/>
      <c r="P76" s="45" t="n"/>
      <c r="Q76" s="45" t="n"/>
      <c r="R76" s="44" t="n"/>
      <c r="S76" s="45" t="n"/>
      <c r="T76" s="45" t="n"/>
      <c r="U76" s="85" t="n"/>
      <c r="V76" s="44" t="n"/>
      <c r="W76" s="45" t="n"/>
      <c r="X76" s="45" t="n"/>
      <c r="Y76" s="44" t="n"/>
      <c r="Z76" s="85" t="n"/>
      <c r="AA76" s="44" t="n"/>
      <c r="AB76" s="44" t="n"/>
      <c r="AC76" s="44" t="n"/>
      <c r="AD76" s="44" t="n"/>
      <c r="AE76" s="44" t="n"/>
      <c r="AF76" s="88" t="n"/>
      <c r="AG76" s="85" t="n"/>
      <c r="AH76" s="85" t="n"/>
      <c r="AI76" s="85" t="n"/>
      <c r="AJ76" s="85" t="n"/>
      <c r="AK76" s="85" t="n"/>
      <c r="AL76" s="85" t="n"/>
      <c r="AM76" s="85" t="n"/>
      <c r="AN76" s="85" t="n"/>
      <c r="AO76" s="85" t="n"/>
      <c r="AP76" s="85" t="n"/>
      <c r="AQ76" s="85" t="n"/>
      <c r="AR76" s="85" t="n"/>
      <c r="AS76" s="85" t="n"/>
      <c r="AT76" s="85" t="n"/>
      <c r="AU76" s="85" t="n"/>
      <c r="AV76" s="85" t="n"/>
      <c r="AW76" s="44" t="n"/>
      <c r="AX76" s="85" t="n"/>
      <c r="AY76" s="88" t="n"/>
      <c r="AZ76" s="86" t="n"/>
      <c r="BA76" s="44" t="n"/>
      <c r="BB76" s="44" t="n"/>
      <c r="BC76" s="87" t="n"/>
      <c r="BD76" s="44" t="n"/>
      <c r="BE76" s="87" t="n"/>
      <c r="BF76" s="85" t="n"/>
      <c r="BG76" s="44" t="n"/>
      <c r="BH76" s="44" t="n"/>
      <c r="BI76" s="85" t="n"/>
      <c r="BJ76" s="44" t="n"/>
      <c r="BK76" s="45" t="n"/>
      <c r="BL76" s="44" t="n"/>
      <c r="BM76" s="85" t="n"/>
      <c r="BN76" s="44" t="n"/>
      <c r="BO76" s="85" t="n"/>
      <c r="BP76" s="86" t="n"/>
      <c r="BQ76" s="44" t="n"/>
      <c r="BR76" s="50" t="n"/>
      <c r="BS76" s="89" t="n"/>
      <c r="BT76" s="50">
        <f>IF(OR(K76="",L76="",M76=""),"",IF(ABS(ROUND(((ROUND(N(K76)*100,0))-(0))*(100+N(M76))/100,0)-(ROUND(N(L76)*100,0)))&lt;=0+IF(((ROUND(N(K76)*100,0))-(0))*(100+N(M76))/100&lt;&gt;ROUND(((ROUND(N(K76)*100,0))-(0))*(100+N(M76))/100,0),1,0),"OK","ABWEICHUNG"))</f>
        <v/>
      </c>
    </row>
    <row r="77">
      <c r="A77" s="50" t="n"/>
      <c r="B77" s="44" t="n"/>
      <c r="C77" s="44" t="n"/>
      <c r="D77" s="44" t="n"/>
      <c r="E77" s="44" t="n"/>
      <c r="F77" s="44" t="n"/>
      <c r="G77" s="44" t="n"/>
      <c r="H77" s="44" t="n"/>
      <c r="I77" s="45" t="n"/>
      <c r="J77" s="45" t="n"/>
      <c r="K77" s="85" t="n"/>
      <c r="L77" s="85" t="n"/>
      <c r="M77" s="88" t="n"/>
      <c r="N77" s="88" t="n"/>
      <c r="O77" s="44" t="n"/>
      <c r="P77" s="45" t="n"/>
      <c r="Q77" s="45" t="n"/>
      <c r="R77" s="44" t="n"/>
      <c r="S77" s="45" t="n"/>
      <c r="T77" s="45" t="n"/>
      <c r="U77" s="85" t="n"/>
      <c r="V77" s="44" t="n"/>
      <c r="W77" s="45" t="n"/>
      <c r="X77" s="45" t="n"/>
      <c r="Y77" s="44" t="n"/>
      <c r="Z77" s="85" t="n"/>
      <c r="AA77" s="44" t="n"/>
      <c r="AB77" s="44" t="n"/>
      <c r="AC77" s="44" t="n"/>
      <c r="AD77" s="44" t="n"/>
      <c r="AE77" s="44" t="n"/>
      <c r="AF77" s="88" t="n"/>
      <c r="AG77" s="85" t="n"/>
      <c r="AH77" s="85" t="n"/>
      <c r="AI77" s="85" t="n"/>
      <c r="AJ77" s="85" t="n"/>
      <c r="AK77" s="85" t="n"/>
      <c r="AL77" s="85" t="n"/>
      <c r="AM77" s="85" t="n"/>
      <c r="AN77" s="85" t="n"/>
      <c r="AO77" s="85" t="n"/>
      <c r="AP77" s="85" t="n"/>
      <c r="AQ77" s="85" t="n"/>
      <c r="AR77" s="85" t="n"/>
      <c r="AS77" s="85" t="n"/>
      <c r="AT77" s="85" t="n"/>
      <c r="AU77" s="85" t="n"/>
      <c r="AV77" s="85" t="n"/>
      <c r="AW77" s="44" t="n"/>
      <c r="AX77" s="85" t="n"/>
      <c r="AY77" s="88" t="n"/>
      <c r="AZ77" s="86" t="n"/>
      <c r="BA77" s="44" t="n"/>
      <c r="BB77" s="44" t="n"/>
      <c r="BC77" s="87" t="n"/>
      <c r="BD77" s="44" t="n"/>
      <c r="BE77" s="87" t="n"/>
      <c r="BF77" s="85" t="n"/>
      <c r="BG77" s="44" t="n"/>
      <c r="BH77" s="44" t="n"/>
      <c r="BI77" s="85" t="n"/>
      <c r="BJ77" s="44" t="n"/>
      <c r="BK77" s="45" t="n"/>
      <c r="BL77" s="44" t="n"/>
      <c r="BM77" s="85" t="n"/>
      <c r="BN77" s="44" t="n"/>
      <c r="BO77" s="85" t="n"/>
      <c r="BP77" s="86" t="n"/>
      <c r="BQ77" s="44" t="n"/>
      <c r="BR77" s="50" t="n"/>
      <c r="BS77" s="89" t="n"/>
      <c r="BT77" s="50">
        <f>IF(OR(K77="",L77="",M77=""),"",IF(ABS(ROUND(((ROUND(N(K77)*100,0))-(0))*(100+N(M77))/100,0)-(ROUND(N(L77)*100,0)))&lt;=0+IF(((ROUND(N(K77)*100,0))-(0))*(100+N(M77))/100&lt;&gt;ROUND(((ROUND(N(K77)*100,0))-(0))*(100+N(M77))/100,0),1,0),"OK","ABWEICHUNG"))</f>
        <v/>
      </c>
    </row>
    <row r="78">
      <c r="A78" s="50" t="n"/>
      <c r="B78" s="44" t="n"/>
      <c r="C78" s="44" t="n"/>
      <c r="D78" s="44" t="n"/>
      <c r="E78" s="44" t="n"/>
      <c r="F78" s="44" t="n"/>
      <c r="G78" s="44" t="n"/>
      <c r="H78" s="44" t="n"/>
      <c r="I78" s="45" t="n"/>
      <c r="J78" s="45" t="n"/>
      <c r="K78" s="85" t="n"/>
      <c r="L78" s="85" t="n"/>
      <c r="M78" s="88" t="n"/>
      <c r="N78" s="88" t="n"/>
      <c r="O78" s="44" t="n"/>
      <c r="P78" s="45" t="n"/>
      <c r="Q78" s="45" t="n"/>
      <c r="R78" s="44" t="n"/>
      <c r="S78" s="45" t="n"/>
      <c r="T78" s="45" t="n"/>
      <c r="U78" s="85" t="n"/>
      <c r="V78" s="44" t="n"/>
      <c r="W78" s="45" t="n"/>
      <c r="X78" s="45" t="n"/>
      <c r="Y78" s="44" t="n"/>
      <c r="Z78" s="85" t="n"/>
      <c r="AA78" s="44" t="n"/>
      <c r="AB78" s="44" t="n"/>
      <c r="AC78" s="44" t="n"/>
      <c r="AD78" s="44" t="n"/>
      <c r="AE78" s="44" t="n"/>
      <c r="AF78" s="88" t="n"/>
      <c r="AG78" s="85" t="n"/>
      <c r="AH78" s="85" t="n"/>
      <c r="AI78" s="85" t="n"/>
      <c r="AJ78" s="85" t="n"/>
      <c r="AK78" s="85" t="n"/>
      <c r="AL78" s="85" t="n"/>
      <c r="AM78" s="85" t="n"/>
      <c r="AN78" s="85" t="n"/>
      <c r="AO78" s="85" t="n"/>
      <c r="AP78" s="85" t="n"/>
      <c r="AQ78" s="85" t="n"/>
      <c r="AR78" s="85" t="n"/>
      <c r="AS78" s="85" t="n"/>
      <c r="AT78" s="85" t="n"/>
      <c r="AU78" s="85" t="n"/>
      <c r="AV78" s="85" t="n"/>
      <c r="AW78" s="44" t="n"/>
      <c r="AX78" s="85" t="n"/>
      <c r="AY78" s="88" t="n"/>
      <c r="AZ78" s="86" t="n"/>
      <c r="BA78" s="44" t="n"/>
      <c r="BB78" s="44" t="n"/>
      <c r="BC78" s="87" t="n"/>
      <c r="BD78" s="44" t="n"/>
      <c r="BE78" s="87" t="n"/>
      <c r="BF78" s="85" t="n"/>
      <c r="BG78" s="44" t="n"/>
      <c r="BH78" s="44" t="n"/>
      <c r="BI78" s="85" t="n"/>
      <c r="BJ78" s="44" t="n"/>
      <c r="BK78" s="45" t="n"/>
      <c r="BL78" s="44" t="n"/>
      <c r="BM78" s="85" t="n"/>
      <c r="BN78" s="44" t="n"/>
      <c r="BO78" s="85" t="n"/>
      <c r="BP78" s="86" t="n"/>
      <c r="BQ78" s="44" t="n"/>
      <c r="BR78" s="50" t="n"/>
      <c r="BS78" s="89" t="n"/>
      <c r="BT78" s="50">
        <f>IF(OR(K78="",L78="",M78=""),"",IF(ABS(ROUND(((ROUND(N(K78)*100,0))-(0))*(100+N(M78))/100,0)-(ROUND(N(L78)*100,0)))&lt;=0+IF(((ROUND(N(K78)*100,0))-(0))*(100+N(M78))/100&lt;&gt;ROUND(((ROUND(N(K78)*100,0))-(0))*(100+N(M78))/100,0),1,0),"OK","ABWEICHUNG"))</f>
        <v/>
      </c>
    </row>
    <row r="79">
      <c r="A79" s="50" t="n"/>
      <c r="B79" s="44" t="n"/>
      <c r="C79" s="44" t="n"/>
      <c r="D79" s="44" t="n"/>
      <c r="E79" s="44" t="n"/>
      <c r="F79" s="44" t="n"/>
      <c r="G79" s="44" t="n"/>
      <c r="H79" s="44" t="n"/>
      <c r="I79" s="45" t="n"/>
      <c r="J79" s="45" t="n"/>
      <c r="K79" s="85" t="n"/>
      <c r="L79" s="85" t="n"/>
      <c r="M79" s="88" t="n"/>
      <c r="N79" s="88" t="n"/>
      <c r="O79" s="44" t="n"/>
      <c r="P79" s="45" t="n"/>
      <c r="Q79" s="45" t="n"/>
      <c r="R79" s="44" t="n"/>
      <c r="S79" s="45" t="n"/>
      <c r="T79" s="45" t="n"/>
      <c r="U79" s="85" t="n"/>
      <c r="V79" s="44" t="n"/>
      <c r="W79" s="45" t="n"/>
      <c r="X79" s="45" t="n"/>
      <c r="Y79" s="44" t="n"/>
      <c r="Z79" s="85" t="n"/>
      <c r="AA79" s="44" t="n"/>
      <c r="AB79" s="44" t="n"/>
      <c r="AC79" s="44" t="n"/>
      <c r="AD79" s="44" t="n"/>
      <c r="AE79" s="44" t="n"/>
      <c r="AF79" s="88" t="n"/>
      <c r="AG79" s="85" t="n"/>
      <c r="AH79" s="85" t="n"/>
      <c r="AI79" s="85" t="n"/>
      <c r="AJ79" s="85" t="n"/>
      <c r="AK79" s="85" t="n"/>
      <c r="AL79" s="85" t="n"/>
      <c r="AM79" s="85" t="n"/>
      <c r="AN79" s="85" t="n"/>
      <c r="AO79" s="85" t="n"/>
      <c r="AP79" s="85" t="n"/>
      <c r="AQ79" s="85" t="n"/>
      <c r="AR79" s="85" t="n"/>
      <c r="AS79" s="85" t="n"/>
      <c r="AT79" s="85" t="n"/>
      <c r="AU79" s="85" t="n"/>
      <c r="AV79" s="85" t="n"/>
      <c r="AW79" s="44" t="n"/>
      <c r="AX79" s="85" t="n"/>
      <c r="AY79" s="88" t="n"/>
      <c r="AZ79" s="86" t="n"/>
      <c r="BA79" s="44" t="n"/>
      <c r="BB79" s="44" t="n"/>
      <c r="BC79" s="87" t="n"/>
      <c r="BD79" s="44" t="n"/>
      <c r="BE79" s="87" t="n"/>
      <c r="BF79" s="85" t="n"/>
      <c r="BG79" s="44" t="n"/>
      <c r="BH79" s="44" t="n"/>
      <c r="BI79" s="85" t="n"/>
      <c r="BJ79" s="44" t="n"/>
      <c r="BK79" s="45" t="n"/>
      <c r="BL79" s="44" t="n"/>
      <c r="BM79" s="85" t="n"/>
      <c r="BN79" s="44" t="n"/>
      <c r="BO79" s="85" t="n"/>
      <c r="BP79" s="86" t="n"/>
      <c r="BQ79" s="44" t="n"/>
      <c r="BR79" s="50" t="n"/>
      <c r="BS79" s="89" t="n"/>
      <c r="BT79" s="50">
        <f>IF(OR(K79="",L79="",M79=""),"",IF(ABS(ROUND(((ROUND(N(K79)*100,0))-(0))*(100+N(M79))/100,0)-(ROUND(N(L79)*100,0)))&lt;=0+IF(((ROUND(N(K79)*100,0))-(0))*(100+N(M79))/100&lt;&gt;ROUND(((ROUND(N(K79)*100,0))-(0))*(100+N(M79))/100,0),1,0),"OK","ABWEICHUNG"))</f>
        <v/>
      </c>
    </row>
    <row r="80">
      <c r="A80" s="50" t="n"/>
      <c r="B80" s="44" t="n"/>
      <c r="C80" s="44" t="n"/>
      <c r="D80" s="44" t="n"/>
      <c r="E80" s="44" t="n"/>
      <c r="F80" s="44" t="n"/>
      <c r="G80" s="44" t="n"/>
      <c r="H80" s="44" t="n"/>
      <c r="I80" s="45" t="n"/>
      <c r="J80" s="45" t="n"/>
      <c r="K80" s="85" t="n"/>
      <c r="L80" s="85" t="n"/>
      <c r="M80" s="88" t="n"/>
      <c r="N80" s="88" t="n"/>
      <c r="O80" s="44" t="n"/>
      <c r="P80" s="45" t="n"/>
      <c r="Q80" s="45" t="n"/>
      <c r="R80" s="44" t="n"/>
      <c r="S80" s="45" t="n"/>
      <c r="T80" s="45" t="n"/>
      <c r="U80" s="85" t="n"/>
      <c r="V80" s="44" t="n"/>
      <c r="W80" s="45" t="n"/>
      <c r="X80" s="45" t="n"/>
      <c r="Y80" s="44" t="n"/>
      <c r="Z80" s="85" t="n"/>
      <c r="AA80" s="44" t="n"/>
      <c r="AB80" s="44" t="n"/>
      <c r="AC80" s="44" t="n"/>
      <c r="AD80" s="44" t="n"/>
      <c r="AE80" s="44" t="n"/>
      <c r="AF80" s="88" t="n"/>
      <c r="AG80" s="85" t="n"/>
      <c r="AH80" s="85" t="n"/>
      <c r="AI80" s="85" t="n"/>
      <c r="AJ80" s="85" t="n"/>
      <c r="AK80" s="85" t="n"/>
      <c r="AL80" s="85" t="n"/>
      <c r="AM80" s="85" t="n"/>
      <c r="AN80" s="85" t="n"/>
      <c r="AO80" s="85" t="n"/>
      <c r="AP80" s="85" t="n"/>
      <c r="AQ80" s="85" t="n"/>
      <c r="AR80" s="85" t="n"/>
      <c r="AS80" s="85" t="n"/>
      <c r="AT80" s="85" t="n"/>
      <c r="AU80" s="85" t="n"/>
      <c r="AV80" s="85" t="n"/>
      <c r="AW80" s="44" t="n"/>
      <c r="AX80" s="85" t="n"/>
      <c r="AY80" s="88" t="n"/>
      <c r="AZ80" s="86" t="n"/>
      <c r="BA80" s="44" t="n"/>
      <c r="BB80" s="44" t="n"/>
      <c r="BC80" s="87" t="n"/>
      <c r="BD80" s="44" t="n"/>
      <c r="BE80" s="87" t="n"/>
      <c r="BF80" s="85" t="n"/>
      <c r="BG80" s="44" t="n"/>
      <c r="BH80" s="44" t="n"/>
      <c r="BI80" s="85" t="n"/>
      <c r="BJ80" s="44" t="n"/>
      <c r="BK80" s="45" t="n"/>
      <c r="BL80" s="44" t="n"/>
      <c r="BM80" s="85" t="n"/>
      <c r="BN80" s="44" t="n"/>
      <c r="BO80" s="85" t="n"/>
      <c r="BP80" s="86" t="n"/>
      <c r="BQ80" s="44" t="n"/>
      <c r="BR80" s="50" t="n"/>
      <c r="BS80" s="89" t="n"/>
      <c r="BT80" s="50">
        <f>IF(OR(K80="",L80="",M80=""),"",IF(ABS(ROUND(((ROUND(N(K80)*100,0))-(0))*(100+N(M80))/100,0)-(ROUND(N(L80)*100,0)))&lt;=0+IF(((ROUND(N(K80)*100,0))-(0))*(100+N(M80))/100&lt;&gt;ROUND(((ROUND(N(K80)*100,0))-(0))*(100+N(M80))/100,0),1,0),"OK","ABWEICHUNG"))</f>
        <v/>
      </c>
    </row>
    <row r="81">
      <c r="A81" s="50" t="n"/>
      <c r="B81" s="44" t="n"/>
      <c r="C81" s="44" t="n"/>
      <c r="D81" s="44" t="n"/>
      <c r="E81" s="44" t="n"/>
      <c r="F81" s="44" t="n"/>
      <c r="G81" s="44" t="n"/>
      <c r="H81" s="44" t="n"/>
      <c r="I81" s="45" t="n"/>
      <c r="J81" s="45" t="n"/>
      <c r="K81" s="85" t="n"/>
      <c r="L81" s="85" t="n"/>
      <c r="M81" s="88" t="n"/>
      <c r="N81" s="88" t="n"/>
      <c r="O81" s="44" t="n"/>
      <c r="P81" s="45" t="n"/>
      <c r="Q81" s="45" t="n"/>
      <c r="R81" s="44" t="n"/>
      <c r="S81" s="45" t="n"/>
      <c r="T81" s="45" t="n"/>
      <c r="U81" s="85" t="n"/>
      <c r="V81" s="44" t="n"/>
      <c r="W81" s="45" t="n"/>
      <c r="X81" s="45" t="n"/>
      <c r="Y81" s="44" t="n"/>
      <c r="Z81" s="85" t="n"/>
      <c r="AA81" s="44" t="n"/>
      <c r="AB81" s="44" t="n"/>
      <c r="AC81" s="44" t="n"/>
      <c r="AD81" s="44" t="n"/>
      <c r="AE81" s="44" t="n"/>
      <c r="AF81" s="88" t="n"/>
      <c r="AG81" s="85" t="n"/>
      <c r="AH81" s="85" t="n"/>
      <c r="AI81" s="85" t="n"/>
      <c r="AJ81" s="85" t="n"/>
      <c r="AK81" s="85" t="n"/>
      <c r="AL81" s="85" t="n"/>
      <c r="AM81" s="85" t="n"/>
      <c r="AN81" s="85" t="n"/>
      <c r="AO81" s="85" t="n"/>
      <c r="AP81" s="85" t="n"/>
      <c r="AQ81" s="85" t="n"/>
      <c r="AR81" s="85" t="n"/>
      <c r="AS81" s="85" t="n"/>
      <c r="AT81" s="85" t="n"/>
      <c r="AU81" s="85" t="n"/>
      <c r="AV81" s="85" t="n"/>
      <c r="AW81" s="44" t="n"/>
      <c r="AX81" s="85" t="n"/>
      <c r="AY81" s="88" t="n"/>
      <c r="AZ81" s="86" t="n"/>
      <c r="BA81" s="44" t="n"/>
      <c r="BB81" s="44" t="n"/>
      <c r="BC81" s="87" t="n"/>
      <c r="BD81" s="44" t="n"/>
      <c r="BE81" s="87" t="n"/>
      <c r="BF81" s="85" t="n"/>
      <c r="BG81" s="44" t="n"/>
      <c r="BH81" s="44" t="n"/>
      <c r="BI81" s="85" t="n"/>
      <c r="BJ81" s="44" t="n"/>
      <c r="BK81" s="45" t="n"/>
      <c r="BL81" s="44" t="n"/>
      <c r="BM81" s="85" t="n"/>
      <c r="BN81" s="44" t="n"/>
      <c r="BO81" s="85" t="n"/>
      <c r="BP81" s="86" t="n"/>
      <c r="BQ81" s="44" t="n"/>
      <c r="BR81" s="50" t="n"/>
      <c r="BS81" s="89" t="n"/>
      <c r="BT81" s="50">
        <f>IF(OR(K81="",L81="",M81=""),"",IF(ABS(ROUND(((ROUND(N(K81)*100,0))-(0))*(100+N(M81))/100,0)-(ROUND(N(L81)*100,0)))&lt;=0+IF(((ROUND(N(K81)*100,0))-(0))*(100+N(M81))/100&lt;&gt;ROUND(((ROUND(N(K81)*100,0))-(0))*(100+N(M81))/100,0),1,0),"OK","ABWEICHUNG"))</f>
        <v/>
      </c>
    </row>
    <row r="82">
      <c r="A82" s="50" t="n"/>
      <c r="B82" s="44" t="n"/>
      <c r="C82" s="44" t="n"/>
      <c r="D82" s="44" t="n"/>
      <c r="E82" s="44" t="n"/>
      <c r="F82" s="44" t="n"/>
      <c r="G82" s="44" t="n"/>
      <c r="H82" s="44" t="n"/>
      <c r="I82" s="45" t="n"/>
      <c r="J82" s="45" t="n"/>
      <c r="K82" s="85" t="n"/>
      <c r="L82" s="85" t="n"/>
      <c r="M82" s="88" t="n"/>
      <c r="N82" s="88" t="n"/>
      <c r="O82" s="44" t="n"/>
      <c r="P82" s="45" t="n"/>
      <c r="Q82" s="45" t="n"/>
      <c r="R82" s="44" t="n"/>
      <c r="S82" s="45" t="n"/>
      <c r="T82" s="45" t="n"/>
      <c r="U82" s="85" t="n"/>
      <c r="V82" s="44" t="n"/>
      <c r="W82" s="45" t="n"/>
      <c r="X82" s="45" t="n"/>
      <c r="Y82" s="44" t="n"/>
      <c r="Z82" s="85" t="n"/>
      <c r="AA82" s="44" t="n"/>
      <c r="AB82" s="44" t="n"/>
      <c r="AC82" s="44" t="n"/>
      <c r="AD82" s="44" t="n"/>
      <c r="AE82" s="44" t="n"/>
      <c r="AF82" s="88" t="n"/>
      <c r="AG82" s="85" t="n"/>
      <c r="AH82" s="85" t="n"/>
      <c r="AI82" s="85" t="n"/>
      <c r="AJ82" s="85" t="n"/>
      <c r="AK82" s="85" t="n"/>
      <c r="AL82" s="85" t="n"/>
      <c r="AM82" s="85" t="n"/>
      <c r="AN82" s="85" t="n"/>
      <c r="AO82" s="85" t="n"/>
      <c r="AP82" s="85" t="n"/>
      <c r="AQ82" s="85" t="n"/>
      <c r="AR82" s="85" t="n"/>
      <c r="AS82" s="85" t="n"/>
      <c r="AT82" s="85" t="n"/>
      <c r="AU82" s="85" t="n"/>
      <c r="AV82" s="85" t="n"/>
      <c r="AW82" s="44" t="n"/>
      <c r="AX82" s="85" t="n"/>
      <c r="AY82" s="88" t="n"/>
      <c r="AZ82" s="86" t="n"/>
      <c r="BA82" s="44" t="n"/>
      <c r="BB82" s="44" t="n"/>
      <c r="BC82" s="87" t="n"/>
      <c r="BD82" s="44" t="n"/>
      <c r="BE82" s="87" t="n"/>
      <c r="BF82" s="85" t="n"/>
      <c r="BG82" s="44" t="n"/>
      <c r="BH82" s="44" t="n"/>
      <c r="BI82" s="85" t="n"/>
      <c r="BJ82" s="44" t="n"/>
      <c r="BK82" s="45" t="n"/>
      <c r="BL82" s="44" t="n"/>
      <c r="BM82" s="85" t="n"/>
      <c r="BN82" s="44" t="n"/>
      <c r="BO82" s="85" t="n"/>
      <c r="BP82" s="86" t="n"/>
      <c r="BQ82" s="44" t="n"/>
      <c r="BR82" s="50" t="n"/>
      <c r="BS82" s="89" t="n"/>
      <c r="BT82" s="50">
        <f>IF(OR(K82="",L82="",M82=""),"",IF(ABS(ROUND(((ROUND(N(K82)*100,0))-(0))*(100+N(M82))/100,0)-(ROUND(N(L82)*100,0)))&lt;=0+IF(((ROUND(N(K82)*100,0))-(0))*(100+N(M82))/100&lt;&gt;ROUND(((ROUND(N(K82)*100,0))-(0))*(100+N(M82))/100,0),1,0),"OK","ABWEICHUNG"))</f>
        <v/>
      </c>
    </row>
    <row r="83">
      <c r="A83" s="50" t="n"/>
      <c r="B83" s="44" t="n"/>
      <c r="C83" s="44" t="n"/>
      <c r="D83" s="44" t="n"/>
      <c r="E83" s="44" t="n"/>
      <c r="F83" s="44" t="n"/>
      <c r="G83" s="44" t="n"/>
      <c r="H83" s="44" t="n"/>
      <c r="I83" s="45" t="n"/>
      <c r="J83" s="45" t="n"/>
      <c r="K83" s="85" t="n"/>
      <c r="L83" s="85" t="n"/>
      <c r="M83" s="88" t="n"/>
      <c r="N83" s="88" t="n"/>
      <c r="O83" s="44" t="n"/>
      <c r="P83" s="45" t="n"/>
      <c r="Q83" s="45" t="n"/>
      <c r="R83" s="44" t="n"/>
      <c r="S83" s="45" t="n"/>
      <c r="T83" s="45" t="n"/>
      <c r="U83" s="85" t="n"/>
      <c r="V83" s="44" t="n"/>
      <c r="W83" s="45" t="n"/>
      <c r="X83" s="45" t="n"/>
      <c r="Y83" s="44" t="n"/>
      <c r="Z83" s="85" t="n"/>
      <c r="AA83" s="44" t="n"/>
      <c r="AB83" s="44" t="n"/>
      <c r="AC83" s="44" t="n"/>
      <c r="AD83" s="44" t="n"/>
      <c r="AE83" s="44" t="n"/>
      <c r="AF83" s="88" t="n"/>
      <c r="AG83" s="85" t="n"/>
      <c r="AH83" s="85" t="n"/>
      <c r="AI83" s="85" t="n"/>
      <c r="AJ83" s="85" t="n"/>
      <c r="AK83" s="85" t="n"/>
      <c r="AL83" s="85" t="n"/>
      <c r="AM83" s="85" t="n"/>
      <c r="AN83" s="85" t="n"/>
      <c r="AO83" s="85" t="n"/>
      <c r="AP83" s="85" t="n"/>
      <c r="AQ83" s="85" t="n"/>
      <c r="AR83" s="85" t="n"/>
      <c r="AS83" s="85" t="n"/>
      <c r="AT83" s="85" t="n"/>
      <c r="AU83" s="85" t="n"/>
      <c r="AV83" s="85" t="n"/>
      <c r="AW83" s="44" t="n"/>
      <c r="AX83" s="85" t="n"/>
      <c r="AY83" s="88" t="n"/>
      <c r="AZ83" s="86" t="n"/>
      <c r="BA83" s="44" t="n"/>
      <c r="BB83" s="44" t="n"/>
      <c r="BC83" s="87" t="n"/>
      <c r="BD83" s="44" t="n"/>
      <c r="BE83" s="87" t="n"/>
      <c r="BF83" s="85" t="n"/>
      <c r="BG83" s="44" t="n"/>
      <c r="BH83" s="44" t="n"/>
      <c r="BI83" s="85" t="n"/>
      <c r="BJ83" s="44" t="n"/>
      <c r="BK83" s="45" t="n"/>
      <c r="BL83" s="44" t="n"/>
      <c r="BM83" s="85" t="n"/>
      <c r="BN83" s="44" t="n"/>
      <c r="BO83" s="85" t="n"/>
      <c r="BP83" s="86" t="n"/>
      <c r="BQ83" s="44" t="n"/>
      <c r="BR83" s="50" t="n"/>
      <c r="BS83" s="89" t="n"/>
      <c r="BT83" s="50">
        <f>IF(OR(K83="",L83="",M83=""),"",IF(ABS(ROUND(((ROUND(N(K83)*100,0))-(0))*(100+N(M83))/100,0)-(ROUND(N(L83)*100,0)))&lt;=0+IF(((ROUND(N(K83)*100,0))-(0))*(100+N(M83))/100&lt;&gt;ROUND(((ROUND(N(K83)*100,0))-(0))*(100+N(M83))/100,0),1,0),"OK","ABWEICHUNG"))</f>
        <v/>
      </c>
    </row>
    <row r="84">
      <c r="A84" s="50" t="n"/>
      <c r="B84" s="44" t="n"/>
      <c r="C84" s="44" t="n"/>
      <c r="D84" s="44" t="n"/>
      <c r="E84" s="44" t="n"/>
      <c r="F84" s="44" t="n"/>
      <c r="G84" s="44" t="n"/>
      <c r="H84" s="44" t="n"/>
      <c r="I84" s="45" t="n"/>
      <c r="J84" s="45" t="n"/>
      <c r="K84" s="85" t="n"/>
      <c r="L84" s="85" t="n"/>
      <c r="M84" s="88" t="n"/>
      <c r="N84" s="88" t="n"/>
      <c r="O84" s="44" t="n"/>
      <c r="P84" s="45" t="n"/>
      <c r="Q84" s="45" t="n"/>
      <c r="R84" s="44" t="n"/>
      <c r="S84" s="45" t="n"/>
      <c r="T84" s="45" t="n"/>
      <c r="U84" s="85" t="n"/>
      <c r="V84" s="44" t="n"/>
      <c r="W84" s="45" t="n"/>
      <c r="X84" s="45" t="n"/>
      <c r="Y84" s="44" t="n"/>
      <c r="Z84" s="85" t="n"/>
      <c r="AA84" s="44" t="n"/>
      <c r="AB84" s="44" t="n"/>
      <c r="AC84" s="44" t="n"/>
      <c r="AD84" s="44" t="n"/>
      <c r="AE84" s="44" t="n"/>
      <c r="AF84" s="88" t="n"/>
      <c r="AG84" s="85" t="n"/>
      <c r="AH84" s="85" t="n"/>
      <c r="AI84" s="85" t="n"/>
      <c r="AJ84" s="85" t="n"/>
      <c r="AK84" s="85" t="n"/>
      <c r="AL84" s="85" t="n"/>
      <c r="AM84" s="85" t="n"/>
      <c r="AN84" s="85" t="n"/>
      <c r="AO84" s="85" t="n"/>
      <c r="AP84" s="85" t="n"/>
      <c r="AQ84" s="85" t="n"/>
      <c r="AR84" s="85" t="n"/>
      <c r="AS84" s="85" t="n"/>
      <c r="AT84" s="85" t="n"/>
      <c r="AU84" s="85" t="n"/>
      <c r="AV84" s="85" t="n"/>
      <c r="AW84" s="44" t="n"/>
      <c r="AX84" s="85" t="n"/>
      <c r="AY84" s="88" t="n"/>
      <c r="AZ84" s="86" t="n"/>
      <c r="BA84" s="44" t="n"/>
      <c r="BB84" s="44" t="n"/>
      <c r="BC84" s="87" t="n"/>
      <c r="BD84" s="44" t="n"/>
      <c r="BE84" s="87" t="n"/>
      <c r="BF84" s="85" t="n"/>
      <c r="BG84" s="44" t="n"/>
      <c r="BH84" s="44" t="n"/>
      <c r="BI84" s="85" t="n"/>
      <c r="BJ84" s="44" t="n"/>
      <c r="BK84" s="45" t="n"/>
      <c r="BL84" s="44" t="n"/>
      <c r="BM84" s="85" t="n"/>
      <c r="BN84" s="44" t="n"/>
      <c r="BO84" s="85" t="n"/>
      <c r="BP84" s="86" t="n"/>
      <c r="BQ84" s="44" t="n"/>
      <c r="BR84" s="50" t="n"/>
      <c r="BS84" s="89" t="n"/>
      <c r="BT84" s="50">
        <f>IF(OR(K84="",L84="",M84=""),"",IF(ABS(ROUND(((ROUND(N(K84)*100,0))-(0))*(100+N(M84))/100,0)-(ROUND(N(L84)*100,0)))&lt;=0+IF(((ROUND(N(K84)*100,0))-(0))*(100+N(M84))/100&lt;&gt;ROUND(((ROUND(N(K84)*100,0))-(0))*(100+N(M84))/100,0),1,0),"OK","ABWEICHUNG"))</f>
        <v/>
      </c>
    </row>
    <row r="85">
      <c r="A85" s="50" t="n"/>
      <c r="B85" s="44" t="n"/>
      <c r="C85" s="44" t="n"/>
      <c r="D85" s="44" t="n"/>
      <c r="E85" s="44" t="n"/>
      <c r="F85" s="44" t="n"/>
      <c r="G85" s="44" t="n"/>
      <c r="H85" s="44" t="n"/>
      <c r="I85" s="45" t="n"/>
      <c r="J85" s="45" t="n"/>
      <c r="K85" s="85" t="n"/>
      <c r="L85" s="85" t="n"/>
      <c r="M85" s="88" t="n"/>
      <c r="N85" s="88" t="n"/>
      <c r="O85" s="44" t="n"/>
      <c r="P85" s="45" t="n"/>
      <c r="Q85" s="45" t="n"/>
      <c r="R85" s="44" t="n"/>
      <c r="S85" s="45" t="n"/>
      <c r="T85" s="45" t="n"/>
      <c r="U85" s="85" t="n"/>
      <c r="V85" s="44" t="n"/>
      <c r="W85" s="45" t="n"/>
      <c r="X85" s="45" t="n"/>
      <c r="Y85" s="44" t="n"/>
      <c r="Z85" s="85" t="n"/>
      <c r="AA85" s="44" t="n"/>
      <c r="AB85" s="44" t="n"/>
      <c r="AC85" s="44" t="n"/>
      <c r="AD85" s="44" t="n"/>
      <c r="AE85" s="44" t="n"/>
      <c r="AF85" s="88" t="n"/>
      <c r="AG85" s="85" t="n"/>
      <c r="AH85" s="85" t="n"/>
      <c r="AI85" s="85" t="n"/>
      <c r="AJ85" s="85" t="n"/>
      <c r="AK85" s="85" t="n"/>
      <c r="AL85" s="85" t="n"/>
      <c r="AM85" s="85" t="n"/>
      <c r="AN85" s="85" t="n"/>
      <c r="AO85" s="85" t="n"/>
      <c r="AP85" s="85" t="n"/>
      <c r="AQ85" s="85" t="n"/>
      <c r="AR85" s="85" t="n"/>
      <c r="AS85" s="85" t="n"/>
      <c r="AT85" s="85" t="n"/>
      <c r="AU85" s="85" t="n"/>
      <c r="AV85" s="85" t="n"/>
      <c r="AW85" s="44" t="n"/>
      <c r="AX85" s="85" t="n"/>
      <c r="AY85" s="88" t="n"/>
      <c r="AZ85" s="86" t="n"/>
      <c r="BA85" s="44" t="n"/>
      <c r="BB85" s="44" t="n"/>
      <c r="BC85" s="87" t="n"/>
      <c r="BD85" s="44" t="n"/>
      <c r="BE85" s="87" t="n"/>
      <c r="BF85" s="85" t="n"/>
      <c r="BG85" s="44" t="n"/>
      <c r="BH85" s="44" t="n"/>
      <c r="BI85" s="85" t="n"/>
      <c r="BJ85" s="44" t="n"/>
      <c r="BK85" s="45" t="n"/>
      <c r="BL85" s="44" t="n"/>
      <c r="BM85" s="85" t="n"/>
      <c r="BN85" s="44" t="n"/>
      <c r="BO85" s="85" t="n"/>
      <c r="BP85" s="86" t="n"/>
      <c r="BQ85" s="44" t="n"/>
      <c r="BR85" s="50" t="n"/>
      <c r="BS85" s="89" t="n"/>
      <c r="BT85" s="50">
        <f>IF(OR(K85="",L85="",M85=""),"",IF(ABS(ROUND(((ROUND(N(K85)*100,0))-(0))*(100+N(M85))/100,0)-(ROUND(N(L85)*100,0)))&lt;=0+IF(((ROUND(N(K85)*100,0))-(0))*(100+N(M85))/100&lt;&gt;ROUND(((ROUND(N(K85)*100,0))-(0))*(100+N(M85))/100,0),1,0),"OK","ABWEICHUNG"))</f>
        <v/>
      </c>
    </row>
    <row r="86">
      <c r="A86" s="50" t="n"/>
      <c r="B86" s="44" t="n"/>
      <c r="C86" s="44" t="n"/>
      <c r="D86" s="44" t="n"/>
      <c r="E86" s="44" t="n"/>
      <c r="F86" s="44" t="n"/>
      <c r="G86" s="44" t="n"/>
      <c r="H86" s="44" t="n"/>
      <c r="I86" s="45" t="n"/>
      <c r="J86" s="45" t="n"/>
      <c r="K86" s="85" t="n"/>
      <c r="L86" s="85" t="n"/>
      <c r="M86" s="88" t="n"/>
      <c r="N86" s="88" t="n"/>
      <c r="O86" s="44" t="n"/>
      <c r="P86" s="45" t="n"/>
      <c r="Q86" s="45" t="n"/>
      <c r="R86" s="44" t="n"/>
      <c r="S86" s="45" t="n"/>
      <c r="T86" s="45" t="n"/>
      <c r="U86" s="85" t="n"/>
      <c r="V86" s="44" t="n"/>
      <c r="W86" s="45" t="n"/>
      <c r="X86" s="45" t="n"/>
      <c r="Y86" s="44" t="n"/>
      <c r="Z86" s="85" t="n"/>
      <c r="AA86" s="44" t="n"/>
      <c r="AB86" s="44" t="n"/>
      <c r="AC86" s="44" t="n"/>
      <c r="AD86" s="44" t="n"/>
      <c r="AE86" s="44" t="n"/>
      <c r="AF86" s="88" t="n"/>
      <c r="AG86" s="85" t="n"/>
      <c r="AH86" s="85" t="n"/>
      <c r="AI86" s="85" t="n"/>
      <c r="AJ86" s="85" t="n"/>
      <c r="AK86" s="85" t="n"/>
      <c r="AL86" s="85" t="n"/>
      <c r="AM86" s="85" t="n"/>
      <c r="AN86" s="85" t="n"/>
      <c r="AO86" s="85" t="n"/>
      <c r="AP86" s="85" t="n"/>
      <c r="AQ86" s="85" t="n"/>
      <c r="AR86" s="85" t="n"/>
      <c r="AS86" s="85" t="n"/>
      <c r="AT86" s="85" t="n"/>
      <c r="AU86" s="85" t="n"/>
      <c r="AV86" s="85" t="n"/>
      <c r="AW86" s="44" t="n"/>
      <c r="AX86" s="85" t="n"/>
      <c r="AY86" s="88" t="n"/>
      <c r="AZ86" s="86" t="n"/>
      <c r="BA86" s="44" t="n"/>
      <c r="BB86" s="44" t="n"/>
      <c r="BC86" s="87" t="n"/>
      <c r="BD86" s="44" t="n"/>
      <c r="BE86" s="87" t="n"/>
      <c r="BF86" s="85" t="n"/>
      <c r="BG86" s="44" t="n"/>
      <c r="BH86" s="44" t="n"/>
      <c r="BI86" s="85" t="n"/>
      <c r="BJ86" s="44" t="n"/>
      <c r="BK86" s="45" t="n"/>
      <c r="BL86" s="44" t="n"/>
      <c r="BM86" s="85" t="n"/>
      <c r="BN86" s="44" t="n"/>
      <c r="BO86" s="85" t="n"/>
      <c r="BP86" s="86" t="n"/>
      <c r="BQ86" s="44" t="n"/>
      <c r="BR86" s="50" t="n"/>
      <c r="BS86" s="89" t="n"/>
      <c r="BT86" s="50">
        <f>IF(OR(K86="",L86="",M86=""),"",IF(ABS(ROUND(((ROUND(N(K86)*100,0))-(0))*(100+N(M86))/100,0)-(ROUND(N(L86)*100,0)))&lt;=0+IF(((ROUND(N(K86)*100,0))-(0))*(100+N(M86))/100&lt;&gt;ROUND(((ROUND(N(K86)*100,0))-(0))*(100+N(M86))/100,0),1,0),"OK","ABWEICHUNG"))</f>
        <v/>
      </c>
    </row>
    <row r="87">
      <c r="A87" s="50" t="n"/>
      <c r="B87" s="44" t="n"/>
      <c r="C87" s="44" t="n"/>
      <c r="D87" s="44" t="n"/>
      <c r="E87" s="44" t="n"/>
      <c r="F87" s="44" t="n"/>
      <c r="G87" s="44" t="n"/>
      <c r="H87" s="44" t="n"/>
      <c r="I87" s="45" t="n"/>
      <c r="J87" s="45" t="n"/>
      <c r="K87" s="85" t="n"/>
      <c r="L87" s="85" t="n"/>
      <c r="M87" s="88" t="n"/>
      <c r="N87" s="88" t="n"/>
      <c r="O87" s="44" t="n"/>
      <c r="P87" s="45" t="n"/>
      <c r="Q87" s="45" t="n"/>
      <c r="R87" s="44" t="n"/>
      <c r="S87" s="45" t="n"/>
      <c r="T87" s="45" t="n"/>
      <c r="U87" s="85" t="n"/>
      <c r="V87" s="44" t="n"/>
      <c r="W87" s="45" t="n"/>
      <c r="X87" s="45" t="n"/>
      <c r="Y87" s="44" t="n"/>
      <c r="Z87" s="85" t="n"/>
      <c r="AA87" s="44" t="n"/>
      <c r="AB87" s="44" t="n"/>
      <c r="AC87" s="44" t="n"/>
      <c r="AD87" s="44" t="n"/>
      <c r="AE87" s="44" t="n"/>
      <c r="AF87" s="88" t="n"/>
      <c r="AG87" s="85" t="n"/>
      <c r="AH87" s="85" t="n"/>
      <c r="AI87" s="85" t="n"/>
      <c r="AJ87" s="85" t="n"/>
      <c r="AK87" s="85" t="n"/>
      <c r="AL87" s="85" t="n"/>
      <c r="AM87" s="85" t="n"/>
      <c r="AN87" s="85" t="n"/>
      <c r="AO87" s="85" t="n"/>
      <c r="AP87" s="85" t="n"/>
      <c r="AQ87" s="85" t="n"/>
      <c r="AR87" s="85" t="n"/>
      <c r="AS87" s="85" t="n"/>
      <c r="AT87" s="85" t="n"/>
      <c r="AU87" s="85" t="n"/>
      <c r="AV87" s="85" t="n"/>
      <c r="AW87" s="44" t="n"/>
      <c r="AX87" s="85" t="n"/>
      <c r="AY87" s="88" t="n"/>
      <c r="AZ87" s="86" t="n"/>
      <c r="BA87" s="44" t="n"/>
      <c r="BB87" s="44" t="n"/>
      <c r="BC87" s="87" t="n"/>
      <c r="BD87" s="44" t="n"/>
      <c r="BE87" s="87" t="n"/>
      <c r="BF87" s="85" t="n"/>
      <c r="BG87" s="44" t="n"/>
      <c r="BH87" s="44" t="n"/>
      <c r="BI87" s="85" t="n"/>
      <c r="BJ87" s="44" t="n"/>
      <c r="BK87" s="45" t="n"/>
      <c r="BL87" s="44" t="n"/>
      <c r="BM87" s="85" t="n"/>
      <c r="BN87" s="44" t="n"/>
      <c r="BO87" s="85" t="n"/>
      <c r="BP87" s="86" t="n"/>
      <c r="BQ87" s="44" t="n"/>
      <c r="BR87" s="50" t="n"/>
      <c r="BS87" s="89" t="n"/>
      <c r="BT87" s="50">
        <f>IF(OR(K87="",L87="",M87=""),"",IF(ABS(ROUND(((ROUND(N(K87)*100,0))-(0))*(100+N(M87))/100,0)-(ROUND(N(L87)*100,0)))&lt;=0+IF(((ROUND(N(K87)*100,0))-(0))*(100+N(M87))/100&lt;&gt;ROUND(((ROUND(N(K87)*100,0))-(0))*(100+N(M87))/100,0),1,0),"OK","ABWEICHUNG"))</f>
        <v/>
      </c>
    </row>
    <row r="88">
      <c r="A88" s="50" t="n"/>
      <c r="B88" s="44" t="n"/>
      <c r="C88" s="44" t="n"/>
      <c r="D88" s="44" t="n"/>
      <c r="E88" s="44" t="n"/>
      <c r="F88" s="44" t="n"/>
      <c r="G88" s="44" t="n"/>
      <c r="H88" s="44" t="n"/>
      <c r="I88" s="45" t="n"/>
      <c r="J88" s="45" t="n"/>
      <c r="K88" s="85" t="n"/>
      <c r="L88" s="85" t="n"/>
      <c r="M88" s="88" t="n"/>
      <c r="N88" s="88" t="n"/>
      <c r="O88" s="44" t="n"/>
      <c r="P88" s="45" t="n"/>
      <c r="Q88" s="45" t="n"/>
      <c r="R88" s="44" t="n"/>
      <c r="S88" s="45" t="n"/>
      <c r="T88" s="45" t="n"/>
      <c r="U88" s="85" t="n"/>
      <c r="V88" s="44" t="n"/>
      <c r="W88" s="45" t="n"/>
      <c r="X88" s="45" t="n"/>
      <c r="Y88" s="44" t="n"/>
      <c r="Z88" s="85" t="n"/>
      <c r="AA88" s="44" t="n"/>
      <c r="AB88" s="44" t="n"/>
      <c r="AC88" s="44" t="n"/>
      <c r="AD88" s="44" t="n"/>
      <c r="AE88" s="44" t="n"/>
      <c r="AF88" s="88" t="n"/>
      <c r="AG88" s="85" t="n"/>
      <c r="AH88" s="85" t="n"/>
      <c r="AI88" s="85" t="n"/>
      <c r="AJ88" s="85" t="n"/>
      <c r="AK88" s="85" t="n"/>
      <c r="AL88" s="85" t="n"/>
      <c r="AM88" s="85" t="n"/>
      <c r="AN88" s="85" t="n"/>
      <c r="AO88" s="85" t="n"/>
      <c r="AP88" s="85" t="n"/>
      <c r="AQ88" s="85" t="n"/>
      <c r="AR88" s="85" t="n"/>
      <c r="AS88" s="85" t="n"/>
      <c r="AT88" s="85" t="n"/>
      <c r="AU88" s="85" t="n"/>
      <c r="AV88" s="85" t="n"/>
      <c r="AW88" s="44" t="n"/>
      <c r="AX88" s="85" t="n"/>
      <c r="AY88" s="88" t="n"/>
      <c r="AZ88" s="86" t="n"/>
      <c r="BA88" s="44" t="n"/>
      <c r="BB88" s="44" t="n"/>
      <c r="BC88" s="87" t="n"/>
      <c r="BD88" s="44" t="n"/>
      <c r="BE88" s="87" t="n"/>
      <c r="BF88" s="85" t="n"/>
      <c r="BG88" s="44" t="n"/>
      <c r="BH88" s="44" t="n"/>
      <c r="BI88" s="85" t="n"/>
      <c r="BJ88" s="44" t="n"/>
      <c r="BK88" s="45" t="n"/>
      <c r="BL88" s="44" t="n"/>
      <c r="BM88" s="85" t="n"/>
      <c r="BN88" s="44" t="n"/>
      <c r="BO88" s="85" t="n"/>
      <c r="BP88" s="86" t="n"/>
      <c r="BQ88" s="44" t="n"/>
      <c r="BR88" s="50" t="n"/>
      <c r="BS88" s="89" t="n"/>
      <c r="BT88" s="50">
        <f>IF(OR(K88="",L88="",M88=""),"",IF(ABS(ROUND(((ROUND(N(K88)*100,0))-(0))*(100+N(M88))/100,0)-(ROUND(N(L88)*100,0)))&lt;=0+IF(((ROUND(N(K88)*100,0))-(0))*(100+N(M88))/100&lt;&gt;ROUND(((ROUND(N(K88)*100,0))-(0))*(100+N(M88))/100,0),1,0),"OK","ABWEICHUNG"))</f>
        <v/>
      </c>
    </row>
    <row r="89">
      <c r="A89" s="50" t="n"/>
      <c r="B89" s="44" t="n"/>
      <c r="C89" s="44" t="n"/>
      <c r="D89" s="44" t="n"/>
      <c r="E89" s="44" t="n"/>
      <c r="F89" s="44" t="n"/>
      <c r="G89" s="44" t="n"/>
      <c r="H89" s="44" t="n"/>
      <c r="I89" s="45" t="n"/>
      <c r="J89" s="45" t="n"/>
      <c r="K89" s="85" t="n"/>
      <c r="L89" s="85" t="n"/>
      <c r="M89" s="88" t="n"/>
      <c r="N89" s="88" t="n"/>
      <c r="O89" s="44" t="n"/>
      <c r="P89" s="45" t="n"/>
      <c r="Q89" s="45" t="n"/>
      <c r="R89" s="44" t="n"/>
      <c r="S89" s="45" t="n"/>
      <c r="T89" s="45" t="n"/>
      <c r="U89" s="85" t="n"/>
      <c r="V89" s="44" t="n"/>
      <c r="W89" s="45" t="n"/>
      <c r="X89" s="45" t="n"/>
      <c r="Y89" s="44" t="n"/>
      <c r="Z89" s="85" t="n"/>
      <c r="AA89" s="44" t="n"/>
      <c r="AB89" s="44" t="n"/>
      <c r="AC89" s="44" t="n"/>
      <c r="AD89" s="44" t="n"/>
      <c r="AE89" s="44" t="n"/>
      <c r="AF89" s="88" t="n"/>
      <c r="AG89" s="85" t="n"/>
      <c r="AH89" s="85" t="n"/>
      <c r="AI89" s="85" t="n"/>
      <c r="AJ89" s="85" t="n"/>
      <c r="AK89" s="85" t="n"/>
      <c r="AL89" s="85" t="n"/>
      <c r="AM89" s="85" t="n"/>
      <c r="AN89" s="85" t="n"/>
      <c r="AO89" s="85" t="n"/>
      <c r="AP89" s="85" t="n"/>
      <c r="AQ89" s="85" t="n"/>
      <c r="AR89" s="85" t="n"/>
      <c r="AS89" s="85" t="n"/>
      <c r="AT89" s="85" t="n"/>
      <c r="AU89" s="85" t="n"/>
      <c r="AV89" s="85" t="n"/>
      <c r="AW89" s="44" t="n"/>
      <c r="AX89" s="85" t="n"/>
      <c r="AY89" s="88" t="n"/>
      <c r="AZ89" s="86" t="n"/>
      <c r="BA89" s="44" t="n"/>
      <c r="BB89" s="44" t="n"/>
      <c r="BC89" s="87" t="n"/>
      <c r="BD89" s="44" t="n"/>
      <c r="BE89" s="87" t="n"/>
      <c r="BF89" s="85" t="n"/>
      <c r="BG89" s="44" t="n"/>
      <c r="BH89" s="44" t="n"/>
      <c r="BI89" s="85" t="n"/>
      <c r="BJ89" s="44" t="n"/>
      <c r="BK89" s="45" t="n"/>
      <c r="BL89" s="44" t="n"/>
      <c r="BM89" s="85" t="n"/>
      <c r="BN89" s="44" t="n"/>
      <c r="BO89" s="85" t="n"/>
      <c r="BP89" s="86" t="n"/>
      <c r="BQ89" s="44" t="n"/>
      <c r="BR89" s="50" t="n"/>
      <c r="BS89" s="89" t="n"/>
      <c r="BT89" s="50">
        <f>IF(OR(K89="",L89="",M89=""),"",IF(ABS(ROUND(((ROUND(N(K89)*100,0))-(0))*(100+N(M89))/100,0)-(ROUND(N(L89)*100,0)))&lt;=0+IF(((ROUND(N(K89)*100,0))-(0))*(100+N(M89))/100&lt;&gt;ROUND(((ROUND(N(K89)*100,0))-(0))*(100+N(M89))/100,0),1,0),"OK","ABWEICHUNG"))</f>
        <v/>
      </c>
    </row>
    <row r="90">
      <c r="A90" s="50" t="n"/>
      <c r="B90" s="44" t="n"/>
      <c r="C90" s="44" t="n"/>
      <c r="D90" s="44" t="n"/>
      <c r="E90" s="44" t="n"/>
      <c r="F90" s="44" t="n"/>
      <c r="G90" s="44" t="n"/>
      <c r="H90" s="44" t="n"/>
      <c r="I90" s="45" t="n"/>
      <c r="J90" s="45" t="n"/>
      <c r="K90" s="85" t="n"/>
      <c r="L90" s="85" t="n"/>
      <c r="M90" s="88" t="n"/>
      <c r="N90" s="88" t="n"/>
      <c r="O90" s="44" t="n"/>
      <c r="P90" s="45" t="n"/>
      <c r="Q90" s="45" t="n"/>
      <c r="R90" s="44" t="n"/>
      <c r="S90" s="45" t="n"/>
      <c r="T90" s="45" t="n"/>
      <c r="U90" s="85" t="n"/>
      <c r="V90" s="44" t="n"/>
      <c r="W90" s="45" t="n"/>
      <c r="X90" s="45" t="n"/>
      <c r="Y90" s="44" t="n"/>
      <c r="Z90" s="85" t="n"/>
      <c r="AA90" s="44" t="n"/>
      <c r="AB90" s="44" t="n"/>
      <c r="AC90" s="44" t="n"/>
      <c r="AD90" s="44" t="n"/>
      <c r="AE90" s="44" t="n"/>
      <c r="AF90" s="88" t="n"/>
      <c r="AG90" s="85" t="n"/>
      <c r="AH90" s="85" t="n"/>
      <c r="AI90" s="85" t="n"/>
      <c r="AJ90" s="85" t="n"/>
      <c r="AK90" s="85" t="n"/>
      <c r="AL90" s="85" t="n"/>
      <c r="AM90" s="85" t="n"/>
      <c r="AN90" s="85" t="n"/>
      <c r="AO90" s="85" t="n"/>
      <c r="AP90" s="85" t="n"/>
      <c r="AQ90" s="85" t="n"/>
      <c r="AR90" s="85" t="n"/>
      <c r="AS90" s="85" t="n"/>
      <c r="AT90" s="85" t="n"/>
      <c r="AU90" s="85" t="n"/>
      <c r="AV90" s="85" t="n"/>
      <c r="AW90" s="44" t="n"/>
      <c r="AX90" s="85" t="n"/>
      <c r="AY90" s="88" t="n"/>
      <c r="AZ90" s="86" t="n"/>
      <c r="BA90" s="44" t="n"/>
      <c r="BB90" s="44" t="n"/>
      <c r="BC90" s="87" t="n"/>
      <c r="BD90" s="44" t="n"/>
      <c r="BE90" s="87" t="n"/>
      <c r="BF90" s="85" t="n"/>
      <c r="BG90" s="44" t="n"/>
      <c r="BH90" s="44" t="n"/>
      <c r="BI90" s="85" t="n"/>
      <c r="BJ90" s="44" t="n"/>
      <c r="BK90" s="45" t="n"/>
      <c r="BL90" s="44" t="n"/>
      <c r="BM90" s="85" t="n"/>
      <c r="BN90" s="44" t="n"/>
      <c r="BO90" s="85" t="n"/>
      <c r="BP90" s="86" t="n"/>
      <c r="BQ90" s="44" t="n"/>
      <c r="BR90" s="50" t="n"/>
      <c r="BS90" s="89" t="n"/>
      <c r="BT90" s="50">
        <f>IF(OR(K90="",L90="",M90=""),"",IF(ABS(ROUND(((ROUND(N(K90)*100,0))-(0))*(100+N(M90))/100,0)-(ROUND(N(L90)*100,0)))&lt;=0+IF(((ROUND(N(K90)*100,0))-(0))*(100+N(M90))/100&lt;&gt;ROUND(((ROUND(N(K90)*100,0))-(0))*(100+N(M90))/100,0),1,0),"OK","ABWEICHUNG"))</f>
        <v/>
      </c>
    </row>
    <row r="91">
      <c r="A91" s="50" t="n"/>
      <c r="B91" s="44" t="n"/>
      <c r="C91" s="44" t="n"/>
      <c r="D91" s="44" t="n"/>
      <c r="E91" s="44" t="n"/>
      <c r="F91" s="44" t="n"/>
      <c r="G91" s="44" t="n"/>
      <c r="H91" s="44" t="n"/>
      <c r="I91" s="45" t="n"/>
      <c r="J91" s="45" t="n"/>
      <c r="K91" s="85" t="n"/>
      <c r="L91" s="85" t="n"/>
      <c r="M91" s="88" t="n"/>
      <c r="N91" s="88" t="n"/>
      <c r="O91" s="44" t="n"/>
      <c r="P91" s="45" t="n"/>
      <c r="Q91" s="45" t="n"/>
      <c r="R91" s="44" t="n"/>
      <c r="S91" s="45" t="n"/>
      <c r="T91" s="45" t="n"/>
      <c r="U91" s="85" t="n"/>
      <c r="V91" s="44" t="n"/>
      <c r="W91" s="45" t="n"/>
      <c r="X91" s="45" t="n"/>
      <c r="Y91" s="44" t="n"/>
      <c r="Z91" s="85" t="n"/>
      <c r="AA91" s="44" t="n"/>
      <c r="AB91" s="44" t="n"/>
      <c r="AC91" s="44" t="n"/>
      <c r="AD91" s="44" t="n"/>
      <c r="AE91" s="44" t="n"/>
      <c r="AF91" s="88" t="n"/>
      <c r="AG91" s="85" t="n"/>
      <c r="AH91" s="85" t="n"/>
      <c r="AI91" s="85" t="n"/>
      <c r="AJ91" s="85" t="n"/>
      <c r="AK91" s="85" t="n"/>
      <c r="AL91" s="85" t="n"/>
      <c r="AM91" s="85" t="n"/>
      <c r="AN91" s="85" t="n"/>
      <c r="AO91" s="85" t="n"/>
      <c r="AP91" s="85" t="n"/>
      <c r="AQ91" s="85" t="n"/>
      <c r="AR91" s="85" t="n"/>
      <c r="AS91" s="85" t="n"/>
      <c r="AT91" s="85" t="n"/>
      <c r="AU91" s="85" t="n"/>
      <c r="AV91" s="85" t="n"/>
      <c r="AW91" s="44" t="n"/>
      <c r="AX91" s="85" t="n"/>
      <c r="AY91" s="88" t="n"/>
      <c r="AZ91" s="86" t="n"/>
      <c r="BA91" s="44" t="n"/>
      <c r="BB91" s="44" t="n"/>
      <c r="BC91" s="87" t="n"/>
      <c r="BD91" s="44" t="n"/>
      <c r="BE91" s="87" t="n"/>
      <c r="BF91" s="85" t="n"/>
      <c r="BG91" s="44" t="n"/>
      <c r="BH91" s="44" t="n"/>
      <c r="BI91" s="85" t="n"/>
      <c r="BJ91" s="44" t="n"/>
      <c r="BK91" s="45" t="n"/>
      <c r="BL91" s="44" t="n"/>
      <c r="BM91" s="85" t="n"/>
      <c r="BN91" s="44" t="n"/>
      <c r="BO91" s="85" t="n"/>
      <c r="BP91" s="86" t="n"/>
      <c r="BQ91" s="44" t="n"/>
      <c r="BR91" s="50" t="n"/>
      <c r="BS91" s="89" t="n"/>
      <c r="BT91" s="50">
        <f>IF(OR(K91="",L91="",M91=""),"",IF(ABS(ROUND(((ROUND(N(K91)*100,0))-(0))*(100+N(M91))/100,0)-(ROUND(N(L91)*100,0)))&lt;=0+IF(((ROUND(N(K91)*100,0))-(0))*(100+N(M91))/100&lt;&gt;ROUND(((ROUND(N(K91)*100,0))-(0))*(100+N(M91))/100,0),1,0),"OK","ABWEICHUNG"))</f>
        <v/>
      </c>
    </row>
    <row r="92">
      <c r="A92" s="50" t="n"/>
      <c r="B92" s="44" t="n"/>
      <c r="C92" s="44" t="n"/>
      <c r="D92" s="44" t="n"/>
      <c r="E92" s="44" t="n"/>
      <c r="F92" s="44" t="n"/>
      <c r="G92" s="44" t="n"/>
      <c r="H92" s="44" t="n"/>
      <c r="I92" s="45" t="n"/>
      <c r="J92" s="45" t="n"/>
      <c r="K92" s="85" t="n"/>
      <c r="L92" s="85" t="n"/>
      <c r="M92" s="88" t="n"/>
      <c r="N92" s="88" t="n"/>
      <c r="O92" s="44" t="n"/>
      <c r="P92" s="45" t="n"/>
      <c r="Q92" s="45" t="n"/>
      <c r="R92" s="44" t="n"/>
      <c r="S92" s="45" t="n"/>
      <c r="T92" s="45" t="n"/>
      <c r="U92" s="85" t="n"/>
      <c r="V92" s="44" t="n"/>
      <c r="W92" s="45" t="n"/>
      <c r="X92" s="45" t="n"/>
      <c r="Y92" s="44" t="n"/>
      <c r="Z92" s="85" t="n"/>
      <c r="AA92" s="44" t="n"/>
      <c r="AB92" s="44" t="n"/>
      <c r="AC92" s="44" t="n"/>
      <c r="AD92" s="44" t="n"/>
      <c r="AE92" s="44" t="n"/>
      <c r="AF92" s="88" t="n"/>
      <c r="AG92" s="85" t="n"/>
      <c r="AH92" s="85" t="n"/>
      <c r="AI92" s="85" t="n"/>
      <c r="AJ92" s="85" t="n"/>
      <c r="AK92" s="85" t="n"/>
      <c r="AL92" s="85" t="n"/>
      <c r="AM92" s="85" t="n"/>
      <c r="AN92" s="85" t="n"/>
      <c r="AO92" s="85" t="n"/>
      <c r="AP92" s="85" t="n"/>
      <c r="AQ92" s="85" t="n"/>
      <c r="AR92" s="85" t="n"/>
      <c r="AS92" s="85" t="n"/>
      <c r="AT92" s="85" t="n"/>
      <c r="AU92" s="85" t="n"/>
      <c r="AV92" s="85" t="n"/>
      <c r="AW92" s="44" t="n"/>
      <c r="AX92" s="85" t="n"/>
      <c r="AY92" s="88" t="n"/>
      <c r="AZ92" s="86" t="n"/>
      <c r="BA92" s="44" t="n"/>
      <c r="BB92" s="44" t="n"/>
      <c r="BC92" s="87" t="n"/>
      <c r="BD92" s="44" t="n"/>
      <c r="BE92" s="87" t="n"/>
      <c r="BF92" s="85" t="n"/>
      <c r="BG92" s="44" t="n"/>
      <c r="BH92" s="44" t="n"/>
      <c r="BI92" s="85" t="n"/>
      <c r="BJ92" s="44" t="n"/>
      <c r="BK92" s="45" t="n"/>
      <c r="BL92" s="44" t="n"/>
      <c r="BM92" s="85" t="n"/>
      <c r="BN92" s="44" t="n"/>
      <c r="BO92" s="85" t="n"/>
      <c r="BP92" s="86" t="n"/>
      <c r="BQ92" s="44" t="n"/>
      <c r="BR92" s="50" t="n"/>
      <c r="BS92" s="89" t="n"/>
      <c r="BT92" s="50">
        <f>IF(OR(K92="",L92="",M92=""),"",IF(ABS(ROUND(((ROUND(N(K92)*100,0))-(0))*(100+N(M92))/100,0)-(ROUND(N(L92)*100,0)))&lt;=0+IF(((ROUND(N(K92)*100,0))-(0))*(100+N(M92))/100&lt;&gt;ROUND(((ROUND(N(K92)*100,0))-(0))*(100+N(M92))/100,0),1,0),"OK","ABWEICHUNG"))</f>
        <v/>
      </c>
    </row>
    <row r="93">
      <c r="A93" s="50" t="n"/>
      <c r="B93" s="44" t="n"/>
      <c r="C93" s="44" t="n"/>
      <c r="D93" s="44" t="n"/>
      <c r="E93" s="44" t="n"/>
      <c r="F93" s="44" t="n"/>
      <c r="G93" s="44" t="n"/>
      <c r="H93" s="44" t="n"/>
      <c r="I93" s="45" t="n"/>
      <c r="J93" s="45" t="n"/>
      <c r="K93" s="85" t="n"/>
      <c r="L93" s="85" t="n"/>
      <c r="M93" s="88" t="n"/>
      <c r="N93" s="88" t="n"/>
      <c r="O93" s="44" t="n"/>
      <c r="P93" s="45" t="n"/>
      <c r="Q93" s="45" t="n"/>
      <c r="R93" s="44" t="n"/>
      <c r="S93" s="45" t="n"/>
      <c r="T93" s="45" t="n"/>
      <c r="U93" s="85" t="n"/>
      <c r="V93" s="44" t="n"/>
      <c r="W93" s="45" t="n"/>
      <c r="X93" s="45" t="n"/>
      <c r="Y93" s="44" t="n"/>
      <c r="Z93" s="85" t="n"/>
      <c r="AA93" s="44" t="n"/>
      <c r="AB93" s="44" t="n"/>
      <c r="AC93" s="44" t="n"/>
      <c r="AD93" s="44" t="n"/>
      <c r="AE93" s="44" t="n"/>
      <c r="AF93" s="88" t="n"/>
      <c r="AG93" s="85" t="n"/>
      <c r="AH93" s="85" t="n"/>
      <c r="AI93" s="85" t="n"/>
      <c r="AJ93" s="85" t="n"/>
      <c r="AK93" s="85" t="n"/>
      <c r="AL93" s="85" t="n"/>
      <c r="AM93" s="85" t="n"/>
      <c r="AN93" s="85" t="n"/>
      <c r="AO93" s="85" t="n"/>
      <c r="AP93" s="85" t="n"/>
      <c r="AQ93" s="85" t="n"/>
      <c r="AR93" s="85" t="n"/>
      <c r="AS93" s="85" t="n"/>
      <c r="AT93" s="85" t="n"/>
      <c r="AU93" s="85" t="n"/>
      <c r="AV93" s="85" t="n"/>
      <c r="AW93" s="44" t="n"/>
      <c r="AX93" s="85" t="n"/>
      <c r="AY93" s="88" t="n"/>
      <c r="AZ93" s="86" t="n"/>
      <c r="BA93" s="44" t="n"/>
      <c r="BB93" s="44" t="n"/>
      <c r="BC93" s="87" t="n"/>
      <c r="BD93" s="44" t="n"/>
      <c r="BE93" s="87" t="n"/>
      <c r="BF93" s="85" t="n"/>
      <c r="BG93" s="44" t="n"/>
      <c r="BH93" s="44" t="n"/>
      <c r="BI93" s="85" t="n"/>
      <c r="BJ93" s="44" t="n"/>
      <c r="BK93" s="45" t="n"/>
      <c r="BL93" s="44" t="n"/>
      <c r="BM93" s="85" t="n"/>
      <c r="BN93" s="44" t="n"/>
      <c r="BO93" s="85" t="n"/>
      <c r="BP93" s="86" t="n"/>
      <c r="BQ93" s="44" t="n"/>
      <c r="BR93" s="50" t="n"/>
      <c r="BS93" s="89" t="n"/>
      <c r="BT93" s="50">
        <f>IF(OR(K93="",L93="",M93=""),"",IF(ABS(ROUND(((ROUND(N(K93)*100,0))-(0))*(100+N(M93))/100,0)-(ROUND(N(L93)*100,0)))&lt;=0+IF(((ROUND(N(K93)*100,0))-(0))*(100+N(M93))/100&lt;&gt;ROUND(((ROUND(N(K93)*100,0))-(0))*(100+N(M93))/100,0),1,0),"OK","ABWEICHUNG"))</f>
        <v/>
      </c>
    </row>
    <row r="94">
      <c r="A94" s="50" t="n"/>
      <c r="B94" s="44" t="n"/>
      <c r="C94" s="44" t="n"/>
      <c r="D94" s="44" t="n"/>
      <c r="E94" s="44" t="n"/>
      <c r="F94" s="44" t="n"/>
      <c r="G94" s="44" t="n"/>
      <c r="H94" s="44" t="n"/>
      <c r="I94" s="45" t="n"/>
      <c r="J94" s="45" t="n"/>
      <c r="K94" s="85" t="n"/>
      <c r="L94" s="85" t="n"/>
      <c r="M94" s="88" t="n"/>
      <c r="N94" s="88" t="n"/>
      <c r="O94" s="44" t="n"/>
      <c r="P94" s="45" t="n"/>
      <c r="Q94" s="45" t="n"/>
      <c r="R94" s="44" t="n"/>
      <c r="S94" s="45" t="n"/>
      <c r="T94" s="45" t="n"/>
      <c r="U94" s="85" t="n"/>
      <c r="V94" s="44" t="n"/>
      <c r="W94" s="45" t="n"/>
      <c r="X94" s="45" t="n"/>
      <c r="Y94" s="44" t="n"/>
      <c r="Z94" s="85" t="n"/>
      <c r="AA94" s="44" t="n"/>
      <c r="AB94" s="44" t="n"/>
      <c r="AC94" s="44" t="n"/>
      <c r="AD94" s="44" t="n"/>
      <c r="AE94" s="44" t="n"/>
      <c r="AF94" s="88" t="n"/>
      <c r="AG94" s="85" t="n"/>
      <c r="AH94" s="85" t="n"/>
      <c r="AI94" s="85" t="n"/>
      <c r="AJ94" s="85" t="n"/>
      <c r="AK94" s="85" t="n"/>
      <c r="AL94" s="85" t="n"/>
      <c r="AM94" s="85" t="n"/>
      <c r="AN94" s="85" t="n"/>
      <c r="AO94" s="85" t="n"/>
      <c r="AP94" s="85" t="n"/>
      <c r="AQ94" s="85" t="n"/>
      <c r="AR94" s="85" t="n"/>
      <c r="AS94" s="85" t="n"/>
      <c r="AT94" s="85" t="n"/>
      <c r="AU94" s="85" t="n"/>
      <c r="AV94" s="85" t="n"/>
      <c r="AW94" s="44" t="n"/>
      <c r="AX94" s="85" t="n"/>
      <c r="AY94" s="88" t="n"/>
      <c r="AZ94" s="86" t="n"/>
      <c r="BA94" s="44" t="n"/>
      <c r="BB94" s="44" t="n"/>
      <c r="BC94" s="87" t="n"/>
      <c r="BD94" s="44" t="n"/>
      <c r="BE94" s="87" t="n"/>
      <c r="BF94" s="85" t="n"/>
      <c r="BG94" s="44" t="n"/>
      <c r="BH94" s="44" t="n"/>
      <c r="BI94" s="85" t="n"/>
      <c r="BJ94" s="44" t="n"/>
      <c r="BK94" s="45" t="n"/>
      <c r="BL94" s="44" t="n"/>
      <c r="BM94" s="85" t="n"/>
      <c r="BN94" s="44" t="n"/>
      <c r="BO94" s="85" t="n"/>
      <c r="BP94" s="86" t="n"/>
      <c r="BQ94" s="44" t="n"/>
      <c r="BR94" s="50" t="n"/>
      <c r="BS94" s="89" t="n"/>
      <c r="BT94" s="50">
        <f>IF(OR(K94="",L94="",M94=""),"",IF(ABS(ROUND(((ROUND(N(K94)*100,0))-(0))*(100+N(M94))/100,0)-(ROUND(N(L94)*100,0)))&lt;=0+IF(((ROUND(N(K94)*100,0))-(0))*(100+N(M94))/100&lt;&gt;ROUND(((ROUND(N(K94)*100,0))-(0))*(100+N(M94))/100,0),1,0),"OK","ABWEICHUNG"))</f>
        <v/>
      </c>
    </row>
    <row r="95">
      <c r="A95" s="50" t="n"/>
      <c r="B95" s="44" t="n"/>
      <c r="C95" s="44" t="n"/>
      <c r="D95" s="44" t="n"/>
      <c r="E95" s="44" t="n"/>
      <c r="F95" s="44" t="n"/>
      <c r="G95" s="44" t="n"/>
      <c r="H95" s="44" t="n"/>
      <c r="I95" s="45" t="n"/>
      <c r="J95" s="45" t="n"/>
      <c r="K95" s="85" t="n"/>
      <c r="L95" s="85" t="n"/>
      <c r="M95" s="88" t="n"/>
      <c r="N95" s="88" t="n"/>
      <c r="O95" s="44" t="n"/>
      <c r="P95" s="45" t="n"/>
      <c r="Q95" s="45" t="n"/>
      <c r="R95" s="44" t="n"/>
      <c r="S95" s="45" t="n"/>
      <c r="T95" s="45" t="n"/>
      <c r="U95" s="85" t="n"/>
      <c r="V95" s="44" t="n"/>
      <c r="W95" s="45" t="n"/>
      <c r="X95" s="45" t="n"/>
      <c r="Y95" s="44" t="n"/>
      <c r="Z95" s="85" t="n"/>
      <c r="AA95" s="44" t="n"/>
      <c r="AB95" s="44" t="n"/>
      <c r="AC95" s="44" t="n"/>
      <c r="AD95" s="44" t="n"/>
      <c r="AE95" s="44" t="n"/>
      <c r="AF95" s="88" t="n"/>
      <c r="AG95" s="85" t="n"/>
      <c r="AH95" s="85" t="n"/>
      <c r="AI95" s="85" t="n"/>
      <c r="AJ95" s="85" t="n"/>
      <c r="AK95" s="85" t="n"/>
      <c r="AL95" s="85" t="n"/>
      <c r="AM95" s="85" t="n"/>
      <c r="AN95" s="85" t="n"/>
      <c r="AO95" s="85" t="n"/>
      <c r="AP95" s="85" t="n"/>
      <c r="AQ95" s="85" t="n"/>
      <c r="AR95" s="85" t="n"/>
      <c r="AS95" s="85" t="n"/>
      <c r="AT95" s="85" t="n"/>
      <c r="AU95" s="85" t="n"/>
      <c r="AV95" s="85" t="n"/>
      <c r="AW95" s="44" t="n"/>
      <c r="AX95" s="85" t="n"/>
      <c r="AY95" s="88" t="n"/>
      <c r="AZ95" s="86" t="n"/>
      <c r="BA95" s="44" t="n"/>
      <c r="BB95" s="44" t="n"/>
      <c r="BC95" s="87" t="n"/>
      <c r="BD95" s="44" t="n"/>
      <c r="BE95" s="87" t="n"/>
      <c r="BF95" s="85" t="n"/>
      <c r="BG95" s="44" t="n"/>
      <c r="BH95" s="44" t="n"/>
      <c r="BI95" s="85" t="n"/>
      <c r="BJ95" s="44" t="n"/>
      <c r="BK95" s="45" t="n"/>
      <c r="BL95" s="44" t="n"/>
      <c r="BM95" s="85" t="n"/>
      <c r="BN95" s="44" t="n"/>
      <c r="BO95" s="85" t="n"/>
      <c r="BP95" s="86" t="n"/>
      <c r="BQ95" s="44" t="n"/>
      <c r="BR95" s="50" t="n"/>
      <c r="BS95" s="89" t="n"/>
      <c r="BT95" s="50">
        <f>IF(OR(K95="",L95="",M95=""),"",IF(ABS(ROUND(((ROUND(N(K95)*100,0))-(0))*(100+N(M95))/100,0)-(ROUND(N(L95)*100,0)))&lt;=0+IF(((ROUND(N(K95)*100,0))-(0))*(100+N(M95))/100&lt;&gt;ROUND(((ROUND(N(K95)*100,0))-(0))*(100+N(M95))/100,0),1,0),"OK","ABWEICHUNG"))</f>
        <v/>
      </c>
    </row>
    <row r="96">
      <c r="A96" s="50" t="n"/>
      <c r="B96" s="44" t="n"/>
      <c r="C96" s="44" t="n"/>
      <c r="D96" s="44" t="n"/>
      <c r="E96" s="44" t="n"/>
      <c r="F96" s="44" t="n"/>
      <c r="G96" s="44" t="n"/>
      <c r="H96" s="44" t="n"/>
      <c r="I96" s="45" t="n"/>
      <c r="J96" s="45" t="n"/>
      <c r="K96" s="85" t="n"/>
      <c r="L96" s="85" t="n"/>
      <c r="M96" s="88" t="n"/>
      <c r="N96" s="88" t="n"/>
      <c r="O96" s="44" t="n"/>
      <c r="P96" s="45" t="n"/>
      <c r="Q96" s="45" t="n"/>
      <c r="R96" s="44" t="n"/>
      <c r="S96" s="45" t="n"/>
      <c r="T96" s="45" t="n"/>
      <c r="U96" s="85" t="n"/>
      <c r="V96" s="44" t="n"/>
      <c r="W96" s="45" t="n"/>
      <c r="X96" s="45" t="n"/>
      <c r="Y96" s="44" t="n"/>
      <c r="Z96" s="85" t="n"/>
      <c r="AA96" s="44" t="n"/>
      <c r="AB96" s="44" t="n"/>
      <c r="AC96" s="44" t="n"/>
      <c r="AD96" s="44" t="n"/>
      <c r="AE96" s="44" t="n"/>
      <c r="AF96" s="88" t="n"/>
      <c r="AG96" s="85" t="n"/>
      <c r="AH96" s="85" t="n"/>
      <c r="AI96" s="85" t="n"/>
      <c r="AJ96" s="85" t="n"/>
      <c r="AK96" s="85" t="n"/>
      <c r="AL96" s="85" t="n"/>
      <c r="AM96" s="85" t="n"/>
      <c r="AN96" s="85" t="n"/>
      <c r="AO96" s="85" t="n"/>
      <c r="AP96" s="85" t="n"/>
      <c r="AQ96" s="85" t="n"/>
      <c r="AR96" s="85" t="n"/>
      <c r="AS96" s="85" t="n"/>
      <c r="AT96" s="85" t="n"/>
      <c r="AU96" s="85" t="n"/>
      <c r="AV96" s="85" t="n"/>
      <c r="AW96" s="44" t="n"/>
      <c r="AX96" s="85" t="n"/>
      <c r="AY96" s="88" t="n"/>
      <c r="AZ96" s="86" t="n"/>
      <c r="BA96" s="44" t="n"/>
      <c r="BB96" s="44" t="n"/>
      <c r="BC96" s="87" t="n"/>
      <c r="BD96" s="44" t="n"/>
      <c r="BE96" s="87" t="n"/>
      <c r="BF96" s="85" t="n"/>
      <c r="BG96" s="44" t="n"/>
      <c r="BH96" s="44" t="n"/>
      <c r="BI96" s="85" t="n"/>
      <c r="BJ96" s="44" t="n"/>
      <c r="BK96" s="45" t="n"/>
      <c r="BL96" s="44" t="n"/>
      <c r="BM96" s="85" t="n"/>
      <c r="BN96" s="44" t="n"/>
      <c r="BO96" s="85" t="n"/>
      <c r="BP96" s="86" t="n"/>
      <c r="BQ96" s="44" t="n"/>
      <c r="BR96" s="50" t="n"/>
      <c r="BS96" s="89" t="n"/>
      <c r="BT96" s="50">
        <f>IF(OR(K96="",L96="",M96=""),"",IF(ABS(ROUND(((ROUND(N(K96)*100,0))-(0))*(100+N(M96))/100,0)-(ROUND(N(L96)*100,0)))&lt;=0+IF(((ROUND(N(K96)*100,0))-(0))*(100+N(M96))/100&lt;&gt;ROUND(((ROUND(N(K96)*100,0))-(0))*(100+N(M96))/100,0),1,0),"OK","ABWEICHUNG"))</f>
        <v/>
      </c>
    </row>
    <row r="97">
      <c r="A97" s="50" t="n"/>
      <c r="B97" s="44" t="n"/>
      <c r="C97" s="44" t="n"/>
      <c r="D97" s="44" t="n"/>
      <c r="E97" s="44" t="n"/>
      <c r="F97" s="44" t="n"/>
      <c r="G97" s="44" t="n"/>
      <c r="H97" s="44" t="n"/>
      <c r="I97" s="45" t="n"/>
      <c r="J97" s="45" t="n"/>
      <c r="K97" s="85" t="n"/>
      <c r="L97" s="85" t="n"/>
      <c r="M97" s="88" t="n"/>
      <c r="N97" s="88" t="n"/>
      <c r="O97" s="44" t="n"/>
      <c r="P97" s="45" t="n"/>
      <c r="Q97" s="45" t="n"/>
      <c r="R97" s="44" t="n"/>
      <c r="S97" s="45" t="n"/>
      <c r="T97" s="45" t="n"/>
      <c r="U97" s="85" t="n"/>
      <c r="V97" s="44" t="n"/>
      <c r="W97" s="45" t="n"/>
      <c r="X97" s="45" t="n"/>
      <c r="Y97" s="44" t="n"/>
      <c r="Z97" s="85" t="n"/>
      <c r="AA97" s="44" t="n"/>
      <c r="AB97" s="44" t="n"/>
      <c r="AC97" s="44" t="n"/>
      <c r="AD97" s="44" t="n"/>
      <c r="AE97" s="44" t="n"/>
      <c r="AF97" s="88" t="n"/>
      <c r="AG97" s="85" t="n"/>
      <c r="AH97" s="85" t="n"/>
      <c r="AI97" s="85" t="n"/>
      <c r="AJ97" s="85" t="n"/>
      <c r="AK97" s="85" t="n"/>
      <c r="AL97" s="85" t="n"/>
      <c r="AM97" s="85" t="n"/>
      <c r="AN97" s="85" t="n"/>
      <c r="AO97" s="85" t="n"/>
      <c r="AP97" s="85" t="n"/>
      <c r="AQ97" s="85" t="n"/>
      <c r="AR97" s="85" t="n"/>
      <c r="AS97" s="85" t="n"/>
      <c r="AT97" s="85" t="n"/>
      <c r="AU97" s="85" t="n"/>
      <c r="AV97" s="85" t="n"/>
      <c r="AW97" s="44" t="n"/>
      <c r="AX97" s="85" t="n"/>
      <c r="AY97" s="88" t="n"/>
      <c r="AZ97" s="86" t="n"/>
      <c r="BA97" s="44" t="n"/>
      <c r="BB97" s="44" t="n"/>
      <c r="BC97" s="87" t="n"/>
      <c r="BD97" s="44" t="n"/>
      <c r="BE97" s="87" t="n"/>
      <c r="BF97" s="85" t="n"/>
      <c r="BG97" s="44" t="n"/>
      <c r="BH97" s="44" t="n"/>
      <c r="BI97" s="85" t="n"/>
      <c r="BJ97" s="44" t="n"/>
      <c r="BK97" s="45" t="n"/>
      <c r="BL97" s="44" t="n"/>
      <c r="BM97" s="85" t="n"/>
      <c r="BN97" s="44" t="n"/>
      <c r="BO97" s="85" t="n"/>
      <c r="BP97" s="86" t="n"/>
      <c r="BQ97" s="44" t="n"/>
      <c r="BR97" s="50" t="n"/>
      <c r="BS97" s="89" t="n"/>
      <c r="BT97" s="50">
        <f>IF(OR(K97="",L97="",M97=""),"",IF(ABS(ROUND(((ROUND(N(K97)*100,0))-(0))*(100+N(M97))/100,0)-(ROUND(N(L97)*100,0)))&lt;=0+IF(((ROUND(N(K97)*100,0))-(0))*(100+N(M97))/100&lt;&gt;ROUND(((ROUND(N(K97)*100,0))-(0))*(100+N(M97))/100,0),1,0),"OK","ABWEICHUNG"))</f>
        <v/>
      </c>
    </row>
    <row r="98">
      <c r="A98" s="50" t="n"/>
      <c r="B98" s="44" t="n"/>
      <c r="C98" s="44" t="n"/>
      <c r="D98" s="44" t="n"/>
      <c r="E98" s="44" t="n"/>
      <c r="F98" s="44" t="n"/>
      <c r="G98" s="44" t="n"/>
      <c r="H98" s="44" t="n"/>
      <c r="I98" s="45" t="n"/>
      <c r="J98" s="45" t="n"/>
      <c r="K98" s="85" t="n"/>
      <c r="L98" s="85" t="n"/>
      <c r="M98" s="88" t="n"/>
      <c r="N98" s="88" t="n"/>
      <c r="O98" s="44" t="n"/>
      <c r="P98" s="45" t="n"/>
      <c r="Q98" s="45" t="n"/>
      <c r="R98" s="44" t="n"/>
      <c r="S98" s="45" t="n"/>
      <c r="T98" s="45" t="n"/>
      <c r="U98" s="85" t="n"/>
      <c r="V98" s="44" t="n"/>
      <c r="W98" s="45" t="n"/>
      <c r="X98" s="45" t="n"/>
      <c r="Y98" s="44" t="n"/>
      <c r="Z98" s="85" t="n"/>
      <c r="AA98" s="44" t="n"/>
      <c r="AB98" s="44" t="n"/>
      <c r="AC98" s="44" t="n"/>
      <c r="AD98" s="44" t="n"/>
      <c r="AE98" s="44" t="n"/>
      <c r="AF98" s="88" t="n"/>
      <c r="AG98" s="85" t="n"/>
      <c r="AH98" s="85" t="n"/>
      <c r="AI98" s="85" t="n"/>
      <c r="AJ98" s="85" t="n"/>
      <c r="AK98" s="85" t="n"/>
      <c r="AL98" s="85" t="n"/>
      <c r="AM98" s="85" t="n"/>
      <c r="AN98" s="85" t="n"/>
      <c r="AO98" s="85" t="n"/>
      <c r="AP98" s="85" t="n"/>
      <c r="AQ98" s="85" t="n"/>
      <c r="AR98" s="85" t="n"/>
      <c r="AS98" s="85" t="n"/>
      <c r="AT98" s="85" t="n"/>
      <c r="AU98" s="85" t="n"/>
      <c r="AV98" s="85" t="n"/>
      <c r="AW98" s="44" t="n"/>
      <c r="AX98" s="85" t="n"/>
      <c r="AY98" s="88" t="n"/>
      <c r="AZ98" s="86" t="n"/>
      <c r="BA98" s="44" t="n"/>
      <c r="BB98" s="44" t="n"/>
      <c r="BC98" s="87" t="n"/>
      <c r="BD98" s="44" t="n"/>
      <c r="BE98" s="87" t="n"/>
      <c r="BF98" s="85" t="n"/>
      <c r="BG98" s="44" t="n"/>
      <c r="BH98" s="44" t="n"/>
      <c r="BI98" s="85" t="n"/>
      <c r="BJ98" s="44" t="n"/>
      <c r="BK98" s="45" t="n"/>
      <c r="BL98" s="44" t="n"/>
      <c r="BM98" s="85" t="n"/>
      <c r="BN98" s="44" t="n"/>
      <c r="BO98" s="85" t="n"/>
      <c r="BP98" s="86" t="n"/>
      <c r="BQ98" s="44" t="n"/>
      <c r="BR98" s="50" t="n"/>
      <c r="BS98" s="89" t="n"/>
      <c r="BT98" s="50">
        <f>IF(OR(K98="",L98="",M98=""),"",IF(ABS(ROUND(((ROUND(N(K98)*100,0))-(0))*(100+N(M98))/100,0)-(ROUND(N(L98)*100,0)))&lt;=0+IF(((ROUND(N(K98)*100,0))-(0))*(100+N(M98))/100&lt;&gt;ROUND(((ROUND(N(K98)*100,0))-(0))*(100+N(M98))/100,0),1,0),"OK","ABWEICHUNG"))</f>
        <v/>
      </c>
    </row>
    <row r="99">
      <c r="A99" s="50" t="n"/>
      <c r="B99" s="44" t="n"/>
      <c r="C99" s="44" t="n"/>
      <c r="D99" s="44" t="n"/>
      <c r="E99" s="44" t="n"/>
      <c r="F99" s="44" t="n"/>
      <c r="G99" s="44" t="n"/>
      <c r="H99" s="44" t="n"/>
      <c r="I99" s="45" t="n"/>
      <c r="J99" s="45" t="n"/>
      <c r="K99" s="85" t="n"/>
      <c r="L99" s="85" t="n"/>
      <c r="M99" s="88" t="n"/>
      <c r="N99" s="88" t="n"/>
      <c r="O99" s="44" t="n"/>
      <c r="P99" s="45" t="n"/>
      <c r="Q99" s="45" t="n"/>
      <c r="R99" s="44" t="n"/>
      <c r="S99" s="45" t="n"/>
      <c r="T99" s="45" t="n"/>
      <c r="U99" s="85" t="n"/>
      <c r="V99" s="44" t="n"/>
      <c r="W99" s="45" t="n"/>
      <c r="X99" s="45" t="n"/>
      <c r="Y99" s="44" t="n"/>
      <c r="Z99" s="85" t="n"/>
      <c r="AA99" s="44" t="n"/>
      <c r="AB99" s="44" t="n"/>
      <c r="AC99" s="44" t="n"/>
      <c r="AD99" s="44" t="n"/>
      <c r="AE99" s="44" t="n"/>
      <c r="AF99" s="88" t="n"/>
      <c r="AG99" s="85" t="n"/>
      <c r="AH99" s="85" t="n"/>
      <c r="AI99" s="85" t="n"/>
      <c r="AJ99" s="85" t="n"/>
      <c r="AK99" s="85" t="n"/>
      <c r="AL99" s="85" t="n"/>
      <c r="AM99" s="85" t="n"/>
      <c r="AN99" s="85" t="n"/>
      <c r="AO99" s="85" t="n"/>
      <c r="AP99" s="85" t="n"/>
      <c r="AQ99" s="85" t="n"/>
      <c r="AR99" s="85" t="n"/>
      <c r="AS99" s="85" t="n"/>
      <c r="AT99" s="85" t="n"/>
      <c r="AU99" s="85" t="n"/>
      <c r="AV99" s="85" t="n"/>
      <c r="AW99" s="44" t="n"/>
      <c r="AX99" s="85" t="n"/>
      <c r="AY99" s="88" t="n"/>
      <c r="AZ99" s="86" t="n"/>
      <c r="BA99" s="44" t="n"/>
      <c r="BB99" s="44" t="n"/>
      <c r="BC99" s="87" t="n"/>
      <c r="BD99" s="44" t="n"/>
      <c r="BE99" s="87" t="n"/>
      <c r="BF99" s="85" t="n"/>
      <c r="BG99" s="44" t="n"/>
      <c r="BH99" s="44" t="n"/>
      <c r="BI99" s="85" t="n"/>
      <c r="BJ99" s="44" t="n"/>
      <c r="BK99" s="45" t="n"/>
      <c r="BL99" s="44" t="n"/>
      <c r="BM99" s="85" t="n"/>
      <c r="BN99" s="44" t="n"/>
      <c r="BO99" s="85" t="n"/>
      <c r="BP99" s="86" t="n"/>
      <c r="BQ99" s="44" t="n"/>
      <c r="BR99" s="50" t="n"/>
      <c r="BS99" s="89" t="n"/>
      <c r="BT99" s="50">
        <f>IF(OR(K99="",L99="",M99=""),"",IF(ABS(ROUND(((ROUND(N(K99)*100,0))-(0))*(100+N(M99))/100,0)-(ROUND(N(L99)*100,0)))&lt;=0+IF(((ROUND(N(K99)*100,0))-(0))*(100+N(M99))/100&lt;&gt;ROUND(((ROUND(N(K99)*100,0))-(0))*(100+N(M99))/100,0),1,0),"OK","ABWEICHUNG"))</f>
        <v/>
      </c>
    </row>
    <row r="100">
      <c r="A100" s="50" t="n"/>
      <c r="B100" s="44" t="n"/>
      <c r="C100" s="44" t="n"/>
      <c r="D100" s="44" t="n"/>
      <c r="E100" s="44" t="n"/>
      <c r="F100" s="44" t="n"/>
      <c r="G100" s="44" t="n"/>
      <c r="H100" s="44" t="n"/>
      <c r="I100" s="45" t="n"/>
      <c r="J100" s="45" t="n"/>
      <c r="K100" s="85" t="n"/>
      <c r="L100" s="85" t="n"/>
      <c r="M100" s="88" t="n"/>
      <c r="N100" s="88" t="n"/>
      <c r="O100" s="44" t="n"/>
      <c r="P100" s="45" t="n"/>
      <c r="Q100" s="45" t="n"/>
      <c r="R100" s="44" t="n"/>
      <c r="S100" s="45" t="n"/>
      <c r="T100" s="45" t="n"/>
      <c r="U100" s="85" t="n"/>
      <c r="V100" s="44" t="n"/>
      <c r="W100" s="45" t="n"/>
      <c r="X100" s="45" t="n"/>
      <c r="Y100" s="44" t="n"/>
      <c r="Z100" s="85" t="n"/>
      <c r="AA100" s="44" t="n"/>
      <c r="AB100" s="44" t="n"/>
      <c r="AC100" s="44" t="n"/>
      <c r="AD100" s="44" t="n"/>
      <c r="AE100" s="44" t="n"/>
      <c r="AF100" s="88" t="n"/>
      <c r="AG100" s="85" t="n"/>
      <c r="AH100" s="85" t="n"/>
      <c r="AI100" s="85" t="n"/>
      <c r="AJ100" s="85" t="n"/>
      <c r="AK100" s="85" t="n"/>
      <c r="AL100" s="85" t="n"/>
      <c r="AM100" s="85" t="n"/>
      <c r="AN100" s="85" t="n"/>
      <c r="AO100" s="85" t="n"/>
      <c r="AP100" s="85" t="n"/>
      <c r="AQ100" s="85" t="n"/>
      <c r="AR100" s="85" t="n"/>
      <c r="AS100" s="85" t="n"/>
      <c r="AT100" s="85" t="n"/>
      <c r="AU100" s="85" t="n"/>
      <c r="AV100" s="85" t="n"/>
      <c r="AW100" s="44" t="n"/>
      <c r="AX100" s="85" t="n"/>
      <c r="AY100" s="88" t="n"/>
      <c r="AZ100" s="86" t="n"/>
      <c r="BA100" s="44" t="n"/>
      <c r="BB100" s="44" t="n"/>
      <c r="BC100" s="87" t="n"/>
      <c r="BD100" s="44" t="n"/>
      <c r="BE100" s="87" t="n"/>
      <c r="BF100" s="85" t="n"/>
      <c r="BG100" s="44" t="n"/>
      <c r="BH100" s="44" t="n"/>
      <c r="BI100" s="85" t="n"/>
      <c r="BJ100" s="44" t="n"/>
      <c r="BK100" s="45" t="n"/>
      <c r="BL100" s="44" t="n"/>
      <c r="BM100" s="85" t="n"/>
      <c r="BN100" s="44" t="n"/>
      <c r="BO100" s="85" t="n"/>
      <c r="BP100" s="86" t="n"/>
      <c r="BQ100" s="44" t="n"/>
      <c r="BR100" s="50" t="n"/>
      <c r="BS100" s="89" t="n"/>
      <c r="BT100" s="50">
        <f>IF(OR(K100="",L100="",M100=""),"",IF(ABS(ROUND(((ROUND(N(K100)*100,0))-(0))*(100+N(M100))/100,0)-(ROUND(N(L100)*100,0)))&lt;=0+IF(((ROUND(N(K100)*100,0))-(0))*(100+N(M100))/100&lt;&gt;ROUND(((ROUND(N(K100)*100,0))-(0))*(100+N(M100))/100,0),1,0),"OK","ABWEICHUNG"))</f>
        <v/>
      </c>
    </row>
    <row r="101">
      <c r="A101" s="50" t="n"/>
      <c r="B101" s="44" t="n"/>
      <c r="C101" s="44" t="n"/>
      <c r="D101" s="44" t="n"/>
      <c r="E101" s="44" t="n"/>
      <c r="F101" s="44" t="n"/>
      <c r="G101" s="44" t="n"/>
      <c r="H101" s="44" t="n"/>
      <c r="I101" s="45" t="n"/>
      <c r="J101" s="45" t="n"/>
      <c r="K101" s="85" t="n"/>
      <c r="L101" s="85" t="n"/>
      <c r="M101" s="88" t="n"/>
      <c r="N101" s="88" t="n"/>
      <c r="O101" s="44" t="n"/>
      <c r="P101" s="45" t="n"/>
      <c r="Q101" s="45" t="n"/>
      <c r="R101" s="44" t="n"/>
      <c r="S101" s="45" t="n"/>
      <c r="T101" s="45" t="n"/>
      <c r="U101" s="85" t="n"/>
      <c r="V101" s="44" t="n"/>
      <c r="W101" s="45" t="n"/>
      <c r="X101" s="45" t="n"/>
      <c r="Y101" s="44" t="n"/>
      <c r="Z101" s="85" t="n"/>
      <c r="AA101" s="44" t="n"/>
      <c r="AB101" s="44" t="n"/>
      <c r="AC101" s="44" t="n"/>
      <c r="AD101" s="44" t="n"/>
      <c r="AE101" s="44" t="n"/>
      <c r="AF101" s="88" t="n"/>
      <c r="AG101" s="85" t="n"/>
      <c r="AH101" s="85" t="n"/>
      <c r="AI101" s="85" t="n"/>
      <c r="AJ101" s="85" t="n"/>
      <c r="AK101" s="85" t="n"/>
      <c r="AL101" s="85" t="n"/>
      <c r="AM101" s="85" t="n"/>
      <c r="AN101" s="85" t="n"/>
      <c r="AO101" s="85" t="n"/>
      <c r="AP101" s="85" t="n"/>
      <c r="AQ101" s="85" t="n"/>
      <c r="AR101" s="85" t="n"/>
      <c r="AS101" s="85" t="n"/>
      <c r="AT101" s="85" t="n"/>
      <c r="AU101" s="85" t="n"/>
      <c r="AV101" s="85" t="n"/>
      <c r="AW101" s="44" t="n"/>
      <c r="AX101" s="85" t="n"/>
      <c r="AY101" s="88" t="n"/>
      <c r="AZ101" s="86" t="n"/>
      <c r="BA101" s="44" t="n"/>
      <c r="BB101" s="44" t="n"/>
      <c r="BC101" s="87" t="n"/>
      <c r="BD101" s="44" t="n"/>
      <c r="BE101" s="87" t="n"/>
      <c r="BF101" s="85" t="n"/>
      <c r="BG101" s="44" t="n"/>
      <c r="BH101" s="44" t="n"/>
      <c r="BI101" s="85" t="n"/>
      <c r="BJ101" s="44" t="n"/>
      <c r="BK101" s="45" t="n"/>
      <c r="BL101" s="44" t="n"/>
      <c r="BM101" s="85" t="n"/>
      <c r="BN101" s="44" t="n"/>
      <c r="BO101" s="85" t="n"/>
      <c r="BP101" s="86" t="n"/>
      <c r="BQ101" s="44" t="n"/>
      <c r="BR101" s="50" t="n"/>
      <c r="BS101" s="89" t="n"/>
      <c r="BT101" s="50">
        <f>IF(OR(K101="",L101="",M101=""),"",IF(ABS(ROUND(((ROUND(N(K101)*100,0))-(0))*(100+N(M101))/100,0)-(ROUND(N(L101)*100,0)))&lt;=0+IF(((ROUND(N(K101)*100,0))-(0))*(100+N(M101))/100&lt;&gt;ROUND(((ROUND(N(K101)*100,0))-(0))*(100+N(M101))/100,0),1,0),"OK","ABWEICHUNG"))</f>
        <v/>
      </c>
    </row>
    <row r="102">
      <c r="A102" s="50" t="n"/>
      <c r="B102" s="44" t="n"/>
      <c r="C102" s="44" t="n"/>
      <c r="D102" s="44" t="n"/>
      <c r="E102" s="44" t="n"/>
      <c r="F102" s="44" t="n"/>
      <c r="G102" s="44" t="n"/>
      <c r="H102" s="44" t="n"/>
      <c r="I102" s="45" t="n"/>
      <c r="J102" s="45" t="n"/>
      <c r="K102" s="85" t="n"/>
      <c r="L102" s="85" t="n"/>
      <c r="M102" s="88" t="n"/>
      <c r="N102" s="88" t="n"/>
      <c r="O102" s="44" t="n"/>
      <c r="P102" s="45" t="n"/>
      <c r="Q102" s="45" t="n"/>
      <c r="R102" s="44" t="n"/>
      <c r="S102" s="45" t="n"/>
      <c r="T102" s="45" t="n"/>
      <c r="U102" s="85" t="n"/>
      <c r="V102" s="44" t="n"/>
      <c r="W102" s="45" t="n"/>
      <c r="X102" s="45" t="n"/>
      <c r="Y102" s="44" t="n"/>
      <c r="Z102" s="85" t="n"/>
      <c r="AA102" s="44" t="n"/>
      <c r="AB102" s="44" t="n"/>
      <c r="AC102" s="44" t="n"/>
      <c r="AD102" s="44" t="n"/>
      <c r="AE102" s="44" t="n"/>
      <c r="AF102" s="88" t="n"/>
      <c r="AG102" s="85" t="n"/>
      <c r="AH102" s="85" t="n"/>
      <c r="AI102" s="85" t="n"/>
      <c r="AJ102" s="85" t="n"/>
      <c r="AK102" s="85" t="n"/>
      <c r="AL102" s="85" t="n"/>
      <c r="AM102" s="85" t="n"/>
      <c r="AN102" s="85" t="n"/>
      <c r="AO102" s="85" t="n"/>
      <c r="AP102" s="85" t="n"/>
      <c r="AQ102" s="85" t="n"/>
      <c r="AR102" s="85" t="n"/>
      <c r="AS102" s="85" t="n"/>
      <c r="AT102" s="85" t="n"/>
      <c r="AU102" s="85" t="n"/>
      <c r="AV102" s="85" t="n"/>
      <c r="AW102" s="44" t="n"/>
      <c r="AX102" s="85" t="n"/>
      <c r="AY102" s="88" t="n"/>
      <c r="AZ102" s="86" t="n"/>
      <c r="BA102" s="44" t="n"/>
      <c r="BB102" s="44" t="n"/>
      <c r="BC102" s="87" t="n"/>
      <c r="BD102" s="44" t="n"/>
      <c r="BE102" s="87" t="n"/>
      <c r="BF102" s="85" t="n"/>
      <c r="BG102" s="44" t="n"/>
      <c r="BH102" s="44" t="n"/>
      <c r="BI102" s="85" t="n"/>
      <c r="BJ102" s="44" t="n"/>
      <c r="BK102" s="45" t="n"/>
      <c r="BL102" s="44" t="n"/>
      <c r="BM102" s="85" t="n"/>
      <c r="BN102" s="44" t="n"/>
      <c r="BO102" s="85" t="n"/>
      <c r="BP102" s="86" t="n"/>
      <c r="BQ102" s="44" t="n"/>
      <c r="BR102" s="50" t="n"/>
      <c r="BS102" s="89" t="n"/>
      <c r="BT102" s="50">
        <f>IF(OR(K102="",L102="",M102=""),"",IF(ABS(ROUND(((ROUND(N(K102)*100,0))-(0))*(100+N(M102))/100,0)-(ROUND(N(L102)*100,0)))&lt;=0+IF(((ROUND(N(K102)*100,0))-(0))*(100+N(M102))/100&lt;&gt;ROUND(((ROUND(N(K102)*100,0))-(0))*(100+N(M102))/100,0),1,0),"OK","ABWEICHUNG"))</f>
        <v/>
      </c>
    </row>
    <row r="103">
      <c r="A103" s="50" t="n"/>
      <c r="B103" s="44" t="n"/>
      <c r="C103" s="44" t="n"/>
      <c r="D103" s="44" t="n"/>
      <c r="E103" s="44" t="n"/>
      <c r="F103" s="44" t="n"/>
      <c r="G103" s="44" t="n"/>
      <c r="H103" s="44" t="n"/>
      <c r="I103" s="45" t="n"/>
      <c r="J103" s="45" t="n"/>
      <c r="K103" s="85" t="n"/>
      <c r="L103" s="85" t="n"/>
      <c r="M103" s="88" t="n"/>
      <c r="N103" s="88" t="n"/>
      <c r="O103" s="44" t="n"/>
      <c r="P103" s="45" t="n"/>
      <c r="Q103" s="45" t="n"/>
      <c r="R103" s="44" t="n"/>
      <c r="S103" s="45" t="n"/>
      <c r="T103" s="45" t="n"/>
      <c r="U103" s="85" t="n"/>
      <c r="V103" s="44" t="n"/>
      <c r="W103" s="45" t="n"/>
      <c r="X103" s="45" t="n"/>
      <c r="Y103" s="44" t="n"/>
      <c r="Z103" s="85" t="n"/>
      <c r="AA103" s="44" t="n"/>
      <c r="AB103" s="44" t="n"/>
      <c r="AC103" s="44" t="n"/>
      <c r="AD103" s="44" t="n"/>
      <c r="AE103" s="44" t="n"/>
      <c r="AF103" s="88" t="n"/>
      <c r="AG103" s="85" t="n"/>
      <c r="AH103" s="85" t="n"/>
      <c r="AI103" s="85" t="n"/>
      <c r="AJ103" s="85" t="n"/>
      <c r="AK103" s="85" t="n"/>
      <c r="AL103" s="85" t="n"/>
      <c r="AM103" s="85" t="n"/>
      <c r="AN103" s="85" t="n"/>
      <c r="AO103" s="85" t="n"/>
      <c r="AP103" s="85" t="n"/>
      <c r="AQ103" s="85" t="n"/>
      <c r="AR103" s="85" t="n"/>
      <c r="AS103" s="85" t="n"/>
      <c r="AT103" s="85" t="n"/>
      <c r="AU103" s="85" t="n"/>
      <c r="AV103" s="85" t="n"/>
      <c r="AW103" s="44" t="n"/>
      <c r="AX103" s="85" t="n"/>
      <c r="AY103" s="88" t="n"/>
      <c r="AZ103" s="86" t="n"/>
      <c r="BA103" s="44" t="n"/>
      <c r="BB103" s="44" t="n"/>
      <c r="BC103" s="87" t="n"/>
      <c r="BD103" s="44" t="n"/>
      <c r="BE103" s="87" t="n"/>
      <c r="BF103" s="85" t="n"/>
      <c r="BG103" s="44" t="n"/>
      <c r="BH103" s="44" t="n"/>
      <c r="BI103" s="85" t="n"/>
      <c r="BJ103" s="44" t="n"/>
      <c r="BK103" s="45" t="n"/>
      <c r="BL103" s="44" t="n"/>
      <c r="BM103" s="85" t="n"/>
      <c r="BN103" s="44" t="n"/>
      <c r="BO103" s="85" t="n"/>
      <c r="BP103" s="86" t="n"/>
      <c r="BQ103" s="44" t="n"/>
      <c r="BR103" s="50" t="n"/>
      <c r="BS103" s="89" t="n"/>
      <c r="BT103" s="50">
        <f>IF(OR(K103="",L103="",M103=""),"",IF(ABS(ROUND(((ROUND(N(K103)*100,0))-(0))*(100+N(M103))/100,0)-(ROUND(N(L103)*100,0)))&lt;=0+IF(((ROUND(N(K103)*100,0))-(0))*(100+N(M103))/100&lt;&gt;ROUND(((ROUND(N(K103)*100,0))-(0))*(100+N(M103))/100,0),1,0),"OK","ABWEICHUNG"))</f>
        <v/>
      </c>
    </row>
    <row r="104">
      <c r="A104" s="50" t="n"/>
      <c r="B104" s="44" t="n"/>
      <c r="C104" s="44" t="n"/>
      <c r="D104" s="44" t="n"/>
      <c r="E104" s="44" t="n"/>
      <c r="F104" s="44" t="n"/>
      <c r="G104" s="44" t="n"/>
      <c r="H104" s="44" t="n"/>
      <c r="I104" s="45" t="n"/>
      <c r="J104" s="45" t="n"/>
      <c r="K104" s="85" t="n"/>
      <c r="L104" s="85" t="n"/>
      <c r="M104" s="88" t="n"/>
      <c r="N104" s="88" t="n"/>
      <c r="O104" s="44" t="n"/>
      <c r="P104" s="45" t="n"/>
      <c r="Q104" s="45" t="n"/>
      <c r="R104" s="44" t="n"/>
      <c r="S104" s="45" t="n"/>
      <c r="T104" s="45" t="n"/>
      <c r="U104" s="85" t="n"/>
      <c r="V104" s="44" t="n"/>
      <c r="W104" s="45" t="n"/>
      <c r="X104" s="45" t="n"/>
      <c r="Y104" s="44" t="n"/>
      <c r="Z104" s="85" t="n"/>
      <c r="AA104" s="44" t="n"/>
      <c r="AB104" s="44" t="n"/>
      <c r="AC104" s="44" t="n"/>
      <c r="AD104" s="44" t="n"/>
      <c r="AE104" s="44" t="n"/>
      <c r="AF104" s="88" t="n"/>
      <c r="AG104" s="85" t="n"/>
      <c r="AH104" s="85" t="n"/>
      <c r="AI104" s="85" t="n"/>
      <c r="AJ104" s="85" t="n"/>
      <c r="AK104" s="85" t="n"/>
      <c r="AL104" s="85" t="n"/>
      <c r="AM104" s="85" t="n"/>
      <c r="AN104" s="85" t="n"/>
      <c r="AO104" s="85" t="n"/>
      <c r="AP104" s="85" t="n"/>
      <c r="AQ104" s="85" t="n"/>
      <c r="AR104" s="85" t="n"/>
      <c r="AS104" s="85" t="n"/>
      <c r="AT104" s="85" t="n"/>
      <c r="AU104" s="85" t="n"/>
      <c r="AV104" s="85" t="n"/>
      <c r="AW104" s="44" t="n"/>
      <c r="AX104" s="85" t="n"/>
      <c r="AY104" s="88" t="n"/>
      <c r="AZ104" s="86" t="n"/>
      <c r="BA104" s="44" t="n"/>
      <c r="BB104" s="44" t="n"/>
      <c r="BC104" s="87" t="n"/>
      <c r="BD104" s="44" t="n"/>
      <c r="BE104" s="87" t="n"/>
      <c r="BF104" s="85" t="n"/>
      <c r="BG104" s="44" t="n"/>
      <c r="BH104" s="44" t="n"/>
      <c r="BI104" s="85" t="n"/>
      <c r="BJ104" s="44" t="n"/>
      <c r="BK104" s="45" t="n"/>
      <c r="BL104" s="44" t="n"/>
      <c r="BM104" s="85" t="n"/>
      <c r="BN104" s="44" t="n"/>
      <c r="BO104" s="85" t="n"/>
      <c r="BP104" s="86" t="n"/>
      <c r="BQ104" s="44" t="n"/>
      <c r="BR104" s="50" t="n"/>
      <c r="BS104" s="89" t="n"/>
      <c r="BT104" s="50">
        <f>IF(OR(K104="",L104="",M104=""),"",IF(ABS(ROUND(((ROUND(N(K104)*100,0))-(0))*(100+N(M104))/100,0)-(ROUND(N(L104)*100,0)))&lt;=0+IF(((ROUND(N(K104)*100,0))-(0))*(100+N(M104))/100&lt;&gt;ROUND(((ROUND(N(K104)*100,0))-(0))*(100+N(M104))/100,0),1,0),"OK","ABWEICHUNG"))</f>
        <v/>
      </c>
    </row>
    <row r="105">
      <c r="A105" s="50" t="n"/>
      <c r="B105" s="44" t="n"/>
      <c r="C105" s="44" t="n"/>
      <c r="D105" s="44" t="n"/>
      <c r="E105" s="44" t="n"/>
      <c r="F105" s="44" t="n"/>
      <c r="G105" s="44" t="n"/>
      <c r="H105" s="44" t="n"/>
      <c r="I105" s="45" t="n"/>
      <c r="J105" s="45" t="n"/>
      <c r="K105" s="85" t="n"/>
      <c r="L105" s="85" t="n"/>
      <c r="M105" s="88" t="n"/>
      <c r="N105" s="88" t="n"/>
      <c r="O105" s="44" t="n"/>
      <c r="P105" s="45" t="n"/>
      <c r="Q105" s="45" t="n"/>
      <c r="R105" s="44" t="n"/>
      <c r="S105" s="45" t="n"/>
      <c r="T105" s="45" t="n"/>
      <c r="U105" s="85" t="n"/>
      <c r="V105" s="44" t="n"/>
      <c r="W105" s="45" t="n"/>
      <c r="X105" s="45" t="n"/>
      <c r="Y105" s="44" t="n"/>
      <c r="Z105" s="85" t="n"/>
      <c r="AA105" s="44" t="n"/>
      <c r="AB105" s="44" t="n"/>
      <c r="AC105" s="44" t="n"/>
      <c r="AD105" s="44" t="n"/>
      <c r="AE105" s="44" t="n"/>
      <c r="AF105" s="88" t="n"/>
      <c r="AG105" s="85" t="n"/>
      <c r="AH105" s="85" t="n"/>
      <c r="AI105" s="85" t="n"/>
      <c r="AJ105" s="85" t="n"/>
      <c r="AK105" s="85" t="n"/>
      <c r="AL105" s="85" t="n"/>
      <c r="AM105" s="85" t="n"/>
      <c r="AN105" s="85" t="n"/>
      <c r="AO105" s="85" t="n"/>
      <c r="AP105" s="85" t="n"/>
      <c r="AQ105" s="85" t="n"/>
      <c r="AR105" s="85" t="n"/>
      <c r="AS105" s="85" t="n"/>
      <c r="AT105" s="85" t="n"/>
      <c r="AU105" s="85" t="n"/>
      <c r="AV105" s="85" t="n"/>
      <c r="AW105" s="44" t="n"/>
      <c r="AX105" s="85" t="n"/>
      <c r="AY105" s="88" t="n"/>
      <c r="AZ105" s="86" t="n"/>
      <c r="BA105" s="44" t="n"/>
      <c r="BB105" s="44" t="n"/>
      <c r="BC105" s="87" t="n"/>
      <c r="BD105" s="44" t="n"/>
      <c r="BE105" s="87" t="n"/>
      <c r="BF105" s="85" t="n"/>
      <c r="BG105" s="44" t="n"/>
      <c r="BH105" s="44" t="n"/>
      <c r="BI105" s="85" t="n"/>
      <c r="BJ105" s="44" t="n"/>
      <c r="BK105" s="45" t="n"/>
      <c r="BL105" s="44" t="n"/>
      <c r="BM105" s="85" t="n"/>
      <c r="BN105" s="44" t="n"/>
      <c r="BO105" s="85" t="n"/>
      <c r="BP105" s="86" t="n"/>
      <c r="BQ105" s="44" t="n"/>
      <c r="BR105" s="50" t="n"/>
      <c r="BS105" s="89" t="n"/>
      <c r="BT105" s="50">
        <f>IF(OR(K105="",L105="",M105=""),"",IF(ABS(ROUND(((ROUND(N(K105)*100,0))-(0))*(100+N(M105))/100,0)-(ROUND(N(L105)*100,0)))&lt;=0+IF(((ROUND(N(K105)*100,0))-(0))*(100+N(M105))/100&lt;&gt;ROUND(((ROUND(N(K105)*100,0))-(0))*(100+N(M105))/100,0),1,0),"OK","ABWEICHUNG"))</f>
        <v/>
      </c>
    </row>
    <row r="106">
      <c r="A106" s="50" t="n"/>
      <c r="B106" s="44" t="n"/>
      <c r="C106" s="44" t="n"/>
      <c r="D106" s="44" t="n"/>
      <c r="E106" s="44" t="n"/>
      <c r="F106" s="44" t="n"/>
      <c r="G106" s="44" t="n"/>
      <c r="H106" s="44" t="n"/>
      <c r="I106" s="45" t="n"/>
      <c r="J106" s="45" t="n"/>
      <c r="K106" s="85" t="n"/>
      <c r="L106" s="85" t="n"/>
      <c r="M106" s="88" t="n"/>
      <c r="N106" s="88" t="n"/>
      <c r="O106" s="44" t="n"/>
      <c r="P106" s="45" t="n"/>
      <c r="Q106" s="45" t="n"/>
      <c r="R106" s="44" t="n"/>
      <c r="S106" s="45" t="n"/>
      <c r="T106" s="45" t="n"/>
      <c r="U106" s="85" t="n"/>
      <c r="V106" s="44" t="n"/>
      <c r="W106" s="45" t="n"/>
      <c r="X106" s="45" t="n"/>
      <c r="Y106" s="44" t="n"/>
      <c r="Z106" s="85" t="n"/>
      <c r="AA106" s="44" t="n"/>
      <c r="AB106" s="44" t="n"/>
      <c r="AC106" s="44" t="n"/>
      <c r="AD106" s="44" t="n"/>
      <c r="AE106" s="44" t="n"/>
      <c r="AF106" s="88" t="n"/>
      <c r="AG106" s="85" t="n"/>
      <c r="AH106" s="85" t="n"/>
      <c r="AI106" s="85" t="n"/>
      <c r="AJ106" s="85" t="n"/>
      <c r="AK106" s="85" t="n"/>
      <c r="AL106" s="85" t="n"/>
      <c r="AM106" s="85" t="n"/>
      <c r="AN106" s="85" t="n"/>
      <c r="AO106" s="85" t="n"/>
      <c r="AP106" s="85" t="n"/>
      <c r="AQ106" s="85" t="n"/>
      <c r="AR106" s="85" t="n"/>
      <c r="AS106" s="85" t="n"/>
      <c r="AT106" s="85" t="n"/>
      <c r="AU106" s="85" t="n"/>
      <c r="AV106" s="85" t="n"/>
      <c r="AW106" s="44" t="n"/>
      <c r="AX106" s="85" t="n"/>
      <c r="AY106" s="88" t="n"/>
      <c r="AZ106" s="86" t="n"/>
      <c r="BA106" s="44" t="n"/>
      <c r="BB106" s="44" t="n"/>
      <c r="BC106" s="87" t="n"/>
      <c r="BD106" s="44" t="n"/>
      <c r="BE106" s="87" t="n"/>
      <c r="BF106" s="85" t="n"/>
      <c r="BG106" s="44" t="n"/>
      <c r="BH106" s="44" t="n"/>
      <c r="BI106" s="85" t="n"/>
      <c r="BJ106" s="44" t="n"/>
      <c r="BK106" s="45" t="n"/>
      <c r="BL106" s="44" t="n"/>
      <c r="BM106" s="85" t="n"/>
      <c r="BN106" s="44" t="n"/>
      <c r="BO106" s="85" t="n"/>
      <c r="BP106" s="86" t="n"/>
      <c r="BQ106" s="44" t="n"/>
      <c r="BR106" s="50" t="n"/>
      <c r="BS106" s="89" t="n"/>
      <c r="BT106" s="50">
        <f>IF(OR(K106="",L106="",M106=""),"",IF(ABS(ROUND(((ROUND(N(K106)*100,0))-(0))*(100+N(M106))/100,0)-(ROUND(N(L106)*100,0)))&lt;=0+IF(((ROUND(N(K106)*100,0))-(0))*(100+N(M106))/100&lt;&gt;ROUND(((ROUND(N(K106)*100,0))-(0))*(100+N(M106))/100,0),1,0),"OK","ABWEICHUNG"))</f>
        <v/>
      </c>
    </row>
    <row r="107">
      <c r="A107" s="50" t="n"/>
      <c r="B107" s="44" t="n"/>
      <c r="C107" s="44" t="n"/>
      <c r="D107" s="44" t="n"/>
      <c r="E107" s="44" t="n"/>
      <c r="F107" s="44" t="n"/>
      <c r="G107" s="44" t="n"/>
      <c r="H107" s="44" t="n"/>
      <c r="I107" s="45" t="n"/>
      <c r="J107" s="45" t="n"/>
      <c r="K107" s="85" t="n"/>
      <c r="L107" s="85" t="n"/>
      <c r="M107" s="88" t="n"/>
      <c r="N107" s="88" t="n"/>
      <c r="O107" s="44" t="n"/>
      <c r="P107" s="45" t="n"/>
      <c r="Q107" s="45" t="n"/>
      <c r="R107" s="44" t="n"/>
      <c r="S107" s="45" t="n"/>
      <c r="T107" s="45" t="n"/>
      <c r="U107" s="85" t="n"/>
      <c r="V107" s="44" t="n"/>
      <c r="W107" s="45" t="n"/>
      <c r="X107" s="45" t="n"/>
      <c r="Y107" s="44" t="n"/>
      <c r="Z107" s="85" t="n"/>
      <c r="AA107" s="44" t="n"/>
      <c r="AB107" s="44" t="n"/>
      <c r="AC107" s="44" t="n"/>
      <c r="AD107" s="44" t="n"/>
      <c r="AE107" s="44" t="n"/>
      <c r="AF107" s="88" t="n"/>
      <c r="AG107" s="85" t="n"/>
      <c r="AH107" s="85" t="n"/>
      <c r="AI107" s="85" t="n"/>
      <c r="AJ107" s="85" t="n"/>
      <c r="AK107" s="85" t="n"/>
      <c r="AL107" s="85" t="n"/>
      <c r="AM107" s="85" t="n"/>
      <c r="AN107" s="85" t="n"/>
      <c r="AO107" s="85" t="n"/>
      <c r="AP107" s="85" t="n"/>
      <c r="AQ107" s="85" t="n"/>
      <c r="AR107" s="85" t="n"/>
      <c r="AS107" s="85" t="n"/>
      <c r="AT107" s="85" t="n"/>
      <c r="AU107" s="85" t="n"/>
      <c r="AV107" s="85" t="n"/>
      <c r="AW107" s="44" t="n"/>
      <c r="AX107" s="85" t="n"/>
      <c r="AY107" s="88" t="n"/>
      <c r="AZ107" s="86" t="n"/>
      <c r="BA107" s="44" t="n"/>
      <c r="BB107" s="44" t="n"/>
      <c r="BC107" s="87" t="n"/>
      <c r="BD107" s="44" t="n"/>
      <c r="BE107" s="87" t="n"/>
      <c r="BF107" s="85" t="n"/>
      <c r="BG107" s="44" t="n"/>
      <c r="BH107" s="44" t="n"/>
      <c r="BI107" s="85" t="n"/>
      <c r="BJ107" s="44" t="n"/>
      <c r="BK107" s="45" t="n"/>
      <c r="BL107" s="44" t="n"/>
      <c r="BM107" s="85" t="n"/>
      <c r="BN107" s="44" t="n"/>
      <c r="BO107" s="85" t="n"/>
      <c r="BP107" s="86" t="n"/>
      <c r="BQ107" s="44" t="n"/>
      <c r="BR107" s="50" t="n"/>
      <c r="BS107" s="89" t="n"/>
      <c r="BT107" s="50">
        <f>IF(OR(K107="",L107="",M107=""),"",IF(ABS(ROUND(((ROUND(N(K107)*100,0))-(0))*(100+N(M107))/100,0)-(ROUND(N(L107)*100,0)))&lt;=0+IF(((ROUND(N(K107)*100,0))-(0))*(100+N(M107))/100&lt;&gt;ROUND(((ROUND(N(K107)*100,0))-(0))*(100+N(M107))/100,0),1,0),"OK","ABWEICHUNG"))</f>
        <v/>
      </c>
    </row>
    <row r="108">
      <c r="A108" s="50" t="n"/>
      <c r="B108" s="44" t="n"/>
      <c r="C108" s="44" t="n"/>
      <c r="D108" s="44" t="n"/>
      <c r="E108" s="44" t="n"/>
      <c r="F108" s="44" t="n"/>
      <c r="G108" s="44" t="n"/>
      <c r="H108" s="44" t="n"/>
      <c r="I108" s="45" t="n"/>
      <c r="J108" s="45" t="n"/>
      <c r="K108" s="85" t="n"/>
      <c r="L108" s="85" t="n"/>
      <c r="M108" s="88" t="n"/>
      <c r="N108" s="88" t="n"/>
      <c r="O108" s="44" t="n"/>
      <c r="P108" s="45" t="n"/>
      <c r="Q108" s="45" t="n"/>
      <c r="R108" s="44" t="n"/>
      <c r="S108" s="45" t="n"/>
      <c r="T108" s="45" t="n"/>
      <c r="U108" s="85" t="n"/>
      <c r="V108" s="44" t="n"/>
      <c r="W108" s="45" t="n"/>
      <c r="X108" s="45" t="n"/>
      <c r="Y108" s="44" t="n"/>
      <c r="Z108" s="85" t="n"/>
      <c r="AA108" s="44" t="n"/>
      <c r="AB108" s="44" t="n"/>
      <c r="AC108" s="44" t="n"/>
      <c r="AD108" s="44" t="n"/>
      <c r="AE108" s="44" t="n"/>
      <c r="AF108" s="88" t="n"/>
      <c r="AG108" s="85" t="n"/>
      <c r="AH108" s="85" t="n"/>
      <c r="AI108" s="85" t="n"/>
      <c r="AJ108" s="85" t="n"/>
      <c r="AK108" s="85" t="n"/>
      <c r="AL108" s="85" t="n"/>
      <c r="AM108" s="85" t="n"/>
      <c r="AN108" s="85" t="n"/>
      <c r="AO108" s="85" t="n"/>
      <c r="AP108" s="85" t="n"/>
      <c r="AQ108" s="85" t="n"/>
      <c r="AR108" s="85" t="n"/>
      <c r="AS108" s="85" t="n"/>
      <c r="AT108" s="85" t="n"/>
      <c r="AU108" s="85" t="n"/>
      <c r="AV108" s="85" t="n"/>
      <c r="AW108" s="44" t="n"/>
      <c r="AX108" s="85" t="n"/>
      <c r="AY108" s="88" t="n"/>
      <c r="AZ108" s="86" t="n"/>
      <c r="BA108" s="44" t="n"/>
      <c r="BB108" s="44" t="n"/>
      <c r="BC108" s="87" t="n"/>
      <c r="BD108" s="44" t="n"/>
      <c r="BE108" s="87" t="n"/>
      <c r="BF108" s="85" t="n"/>
      <c r="BG108" s="44" t="n"/>
      <c r="BH108" s="44" t="n"/>
      <c r="BI108" s="85" t="n"/>
      <c r="BJ108" s="44" t="n"/>
      <c r="BK108" s="45" t="n"/>
      <c r="BL108" s="44" t="n"/>
      <c r="BM108" s="85" t="n"/>
      <c r="BN108" s="44" t="n"/>
      <c r="BO108" s="85" t="n"/>
      <c r="BP108" s="86" t="n"/>
      <c r="BQ108" s="44" t="n"/>
      <c r="BR108" s="50" t="n"/>
      <c r="BS108" s="89" t="n"/>
      <c r="BT108" s="50">
        <f>IF(OR(K108="",L108="",M108=""),"",IF(ABS(ROUND(((ROUND(N(K108)*100,0))-(0))*(100+N(M108))/100,0)-(ROUND(N(L108)*100,0)))&lt;=0+IF(((ROUND(N(K108)*100,0))-(0))*(100+N(M108))/100&lt;&gt;ROUND(((ROUND(N(K108)*100,0))-(0))*(100+N(M108))/100,0),1,0),"OK","ABWEICHUNG"))</f>
        <v/>
      </c>
    </row>
    <row r="109">
      <c r="A109" s="50" t="n"/>
      <c r="B109" s="44" t="n"/>
      <c r="C109" s="44" t="n"/>
      <c r="D109" s="44" t="n"/>
      <c r="E109" s="44" t="n"/>
      <c r="F109" s="44" t="n"/>
      <c r="G109" s="44" t="n"/>
      <c r="H109" s="44" t="n"/>
      <c r="I109" s="45" t="n"/>
      <c r="J109" s="45" t="n"/>
      <c r="K109" s="85" t="n"/>
      <c r="L109" s="85" t="n"/>
      <c r="M109" s="88" t="n"/>
      <c r="N109" s="88" t="n"/>
      <c r="O109" s="44" t="n"/>
      <c r="P109" s="45" t="n"/>
      <c r="Q109" s="45" t="n"/>
      <c r="R109" s="44" t="n"/>
      <c r="S109" s="45" t="n"/>
      <c r="T109" s="45" t="n"/>
      <c r="U109" s="85" t="n"/>
      <c r="V109" s="44" t="n"/>
      <c r="W109" s="45" t="n"/>
      <c r="X109" s="45" t="n"/>
      <c r="Y109" s="44" t="n"/>
      <c r="Z109" s="85" t="n"/>
      <c r="AA109" s="44" t="n"/>
      <c r="AB109" s="44" t="n"/>
      <c r="AC109" s="44" t="n"/>
      <c r="AD109" s="44" t="n"/>
      <c r="AE109" s="44" t="n"/>
      <c r="AF109" s="88" t="n"/>
      <c r="AG109" s="85" t="n"/>
      <c r="AH109" s="85" t="n"/>
      <c r="AI109" s="85" t="n"/>
      <c r="AJ109" s="85" t="n"/>
      <c r="AK109" s="85" t="n"/>
      <c r="AL109" s="85" t="n"/>
      <c r="AM109" s="85" t="n"/>
      <c r="AN109" s="85" t="n"/>
      <c r="AO109" s="85" t="n"/>
      <c r="AP109" s="85" t="n"/>
      <c r="AQ109" s="85" t="n"/>
      <c r="AR109" s="85" t="n"/>
      <c r="AS109" s="85" t="n"/>
      <c r="AT109" s="85" t="n"/>
      <c r="AU109" s="85" t="n"/>
      <c r="AV109" s="85" t="n"/>
      <c r="AW109" s="44" t="n"/>
      <c r="AX109" s="85" t="n"/>
      <c r="AY109" s="88" t="n"/>
      <c r="AZ109" s="86" t="n"/>
      <c r="BA109" s="44" t="n"/>
      <c r="BB109" s="44" t="n"/>
      <c r="BC109" s="87" t="n"/>
      <c r="BD109" s="44" t="n"/>
      <c r="BE109" s="87" t="n"/>
      <c r="BF109" s="85" t="n"/>
      <c r="BG109" s="44" t="n"/>
      <c r="BH109" s="44" t="n"/>
      <c r="BI109" s="85" t="n"/>
      <c r="BJ109" s="44" t="n"/>
      <c r="BK109" s="45" t="n"/>
      <c r="BL109" s="44" t="n"/>
      <c r="BM109" s="85" t="n"/>
      <c r="BN109" s="44" t="n"/>
      <c r="BO109" s="85" t="n"/>
      <c r="BP109" s="86" t="n"/>
      <c r="BQ109" s="44" t="n"/>
      <c r="BR109" s="50" t="n"/>
      <c r="BS109" s="89" t="n"/>
      <c r="BT109" s="50">
        <f>IF(OR(K109="",L109="",M109=""),"",IF(ABS(ROUND(((ROUND(N(K109)*100,0))-(0))*(100+N(M109))/100,0)-(ROUND(N(L109)*100,0)))&lt;=0+IF(((ROUND(N(K109)*100,0))-(0))*(100+N(M109))/100&lt;&gt;ROUND(((ROUND(N(K109)*100,0))-(0))*(100+N(M109))/100,0),1,0),"OK","ABWEICHUNG"))</f>
        <v/>
      </c>
    </row>
    <row r="110">
      <c r="A110" s="50" t="n"/>
      <c r="B110" s="44" t="n"/>
      <c r="C110" s="44" t="n"/>
      <c r="D110" s="44" t="n"/>
      <c r="E110" s="44" t="n"/>
      <c r="F110" s="44" t="n"/>
      <c r="G110" s="44" t="n"/>
      <c r="H110" s="44" t="n"/>
      <c r="I110" s="45" t="n"/>
      <c r="J110" s="45" t="n"/>
      <c r="K110" s="85" t="n"/>
      <c r="L110" s="85" t="n"/>
      <c r="M110" s="88" t="n"/>
      <c r="N110" s="88" t="n"/>
      <c r="O110" s="44" t="n"/>
      <c r="P110" s="45" t="n"/>
      <c r="Q110" s="45" t="n"/>
      <c r="R110" s="44" t="n"/>
      <c r="S110" s="45" t="n"/>
      <c r="T110" s="45" t="n"/>
      <c r="U110" s="85" t="n"/>
      <c r="V110" s="44" t="n"/>
      <c r="W110" s="45" t="n"/>
      <c r="X110" s="45" t="n"/>
      <c r="Y110" s="44" t="n"/>
      <c r="Z110" s="85" t="n"/>
      <c r="AA110" s="44" t="n"/>
      <c r="AB110" s="44" t="n"/>
      <c r="AC110" s="44" t="n"/>
      <c r="AD110" s="44" t="n"/>
      <c r="AE110" s="44" t="n"/>
      <c r="AF110" s="88" t="n"/>
      <c r="AG110" s="85" t="n"/>
      <c r="AH110" s="85" t="n"/>
      <c r="AI110" s="85" t="n"/>
      <c r="AJ110" s="85" t="n"/>
      <c r="AK110" s="85" t="n"/>
      <c r="AL110" s="85" t="n"/>
      <c r="AM110" s="85" t="n"/>
      <c r="AN110" s="85" t="n"/>
      <c r="AO110" s="85" t="n"/>
      <c r="AP110" s="85" t="n"/>
      <c r="AQ110" s="85" t="n"/>
      <c r="AR110" s="85" t="n"/>
      <c r="AS110" s="85" t="n"/>
      <c r="AT110" s="85" t="n"/>
      <c r="AU110" s="85" t="n"/>
      <c r="AV110" s="85" t="n"/>
      <c r="AW110" s="44" t="n"/>
      <c r="AX110" s="85" t="n"/>
      <c r="AY110" s="88" t="n"/>
      <c r="AZ110" s="86" t="n"/>
      <c r="BA110" s="44" t="n"/>
      <c r="BB110" s="44" t="n"/>
      <c r="BC110" s="87" t="n"/>
      <c r="BD110" s="44" t="n"/>
      <c r="BE110" s="87" t="n"/>
      <c r="BF110" s="85" t="n"/>
      <c r="BG110" s="44" t="n"/>
      <c r="BH110" s="44" t="n"/>
      <c r="BI110" s="85" t="n"/>
      <c r="BJ110" s="44" t="n"/>
      <c r="BK110" s="45" t="n"/>
      <c r="BL110" s="44" t="n"/>
      <c r="BM110" s="85" t="n"/>
      <c r="BN110" s="44" t="n"/>
      <c r="BO110" s="85" t="n"/>
      <c r="BP110" s="86" t="n"/>
      <c r="BQ110" s="44" t="n"/>
      <c r="BR110" s="50" t="n"/>
      <c r="BS110" s="89" t="n"/>
      <c r="BT110" s="50">
        <f>IF(OR(K110="",L110="",M110=""),"",IF(ABS(ROUND(((ROUND(N(K110)*100,0))-(0))*(100+N(M110))/100,0)-(ROUND(N(L110)*100,0)))&lt;=0+IF(((ROUND(N(K110)*100,0))-(0))*(100+N(M110))/100&lt;&gt;ROUND(((ROUND(N(K110)*100,0))-(0))*(100+N(M110))/100,0),1,0),"OK","ABWEICHUNG"))</f>
        <v/>
      </c>
    </row>
    <row r="111">
      <c r="A111" s="50" t="n"/>
      <c r="B111" s="44" t="n"/>
      <c r="C111" s="44" t="n"/>
      <c r="D111" s="44" t="n"/>
      <c r="E111" s="44" t="n"/>
      <c r="F111" s="44" t="n"/>
      <c r="G111" s="44" t="n"/>
      <c r="H111" s="44" t="n"/>
      <c r="I111" s="45" t="n"/>
      <c r="J111" s="45" t="n"/>
      <c r="K111" s="85" t="n"/>
      <c r="L111" s="85" t="n"/>
      <c r="M111" s="88" t="n"/>
      <c r="N111" s="88" t="n"/>
      <c r="O111" s="44" t="n"/>
      <c r="P111" s="45" t="n"/>
      <c r="Q111" s="45" t="n"/>
      <c r="R111" s="44" t="n"/>
      <c r="S111" s="45" t="n"/>
      <c r="T111" s="45" t="n"/>
      <c r="U111" s="85" t="n"/>
      <c r="V111" s="44" t="n"/>
      <c r="W111" s="45" t="n"/>
      <c r="X111" s="45" t="n"/>
      <c r="Y111" s="44" t="n"/>
      <c r="Z111" s="85" t="n"/>
      <c r="AA111" s="44" t="n"/>
      <c r="AB111" s="44" t="n"/>
      <c r="AC111" s="44" t="n"/>
      <c r="AD111" s="44" t="n"/>
      <c r="AE111" s="44" t="n"/>
      <c r="AF111" s="88" t="n"/>
      <c r="AG111" s="85" t="n"/>
      <c r="AH111" s="85" t="n"/>
      <c r="AI111" s="85" t="n"/>
      <c r="AJ111" s="85" t="n"/>
      <c r="AK111" s="85" t="n"/>
      <c r="AL111" s="85" t="n"/>
      <c r="AM111" s="85" t="n"/>
      <c r="AN111" s="85" t="n"/>
      <c r="AO111" s="85" t="n"/>
      <c r="AP111" s="85" t="n"/>
      <c r="AQ111" s="85" t="n"/>
      <c r="AR111" s="85" t="n"/>
      <c r="AS111" s="85" t="n"/>
      <c r="AT111" s="85" t="n"/>
      <c r="AU111" s="85" t="n"/>
      <c r="AV111" s="85" t="n"/>
      <c r="AW111" s="44" t="n"/>
      <c r="AX111" s="85" t="n"/>
      <c r="AY111" s="88" t="n"/>
      <c r="AZ111" s="86" t="n"/>
      <c r="BA111" s="44" t="n"/>
      <c r="BB111" s="44" t="n"/>
      <c r="BC111" s="87" t="n"/>
      <c r="BD111" s="44" t="n"/>
      <c r="BE111" s="87" t="n"/>
      <c r="BF111" s="85" t="n"/>
      <c r="BG111" s="44" t="n"/>
      <c r="BH111" s="44" t="n"/>
      <c r="BI111" s="85" t="n"/>
      <c r="BJ111" s="44" t="n"/>
      <c r="BK111" s="45" t="n"/>
      <c r="BL111" s="44" t="n"/>
      <c r="BM111" s="85" t="n"/>
      <c r="BN111" s="44" t="n"/>
      <c r="BO111" s="85" t="n"/>
      <c r="BP111" s="86" t="n"/>
      <c r="BQ111" s="44" t="n"/>
      <c r="BR111" s="50" t="n"/>
      <c r="BS111" s="89" t="n"/>
      <c r="BT111" s="50">
        <f>IF(OR(K111="",L111="",M111=""),"",IF(ABS(ROUND(((ROUND(N(K111)*100,0))-(0))*(100+N(M111))/100,0)-(ROUND(N(L111)*100,0)))&lt;=0+IF(((ROUND(N(K111)*100,0))-(0))*(100+N(M111))/100&lt;&gt;ROUND(((ROUND(N(K111)*100,0))-(0))*(100+N(M111))/100,0),1,0),"OK","ABWEICHUNG"))</f>
        <v/>
      </c>
    </row>
    <row r="112">
      <c r="A112" s="50" t="n"/>
      <c r="B112" s="44" t="n"/>
      <c r="C112" s="44" t="n"/>
      <c r="D112" s="44" t="n"/>
      <c r="E112" s="44" t="n"/>
      <c r="F112" s="44" t="n"/>
      <c r="G112" s="44" t="n"/>
      <c r="H112" s="44" t="n"/>
      <c r="I112" s="45" t="n"/>
      <c r="J112" s="45" t="n"/>
      <c r="K112" s="85" t="n"/>
      <c r="L112" s="85" t="n"/>
      <c r="M112" s="88" t="n"/>
      <c r="N112" s="88" t="n"/>
      <c r="O112" s="44" t="n"/>
      <c r="P112" s="45" t="n"/>
      <c r="Q112" s="45" t="n"/>
      <c r="R112" s="44" t="n"/>
      <c r="S112" s="45" t="n"/>
      <c r="T112" s="45" t="n"/>
      <c r="U112" s="85" t="n"/>
      <c r="V112" s="44" t="n"/>
      <c r="W112" s="45" t="n"/>
      <c r="X112" s="45" t="n"/>
      <c r="Y112" s="44" t="n"/>
      <c r="Z112" s="85" t="n"/>
      <c r="AA112" s="44" t="n"/>
      <c r="AB112" s="44" t="n"/>
      <c r="AC112" s="44" t="n"/>
      <c r="AD112" s="44" t="n"/>
      <c r="AE112" s="44" t="n"/>
      <c r="AF112" s="88" t="n"/>
      <c r="AG112" s="85" t="n"/>
      <c r="AH112" s="85" t="n"/>
      <c r="AI112" s="85" t="n"/>
      <c r="AJ112" s="85" t="n"/>
      <c r="AK112" s="85" t="n"/>
      <c r="AL112" s="85" t="n"/>
      <c r="AM112" s="85" t="n"/>
      <c r="AN112" s="85" t="n"/>
      <c r="AO112" s="85" t="n"/>
      <c r="AP112" s="85" t="n"/>
      <c r="AQ112" s="85" t="n"/>
      <c r="AR112" s="85" t="n"/>
      <c r="AS112" s="85" t="n"/>
      <c r="AT112" s="85" t="n"/>
      <c r="AU112" s="85" t="n"/>
      <c r="AV112" s="85" t="n"/>
      <c r="AW112" s="44" t="n"/>
      <c r="AX112" s="85" t="n"/>
      <c r="AY112" s="88" t="n"/>
      <c r="AZ112" s="86" t="n"/>
      <c r="BA112" s="44" t="n"/>
      <c r="BB112" s="44" t="n"/>
      <c r="BC112" s="87" t="n"/>
      <c r="BD112" s="44" t="n"/>
      <c r="BE112" s="87" t="n"/>
      <c r="BF112" s="85" t="n"/>
      <c r="BG112" s="44" t="n"/>
      <c r="BH112" s="44" t="n"/>
      <c r="BI112" s="85" t="n"/>
      <c r="BJ112" s="44" t="n"/>
      <c r="BK112" s="45" t="n"/>
      <c r="BL112" s="44" t="n"/>
      <c r="BM112" s="85" t="n"/>
      <c r="BN112" s="44" t="n"/>
      <c r="BO112" s="85" t="n"/>
      <c r="BP112" s="86" t="n"/>
      <c r="BQ112" s="44" t="n"/>
      <c r="BR112" s="50" t="n"/>
      <c r="BS112" s="89" t="n"/>
      <c r="BT112" s="50">
        <f>IF(OR(K112="",L112="",M112=""),"",IF(ABS(ROUND(((ROUND(N(K112)*100,0))-(0))*(100+N(M112))/100,0)-(ROUND(N(L112)*100,0)))&lt;=0+IF(((ROUND(N(K112)*100,0))-(0))*(100+N(M112))/100&lt;&gt;ROUND(((ROUND(N(K112)*100,0))-(0))*(100+N(M112))/100,0),1,0),"OK","ABWEICHUNG"))</f>
        <v/>
      </c>
    </row>
    <row r="113">
      <c r="A113" s="50" t="n"/>
      <c r="B113" s="44" t="n"/>
      <c r="C113" s="44" t="n"/>
      <c r="D113" s="44" t="n"/>
      <c r="E113" s="44" t="n"/>
      <c r="F113" s="44" t="n"/>
      <c r="G113" s="44" t="n"/>
      <c r="H113" s="44" t="n"/>
      <c r="I113" s="45" t="n"/>
      <c r="J113" s="45" t="n"/>
      <c r="K113" s="85" t="n"/>
      <c r="L113" s="85" t="n"/>
      <c r="M113" s="88" t="n"/>
      <c r="N113" s="88" t="n"/>
      <c r="O113" s="44" t="n"/>
      <c r="P113" s="45" t="n"/>
      <c r="Q113" s="45" t="n"/>
      <c r="R113" s="44" t="n"/>
      <c r="S113" s="45" t="n"/>
      <c r="T113" s="45" t="n"/>
      <c r="U113" s="85" t="n"/>
      <c r="V113" s="44" t="n"/>
      <c r="W113" s="45" t="n"/>
      <c r="X113" s="45" t="n"/>
      <c r="Y113" s="44" t="n"/>
      <c r="Z113" s="85" t="n"/>
      <c r="AA113" s="44" t="n"/>
      <c r="AB113" s="44" t="n"/>
      <c r="AC113" s="44" t="n"/>
      <c r="AD113" s="44" t="n"/>
      <c r="AE113" s="44" t="n"/>
      <c r="AF113" s="88" t="n"/>
      <c r="AG113" s="85" t="n"/>
      <c r="AH113" s="85" t="n"/>
      <c r="AI113" s="85" t="n"/>
      <c r="AJ113" s="85" t="n"/>
      <c r="AK113" s="85" t="n"/>
      <c r="AL113" s="85" t="n"/>
      <c r="AM113" s="85" t="n"/>
      <c r="AN113" s="85" t="n"/>
      <c r="AO113" s="85" t="n"/>
      <c r="AP113" s="85" t="n"/>
      <c r="AQ113" s="85" t="n"/>
      <c r="AR113" s="85" t="n"/>
      <c r="AS113" s="85" t="n"/>
      <c r="AT113" s="85" t="n"/>
      <c r="AU113" s="85" t="n"/>
      <c r="AV113" s="85" t="n"/>
      <c r="AW113" s="44" t="n"/>
      <c r="AX113" s="85" t="n"/>
      <c r="AY113" s="88" t="n"/>
      <c r="AZ113" s="86" t="n"/>
      <c r="BA113" s="44" t="n"/>
      <c r="BB113" s="44" t="n"/>
      <c r="BC113" s="87" t="n"/>
      <c r="BD113" s="44" t="n"/>
      <c r="BE113" s="87" t="n"/>
      <c r="BF113" s="85" t="n"/>
      <c r="BG113" s="44" t="n"/>
      <c r="BH113" s="44" t="n"/>
      <c r="BI113" s="85" t="n"/>
      <c r="BJ113" s="44" t="n"/>
      <c r="BK113" s="45" t="n"/>
      <c r="BL113" s="44" t="n"/>
      <c r="BM113" s="85" t="n"/>
      <c r="BN113" s="44" t="n"/>
      <c r="BO113" s="85" t="n"/>
      <c r="BP113" s="86" t="n"/>
      <c r="BQ113" s="44" t="n"/>
      <c r="BR113" s="50" t="n"/>
      <c r="BS113" s="89" t="n"/>
      <c r="BT113" s="50">
        <f>IF(OR(K113="",L113="",M113=""),"",IF(ABS(ROUND(((ROUND(N(K113)*100,0))-(0))*(100+N(M113))/100,0)-(ROUND(N(L113)*100,0)))&lt;=0+IF(((ROUND(N(K113)*100,0))-(0))*(100+N(M113))/100&lt;&gt;ROUND(((ROUND(N(K113)*100,0))-(0))*(100+N(M113))/100,0),1,0),"OK","ABWEICHUNG"))</f>
        <v/>
      </c>
    </row>
    <row r="114">
      <c r="A114" s="50" t="n"/>
      <c r="B114" s="44" t="n"/>
      <c r="C114" s="44" t="n"/>
      <c r="D114" s="44" t="n"/>
      <c r="E114" s="44" t="n"/>
      <c r="F114" s="44" t="n"/>
      <c r="G114" s="44" t="n"/>
      <c r="H114" s="44" t="n"/>
      <c r="I114" s="45" t="n"/>
      <c r="J114" s="45" t="n"/>
      <c r="K114" s="85" t="n"/>
      <c r="L114" s="85" t="n"/>
      <c r="M114" s="88" t="n"/>
      <c r="N114" s="88" t="n"/>
      <c r="O114" s="44" t="n"/>
      <c r="P114" s="45" t="n"/>
      <c r="Q114" s="45" t="n"/>
      <c r="R114" s="44" t="n"/>
      <c r="S114" s="45" t="n"/>
      <c r="T114" s="45" t="n"/>
      <c r="U114" s="85" t="n"/>
      <c r="V114" s="44" t="n"/>
      <c r="W114" s="45" t="n"/>
      <c r="X114" s="45" t="n"/>
      <c r="Y114" s="44" t="n"/>
      <c r="Z114" s="85" t="n"/>
      <c r="AA114" s="44" t="n"/>
      <c r="AB114" s="44" t="n"/>
      <c r="AC114" s="44" t="n"/>
      <c r="AD114" s="44" t="n"/>
      <c r="AE114" s="44" t="n"/>
      <c r="AF114" s="88" t="n"/>
      <c r="AG114" s="85" t="n"/>
      <c r="AH114" s="85" t="n"/>
      <c r="AI114" s="85" t="n"/>
      <c r="AJ114" s="85" t="n"/>
      <c r="AK114" s="85" t="n"/>
      <c r="AL114" s="85" t="n"/>
      <c r="AM114" s="85" t="n"/>
      <c r="AN114" s="85" t="n"/>
      <c r="AO114" s="85" t="n"/>
      <c r="AP114" s="85" t="n"/>
      <c r="AQ114" s="85" t="n"/>
      <c r="AR114" s="85" t="n"/>
      <c r="AS114" s="85" t="n"/>
      <c r="AT114" s="85" t="n"/>
      <c r="AU114" s="85" t="n"/>
      <c r="AV114" s="85" t="n"/>
      <c r="AW114" s="44" t="n"/>
      <c r="AX114" s="85" t="n"/>
      <c r="AY114" s="88" t="n"/>
      <c r="AZ114" s="86" t="n"/>
      <c r="BA114" s="44" t="n"/>
      <c r="BB114" s="44" t="n"/>
      <c r="BC114" s="87" t="n"/>
      <c r="BD114" s="44" t="n"/>
      <c r="BE114" s="87" t="n"/>
      <c r="BF114" s="85" t="n"/>
      <c r="BG114" s="44" t="n"/>
      <c r="BH114" s="44" t="n"/>
      <c r="BI114" s="85" t="n"/>
      <c r="BJ114" s="44" t="n"/>
      <c r="BK114" s="45" t="n"/>
      <c r="BL114" s="44" t="n"/>
      <c r="BM114" s="85" t="n"/>
      <c r="BN114" s="44" t="n"/>
      <c r="BO114" s="85" t="n"/>
      <c r="BP114" s="86" t="n"/>
      <c r="BQ114" s="44" t="n"/>
      <c r="BR114" s="50" t="n"/>
      <c r="BS114" s="89" t="n"/>
      <c r="BT114" s="50">
        <f>IF(OR(K114="",L114="",M114=""),"",IF(ABS(ROUND(((ROUND(N(K114)*100,0))-(0))*(100+N(M114))/100,0)-(ROUND(N(L114)*100,0)))&lt;=0+IF(((ROUND(N(K114)*100,0))-(0))*(100+N(M114))/100&lt;&gt;ROUND(((ROUND(N(K114)*100,0))-(0))*(100+N(M114))/100,0),1,0),"OK","ABWEICHUNG"))</f>
        <v/>
      </c>
    </row>
    <row r="115">
      <c r="A115" s="50" t="n"/>
      <c r="B115" s="44" t="n"/>
      <c r="C115" s="44" t="n"/>
      <c r="D115" s="44" t="n"/>
      <c r="E115" s="44" t="n"/>
      <c r="F115" s="44" t="n"/>
      <c r="G115" s="44" t="n"/>
      <c r="H115" s="44" t="n"/>
      <c r="I115" s="45" t="n"/>
      <c r="J115" s="45" t="n"/>
      <c r="K115" s="85" t="n"/>
      <c r="L115" s="85" t="n"/>
      <c r="M115" s="88" t="n"/>
      <c r="N115" s="88" t="n"/>
      <c r="O115" s="44" t="n"/>
      <c r="P115" s="45" t="n"/>
      <c r="Q115" s="45" t="n"/>
      <c r="R115" s="44" t="n"/>
      <c r="S115" s="45" t="n"/>
      <c r="T115" s="45" t="n"/>
      <c r="U115" s="85" t="n"/>
      <c r="V115" s="44" t="n"/>
      <c r="W115" s="45" t="n"/>
      <c r="X115" s="45" t="n"/>
      <c r="Y115" s="44" t="n"/>
      <c r="Z115" s="85" t="n"/>
      <c r="AA115" s="44" t="n"/>
      <c r="AB115" s="44" t="n"/>
      <c r="AC115" s="44" t="n"/>
      <c r="AD115" s="44" t="n"/>
      <c r="AE115" s="44" t="n"/>
      <c r="AF115" s="88" t="n"/>
      <c r="AG115" s="85" t="n"/>
      <c r="AH115" s="85" t="n"/>
      <c r="AI115" s="85" t="n"/>
      <c r="AJ115" s="85" t="n"/>
      <c r="AK115" s="85" t="n"/>
      <c r="AL115" s="85" t="n"/>
      <c r="AM115" s="85" t="n"/>
      <c r="AN115" s="85" t="n"/>
      <c r="AO115" s="85" t="n"/>
      <c r="AP115" s="85" t="n"/>
      <c r="AQ115" s="85" t="n"/>
      <c r="AR115" s="85" t="n"/>
      <c r="AS115" s="85" t="n"/>
      <c r="AT115" s="85" t="n"/>
      <c r="AU115" s="85" t="n"/>
      <c r="AV115" s="85" t="n"/>
      <c r="AW115" s="44" t="n"/>
      <c r="AX115" s="85" t="n"/>
      <c r="AY115" s="88" t="n"/>
      <c r="AZ115" s="86" t="n"/>
      <c r="BA115" s="44" t="n"/>
      <c r="BB115" s="44" t="n"/>
      <c r="BC115" s="87" t="n"/>
      <c r="BD115" s="44" t="n"/>
      <c r="BE115" s="87" t="n"/>
      <c r="BF115" s="85" t="n"/>
      <c r="BG115" s="44" t="n"/>
      <c r="BH115" s="44" t="n"/>
      <c r="BI115" s="85" t="n"/>
      <c r="BJ115" s="44" t="n"/>
      <c r="BK115" s="45" t="n"/>
      <c r="BL115" s="44" t="n"/>
      <c r="BM115" s="85" t="n"/>
      <c r="BN115" s="44" t="n"/>
      <c r="BO115" s="85" t="n"/>
      <c r="BP115" s="86" t="n"/>
      <c r="BQ115" s="44" t="n"/>
      <c r="BR115" s="50" t="n"/>
      <c r="BS115" s="89" t="n"/>
      <c r="BT115" s="50">
        <f>IF(OR(K115="",L115="",M115=""),"",IF(ABS(ROUND(((ROUND(N(K115)*100,0))-(0))*(100+N(M115))/100,0)-(ROUND(N(L115)*100,0)))&lt;=0+IF(((ROUND(N(K115)*100,0))-(0))*(100+N(M115))/100&lt;&gt;ROUND(((ROUND(N(K115)*100,0))-(0))*(100+N(M115))/100,0),1,0),"OK","ABWEICHUNG"))</f>
        <v/>
      </c>
    </row>
    <row r="116">
      <c r="A116" s="50" t="n"/>
      <c r="B116" s="44" t="n"/>
      <c r="C116" s="44" t="n"/>
      <c r="D116" s="44" t="n"/>
      <c r="E116" s="44" t="n"/>
      <c r="F116" s="44" t="n"/>
      <c r="G116" s="44" t="n"/>
      <c r="H116" s="44" t="n"/>
      <c r="I116" s="45" t="n"/>
      <c r="J116" s="45" t="n"/>
      <c r="K116" s="85" t="n"/>
      <c r="L116" s="85" t="n"/>
      <c r="M116" s="88" t="n"/>
      <c r="N116" s="88" t="n"/>
      <c r="O116" s="44" t="n"/>
      <c r="P116" s="45" t="n"/>
      <c r="Q116" s="45" t="n"/>
      <c r="R116" s="44" t="n"/>
      <c r="S116" s="45" t="n"/>
      <c r="T116" s="45" t="n"/>
      <c r="U116" s="85" t="n"/>
      <c r="V116" s="44" t="n"/>
      <c r="W116" s="45" t="n"/>
      <c r="X116" s="45" t="n"/>
      <c r="Y116" s="44" t="n"/>
      <c r="Z116" s="85" t="n"/>
      <c r="AA116" s="44" t="n"/>
      <c r="AB116" s="44" t="n"/>
      <c r="AC116" s="44" t="n"/>
      <c r="AD116" s="44" t="n"/>
      <c r="AE116" s="44" t="n"/>
      <c r="AF116" s="88" t="n"/>
      <c r="AG116" s="85" t="n"/>
      <c r="AH116" s="85" t="n"/>
      <c r="AI116" s="85" t="n"/>
      <c r="AJ116" s="85" t="n"/>
      <c r="AK116" s="85" t="n"/>
      <c r="AL116" s="85" t="n"/>
      <c r="AM116" s="85" t="n"/>
      <c r="AN116" s="85" t="n"/>
      <c r="AO116" s="85" t="n"/>
      <c r="AP116" s="85" t="n"/>
      <c r="AQ116" s="85" t="n"/>
      <c r="AR116" s="85" t="n"/>
      <c r="AS116" s="85" t="n"/>
      <c r="AT116" s="85" t="n"/>
      <c r="AU116" s="85" t="n"/>
      <c r="AV116" s="85" t="n"/>
      <c r="AW116" s="44" t="n"/>
      <c r="AX116" s="85" t="n"/>
      <c r="AY116" s="88" t="n"/>
      <c r="AZ116" s="86" t="n"/>
      <c r="BA116" s="44" t="n"/>
      <c r="BB116" s="44" t="n"/>
      <c r="BC116" s="87" t="n"/>
      <c r="BD116" s="44" t="n"/>
      <c r="BE116" s="87" t="n"/>
      <c r="BF116" s="85" t="n"/>
      <c r="BG116" s="44" t="n"/>
      <c r="BH116" s="44" t="n"/>
      <c r="BI116" s="85" t="n"/>
      <c r="BJ116" s="44" t="n"/>
      <c r="BK116" s="45" t="n"/>
      <c r="BL116" s="44" t="n"/>
      <c r="BM116" s="85" t="n"/>
      <c r="BN116" s="44" t="n"/>
      <c r="BO116" s="85" t="n"/>
      <c r="BP116" s="86" t="n"/>
      <c r="BQ116" s="44" t="n"/>
      <c r="BR116" s="50" t="n"/>
      <c r="BS116" s="89" t="n"/>
      <c r="BT116" s="50">
        <f>IF(OR(K116="",L116="",M116=""),"",IF(ABS(ROUND(((ROUND(N(K116)*100,0))-(0))*(100+N(M116))/100,0)-(ROUND(N(L116)*100,0)))&lt;=0+IF(((ROUND(N(K116)*100,0))-(0))*(100+N(M116))/100&lt;&gt;ROUND(((ROUND(N(K116)*100,0))-(0))*(100+N(M116))/100,0),1,0),"OK","ABWEICHUNG"))</f>
        <v/>
      </c>
    </row>
    <row r="117">
      <c r="A117" s="50" t="n"/>
      <c r="B117" s="44" t="n"/>
      <c r="C117" s="44" t="n"/>
      <c r="D117" s="44" t="n"/>
      <c r="E117" s="44" t="n"/>
      <c r="F117" s="44" t="n"/>
      <c r="G117" s="44" t="n"/>
      <c r="H117" s="44" t="n"/>
      <c r="I117" s="45" t="n"/>
      <c r="J117" s="45" t="n"/>
      <c r="K117" s="85" t="n"/>
      <c r="L117" s="85" t="n"/>
      <c r="M117" s="88" t="n"/>
      <c r="N117" s="88" t="n"/>
      <c r="O117" s="44" t="n"/>
      <c r="P117" s="45" t="n"/>
      <c r="Q117" s="45" t="n"/>
      <c r="R117" s="44" t="n"/>
      <c r="S117" s="45" t="n"/>
      <c r="T117" s="45" t="n"/>
      <c r="U117" s="85" t="n"/>
      <c r="V117" s="44" t="n"/>
      <c r="W117" s="45" t="n"/>
      <c r="X117" s="45" t="n"/>
      <c r="Y117" s="44" t="n"/>
      <c r="Z117" s="85" t="n"/>
      <c r="AA117" s="44" t="n"/>
      <c r="AB117" s="44" t="n"/>
      <c r="AC117" s="44" t="n"/>
      <c r="AD117" s="44" t="n"/>
      <c r="AE117" s="44" t="n"/>
      <c r="AF117" s="88" t="n"/>
      <c r="AG117" s="85" t="n"/>
      <c r="AH117" s="85" t="n"/>
      <c r="AI117" s="85" t="n"/>
      <c r="AJ117" s="85" t="n"/>
      <c r="AK117" s="85" t="n"/>
      <c r="AL117" s="85" t="n"/>
      <c r="AM117" s="85" t="n"/>
      <c r="AN117" s="85" t="n"/>
      <c r="AO117" s="85" t="n"/>
      <c r="AP117" s="85" t="n"/>
      <c r="AQ117" s="85" t="n"/>
      <c r="AR117" s="85" t="n"/>
      <c r="AS117" s="85" t="n"/>
      <c r="AT117" s="85" t="n"/>
      <c r="AU117" s="85" t="n"/>
      <c r="AV117" s="85" t="n"/>
      <c r="AW117" s="44" t="n"/>
      <c r="AX117" s="85" t="n"/>
      <c r="AY117" s="88" t="n"/>
      <c r="AZ117" s="86" t="n"/>
      <c r="BA117" s="44" t="n"/>
      <c r="BB117" s="44" t="n"/>
      <c r="BC117" s="87" t="n"/>
      <c r="BD117" s="44" t="n"/>
      <c r="BE117" s="87" t="n"/>
      <c r="BF117" s="85" t="n"/>
      <c r="BG117" s="44" t="n"/>
      <c r="BH117" s="44" t="n"/>
      <c r="BI117" s="85" t="n"/>
      <c r="BJ117" s="44" t="n"/>
      <c r="BK117" s="45" t="n"/>
      <c r="BL117" s="44" t="n"/>
      <c r="BM117" s="85" t="n"/>
      <c r="BN117" s="44" t="n"/>
      <c r="BO117" s="85" t="n"/>
      <c r="BP117" s="86" t="n"/>
      <c r="BQ117" s="44" t="n"/>
      <c r="BR117" s="50" t="n"/>
      <c r="BS117" s="89" t="n"/>
      <c r="BT117" s="50">
        <f>IF(OR(K117="",L117="",M117=""),"",IF(ABS(ROUND(((ROUND(N(K117)*100,0))-(0))*(100+N(M117))/100,0)-(ROUND(N(L117)*100,0)))&lt;=0+IF(((ROUND(N(K117)*100,0))-(0))*(100+N(M117))/100&lt;&gt;ROUND(((ROUND(N(K117)*100,0))-(0))*(100+N(M117))/100,0),1,0),"OK","ABWEICHUNG"))</f>
        <v/>
      </c>
    </row>
    <row r="118">
      <c r="A118" s="50" t="n"/>
      <c r="B118" s="44" t="n"/>
      <c r="C118" s="44" t="n"/>
      <c r="D118" s="44" t="n"/>
      <c r="E118" s="44" t="n"/>
      <c r="F118" s="44" t="n"/>
      <c r="G118" s="44" t="n"/>
      <c r="H118" s="44" t="n"/>
      <c r="I118" s="45" t="n"/>
      <c r="J118" s="45" t="n"/>
      <c r="K118" s="85" t="n"/>
      <c r="L118" s="85" t="n"/>
      <c r="M118" s="88" t="n"/>
      <c r="N118" s="88" t="n"/>
      <c r="O118" s="44" t="n"/>
      <c r="P118" s="45" t="n"/>
      <c r="Q118" s="45" t="n"/>
      <c r="R118" s="44" t="n"/>
      <c r="S118" s="45" t="n"/>
      <c r="T118" s="45" t="n"/>
      <c r="U118" s="85" t="n"/>
      <c r="V118" s="44" t="n"/>
      <c r="W118" s="45" t="n"/>
      <c r="X118" s="45" t="n"/>
      <c r="Y118" s="44" t="n"/>
      <c r="Z118" s="85" t="n"/>
      <c r="AA118" s="44" t="n"/>
      <c r="AB118" s="44" t="n"/>
      <c r="AC118" s="44" t="n"/>
      <c r="AD118" s="44" t="n"/>
      <c r="AE118" s="44" t="n"/>
      <c r="AF118" s="88" t="n"/>
      <c r="AG118" s="85" t="n"/>
      <c r="AH118" s="85" t="n"/>
      <c r="AI118" s="85" t="n"/>
      <c r="AJ118" s="85" t="n"/>
      <c r="AK118" s="85" t="n"/>
      <c r="AL118" s="85" t="n"/>
      <c r="AM118" s="85" t="n"/>
      <c r="AN118" s="85" t="n"/>
      <c r="AO118" s="85" t="n"/>
      <c r="AP118" s="85" t="n"/>
      <c r="AQ118" s="85" t="n"/>
      <c r="AR118" s="85" t="n"/>
      <c r="AS118" s="85" t="n"/>
      <c r="AT118" s="85" t="n"/>
      <c r="AU118" s="85" t="n"/>
      <c r="AV118" s="85" t="n"/>
      <c r="AW118" s="44" t="n"/>
      <c r="AX118" s="85" t="n"/>
      <c r="AY118" s="88" t="n"/>
      <c r="AZ118" s="86" t="n"/>
      <c r="BA118" s="44" t="n"/>
      <c r="BB118" s="44" t="n"/>
      <c r="BC118" s="87" t="n"/>
      <c r="BD118" s="44" t="n"/>
      <c r="BE118" s="87" t="n"/>
      <c r="BF118" s="85" t="n"/>
      <c r="BG118" s="44" t="n"/>
      <c r="BH118" s="44" t="n"/>
      <c r="BI118" s="85" t="n"/>
      <c r="BJ118" s="44" t="n"/>
      <c r="BK118" s="45" t="n"/>
      <c r="BL118" s="44" t="n"/>
      <c r="BM118" s="85" t="n"/>
      <c r="BN118" s="44" t="n"/>
      <c r="BO118" s="85" t="n"/>
      <c r="BP118" s="86" t="n"/>
      <c r="BQ118" s="44" t="n"/>
      <c r="BR118" s="50" t="n"/>
      <c r="BS118" s="89" t="n"/>
      <c r="BT118" s="50">
        <f>IF(OR(K118="",L118="",M118=""),"",IF(ABS(ROUND(((ROUND(N(K118)*100,0))-(0))*(100+N(M118))/100,0)-(ROUND(N(L118)*100,0)))&lt;=0+IF(((ROUND(N(K118)*100,0))-(0))*(100+N(M118))/100&lt;&gt;ROUND(((ROUND(N(K118)*100,0))-(0))*(100+N(M118))/100,0),1,0),"OK","ABWEICHUNG"))</f>
        <v/>
      </c>
    </row>
    <row r="119">
      <c r="A119" s="50" t="n"/>
      <c r="B119" s="44" t="n"/>
      <c r="C119" s="44" t="n"/>
      <c r="D119" s="44" t="n"/>
      <c r="E119" s="44" t="n"/>
      <c r="F119" s="44" t="n"/>
      <c r="G119" s="44" t="n"/>
      <c r="H119" s="44" t="n"/>
      <c r="I119" s="45" t="n"/>
      <c r="J119" s="45" t="n"/>
      <c r="K119" s="85" t="n"/>
      <c r="L119" s="85" t="n"/>
      <c r="M119" s="88" t="n"/>
      <c r="N119" s="88" t="n"/>
      <c r="O119" s="44" t="n"/>
      <c r="P119" s="45" t="n"/>
      <c r="Q119" s="45" t="n"/>
      <c r="R119" s="44" t="n"/>
      <c r="S119" s="45" t="n"/>
      <c r="T119" s="45" t="n"/>
      <c r="U119" s="85" t="n"/>
      <c r="V119" s="44" t="n"/>
      <c r="W119" s="45" t="n"/>
      <c r="X119" s="45" t="n"/>
      <c r="Y119" s="44" t="n"/>
      <c r="Z119" s="85" t="n"/>
      <c r="AA119" s="44" t="n"/>
      <c r="AB119" s="44" t="n"/>
      <c r="AC119" s="44" t="n"/>
      <c r="AD119" s="44" t="n"/>
      <c r="AE119" s="44" t="n"/>
      <c r="AF119" s="88" t="n"/>
      <c r="AG119" s="85" t="n"/>
      <c r="AH119" s="85" t="n"/>
      <c r="AI119" s="85" t="n"/>
      <c r="AJ119" s="85" t="n"/>
      <c r="AK119" s="85" t="n"/>
      <c r="AL119" s="85" t="n"/>
      <c r="AM119" s="85" t="n"/>
      <c r="AN119" s="85" t="n"/>
      <c r="AO119" s="85" t="n"/>
      <c r="AP119" s="85" t="n"/>
      <c r="AQ119" s="85" t="n"/>
      <c r="AR119" s="85" t="n"/>
      <c r="AS119" s="85" t="n"/>
      <c r="AT119" s="85" t="n"/>
      <c r="AU119" s="85" t="n"/>
      <c r="AV119" s="85" t="n"/>
      <c r="AW119" s="44" t="n"/>
      <c r="AX119" s="85" t="n"/>
      <c r="AY119" s="88" t="n"/>
      <c r="AZ119" s="86" t="n"/>
      <c r="BA119" s="44" t="n"/>
      <c r="BB119" s="44" t="n"/>
      <c r="BC119" s="87" t="n"/>
      <c r="BD119" s="44" t="n"/>
      <c r="BE119" s="87" t="n"/>
      <c r="BF119" s="85" t="n"/>
      <c r="BG119" s="44" t="n"/>
      <c r="BH119" s="44" t="n"/>
      <c r="BI119" s="85" t="n"/>
      <c r="BJ119" s="44" t="n"/>
      <c r="BK119" s="45" t="n"/>
      <c r="BL119" s="44" t="n"/>
      <c r="BM119" s="85" t="n"/>
      <c r="BN119" s="44" t="n"/>
      <c r="BO119" s="85" t="n"/>
      <c r="BP119" s="86" t="n"/>
      <c r="BQ119" s="44" t="n"/>
      <c r="BR119" s="50" t="n"/>
      <c r="BS119" s="89" t="n"/>
      <c r="BT119" s="50">
        <f>IF(OR(K119="",L119="",M119=""),"",IF(ABS(ROUND(((ROUND(N(K119)*100,0))-(0))*(100+N(M119))/100,0)-(ROUND(N(L119)*100,0)))&lt;=0+IF(((ROUND(N(K119)*100,0))-(0))*(100+N(M119))/100&lt;&gt;ROUND(((ROUND(N(K119)*100,0))-(0))*(100+N(M119))/100,0),1,0),"OK","ABWEICHUNG"))</f>
        <v/>
      </c>
    </row>
    <row r="120">
      <c r="A120" s="50" t="n"/>
      <c r="B120" s="44" t="n"/>
      <c r="C120" s="44" t="n"/>
      <c r="D120" s="44" t="n"/>
      <c r="E120" s="44" t="n"/>
      <c r="F120" s="44" t="n"/>
      <c r="G120" s="44" t="n"/>
      <c r="H120" s="44" t="n"/>
      <c r="I120" s="45" t="n"/>
      <c r="J120" s="45" t="n"/>
      <c r="K120" s="85" t="n"/>
      <c r="L120" s="85" t="n"/>
      <c r="M120" s="88" t="n"/>
      <c r="N120" s="88" t="n"/>
      <c r="O120" s="44" t="n"/>
      <c r="P120" s="45" t="n"/>
      <c r="Q120" s="45" t="n"/>
      <c r="R120" s="44" t="n"/>
      <c r="S120" s="45" t="n"/>
      <c r="T120" s="45" t="n"/>
      <c r="U120" s="85" t="n"/>
      <c r="V120" s="44" t="n"/>
      <c r="W120" s="45" t="n"/>
      <c r="X120" s="45" t="n"/>
      <c r="Y120" s="44" t="n"/>
      <c r="Z120" s="85" t="n"/>
      <c r="AA120" s="44" t="n"/>
      <c r="AB120" s="44" t="n"/>
      <c r="AC120" s="44" t="n"/>
      <c r="AD120" s="44" t="n"/>
      <c r="AE120" s="44" t="n"/>
      <c r="AF120" s="88" t="n"/>
      <c r="AG120" s="85" t="n"/>
      <c r="AH120" s="85" t="n"/>
      <c r="AI120" s="85" t="n"/>
      <c r="AJ120" s="85" t="n"/>
      <c r="AK120" s="85" t="n"/>
      <c r="AL120" s="85" t="n"/>
      <c r="AM120" s="85" t="n"/>
      <c r="AN120" s="85" t="n"/>
      <c r="AO120" s="85" t="n"/>
      <c r="AP120" s="85" t="n"/>
      <c r="AQ120" s="85" t="n"/>
      <c r="AR120" s="85" t="n"/>
      <c r="AS120" s="85" t="n"/>
      <c r="AT120" s="85" t="n"/>
      <c r="AU120" s="85" t="n"/>
      <c r="AV120" s="85" t="n"/>
      <c r="AW120" s="44" t="n"/>
      <c r="AX120" s="85" t="n"/>
      <c r="AY120" s="88" t="n"/>
      <c r="AZ120" s="86" t="n"/>
      <c r="BA120" s="44" t="n"/>
      <c r="BB120" s="44" t="n"/>
      <c r="BC120" s="87" t="n"/>
      <c r="BD120" s="44" t="n"/>
      <c r="BE120" s="87" t="n"/>
      <c r="BF120" s="85" t="n"/>
      <c r="BG120" s="44" t="n"/>
      <c r="BH120" s="44" t="n"/>
      <c r="BI120" s="85" t="n"/>
      <c r="BJ120" s="44" t="n"/>
      <c r="BK120" s="45" t="n"/>
      <c r="BL120" s="44" t="n"/>
      <c r="BM120" s="85" t="n"/>
      <c r="BN120" s="44" t="n"/>
      <c r="BO120" s="85" t="n"/>
      <c r="BP120" s="86" t="n"/>
      <c r="BQ120" s="44" t="n"/>
      <c r="BR120" s="50" t="n"/>
      <c r="BS120" s="89" t="n"/>
      <c r="BT120" s="50">
        <f>IF(OR(K120="",L120="",M120=""),"",IF(ABS(ROUND(((ROUND(N(K120)*100,0))-(0))*(100+N(M120))/100,0)-(ROUND(N(L120)*100,0)))&lt;=0+IF(((ROUND(N(K120)*100,0))-(0))*(100+N(M120))/100&lt;&gt;ROUND(((ROUND(N(K120)*100,0))-(0))*(100+N(M120))/100,0),1,0),"OK","ABWEICHUNG"))</f>
        <v/>
      </c>
    </row>
    <row r="121">
      <c r="A121" s="50" t="n"/>
      <c r="B121" s="44" t="n"/>
      <c r="C121" s="44" t="n"/>
      <c r="D121" s="44" t="n"/>
      <c r="E121" s="44" t="n"/>
      <c r="F121" s="44" t="n"/>
      <c r="G121" s="44" t="n"/>
      <c r="H121" s="44" t="n"/>
      <c r="I121" s="45" t="n"/>
      <c r="J121" s="45" t="n"/>
      <c r="K121" s="85" t="n"/>
      <c r="L121" s="85" t="n"/>
      <c r="M121" s="88" t="n"/>
      <c r="N121" s="88" t="n"/>
      <c r="O121" s="44" t="n"/>
      <c r="P121" s="45" t="n"/>
      <c r="Q121" s="45" t="n"/>
      <c r="R121" s="44" t="n"/>
      <c r="S121" s="45" t="n"/>
      <c r="T121" s="45" t="n"/>
      <c r="U121" s="85" t="n"/>
      <c r="V121" s="44" t="n"/>
      <c r="W121" s="45" t="n"/>
      <c r="X121" s="45" t="n"/>
      <c r="Y121" s="44" t="n"/>
      <c r="Z121" s="85" t="n"/>
      <c r="AA121" s="44" t="n"/>
      <c r="AB121" s="44" t="n"/>
      <c r="AC121" s="44" t="n"/>
      <c r="AD121" s="44" t="n"/>
      <c r="AE121" s="44" t="n"/>
      <c r="AF121" s="88" t="n"/>
      <c r="AG121" s="85" t="n"/>
      <c r="AH121" s="85" t="n"/>
      <c r="AI121" s="85" t="n"/>
      <c r="AJ121" s="85" t="n"/>
      <c r="AK121" s="85" t="n"/>
      <c r="AL121" s="85" t="n"/>
      <c r="AM121" s="85" t="n"/>
      <c r="AN121" s="85" t="n"/>
      <c r="AO121" s="85" t="n"/>
      <c r="AP121" s="85" t="n"/>
      <c r="AQ121" s="85" t="n"/>
      <c r="AR121" s="85" t="n"/>
      <c r="AS121" s="85" t="n"/>
      <c r="AT121" s="85" t="n"/>
      <c r="AU121" s="85" t="n"/>
      <c r="AV121" s="85" t="n"/>
      <c r="AW121" s="44" t="n"/>
      <c r="AX121" s="85" t="n"/>
      <c r="AY121" s="88" t="n"/>
      <c r="AZ121" s="86" t="n"/>
      <c r="BA121" s="44" t="n"/>
      <c r="BB121" s="44" t="n"/>
      <c r="BC121" s="87" t="n"/>
      <c r="BD121" s="44" t="n"/>
      <c r="BE121" s="87" t="n"/>
      <c r="BF121" s="85" t="n"/>
      <c r="BG121" s="44" t="n"/>
      <c r="BH121" s="44" t="n"/>
      <c r="BI121" s="85" t="n"/>
      <c r="BJ121" s="44" t="n"/>
      <c r="BK121" s="45" t="n"/>
      <c r="BL121" s="44" t="n"/>
      <c r="BM121" s="85" t="n"/>
      <c r="BN121" s="44" t="n"/>
      <c r="BO121" s="85" t="n"/>
      <c r="BP121" s="86" t="n"/>
      <c r="BQ121" s="44" t="n"/>
      <c r="BR121" s="50" t="n"/>
      <c r="BS121" s="89" t="n"/>
      <c r="BT121" s="50">
        <f>IF(OR(K121="",L121="",M121=""),"",IF(ABS(ROUND(((ROUND(N(K121)*100,0))-(0))*(100+N(M121))/100,0)-(ROUND(N(L121)*100,0)))&lt;=0+IF(((ROUND(N(K121)*100,0))-(0))*(100+N(M121))/100&lt;&gt;ROUND(((ROUND(N(K121)*100,0))-(0))*(100+N(M121))/100,0),1,0),"OK","ABWEICHUNG"))</f>
        <v/>
      </c>
    </row>
    <row r="122">
      <c r="A122" s="50" t="n"/>
      <c r="B122" s="44" t="n"/>
      <c r="C122" s="44" t="n"/>
      <c r="D122" s="44" t="n"/>
      <c r="E122" s="44" t="n"/>
      <c r="F122" s="44" t="n"/>
      <c r="G122" s="44" t="n"/>
      <c r="H122" s="44" t="n"/>
      <c r="I122" s="45" t="n"/>
      <c r="J122" s="45" t="n"/>
      <c r="K122" s="85" t="n"/>
      <c r="L122" s="85" t="n"/>
      <c r="M122" s="88" t="n"/>
      <c r="N122" s="88" t="n"/>
      <c r="O122" s="44" t="n"/>
      <c r="P122" s="45" t="n"/>
      <c r="Q122" s="45" t="n"/>
      <c r="R122" s="44" t="n"/>
      <c r="S122" s="45" t="n"/>
      <c r="T122" s="45" t="n"/>
      <c r="U122" s="85" t="n"/>
      <c r="V122" s="44" t="n"/>
      <c r="W122" s="45" t="n"/>
      <c r="X122" s="45" t="n"/>
      <c r="Y122" s="44" t="n"/>
      <c r="Z122" s="85" t="n"/>
      <c r="AA122" s="44" t="n"/>
      <c r="AB122" s="44" t="n"/>
      <c r="AC122" s="44" t="n"/>
      <c r="AD122" s="44" t="n"/>
      <c r="AE122" s="44" t="n"/>
      <c r="AF122" s="88" t="n"/>
      <c r="AG122" s="85" t="n"/>
      <c r="AH122" s="85" t="n"/>
      <c r="AI122" s="85" t="n"/>
      <c r="AJ122" s="85" t="n"/>
      <c r="AK122" s="85" t="n"/>
      <c r="AL122" s="85" t="n"/>
      <c r="AM122" s="85" t="n"/>
      <c r="AN122" s="85" t="n"/>
      <c r="AO122" s="85" t="n"/>
      <c r="AP122" s="85" t="n"/>
      <c r="AQ122" s="85" t="n"/>
      <c r="AR122" s="85" t="n"/>
      <c r="AS122" s="85" t="n"/>
      <c r="AT122" s="85" t="n"/>
      <c r="AU122" s="85" t="n"/>
      <c r="AV122" s="85" t="n"/>
      <c r="AW122" s="44" t="n"/>
      <c r="AX122" s="85" t="n"/>
      <c r="AY122" s="88" t="n"/>
      <c r="AZ122" s="86" t="n"/>
      <c r="BA122" s="44" t="n"/>
      <c r="BB122" s="44" t="n"/>
      <c r="BC122" s="87" t="n"/>
      <c r="BD122" s="44" t="n"/>
      <c r="BE122" s="87" t="n"/>
      <c r="BF122" s="85" t="n"/>
      <c r="BG122" s="44" t="n"/>
      <c r="BH122" s="44" t="n"/>
      <c r="BI122" s="85" t="n"/>
      <c r="BJ122" s="44" t="n"/>
      <c r="BK122" s="45" t="n"/>
      <c r="BL122" s="44" t="n"/>
      <c r="BM122" s="85" t="n"/>
      <c r="BN122" s="44" t="n"/>
      <c r="BO122" s="85" t="n"/>
      <c r="BP122" s="86" t="n"/>
      <c r="BQ122" s="44" t="n"/>
      <c r="BR122" s="50" t="n"/>
      <c r="BS122" s="89" t="n"/>
      <c r="BT122" s="50">
        <f>IF(OR(K122="",L122="",M122=""),"",IF(ABS(ROUND(((ROUND(N(K122)*100,0))-(0))*(100+N(M122))/100,0)-(ROUND(N(L122)*100,0)))&lt;=0+IF(((ROUND(N(K122)*100,0))-(0))*(100+N(M122))/100&lt;&gt;ROUND(((ROUND(N(K122)*100,0))-(0))*(100+N(M122))/100,0),1,0),"OK","ABWEICHUNG"))</f>
        <v/>
      </c>
    </row>
    <row r="123">
      <c r="A123" s="50" t="n"/>
      <c r="B123" s="44" t="n"/>
      <c r="C123" s="44" t="n"/>
      <c r="D123" s="44" t="n"/>
      <c r="E123" s="44" t="n"/>
      <c r="F123" s="44" t="n"/>
      <c r="G123" s="44" t="n"/>
      <c r="H123" s="44" t="n"/>
      <c r="I123" s="45" t="n"/>
      <c r="J123" s="45" t="n"/>
      <c r="K123" s="85" t="n"/>
      <c r="L123" s="85" t="n"/>
      <c r="M123" s="88" t="n"/>
      <c r="N123" s="88" t="n"/>
      <c r="O123" s="44" t="n"/>
      <c r="P123" s="45" t="n"/>
      <c r="Q123" s="45" t="n"/>
      <c r="R123" s="44" t="n"/>
      <c r="S123" s="45" t="n"/>
      <c r="T123" s="45" t="n"/>
      <c r="U123" s="85" t="n"/>
      <c r="V123" s="44" t="n"/>
      <c r="W123" s="45" t="n"/>
      <c r="X123" s="45" t="n"/>
      <c r="Y123" s="44" t="n"/>
      <c r="Z123" s="85" t="n"/>
      <c r="AA123" s="44" t="n"/>
      <c r="AB123" s="44" t="n"/>
      <c r="AC123" s="44" t="n"/>
      <c r="AD123" s="44" t="n"/>
      <c r="AE123" s="44" t="n"/>
      <c r="AF123" s="88" t="n"/>
      <c r="AG123" s="85" t="n"/>
      <c r="AH123" s="85" t="n"/>
      <c r="AI123" s="85" t="n"/>
      <c r="AJ123" s="85" t="n"/>
      <c r="AK123" s="85" t="n"/>
      <c r="AL123" s="85" t="n"/>
      <c r="AM123" s="85" t="n"/>
      <c r="AN123" s="85" t="n"/>
      <c r="AO123" s="85" t="n"/>
      <c r="AP123" s="85" t="n"/>
      <c r="AQ123" s="85" t="n"/>
      <c r="AR123" s="85" t="n"/>
      <c r="AS123" s="85" t="n"/>
      <c r="AT123" s="85" t="n"/>
      <c r="AU123" s="85" t="n"/>
      <c r="AV123" s="85" t="n"/>
      <c r="AW123" s="44" t="n"/>
      <c r="AX123" s="85" t="n"/>
      <c r="AY123" s="88" t="n"/>
      <c r="AZ123" s="86" t="n"/>
      <c r="BA123" s="44" t="n"/>
      <c r="BB123" s="44" t="n"/>
      <c r="BC123" s="87" t="n"/>
      <c r="BD123" s="44" t="n"/>
      <c r="BE123" s="87" t="n"/>
      <c r="BF123" s="85" t="n"/>
      <c r="BG123" s="44" t="n"/>
      <c r="BH123" s="44" t="n"/>
      <c r="BI123" s="85" t="n"/>
      <c r="BJ123" s="44" t="n"/>
      <c r="BK123" s="45" t="n"/>
      <c r="BL123" s="44" t="n"/>
      <c r="BM123" s="85" t="n"/>
      <c r="BN123" s="44" t="n"/>
      <c r="BO123" s="85" t="n"/>
      <c r="BP123" s="86" t="n"/>
      <c r="BQ123" s="44" t="n"/>
      <c r="BR123" s="50" t="n"/>
      <c r="BS123" s="89" t="n"/>
      <c r="BT123" s="50">
        <f>IF(OR(K123="",L123="",M123=""),"",IF(ABS(ROUND(((ROUND(N(K123)*100,0))-(0))*(100+N(M123))/100,0)-(ROUND(N(L123)*100,0)))&lt;=0+IF(((ROUND(N(K123)*100,0))-(0))*(100+N(M123))/100&lt;&gt;ROUND(((ROUND(N(K123)*100,0))-(0))*(100+N(M123))/100,0),1,0),"OK","ABWEICHUNG"))</f>
        <v/>
      </c>
    </row>
    <row r="124">
      <c r="A124" s="50" t="n"/>
      <c r="B124" s="44" t="n"/>
      <c r="C124" s="44" t="n"/>
      <c r="D124" s="44" t="n"/>
      <c r="E124" s="44" t="n"/>
      <c r="F124" s="44" t="n"/>
      <c r="G124" s="44" t="n"/>
      <c r="H124" s="44" t="n"/>
      <c r="I124" s="45" t="n"/>
      <c r="J124" s="45" t="n"/>
      <c r="K124" s="85" t="n"/>
      <c r="L124" s="85" t="n"/>
      <c r="M124" s="88" t="n"/>
      <c r="N124" s="88" t="n"/>
      <c r="O124" s="44" t="n"/>
      <c r="P124" s="45" t="n"/>
      <c r="Q124" s="45" t="n"/>
      <c r="R124" s="44" t="n"/>
      <c r="S124" s="45" t="n"/>
      <c r="T124" s="45" t="n"/>
      <c r="U124" s="85" t="n"/>
      <c r="V124" s="44" t="n"/>
      <c r="W124" s="45" t="n"/>
      <c r="X124" s="45" t="n"/>
      <c r="Y124" s="44" t="n"/>
      <c r="Z124" s="85" t="n"/>
      <c r="AA124" s="44" t="n"/>
      <c r="AB124" s="44" t="n"/>
      <c r="AC124" s="44" t="n"/>
      <c r="AD124" s="44" t="n"/>
      <c r="AE124" s="44" t="n"/>
      <c r="AF124" s="88" t="n"/>
      <c r="AG124" s="85" t="n"/>
      <c r="AH124" s="85" t="n"/>
      <c r="AI124" s="85" t="n"/>
      <c r="AJ124" s="85" t="n"/>
      <c r="AK124" s="85" t="n"/>
      <c r="AL124" s="85" t="n"/>
      <c r="AM124" s="85" t="n"/>
      <c r="AN124" s="85" t="n"/>
      <c r="AO124" s="85" t="n"/>
      <c r="AP124" s="85" t="n"/>
      <c r="AQ124" s="85" t="n"/>
      <c r="AR124" s="85" t="n"/>
      <c r="AS124" s="85" t="n"/>
      <c r="AT124" s="85" t="n"/>
      <c r="AU124" s="85" t="n"/>
      <c r="AV124" s="85" t="n"/>
      <c r="AW124" s="44" t="n"/>
      <c r="AX124" s="85" t="n"/>
      <c r="AY124" s="88" t="n"/>
      <c r="AZ124" s="86" t="n"/>
      <c r="BA124" s="44" t="n"/>
      <c r="BB124" s="44" t="n"/>
      <c r="BC124" s="87" t="n"/>
      <c r="BD124" s="44" t="n"/>
      <c r="BE124" s="87" t="n"/>
      <c r="BF124" s="85" t="n"/>
      <c r="BG124" s="44" t="n"/>
      <c r="BH124" s="44" t="n"/>
      <c r="BI124" s="85" t="n"/>
      <c r="BJ124" s="44" t="n"/>
      <c r="BK124" s="45" t="n"/>
      <c r="BL124" s="44" t="n"/>
      <c r="BM124" s="85" t="n"/>
      <c r="BN124" s="44" t="n"/>
      <c r="BO124" s="85" t="n"/>
      <c r="BP124" s="86" t="n"/>
      <c r="BQ124" s="44" t="n"/>
      <c r="BR124" s="50" t="n"/>
      <c r="BS124" s="89" t="n"/>
      <c r="BT124" s="50">
        <f>IF(OR(K124="",L124="",M124=""),"",IF(ABS(ROUND(((ROUND(N(K124)*100,0))-(0))*(100+N(M124))/100,0)-(ROUND(N(L124)*100,0)))&lt;=0+IF(((ROUND(N(K124)*100,0))-(0))*(100+N(M124))/100&lt;&gt;ROUND(((ROUND(N(K124)*100,0))-(0))*(100+N(M124))/100,0),1,0),"OK","ABWEICHUNG"))</f>
        <v/>
      </c>
    </row>
    <row r="125">
      <c r="A125" s="50" t="n"/>
      <c r="B125" s="44" t="n"/>
      <c r="C125" s="44" t="n"/>
      <c r="D125" s="44" t="n"/>
      <c r="E125" s="44" t="n"/>
      <c r="F125" s="44" t="n"/>
      <c r="G125" s="44" t="n"/>
      <c r="H125" s="44" t="n"/>
      <c r="I125" s="45" t="n"/>
      <c r="J125" s="45" t="n"/>
      <c r="K125" s="85" t="n"/>
      <c r="L125" s="85" t="n"/>
      <c r="M125" s="88" t="n"/>
      <c r="N125" s="88" t="n"/>
      <c r="O125" s="44" t="n"/>
      <c r="P125" s="45" t="n"/>
      <c r="Q125" s="45" t="n"/>
      <c r="R125" s="44" t="n"/>
      <c r="S125" s="45" t="n"/>
      <c r="T125" s="45" t="n"/>
      <c r="U125" s="85" t="n"/>
      <c r="V125" s="44" t="n"/>
      <c r="W125" s="45" t="n"/>
      <c r="X125" s="45" t="n"/>
      <c r="Y125" s="44" t="n"/>
      <c r="Z125" s="85" t="n"/>
      <c r="AA125" s="44" t="n"/>
      <c r="AB125" s="44" t="n"/>
      <c r="AC125" s="44" t="n"/>
      <c r="AD125" s="44" t="n"/>
      <c r="AE125" s="44" t="n"/>
      <c r="AF125" s="88" t="n"/>
      <c r="AG125" s="85" t="n"/>
      <c r="AH125" s="85" t="n"/>
      <c r="AI125" s="85" t="n"/>
      <c r="AJ125" s="85" t="n"/>
      <c r="AK125" s="85" t="n"/>
      <c r="AL125" s="85" t="n"/>
      <c r="AM125" s="85" t="n"/>
      <c r="AN125" s="85" t="n"/>
      <c r="AO125" s="85" t="n"/>
      <c r="AP125" s="85" t="n"/>
      <c r="AQ125" s="85" t="n"/>
      <c r="AR125" s="85" t="n"/>
      <c r="AS125" s="85" t="n"/>
      <c r="AT125" s="85" t="n"/>
      <c r="AU125" s="85" t="n"/>
      <c r="AV125" s="85" t="n"/>
      <c r="AW125" s="44" t="n"/>
      <c r="AX125" s="85" t="n"/>
      <c r="AY125" s="88" t="n"/>
      <c r="AZ125" s="86" t="n"/>
      <c r="BA125" s="44" t="n"/>
      <c r="BB125" s="44" t="n"/>
      <c r="BC125" s="87" t="n"/>
      <c r="BD125" s="44" t="n"/>
      <c r="BE125" s="87" t="n"/>
      <c r="BF125" s="85" t="n"/>
      <c r="BG125" s="44" t="n"/>
      <c r="BH125" s="44" t="n"/>
      <c r="BI125" s="85" t="n"/>
      <c r="BJ125" s="44" t="n"/>
      <c r="BK125" s="45" t="n"/>
      <c r="BL125" s="44" t="n"/>
      <c r="BM125" s="85" t="n"/>
      <c r="BN125" s="44" t="n"/>
      <c r="BO125" s="85" t="n"/>
      <c r="BP125" s="86" t="n"/>
      <c r="BQ125" s="44" t="n"/>
      <c r="BR125" s="50" t="n"/>
      <c r="BS125" s="89" t="n"/>
      <c r="BT125" s="50">
        <f>IF(OR(K125="",L125="",M125=""),"",IF(ABS(ROUND(((ROUND(N(K125)*100,0))-(0))*(100+N(M125))/100,0)-(ROUND(N(L125)*100,0)))&lt;=0+IF(((ROUND(N(K125)*100,0))-(0))*(100+N(M125))/100&lt;&gt;ROUND(((ROUND(N(K125)*100,0))-(0))*(100+N(M125))/100,0),1,0),"OK","ABWEICHUNG"))</f>
        <v/>
      </c>
    </row>
    <row r="126">
      <c r="A126" s="50" t="n"/>
      <c r="B126" s="44" t="n"/>
      <c r="C126" s="44" t="n"/>
      <c r="D126" s="44" t="n"/>
      <c r="E126" s="44" t="n"/>
      <c r="F126" s="44" t="n"/>
      <c r="G126" s="44" t="n"/>
      <c r="H126" s="44" t="n"/>
      <c r="I126" s="45" t="n"/>
      <c r="J126" s="45" t="n"/>
      <c r="K126" s="85" t="n"/>
      <c r="L126" s="85" t="n"/>
      <c r="M126" s="88" t="n"/>
      <c r="N126" s="88" t="n"/>
      <c r="O126" s="44" t="n"/>
      <c r="P126" s="45" t="n"/>
      <c r="Q126" s="45" t="n"/>
      <c r="R126" s="44" t="n"/>
      <c r="S126" s="45" t="n"/>
      <c r="T126" s="45" t="n"/>
      <c r="U126" s="85" t="n"/>
      <c r="V126" s="44" t="n"/>
      <c r="W126" s="45" t="n"/>
      <c r="X126" s="45" t="n"/>
      <c r="Y126" s="44" t="n"/>
      <c r="Z126" s="85" t="n"/>
      <c r="AA126" s="44" t="n"/>
      <c r="AB126" s="44" t="n"/>
      <c r="AC126" s="44" t="n"/>
      <c r="AD126" s="44" t="n"/>
      <c r="AE126" s="44" t="n"/>
      <c r="AF126" s="88" t="n"/>
      <c r="AG126" s="85" t="n"/>
      <c r="AH126" s="85" t="n"/>
      <c r="AI126" s="85" t="n"/>
      <c r="AJ126" s="85" t="n"/>
      <c r="AK126" s="85" t="n"/>
      <c r="AL126" s="85" t="n"/>
      <c r="AM126" s="85" t="n"/>
      <c r="AN126" s="85" t="n"/>
      <c r="AO126" s="85" t="n"/>
      <c r="AP126" s="85" t="n"/>
      <c r="AQ126" s="85" t="n"/>
      <c r="AR126" s="85" t="n"/>
      <c r="AS126" s="85" t="n"/>
      <c r="AT126" s="85" t="n"/>
      <c r="AU126" s="85" t="n"/>
      <c r="AV126" s="85" t="n"/>
      <c r="AW126" s="44" t="n"/>
      <c r="AX126" s="85" t="n"/>
      <c r="AY126" s="88" t="n"/>
      <c r="AZ126" s="86" t="n"/>
      <c r="BA126" s="44" t="n"/>
      <c r="BB126" s="44" t="n"/>
      <c r="BC126" s="87" t="n"/>
      <c r="BD126" s="44" t="n"/>
      <c r="BE126" s="87" t="n"/>
      <c r="BF126" s="85" t="n"/>
      <c r="BG126" s="44" t="n"/>
      <c r="BH126" s="44" t="n"/>
      <c r="BI126" s="85" t="n"/>
      <c r="BJ126" s="44" t="n"/>
      <c r="BK126" s="45" t="n"/>
      <c r="BL126" s="44" t="n"/>
      <c r="BM126" s="85" t="n"/>
      <c r="BN126" s="44" t="n"/>
      <c r="BO126" s="85" t="n"/>
      <c r="BP126" s="86" t="n"/>
      <c r="BQ126" s="44" t="n"/>
      <c r="BR126" s="50" t="n"/>
      <c r="BS126" s="89" t="n"/>
      <c r="BT126" s="50">
        <f>IF(OR(K126="",L126="",M126=""),"",IF(ABS(ROUND(((ROUND(N(K126)*100,0))-(0))*(100+N(M126))/100,0)-(ROUND(N(L126)*100,0)))&lt;=0+IF(((ROUND(N(K126)*100,0))-(0))*(100+N(M126))/100&lt;&gt;ROUND(((ROUND(N(K126)*100,0))-(0))*(100+N(M126))/100,0),1,0),"OK","ABWEICHUNG"))</f>
        <v/>
      </c>
    </row>
    <row r="127">
      <c r="A127" s="50" t="n"/>
      <c r="B127" s="44" t="n"/>
      <c r="C127" s="44" t="n"/>
      <c r="D127" s="44" t="n"/>
      <c r="E127" s="44" t="n"/>
      <c r="F127" s="44" t="n"/>
      <c r="G127" s="44" t="n"/>
      <c r="H127" s="44" t="n"/>
      <c r="I127" s="45" t="n"/>
      <c r="J127" s="45" t="n"/>
      <c r="K127" s="85" t="n"/>
      <c r="L127" s="85" t="n"/>
      <c r="M127" s="88" t="n"/>
      <c r="N127" s="88" t="n"/>
      <c r="O127" s="44" t="n"/>
      <c r="P127" s="45" t="n"/>
      <c r="Q127" s="45" t="n"/>
      <c r="R127" s="44" t="n"/>
      <c r="S127" s="45" t="n"/>
      <c r="T127" s="45" t="n"/>
      <c r="U127" s="85" t="n"/>
      <c r="V127" s="44" t="n"/>
      <c r="W127" s="45" t="n"/>
      <c r="X127" s="45" t="n"/>
      <c r="Y127" s="44" t="n"/>
      <c r="Z127" s="85" t="n"/>
      <c r="AA127" s="44" t="n"/>
      <c r="AB127" s="44" t="n"/>
      <c r="AC127" s="44" t="n"/>
      <c r="AD127" s="44" t="n"/>
      <c r="AE127" s="44" t="n"/>
      <c r="AF127" s="88" t="n"/>
      <c r="AG127" s="85" t="n"/>
      <c r="AH127" s="85" t="n"/>
      <c r="AI127" s="85" t="n"/>
      <c r="AJ127" s="85" t="n"/>
      <c r="AK127" s="85" t="n"/>
      <c r="AL127" s="85" t="n"/>
      <c r="AM127" s="85" t="n"/>
      <c r="AN127" s="85" t="n"/>
      <c r="AO127" s="85" t="n"/>
      <c r="AP127" s="85" t="n"/>
      <c r="AQ127" s="85" t="n"/>
      <c r="AR127" s="85" t="n"/>
      <c r="AS127" s="85" t="n"/>
      <c r="AT127" s="85" t="n"/>
      <c r="AU127" s="85" t="n"/>
      <c r="AV127" s="85" t="n"/>
      <c r="AW127" s="44" t="n"/>
      <c r="AX127" s="85" t="n"/>
      <c r="AY127" s="88" t="n"/>
      <c r="AZ127" s="86" t="n"/>
      <c r="BA127" s="44" t="n"/>
      <c r="BB127" s="44" t="n"/>
      <c r="BC127" s="87" t="n"/>
      <c r="BD127" s="44" t="n"/>
      <c r="BE127" s="87" t="n"/>
      <c r="BF127" s="85" t="n"/>
      <c r="BG127" s="44" t="n"/>
      <c r="BH127" s="44" t="n"/>
      <c r="BI127" s="85" t="n"/>
      <c r="BJ127" s="44" t="n"/>
      <c r="BK127" s="45" t="n"/>
      <c r="BL127" s="44" t="n"/>
      <c r="BM127" s="85" t="n"/>
      <c r="BN127" s="44" t="n"/>
      <c r="BO127" s="85" t="n"/>
      <c r="BP127" s="86" t="n"/>
      <c r="BQ127" s="44" t="n"/>
      <c r="BR127" s="50" t="n"/>
      <c r="BS127" s="89" t="n"/>
      <c r="BT127" s="50">
        <f>IF(OR(K127="",L127="",M127=""),"",IF(ABS(ROUND(((ROUND(N(K127)*100,0))-(0))*(100+N(M127))/100,0)-(ROUND(N(L127)*100,0)))&lt;=0+IF(((ROUND(N(K127)*100,0))-(0))*(100+N(M127))/100&lt;&gt;ROUND(((ROUND(N(K127)*100,0))-(0))*(100+N(M127))/100,0),1,0),"OK","ABWEICHUNG"))</f>
        <v/>
      </c>
    </row>
    <row r="128">
      <c r="A128" s="50" t="n"/>
      <c r="B128" s="44" t="n"/>
      <c r="C128" s="44" t="n"/>
      <c r="D128" s="44" t="n"/>
      <c r="E128" s="44" t="n"/>
      <c r="F128" s="44" t="n"/>
      <c r="G128" s="44" t="n"/>
      <c r="H128" s="44" t="n"/>
      <c r="I128" s="45" t="n"/>
      <c r="J128" s="45" t="n"/>
      <c r="K128" s="85" t="n"/>
      <c r="L128" s="85" t="n"/>
      <c r="M128" s="88" t="n"/>
      <c r="N128" s="88" t="n"/>
      <c r="O128" s="44" t="n"/>
      <c r="P128" s="45" t="n"/>
      <c r="Q128" s="45" t="n"/>
      <c r="R128" s="44" t="n"/>
      <c r="S128" s="45" t="n"/>
      <c r="T128" s="45" t="n"/>
      <c r="U128" s="85" t="n"/>
      <c r="V128" s="44" t="n"/>
      <c r="W128" s="45" t="n"/>
      <c r="X128" s="45" t="n"/>
      <c r="Y128" s="44" t="n"/>
      <c r="Z128" s="85" t="n"/>
      <c r="AA128" s="44" t="n"/>
      <c r="AB128" s="44" t="n"/>
      <c r="AC128" s="44" t="n"/>
      <c r="AD128" s="44" t="n"/>
      <c r="AE128" s="44" t="n"/>
      <c r="AF128" s="88" t="n"/>
      <c r="AG128" s="85" t="n"/>
      <c r="AH128" s="85" t="n"/>
      <c r="AI128" s="85" t="n"/>
      <c r="AJ128" s="85" t="n"/>
      <c r="AK128" s="85" t="n"/>
      <c r="AL128" s="85" t="n"/>
      <c r="AM128" s="85" t="n"/>
      <c r="AN128" s="85" t="n"/>
      <c r="AO128" s="85" t="n"/>
      <c r="AP128" s="85" t="n"/>
      <c r="AQ128" s="85" t="n"/>
      <c r="AR128" s="85" t="n"/>
      <c r="AS128" s="85" t="n"/>
      <c r="AT128" s="85" t="n"/>
      <c r="AU128" s="85" t="n"/>
      <c r="AV128" s="85" t="n"/>
      <c r="AW128" s="44" t="n"/>
      <c r="AX128" s="85" t="n"/>
      <c r="AY128" s="88" t="n"/>
      <c r="AZ128" s="86" t="n"/>
      <c r="BA128" s="44" t="n"/>
      <c r="BB128" s="44" t="n"/>
      <c r="BC128" s="87" t="n"/>
      <c r="BD128" s="44" t="n"/>
      <c r="BE128" s="87" t="n"/>
      <c r="BF128" s="85" t="n"/>
      <c r="BG128" s="44" t="n"/>
      <c r="BH128" s="44" t="n"/>
      <c r="BI128" s="85" t="n"/>
      <c r="BJ128" s="44" t="n"/>
      <c r="BK128" s="45" t="n"/>
      <c r="BL128" s="44" t="n"/>
      <c r="BM128" s="85" t="n"/>
      <c r="BN128" s="44" t="n"/>
      <c r="BO128" s="85" t="n"/>
      <c r="BP128" s="86" t="n"/>
      <c r="BQ128" s="44" t="n"/>
      <c r="BR128" s="50" t="n"/>
      <c r="BS128" s="89" t="n"/>
      <c r="BT128" s="50">
        <f>IF(OR(K128="",L128="",M128=""),"",IF(ABS(ROUND(((ROUND(N(K128)*100,0))-(0))*(100+N(M128))/100,0)-(ROUND(N(L128)*100,0)))&lt;=0+IF(((ROUND(N(K128)*100,0))-(0))*(100+N(M128))/100&lt;&gt;ROUND(((ROUND(N(K128)*100,0))-(0))*(100+N(M128))/100,0),1,0),"OK","ABWEICHUNG"))</f>
        <v/>
      </c>
    </row>
    <row r="129">
      <c r="A129" s="50" t="n"/>
      <c r="B129" s="44" t="n"/>
      <c r="C129" s="44" t="n"/>
      <c r="D129" s="44" t="n"/>
      <c r="E129" s="44" t="n"/>
      <c r="F129" s="44" t="n"/>
      <c r="G129" s="44" t="n"/>
      <c r="H129" s="44" t="n"/>
      <c r="I129" s="45" t="n"/>
      <c r="J129" s="45" t="n"/>
      <c r="K129" s="85" t="n"/>
      <c r="L129" s="85" t="n"/>
      <c r="M129" s="88" t="n"/>
      <c r="N129" s="88" t="n"/>
      <c r="O129" s="44" t="n"/>
      <c r="P129" s="45" t="n"/>
      <c r="Q129" s="45" t="n"/>
      <c r="R129" s="44" t="n"/>
      <c r="S129" s="45" t="n"/>
      <c r="T129" s="45" t="n"/>
      <c r="U129" s="85" t="n"/>
      <c r="V129" s="44" t="n"/>
      <c r="W129" s="45" t="n"/>
      <c r="X129" s="45" t="n"/>
      <c r="Y129" s="44" t="n"/>
      <c r="Z129" s="85" t="n"/>
      <c r="AA129" s="44" t="n"/>
      <c r="AB129" s="44" t="n"/>
      <c r="AC129" s="44" t="n"/>
      <c r="AD129" s="44" t="n"/>
      <c r="AE129" s="44" t="n"/>
      <c r="AF129" s="88" t="n"/>
      <c r="AG129" s="85" t="n"/>
      <c r="AH129" s="85" t="n"/>
      <c r="AI129" s="85" t="n"/>
      <c r="AJ129" s="85" t="n"/>
      <c r="AK129" s="85" t="n"/>
      <c r="AL129" s="85" t="n"/>
      <c r="AM129" s="85" t="n"/>
      <c r="AN129" s="85" t="n"/>
      <c r="AO129" s="85" t="n"/>
      <c r="AP129" s="85" t="n"/>
      <c r="AQ129" s="85" t="n"/>
      <c r="AR129" s="85" t="n"/>
      <c r="AS129" s="85" t="n"/>
      <c r="AT129" s="85" t="n"/>
      <c r="AU129" s="85" t="n"/>
      <c r="AV129" s="85" t="n"/>
      <c r="AW129" s="44" t="n"/>
      <c r="AX129" s="85" t="n"/>
      <c r="AY129" s="88" t="n"/>
      <c r="AZ129" s="86" t="n"/>
      <c r="BA129" s="44" t="n"/>
      <c r="BB129" s="44" t="n"/>
      <c r="BC129" s="87" t="n"/>
      <c r="BD129" s="44" t="n"/>
      <c r="BE129" s="87" t="n"/>
      <c r="BF129" s="85" t="n"/>
      <c r="BG129" s="44" t="n"/>
      <c r="BH129" s="44" t="n"/>
      <c r="BI129" s="85" t="n"/>
      <c r="BJ129" s="44" t="n"/>
      <c r="BK129" s="45" t="n"/>
      <c r="BL129" s="44" t="n"/>
      <c r="BM129" s="85" t="n"/>
      <c r="BN129" s="44" t="n"/>
      <c r="BO129" s="85" t="n"/>
      <c r="BP129" s="86" t="n"/>
      <c r="BQ129" s="44" t="n"/>
      <c r="BR129" s="50" t="n"/>
      <c r="BS129" s="89" t="n"/>
      <c r="BT129" s="50">
        <f>IF(OR(K129="",L129="",M129=""),"",IF(ABS(ROUND(((ROUND(N(K129)*100,0))-(0))*(100+N(M129))/100,0)-(ROUND(N(L129)*100,0)))&lt;=0+IF(((ROUND(N(K129)*100,0))-(0))*(100+N(M129))/100&lt;&gt;ROUND(((ROUND(N(K129)*100,0))-(0))*(100+N(M129))/100,0),1,0),"OK","ABWEICHUNG"))</f>
        <v/>
      </c>
    </row>
    <row r="130">
      <c r="A130" s="50" t="n"/>
      <c r="B130" s="44" t="n"/>
      <c r="C130" s="44" t="n"/>
      <c r="D130" s="44" t="n"/>
      <c r="E130" s="44" t="n"/>
      <c r="F130" s="44" t="n"/>
      <c r="G130" s="44" t="n"/>
      <c r="H130" s="44" t="n"/>
      <c r="I130" s="45" t="n"/>
      <c r="J130" s="45" t="n"/>
      <c r="K130" s="85" t="n"/>
      <c r="L130" s="85" t="n"/>
      <c r="M130" s="88" t="n"/>
      <c r="N130" s="88" t="n"/>
      <c r="O130" s="44" t="n"/>
      <c r="P130" s="45" t="n"/>
      <c r="Q130" s="45" t="n"/>
      <c r="R130" s="44" t="n"/>
      <c r="S130" s="45" t="n"/>
      <c r="T130" s="45" t="n"/>
      <c r="U130" s="85" t="n"/>
      <c r="V130" s="44" t="n"/>
      <c r="W130" s="45" t="n"/>
      <c r="X130" s="45" t="n"/>
      <c r="Y130" s="44" t="n"/>
      <c r="Z130" s="85" t="n"/>
      <c r="AA130" s="44" t="n"/>
      <c r="AB130" s="44" t="n"/>
      <c r="AC130" s="44" t="n"/>
      <c r="AD130" s="44" t="n"/>
      <c r="AE130" s="44" t="n"/>
      <c r="AF130" s="88" t="n"/>
      <c r="AG130" s="85" t="n"/>
      <c r="AH130" s="85" t="n"/>
      <c r="AI130" s="85" t="n"/>
      <c r="AJ130" s="85" t="n"/>
      <c r="AK130" s="85" t="n"/>
      <c r="AL130" s="85" t="n"/>
      <c r="AM130" s="85" t="n"/>
      <c r="AN130" s="85" t="n"/>
      <c r="AO130" s="85" t="n"/>
      <c r="AP130" s="85" t="n"/>
      <c r="AQ130" s="85" t="n"/>
      <c r="AR130" s="85" t="n"/>
      <c r="AS130" s="85" t="n"/>
      <c r="AT130" s="85" t="n"/>
      <c r="AU130" s="85" t="n"/>
      <c r="AV130" s="85" t="n"/>
      <c r="AW130" s="44" t="n"/>
      <c r="AX130" s="85" t="n"/>
      <c r="AY130" s="88" t="n"/>
      <c r="AZ130" s="86" t="n"/>
      <c r="BA130" s="44" t="n"/>
      <c r="BB130" s="44" t="n"/>
      <c r="BC130" s="87" t="n"/>
      <c r="BD130" s="44" t="n"/>
      <c r="BE130" s="87" t="n"/>
      <c r="BF130" s="85" t="n"/>
      <c r="BG130" s="44" t="n"/>
      <c r="BH130" s="44" t="n"/>
      <c r="BI130" s="85" t="n"/>
      <c r="BJ130" s="44" t="n"/>
      <c r="BK130" s="45" t="n"/>
      <c r="BL130" s="44" t="n"/>
      <c r="BM130" s="85" t="n"/>
      <c r="BN130" s="44" t="n"/>
      <c r="BO130" s="85" t="n"/>
      <c r="BP130" s="86" t="n"/>
      <c r="BQ130" s="44" t="n"/>
      <c r="BR130" s="50" t="n"/>
      <c r="BS130" s="89" t="n"/>
      <c r="BT130" s="50">
        <f>IF(OR(K130="",L130="",M130=""),"",IF(ABS(ROUND(((ROUND(N(K130)*100,0))-(0))*(100+N(M130))/100,0)-(ROUND(N(L130)*100,0)))&lt;=0+IF(((ROUND(N(K130)*100,0))-(0))*(100+N(M130))/100&lt;&gt;ROUND(((ROUND(N(K130)*100,0))-(0))*(100+N(M130))/100,0),1,0),"OK","ABWEICHUNG"))</f>
        <v/>
      </c>
    </row>
    <row r="131">
      <c r="A131" s="50" t="n"/>
      <c r="B131" s="44" t="n"/>
      <c r="C131" s="44" t="n"/>
      <c r="D131" s="44" t="n"/>
      <c r="E131" s="44" t="n"/>
      <c r="F131" s="44" t="n"/>
      <c r="G131" s="44" t="n"/>
      <c r="H131" s="44" t="n"/>
      <c r="I131" s="45" t="n"/>
      <c r="J131" s="45" t="n"/>
      <c r="K131" s="85" t="n"/>
      <c r="L131" s="85" t="n"/>
      <c r="M131" s="88" t="n"/>
      <c r="N131" s="88" t="n"/>
      <c r="O131" s="44" t="n"/>
      <c r="P131" s="45" t="n"/>
      <c r="Q131" s="45" t="n"/>
      <c r="R131" s="44" t="n"/>
      <c r="S131" s="45" t="n"/>
      <c r="T131" s="45" t="n"/>
      <c r="U131" s="85" t="n"/>
      <c r="V131" s="44" t="n"/>
      <c r="W131" s="45" t="n"/>
      <c r="X131" s="45" t="n"/>
      <c r="Y131" s="44" t="n"/>
      <c r="Z131" s="85" t="n"/>
      <c r="AA131" s="44" t="n"/>
      <c r="AB131" s="44" t="n"/>
      <c r="AC131" s="44" t="n"/>
      <c r="AD131" s="44" t="n"/>
      <c r="AE131" s="44" t="n"/>
      <c r="AF131" s="88" t="n"/>
      <c r="AG131" s="85" t="n"/>
      <c r="AH131" s="85" t="n"/>
      <c r="AI131" s="85" t="n"/>
      <c r="AJ131" s="85" t="n"/>
      <c r="AK131" s="85" t="n"/>
      <c r="AL131" s="85" t="n"/>
      <c r="AM131" s="85" t="n"/>
      <c r="AN131" s="85" t="n"/>
      <c r="AO131" s="85" t="n"/>
      <c r="AP131" s="85" t="n"/>
      <c r="AQ131" s="85" t="n"/>
      <c r="AR131" s="85" t="n"/>
      <c r="AS131" s="85" t="n"/>
      <c r="AT131" s="85" t="n"/>
      <c r="AU131" s="85" t="n"/>
      <c r="AV131" s="85" t="n"/>
      <c r="AW131" s="44" t="n"/>
      <c r="AX131" s="85" t="n"/>
      <c r="AY131" s="88" t="n"/>
      <c r="AZ131" s="86" t="n"/>
      <c r="BA131" s="44" t="n"/>
      <c r="BB131" s="44" t="n"/>
      <c r="BC131" s="87" t="n"/>
      <c r="BD131" s="44" t="n"/>
      <c r="BE131" s="87" t="n"/>
      <c r="BF131" s="85" t="n"/>
      <c r="BG131" s="44" t="n"/>
      <c r="BH131" s="44" t="n"/>
      <c r="BI131" s="85" t="n"/>
      <c r="BJ131" s="44" t="n"/>
      <c r="BK131" s="45" t="n"/>
      <c r="BL131" s="44" t="n"/>
      <c r="BM131" s="85" t="n"/>
      <c r="BN131" s="44" t="n"/>
      <c r="BO131" s="85" t="n"/>
      <c r="BP131" s="86" t="n"/>
      <c r="BQ131" s="44" t="n"/>
      <c r="BR131" s="50" t="n"/>
      <c r="BS131" s="89" t="n"/>
      <c r="BT131" s="50">
        <f>IF(OR(K131="",L131="",M131=""),"",IF(ABS(ROUND(((ROUND(N(K131)*100,0))-(0))*(100+N(M131))/100,0)-(ROUND(N(L131)*100,0)))&lt;=0+IF(((ROUND(N(K131)*100,0))-(0))*(100+N(M131))/100&lt;&gt;ROUND(((ROUND(N(K131)*100,0))-(0))*(100+N(M131))/100,0),1,0),"OK","ABWEICHUNG"))</f>
        <v/>
      </c>
    </row>
    <row r="132">
      <c r="A132" s="50" t="n"/>
      <c r="B132" s="44" t="n"/>
      <c r="C132" s="44" t="n"/>
      <c r="D132" s="44" t="n"/>
      <c r="E132" s="44" t="n"/>
      <c r="F132" s="44" t="n"/>
      <c r="G132" s="44" t="n"/>
      <c r="H132" s="44" t="n"/>
      <c r="I132" s="45" t="n"/>
      <c r="J132" s="45" t="n"/>
      <c r="K132" s="85" t="n"/>
      <c r="L132" s="85" t="n"/>
      <c r="M132" s="88" t="n"/>
      <c r="N132" s="88" t="n"/>
      <c r="O132" s="44" t="n"/>
      <c r="P132" s="45" t="n"/>
      <c r="Q132" s="45" t="n"/>
      <c r="R132" s="44" t="n"/>
      <c r="S132" s="45" t="n"/>
      <c r="T132" s="45" t="n"/>
      <c r="U132" s="85" t="n"/>
      <c r="V132" s="44" t="n"/>
      <c r="W132" s="45" t="n"/>
      <c r="X132" s="45" t="n"/>
      <c r="Y132" s="44" t="n"/>
      <c r="Z132" s="85" t="n"/>
      <c r="AA132" s="44" t="n"/>
      <c r="AB132" s="44" t="n"/>
      <c r="AC132" s="44" t="n"/>
      <c r="AD132" s="44" t="n"/>
      <c r="AE132" s="44" t="n"/>
      <c r="AF132" s="88" t="n"/>
      <c r="AG132" s="85" t="n"/>
      <c r="AH132" s="85" t="n"/>
      <c r="AI132" s="85" t="n"/>
      <c r="AJ132" s="85" t="n"/>
      <c r="AK132" s="85" t="n"/>
      <c r="AL132" s="85" t="n"/>
      <c r="AM132" s="85" t="n"/>
      <c r="AN132" s="85" t="n"/>
      <c r="AO132" s="85" t="n"/>
      <c r="AP132" s="85" t="n"/>
      <c r="AQ132" s="85" t="n"/>
      <c r="AR132" s="85" t="n"/>
      <c r="AS132" s="85" t="n"/>
      <c r="AT132" s="85" t="n"/>
      <c r="AU132" s="85" t="n"/>
      <c r="AV132" s="85" t="n"/>
      <c r="AW132" s="44" t="n"/>
      <c r="AX132" s="85" t="n"/>
      <c r="AY132" s="88" t="n"/>
      <c r="AZ132" s="86" t="n"/>
      <c r="BA132" s="44" t="n"/>
      <c r="BB132" s="44" t="n"/>
      <c r="BC132" s="87" t="n"/>
      <c r="BD132" s="44" t="n"/>
      <c r="BE132" s="87" t="n"/>
      <c r="BF132" s="85" t="n"/>
      <c r="BG132" s="44" t="n"/>
      <c r="BH132" s="44" t="n"/>
      <c r="BI132" s="85" t="n"/>
      <c r="BJ132" s="44" t="n"/>
      <c r="BK132" s="45" t="n"/>
      <c r="BL132" s="44" t="n"/>
      <c r="BM132" s="85" t="n"/>
      <c r="BN132" s="44" t="n"/>
      <c r="BO132" s="85" t="n"/>
      <c r="BP132" s="86" t="n"/>
      <c r="BQ132" s="44" t="n"/>
      <c r="BR132" s="50" t="n"/>
      <c r="BS132" s="89" t="n"/>
      <c r="BT132" s="50">
        <f>IF(OR(K132="",L132="",M132=""),"",IF(ABS(ROUND(((ROUND(N(K132)*100,0))-(0))*(100+N(M132))/100,0)-(ROUND(N(L132)*100,0)))&lt;=0+IF(((ROUND(N(K132)*100,0))-(0))*(100+N(M132))/100&lt;&gt;ROUND(((ROUND(N(K132)*100,0))-(0))*(100+N(M132))/100,0),1,0),"OK","ABWEICHUNG"))</f>
        <v/>
      </c>
    </row>
    <row r="133">
      <c r="A133" s="50" t="n"/>
      <c r="B133" s="44" t="n"/>
      <c r="C133" s="44" t="n"/>
      <c r="D133" s="44" t="n"/>
      <c r="E133" s="44" t="n"/>
      <c r="F133" s="44" t="n"/>
      <c r="G133" s="44" t="n"/>
      <c r="H133" s="44" t="n"/>
      <c r="I133" s="45" t="n"/>
      <c r="J133" s="45" t="n"/>
      <c r="K133" s="85" t="n"/>
      <c r="L133" s="85" t="n"/>
      <c r="M133" s="88" t="n"/>
      <c r="N133" s="88" t="n"/>
      <c r="O133" s="44" t="n"/>
      <c r="P133" s="45" t="n"/>
      <c r="Q133" s="45" t="n"/>
      <c r="R133" s="44" t="n"/>
      <c r="S133" s="45" t="n"/>
      <c r="T133" s="45" t="n"/>
      <c r="U133" s="85" t="n"/>
      <c r="V133" s="44" t="n"/>
      <c r="W133" s="45" t="n"/>
      <c r="X133" s="45" t="n"/>
      <c r="Y133" s="44" t="n"/>
      <c r="Z133" s="85" t="n"/>
      <c r="AA133" s="44" t="n"/>
      <c r="AB133" s="44" t="n"/>
      <c r="AC133" s="44" t="n"/>
      <c r="AD133" s="44" t="n"/>
      <c r="AE133" s="44" t="n"/>
      <c r="AF133" s="88" t="n"/>
      <c r="AG133" s="85" t="n"/>
      <c r="AH133" s="85" t="n"/>
      <c r="AI133" s="85" t="n"/>
      <c r="AJ133" s="85" t="n"/>
      <c r="AK133" s="85" t="n"/>
      <c r="AL133" s="85" t="n"/>
      <c r="AM133" s="85" t="n"/>
      <c r="AN133" s="85" t="n"/>
      <c r="AO133" s="85" t="n"/>
      <c r="AP133" s="85" t="n"/>
      <c r="AQ133" s="85" t="n"/>
      <c r="AR133" s="85" t="n"/>
      <c r="AS133" s="85" t="n"/>
      <c r="AT133" s="85" t="n"/>
      <c r="AU133" s="85" t="n"/>
      <c r="AV133" s="85" t="n"/>
      <c r="AW133" s="44" t="n"/>
      <c r="AX133" s="85" t="n"/>
      <c r="AY133" s="88" t="n"/>
      <c r="AZ133" s="86" t="n"/>
      <c r="BA133" s="44" t="n"/>
      <c r="BB133" s="44" t="n"/>
      <c r="BC133" s="87" t="n"/>
      <c r="BD133" s="44" t="n"/>
      <c r="BE133" s="87" t="n"/>
      <c r="BF133" s="85" t="n"/>
      <c r="BG133" s="44" t="n"/>
      <c r="BH133" s="44" t="n"/>
      <c r="BI133" s="85" t="n"/>
      <c r="BJ133" s="44" t="n"/>
      <c r="BK133" s="45" t="n"/>
      <c r="BL133" s="44" t="n"/>
      <c r="BM133" s="85" t="n"/>
      <c r="BN133" s="44" t="n"/>
      <c r="BO133" s="85" t="n"/>
      <c r="BP133" s="86" t="n"/>
      <c r="BQ133" s="44" t="n"/>
      <c r="BR133" s="50" t="n"/>
      <c r="BS133" s="89" t="n"/>
      <c r="BT133" s="50">
        <f>IF(OR(K133="",L133="",M133=""),"",IF(ABS(ROUND(((ROUND(N(K133)*100,0))-(0))*(100+N(M133))/100,0)-(ROUND(N(L133)*100,0)))&lt;=0+IF(((ROUND(N(K133)*100,0))-(0))*(100+N(M133))/100&lt;&gt;ROUND(((ROUND(N(K133)*100,0))-(0))*(100+N(M133))/100,0),1,0),"OK","ABWEICHUNG"))</f>
        <v/>
      </c>
    </row>
    <row r="134">
      <c r="A134" s="50" t="n"/>
      <c r="B134" s="44" t="n"/>
      <c r="C134" s="44" t="n"/>
      <c r="D134" s="44" t="n"/>
      <c r="E134" s="44" t="n"/>
      <c r="F134" s="44" t="n"/>
      <c r="G134" s="44" t="n"/>
      <c r="H134" s="44" t="n"/>
      <c r="I134" s="45" t="n"/>
      <c r="J134" s="45" t="n"/>
      <c r="K134" s="85" t="n"/>
      <c r="L134" s="85" t="n"/>
      <c r="M134" s="88" t="n"/>
      <c r="N134" s="88" t="n"/>
      <c r="O134" s="44" t="n"/>
      <c r="P134" s="45" t="n"/>
      <c r="Q134" s="45" t="n"/>
      <c r="R134" s="44" t="n"/>
      <c r="S134" s="45" t="n"/>
      <c r="T134" s="45" t="n"/>
      <c r="U134" s="85" t="n"/>
      <c r="V134" s="44" t="n"/>
      <c r="W134" s="45" t="n"/>
      <c r="X134" s="45" t="n"/>
      <c r="Y134" s="44" t="n"/>
      <c r="Z134" s="85" t="n"/>
      <c r="AA134" s="44" t="n"/>
      <c r="AB134" s="44" t="n"/>
      <c r="AC134" s="44" t="n"/>
      <c r="AD134" s="44" t="n"/>
      <c r="AE134" s="44" t="n"/>
      <c r="AF134" s="88" t="n"/>
      <c r="AG134" s="85" t="n"/>
      <c r="AH134" s="85" t="n"/>
      <c r="AI134" s="85" t="n"/>
      <c r="AJ134" s="85" t="n"/>
      <c r="AK134" s="85" t="n"/>
      <c r="AL134" s="85" t="n"/>
      <c r="AM134" s="85" t="n"/>
      <c r="AN134" s="85" t="n"/>
      <c r="AO134" s="85" t="n"/>
      <c r="AP134" s="85" t="n"/>
      <c r="AQ134" s="85" t="n"/>
      <c r="AR134" s="85" t="n"/>
      <c r="AS134" s="85" t="n"/>
      <c r="AT134" s="85" t="n"/>
      <c r="AU134" s="85" t="n"/>
      <c r="AV134" s="85" t="n"/>
      <c r="AW134" s="44" t="n"/>
      <c r="AX134" s="85" t="n"/>
      <c r="AY134" s="88" t="n"/>
      <c r="AZ134" s="86" t="n"/>
      <c r="BA134" s="44" t="n"/>
      <c r="BB134" s="44" t="n"/>
      <c r="BC134" s="87" t="n"/>
      <c r="BD134" s="44" t="n"/>
      <c r="BE134" s="87" t="n"/>
      <c r="BF134" s="85" t="n"/>
      <c r="BG134" s="44" t="n"/>
      <c r="BH134" s="44" t="n"/>
      <c r="BI134" s="85" t="n"/>
      <c r="BJ134" s="44" t="n"/>
      <c r="BK134" s="45" t="n"/>
      <c r="BL134" s="44" t="n"/>
      <c r="BM134" s="85" t="n"/>
      <c r="BN134" s="44" t="n"/>
      <c r="BO134" s="85" t="n"/>
      <c r="BP134" s="86" t="n"/>
      <c r="BQ134" s="44" t="n"/>
      <c r="BR134" s="50" t="n"/>
      <c r="BS134" s="89" t="n"/>
      <c r="BT134" s="50">
        <f>IF(OR(K134="",L134="",M134=""),"",IF(ABS(ROUND(((ROUND(N(K134)*100,0))-(0))*(100+N(M134))/100,0)-(ROUND(N(L134)*100,0)))&lt;=0+IF(((ROUND(N(K134)*100,0))-(0))*(100+N(M134))/100&lt;&gt;ROUND(((ROUND(N(K134)*100,0))-(0))*(100+N(M134))/100,0),1,0),"OK","ABWEICHUNG"))</f>
        <v/>
      </c>
    </row>
    <row r="135">
      <c r="A135" s="50" t="n"/>
      <c r="B135" s="44" t="n"/>
      <c r="C135" s="44" t="n"/>
      <c r="D135" s="44" t="n"/>
      <c r="E135" s="44" t="n"/>
      <c r="F135" s="44" t="n"/>
      <c r="G135" s="44" t="n"/>
      <c r="H135" s="44" t="n"/>
      <c r="I135" s="45" t="n"/>
      <c r="J135" s="45" t="n"/>
      <c r="K135" s="85" t="n"/>
      <c r="L135" s="85" t="n"/>
      <c r="M135" s="88" t="n"/>
      <c r="N135" s="88" t="n"/>
      <c r="O135" s="44" t="n"/>
      <c r="P135" s="45" t="n"/>
      <c r="Q135" s="45" t="n"/>
      <c r="R135" s="44" t="n"/>
      <c r="S135" s="45" t="n"/>
      <c r="T135" s="45" t="n"/>
      <c r="U135" s="85" t="n"/>
      <c r="V135" s="44" t="n"/>
      <c r="W135" s="45" t="n"/>
      <c r="X135" s="45" t="n"/>
      <c r="Y135" s="44" t="n"/>
      <c r="Z135" s="85" t="n"/>
      <c r="AA135" s="44" t="n"/>
      <c r="AB135" s="44" t="n"/>
      <c r="AC135" s="44" t="n"/>
      <c r="AD135" s="44" t="n"/>
      <c r="AE135" s="44" t="n"/>
      <c r="AF135" s="88" t="n"/>
      <c r="AG135" s="85" t="n"/>
      <c r="AH135" s="85" t="n"/>
      <c r="AI135" s="85" t="n"/>
      <c r="AJ135" s="85" t="n"/>
      <c r="AK135" s="85" t="n"/>
      <c r="AL135" s="85" t="n"/>
      <c r="AM135" s="85" t="n"/>
      <c r="AN135" s="85" t="n"/>
      <c r="AO135" s="85" t="n"/>
      <c r="AP135" s="85" t="n"/>
      <c r="AQ135" s="85" t="n"/>
      <c r="AR135" s="85" t="n"/>
      <c r="AS135" s="85" t="n"/>
      <c r="AT135" s="85" t="n"/>
      <c r="AU135" s="85" t="n"/>
      <c r="AV135" s="85" t="n"/>
      <c r="AW135" s="44" t="n"/>
      <c r="AX135" s="85" t="n"/>
      <c r="AY135" s="88" t="n"/>
      <c r="AZ135" s="86" t="n"/>
      <c r="BA135" s="44" t="n"/>
      <c r="BB135" s="44" t="n"/>
      <c r="BC135" s="87" t="n"/>
      <c r="BD135" s="44" t="n"/>
      <c r="BE135" s="87" t="n"/>
      <c r="BF135" s="85" t="n"/>
      <c r="BG135" s="44" t="n"/>
      <c r="BH135" s="44" t="n"/>
      <c r="BI135" s="85" t="n"/>
      <c r="BJ135" s="44" t="n"/>
      <c r="BK135" s="45" t="n"/>
      <c r="BL135" s="44" t="n"/>
      <c r="BM135" s="85" t="n"/>
      <c r="BN135" s="44" t="n"/>
      <c r="BO135" s="85" t="n"/>
      <c r="BP135" s="86" t="n"/>
      <c r="BQ135" s="44" t="n"/>
      <c r="BR135" s="50" t="n"/>
      <c r="BS135" s="89" t="n"/>
      <c r="BT135" s="50">
        <f>IF(OR(K135="",L135="",M135=""),"",IF(ABS(ROUND(((ROUND(N(K135)*100,0))-(0))*(100+N(M135))/100,0)-(ROUND(N(L135)*100,0)))&lt;=0+IF(((ROUND(N(K135)*100,0))-(0))*(100+N(M135))/100&lt;&gt;ROUND(((ROUND(N(K135)*100,0))-(0))*(100+N(M135))/100,0),1,0),"OK","ABWEICHUNG"))</f>
        <v/>
      </c>
    </row>
    <row r="136">
      <c r="A136" s="50" t="n"/>
      <c r="B136" s="44" t="n"/>
      <c r="C136" s="44" t="n"/>
      <c r="D136" s="44" t="n"/>
      <c r="E136" s="44" t="n"/>
      <c r="F136" s="44" t="n"/>
      <c r="G136" s="44" t="n"/>
      <c r="H136" s="44" t="n"/>
      <c r="I136" s="45" t="n"/>
      <c r="J136" s="45" t="n"/>
      <c r="K136" s="85" t="n"/>
      <c r="L136" s="85" t="n"/>
      <c r="M136" s="88" t="n"/>
      <c r="N136" s="88" t="n"/>
      <c r="O136" s="44" t="n"/>
      <c r="P136" s="45" t="n"/>
      <c r="Q136" s="45" t="n"/>
      <c r="R136" s="44" t="n"/>
      <c r="S136" s="45" t="n"/>
      <c r="T136" s="45" t="n"/>
      <c r="U136" s="85" t="n"/>
      <c r="V136" s="44" t="n"/>
      <c r="W136" s="45" t="n"/>
      <c r="X136" s="45" t="n"/>
      <c r="Y136" s="44" t="n"/>
      <c r="Z136" s="85" t="n"/>
      <c r="AA136" s="44" t="n"/>
      <c r="AB136" s="44" t="n"/>
      <c r="AC136" s="44" t="n"/>
      <c r="AD136" s="44" t="n"/>
      <c r="AE136" s="44" t="n"/>
      <c r="AF136" s="88" t="n"/>
      <c r="AG136" s="85" t="n"/>
      <c r="AH136" s="85" t="n"/>
      <c r="AI136" s="85" t="n"/>
      <c r="AJ136" s="85" t="n"/>
      <c r="AK136" s="85" t="n"/>
      <c r="AL136" s="85" t="n"/>
      <c r="AM136" s="85" t="n"/>
      <c r="AN136" s="85" t="n"/>
      <c r="AO136" s="85" t="n"/>
      <c r="AP136" s="85" t="n"/>
      <c r="AQ136" s="85" t="n"/>
      <c r="AR136" s="85" t="n"/>
      <c r="AS136" s="85" t="n"/>
      <c r="AT136" s="85" t="n"/>
      <c r="AU136" s="85" t="n"/>
      <c r="AV136" s="85" t="n"/>
      <c r="AW136" s="44" t="n"/>
      <c r="AX136" s="85" t="n"/>
      <c r="AY136" s="88" t="n"/>
      <c r="AZ136" s="86" t="n"/>
      <c r="BA136" s="44" t="n"/>
      <c r="BB136" s="44" t="n"/>
      <c r="BC136" s="87" t="n"/>
      <c r="BD136" s="44" t="n"/>
      <c r="BE136" s="87" t="n"/>
      <c r="BF136" s="85" t="n"/>
      <c r="BG136" s="44" t="n"/>
      <c r="BH136" s="44" t="n"/>
      <c r="BI136" s="85" t="n"/>
      <c r="BJ136" s="44" t="n"/>
      <c r="BK136" s="45" t="n"/>
      <c r="BL136" s="44" t="n"/>
      <c r="BM136" s="85" t="n"/>
      <c r="BN136" s="44" t="n"/>
      <c r="BO136" s="85" t="n"/>
      <c r="BP136" s="86" t="n"/>
      <c r="BQ136" s="44" t="n"/>
      <c r="BR136" s="50" t="n"/>
      <c r="BS136" s="89" t="n"/>
      <c r="BT136" s="50">
        <f>IF(OR(K136="",L136="",M136=""),"",IF(ABS(ROUND(((ROUND(N(K136)*100,0))-(0))*(100+N(M136))/100,0)-(ROUND(N(L136)*100,0)))&lt;=0+IF(((ROUND(N(K136)*100,0))-(0))*(100+N(M136))/100&lt;&gt;ROUND(((ROUND(N(K136)*100,0))-(0))*(100+N(M136))/100,0),1,0),"OK","ABWEICHUNG"))</f>
        <v/>
      </c>
    </row>
    <row r="137">
      <c r="A137" s="50" t="n"/>
      <c r="B137" s="44" t="n"/>
      <c r="C137" s="44" t="n"/>
      <c r="D137" s="44" t="n"/>
      <c r="E137" s="44" t="n"/>
      <c r="F137" s="44" t="n"/>
      <c r="G137" s="44" t="n"/>
      <c r="H137" s="44" t="n"/>
      <c r="I137" s="45" t="n"/>
      <c r="J137" s="45" t="n"/>
      <c r="K137" s="85" t="n"/>
      <c r="L137" s="85" t="n"/>
      <c r="M137" s="88" t="n"/>
      <c r="N137" s="88" t="n"/>
      <c r="O137" s="44" t="n"/>
      <c r="P137" s="45" t="n"/>
      <c r="Q137" s="45" t="n"/>
      <c r="R137" s="44" t="n"/>
      <c r="S137" s="45" t="n"/>
      <c r="T137" s="45" t="n"/>
      <c r="U137" s="85" t="n"/>
      <c r="V137" s="44" t="n"/>
      <c r="W137" s="45" t="n"/>
      <c r="X137" s="45" t="n"/>
      <c r="Y137" s="44" t="n"/>
      <c r="Z137" s="85" t="n"/>
      <c r="AA137" s="44" t="n"/>
      <c r="AB137" s="44" t="n"/>
      <c r="AC137" s="44" t="n"/>
      <c r="AD137" s="44" t="n"/>
      <c r="AE137" s="44" t="n"/>
      <c r="AF137" s="88" t="n"/>
      <c r="AG137" s="85" t="n"/>
      <c r="AH137" s="85" t="n"/>
      <c r="AI137" s="85" t="n"/>
      <c r="AJ137" s="85" t="n"/>
      <c r="AK137" s="85" t="n"/>
      <c r="AL137" s="85" t="n"/>
      <c r="AM137" s="85" t="n"/>
      <c r="AN137" s="85" t="n"/>
      <c r="AO137" s="85" t="n"/>
      <c r="AP137" s="85" t="n"/>
      <c r="AQ137" s="85" t="n"/>
      <c r="AR137" s="85" t="n"/>
      <c r="AS137" s="85" t="n"/>
      <c r="AT137" s="85" t="n"/>
      <c r="AU137" s="85" t="n"/>
      <c r="AV137" s="85" t="n"/>
      <c r="AW137" s="44" t="n"/>
      <c r="AX137" s="85" t="n"/>
      <c r="AY137" s="88" t="n"/>
      <c r="AZ137" s="86" t="n"/>
      <c r="BA137" s="44" t="n"/>
      <c r="BB137" s="44" t="n"/>
      <c r="BC137" s="87" t="n"/>
      <c r="BD137" s="44" t="n"/>
      <c r="BE137" s="87" t="n"/>
      <c r="BF137" s="85" t="n"/>
      <c r="BG137" s="44" t="n"/>
      <c r="BH137" s="44" t="n"/>
      <c r="BI137" s="85" t="n"/>
      <c r="BJ137" s="44" t="n"/>
      <c r="BK137" s="45" t="n"/>
      <c r="BL137" s="44" t="n"/>
      <c r="BM137" s="85" t="n"/>
      <c r="BN137" s="44" t="n"/>
      <c r="BO137" s="85" t="n"/>
      <c r="BP137" s="86" t="n"/>
      <c r="BQ137" s="44" t="n"/>
      <c r="BR137" s="50" t="n"/>
      <c r="BS137" s="89" t="n"/>
      <c r="BT137" s="50">
        <f>IF(OR(K137="",L137="",M137=""),"",IF(ABS(ROUND(((ROUND(N(K137)*100,0))-(0))*(100+N(M137))/100,0)-(ROUND(N(L137)*100,0)))&lt;=0+IF(((ROUND(N(K137)*100,0))-(0))*(100+N(M137))/100&lt;&gt;ROUND(((ROUND(N(K137)*100,0))-(0))*(100+N(M137))/100,0),1,0),"OK","ABWEICHUNG"))</f>
        <v/>
      </c>
    </row>
    <row r="138">
      <c r="A138" s="50" t="n"/>
      <c r="B138" s="44" t="n"/>
      <c r="C138" s="44" t="n"/>
      <c r="D138" s="44" t="n"/>
      <c r="E138" s="44" t="n"/>
      <c r="F138" s="44" t="n"/>
      <c r="G138" s="44" t="n"/>
      <c r="H138" s="44" t="n"/>
      <c r="I138" s="45" t="n"/>
      <c r="J138" s="45" t="n"/>
      <c r="K138" s="85" t="n"/>
      <c r="L138" s="85" t="n"/>
      <c r="M138" s="88" t="n"/>
      <c r="N138" s="88" t="n"/>
      <c r="O138" s="44" t="n"/>
      <c r="P138" s="45" t="n"/>
      <c r="Q138" s="45" t="n"/>
      <c r="R138" s="44" t="n"/>
      <c r="S138" s="45" t="n"/>
      <c r="T138" s="45" t="n"/>
      <c r="U138" s="85" t="n"/>
      <c r="V138" s="44" t="n"/>
      <c r="W138" s="45" t="n"/>
      <c r="X138" s="45" t="n"/>
      <c r="Y138" s="44" t="n"/>
      <c r="Z138" s="85" t="n"/>
      <c r="AA138" s="44" t="n"/>
      <c r="AB138" s="44" t="n"/>
      <c r="AC138" s="44" t="n"/>
      <c r="AD138" s="44" t="n"/>
      <c r="AE138" s="44" t="n"/>
      <c r="AF138" s="88" t="n"/>
      <c r="AG138" s="85" t="n"/>
      <c r="AH138" s="85" t="n"/>
      <c r="AI138" s="85" t="n"/>
      <c r="AJ138" s="85" t="n"/>
      <c r="AK138" s="85" t="n"/>
      <c r="AL138" s="85" t="n"/>
      <c r="AM138" s="85" t="n"/>
      <c r="AN138" s="85" t="n"/>
      <c r="AO138" s="85" t="n"/>
      <c r="AP138" s="85" t="n"/>
      <c r="AQ138" s="85" t="n"/>
      <c r="AR138" s="85" t="n"/>
      <c r="AS138" s="85" t="n"/>
      <c r="AT138" s="85" t="n"/>
      <c r="AU138" s="85" t="n"/>
      <c r="AV138" s="85" t="n"/>
      <c r="AW138" s="44" t="n"/>
      <c r="AX138" s="85" t="n"/>
      <c r="AY138" s="88" t="n"/>
      <c r="AZ138" s="86" t="n"/>
      <c r="BA138" s="44" t="n"/>
      <c r="BB138" s="44" t="n"/>
      <c r="BC138" s="87" t="n"/>
      <c r="BD138" s="44" t="n"/>
      <c r="BE138" s="87" t="n"/>
      <c r="BF138" s="85" t="n"/>
      <c r="BG138" s="44" t="n"/>
      <c r="BH138" s="44" t="n"/>
      <c r="BI138" s="85" t="n"/>
      <c r="BJ138" s="44" t="n"/>
      <c r="BK138" s="45" t="n"/>
      <c r="BL138" s="44" t="n"/>
      <c r="BM138" s="85" t="n"/>
      <c r="BN138" s="44" t="n"/>
      <c r="BO138" s="85" t="n"/>
      <c r="BP138" s="86" t="n"/>
      <c r="BQ138" s="44" t="n"/>
      <c r="BR138" s="50" t="n"/>
      <c r="BS138" s="89" t="n"/>
      <c r="BT138" s="50">
        <f>IF(OR(K138="",L138="",M138=""),"",IF(ABS(ROUND(((ROUND(N(K138)*100,0))-(0))*(100+N(M138))/100,0)-(ROUND(N(L138)*100,0)))&lt;=0+IF(((ROUND(N(K138)*100,0))-(0))*(100+N(M138))/100&lt;&gt;ROUND(((ROUND(N(K138)*100,0))-(0))*(100+N(M138))/100,0),1,0),"OK","ABWEICHUNG"))</f>
        <v/>
      </c>
    </row>
    <row r="139">
      <c r="A139" s="50" t="n"/>
      <c r="B139" s="44" t="n"/>
      <c r="C139" s="44" t="n"/>
      <c r="D139" s="44" t="n"/>
      <c r="E139" s="44" t="n"/>
      <c r="F139" s="44" t="n"/>
      <c r="G139" s="44" t="n"/>
      <c r="H139" s="44" t="n"/>
      <c r="I139" s="45" t="n"/>
      <c r="J139" s="45" t="n"/>
      <c r="K139" s="85" t="n"/>
      <c r="L139" s="85" t="n"/>
      <c r="M139" s="88" t="n"/>
      <c r="N139" s="88" t="n"/>
      <c r="O139" s="44" t="n"/>
      <c r="P139" s="45" t="n"/>
      <c r="Q139" s="45" t="n"/>
      <c r="R139" s="44" t="n"/>
      <c r="S139" s="45" t="n"/>
      <c r="T139" s="45" t="n"/>
      <c r="U139" s="85" t="n"/>
      <c r="V139" s="44" t="n"/>
      <c r="W139" s="45" t="n"/>
      <c r="X139" s="45" t="n"/>
      <c r="Y139" s="44" t="n"/>
      <c r="Z139" s="85" t="n"/>
      <c r="AA139" s="44" t="n"/>
      <c r="AB139" s="44" t="n"/>
      <c r="AC139" s="44" t="n"/>
      <c r="AD139" s="44" t="n"/>
      <c r="AE139" s="44" t="n"/>
      <c r="AF139" s="88" t="n"/>
      <c r="AG139" s="85" t="n"/>
      <c r="AH139" s="85" t="n"/>
      <c r="AI139" s="85" t="n"/>
      <c r="AJ139" s="85" t="n"/>
      <c r="AK139" s="85" t="n"/>
      <c r="AL139" s="85" t="n"/>
      <c r="AM139" s="85" t="n"/>
      <c r="AN139" s="85" t="n"/>
      <c r="AO139" s="85" t="n"/>
      <c r="AP139" s="85" t="n"/>
      <c r="AQ139" s="85" t="n"/>
      <c r="AR139" s="85" t="n"/>
      <c r="AS139" s="85" t="n"/>
      <c r="AT139" s="85" t="n"/>
      <c r="AU139" s="85" t="n"/>
      <c r="AV139" s="85" t="n"/>
      <c r="AW139" s="44" t="n"/>
      <c r="AX139" s="85" t="n"/>
      <c r="AY139" s="88" t="n"/>
      <c r="AZ139" s="86" t="n"/>
      <c r="BA139" s="44" t="n"/>
      <c r="BB139" s="44" t="n"/>
      <c r="BC139" s="87" t="n"/>
      <c r="BD139" s="44" t="n"/>
      <c r="BE139" s="87" t="n"/>
      <c r="BF139" s="85" t="n"/>
      <c r="BG139" s="44" t="n"/>
      <c r="BH139" s="44" t="n"/>
      <c r="BI139" s="85" t="n"/>
      <c r="BJ139" s="44" t="n"/>
      <c r="BK139" s="45" t="n"/>
      <c r="BL139" s="44" t="n"/>
      <c r="BM139" s="85" t="n"/>
      <c r="BN139" s="44" t="n"/>
      <c r="BO139" s="85" t="n"/>
      <c r="BP139" s="86" t="n"/>
      <c r="BQ139" s="44" t="n"/>
      <c r="BR139" s="50" t="n"/>
      <c r="BS139" s="89" t="n"/>
      <c r="BT139" s="50">
        <f>IF(OR(K139="",L139="",M139=""),"",IF(ABS(ROUND(((ROUND(N(K139)*100,0))-(0))*(100+N(M139))/100,0)-(ROUND(N(L139)*100,0)))&lt;=0+IF(((ROUND(N(K139)*100,0))-(0))*(100+N(M139))/100&lt;&gt;ROUND(((ROUND(N(K139)*100,0))-(0))*(100+N(M139))/100,0),1,0),"OK","ABWEICHUNG"))</f>
        <v/>
      </c>
    </row>
    <row r="140">
      <c r="A140" s="50" t="n"/>
      <c r="B140" s="44" t="n"/>
      <c r="C140" s="44" t="n"/>
      <c r="D140" s="44" t="n"/>
      <c r="E140" s="44" t="n"/>
      <c r="F140" s="44" t="n"/>
      <c r="G140" s="44" t="n"/>
      <c r="H140" s="44" t="n"/>
      <c r="I140" s="45" t="n"/>
      <c r="J140" s="45" t="n"/>
      <c r="K140" s="85" t="n"/>
      <c r="L140" s="85" t="n"/>
      <c r="M140" s="88" t="n"/>
      <c r="N140" s="88" t="n"/>
      <c r="O140" s="44" t="n"/>
      <c r="P140" s="45" t="n"/>
      <c r="Q140" s="45" t="n"/>
      <c r="R140" s="44" t="n"/>
      <c r="S140" s="45" t="n"/>
      <c r="T140" s="45" t="n"/>
      <c r="U140" s="85" t="n"/>
      <c r="V140" s="44" t="n"/>
      <c r="W140" s="45" t="n"/>
      <c r="X140" s="45" t="n"/>
      <c r="Y140" s="44" t="n"/>
      <c r="Z140" s="85" t="n"/>
      <c r="AA140" s="44" t="n"/>
      <c r="AB140" s="44" t="n"/>
      <c r="AC140" s="44" t="n"/>
      <c r="AD140" s="44" t="n"/>
      <c r="AE140" s="44" t="n"/>
      <c r="AF140" s="88" t="n"/>
      <c r="AG140" s="85" t="n"/>
      <c r="AH140" s="85" t="n"/>
      <c r="AI140" s="85" t="n"/>
      <c r="AJ140" s="85" t="n"/>
      <c r="AK140" s="85" t="n"/>
      <c r="AL140" s="85" t="n"/>
      <c r="AM140" s="85" t="n"/>
      <c r="AN140" s="85" t="n"/>
      <c r="AO140" s="85" t="n"/>
      <c r="AP140" s="85" t="n"/>
      <c r="AQ140" s="85" t="n"/>
      <c r="AR140" s="85" t="n"/>
      <c r="AS140" s="85" t="n"/>
      <c r="AT140" s="85" t="n"/>
      <c r="AU140" s="85" t="n"/>
      <c r="AV140" s="85" t="n"/>
      <c r="AW140" s="44" t="n"/>
      <c r="AX140" s="85" t="n"/>
      <c r="AY140" s="88" t="n"/>
      <c r="AZ140" s="86" t="n"/>
      <c r="BA140" s="44" t="n"/>
      <c r="BB140" s="44" t="n"/>
      <c r="BC140" s="87" t="n"/>
      <c r="BD140" s="44" t="n"/>
      <c r="BE140" s="87" t="n"/>
      <c r="BF140" s="85" t="n"/>
      <c r="BG140" s="44" t="n"/>
      <c r="BH140" s="44" t="n"/>
      <c r="BI140" s="85" t="n"/>
      <c r="BJ140" s="44" t="n"/>
      <c r="BK140" s="45" t="n"/>
      <c r="BL140" s="44" t="n"/>
      <c r="BM140" s="85" t="n"/>
      <c r="BN140" s="44" t="n"/>
      <c r="BO140" s="85" t="n"/>
      <c r="BP140" s="86" t="n"/>
      <c r="BQ140" s="44" t="n"/>
      <c r="BR140" s="50" t="n"/>
      <c r="BS140" s="89" t="n"/>
      <c r="BT140" s="50">
        <f>IF(OR(K140="",L140="",M140=""),"",IF(ABS(ROUND(((ROUND(N(K140)*100,0))-(0))*(100+N(M140))/100,0)-(ROUND(N(L140)*100,0)))&lt;=0+IF(((ROUND(N(K140)*100,0))-(0))*(100+N(M140))/100&lt;&gt;ROUND(((ROUND(N(K140)*100,0))-(0))*(100+N(M140))/100,0),1,0),"OK","ABWEICHUNG"))</f>
        <v/>
      </c>
    </row>
    <row r="141">
      <c r="A141" s="50" t="n"/>
      <c r="B141" s="44" t="n"/>
      <c r="C141" s="44" t="n"/>
      <c r="D141" s="44" t="n"/>
      <c r="E141" s="44" t="n"/>
      <c r="F141" s="44" t="n"/>
      <c r="G141" s="44" t="n"/>
      <c r="H141" s="44" t="n"/>
      <c r="I141" s="45" t="n"/>
      <c r="J141" s="45" t="n"/>
      <c r="K141" s="85" t="n"/>
      <c r="L141" s="85" t="n"/>
      <c r="M141" s="88" t="n"/>
      <c r="N141" s="88" t="n"/>
      <c r="O141" s="44" t="n"/>
      <c r="P141" s="45" t="n"/>
      <c r="Q141" s="45" t="n"/>
      <c r="R141" s="44" t="n"/>
      <c r="S141" s="45" t="n"/>
      <c r="T141" s="45" t="n"/>
      <c r="U141" s="85" t="n"/>
      <c r="V141" s="44" t="n"/>
      <c r="W141" s="45" t="n"/>
      <c r="X141" s="45" t="n"/>
      <c r="Y141" s="44" t="n"/>
      <c r="Z141" s="85" t="n"/>
      <c r="AA141" s="44" t="n"/>
      <c r="AB141" s="44" t="n"/>
      <c r="AC141" s="44" t="n"/>
      <c r="AD141" s="44" t="n"/>
      <c r="AE141" s="44" t="n"/>
      <c r="AF141" s="88" t="n"/>
      <c r="AG141" s="85" t="n"/>
      <c r="AH141" s="85" t="n"/>
      <c r="AI141" s="85" t="n"/>
      <c r="AJ141" s="85" t="n"/>
      <c r="AK141" s="85" t="n"/>
      <c r="AL141" s="85" t="n"/>
      <c r="AM141" s="85" t="n"/>
      <c r="AN141" s="85" t="n"/>
      <c r="AO141" s="85" t="n"/>
      <c r="AP141" s="85" t="n"/>
      <c r="AQ141" s="85" t="n"/>
      <c r="AR141" s="85" t="n"/>
      <c r="AS141" s="85" t="n"/>
      <c r="AT141" s="85" t="n"/>
      <c r="AU141" s="85" t="n"/>
      <c r="AV141" s="85" t="n"/>
      <c r="AW141" s="44" t="n"/>
      <c r="AX141" s="85" t="n"/>
      <c r="AY141" s="88" t="n"/>
      <c r="AZ141" s="86" t="n"/>
      <c r="BA141" s="44" t="n"/>
      <c r="BB141" s="44" t="n"/>
      <c r="BC141" s="87" t="n"/>
      <c r="BD141" s="44" t="n"/>
      <c r="BE141" s="87" t="n"/>
      <c r="BF141" s="85" t="n"/>
      <c r="BG141" s="44" t="n"/>
      <c r="BH141" s="44" t="n"/>
      <c r="BI141" s="85" t="n"/>
      <c r="BJ141" s="44" t="n"/>
      <c r="BK141" s="45" t="n"/>
      <c r="BL141" s="44" t="n"/>
      <c r="BM141" s="85" t="n"/>
      <c r="BN141" s="44" t="n"/>
      <c r="BO141" s="85" t="n"/>
      <c r="BP141" s="86" t="n"/>
      <c r="BQ141" s="44" t="n"/>
      <c r="BR141" s="50" t="n"/>
      <c r="BS141" s="89" t="n"/>
      <c r="BT141" s="50">
        <f>IF(OR(K141="",L141="",M141=""),"",IF(ABS(ROUND(((ROUND(N(K141)*100,0))-(0))*(100+N(M141))/100,0)-(ROUND(N(L141)*100,0)))&lt;=0+IF(((ROUND(N(K141)*100,0))-(0))*(100+N(M141))/100&lt;&gt;ROUND(((ROUND(N(K141)*100,0))-(0))*(100+N(M141))/100,0),1,0),"OK","ABWEICHUNG"))</f>
        <v/>
      </c>
    </row>
    <row r="142">
      <c r="A142" s="50" t="n"/>
      <c r="B142" s="44" t="n"/>
      <c r="C142" s="44" t="n"/>
      <c r="D142" s="44" t="n"/>
      <c r="E142" s="44" t="n"/>
      <c r="F142" s="44" t="n"/>
      <c r="G142" s="44" t="n"/>
      <c r="H142" s="44" t="n"/>
      <c r="I142" s="45" t="n"/>
      <c r="J142" s="45" t="n"/>
      <c r="K142" s="85" t="n"/>
      <c r="L142" s="85" t="n"/>
      <c r="M142" s="88" t="n"/>
      <c r="N142" s="88" t="n"/>
      <c r="O142" s="44" t="n"/>
      <c r="P142" s="45" t="n"/>
      <c r="Q142" s="45" t="n"/>
      <c r="R142" s="44" t="n"/>
      <c r="S142" s="45" t="n"/>
      <c r="T142" s="45" t="n"/>
      <c r="U142" s="85" t="n"/>
      <c r="V142" s="44" t="n"/>
      <c r="W142" s="45" t="n"/>
      <c r="X142" s="45" t="n"/>
      <c r="Y142" s="44" t="n"/>
      <c r="Z142" s="85" t="n"/>
      <c r="AA142" s="44" t="n"/>
      <c r="AB142" s="44" t="n"/>
      <c r="AC142" s="44" t="n"/>
      <c r="AD142" s="44" t="n"/>
      <c r="AE142" s="44" t="n"/>
      <c r="AF142" s="88" t="n"/>
      <c r="AG142" s="85" t="n"/>
      <c r="AH142" s="85" t="n"/>
      <c r="AI142" s="85" t="n"/>
      <c r="AJ142" s="85" t="n"/>
      <c r="AK142" s="85" t="n"/>
      <c r="AL142" s="85" t="n"/>
      <c r="AM142" s="85" t="n"/>
      <c r="AN142" s="85" t="n"/>
      <c r="AO142" s="85" t="n"/>
      <c r="AP142" s="85" t="n"/>
      <c r="AQ142" s="85" t="n"/>
      <c r="AR142" s="85" t="n"/>
      <c r="AS142" s="85" t="n"/>
      <c r="AT142" s="85" t="n"/>
      <c r="AU142" s="85" t="n"/>
      <c r="AV142" s="85" t="n"/>
      <c r="AW142" s="44" t="n"/>
      <c r="AX142" s="85" t="n"/>
      <c r="AY142" s="88" t="n"/>
      <c r="AZ142" s="86" t="n"/>
      <c r="BA142" s="44" t="n"/>
      <c r="BB142" s="44" t="n"/>
      <c r="BC142" s="87" t="n"/>
      <c r="BD142" s="44" t="n"/>
      <c r="BE142" s="87" t="n"/>
      <c r="BF142" s="85" t="n"/>
      <c r="BG142" s="44" t="n"/>
      <c r="BH142" s="44" t="n"/>
      <c r="BI142" s="85" t="n"/>
      <c r="BJ142" s="44" t="n"/>
      <c r="BK142" s="45" t="n"/>
      <c r="BL142" s="44" t="n"/>
      <c r="BM142" s="85" t="n"/>
      <c r="BN142" s="44" t="n"/>
      <c r="BO142" s="85" t="n"/>
      <c r="BP142" s="86" t="n"/>
      <c r="BQ142" s="44" t="n"/>
      <c r="BR142" s="50" t="n"/>
      <c r="BS142" s="89" t="n"/>
      <c r="BT142" s="50">
        <f>IF(OR(K142="",L142="",M142=""),"",IF(ABS(ROUND(((ROUND(N(K142)*100,0))-(0))*(100+N(M142))/100,0)-(ROUND(N(L142)*100,0)))&lt;=0+IF(((ROUND(N(K142)*100,0))-(0))*(100+N(M142))/100&lt;&gt;ROUND(((ROUND(N(K142)*100,0))-(0))*(100+N(M142))/100,0),1,0),"OK","ABWEICHUNG"))</f>
        <v/>
      </c>
    </row>
    <row r="143">
      <c r="A143" s="50" t="n"/>
      <c r="B143" s="44" t="n"/>
      <c r="C143" s="44" t="n"/>
      <c r="D143" s="44" t="n"/>
      <c r="E143" s="44" t="n"/>
      <c r="F143" s="44" t="n"/>
      <c r="G143" s="44" t="n"/>
      <c r="H143" s="44" t="n"/>
      <c r="I143" s="45" t="n"/>
      <c r="J143" s="45" t="n"/>
      <c r="K143" s="85" t="n"/>
      <c r="L143" s="85" t="n"/>
      <c r="M143" s="88" t="n"/>
      <c r="N143" s="88" t="n"/>
      <c r="O143" s="44" t="n"/>
      <c r="P143" s="45" t="n"/>
      <c r="Q143" s="45" t="n"/>
      <c r="R143" s="44" t="n"/>
      <c r="S143" s="45" t="n"/>
      <c r="T143" s="45" t="n"/>
      <c r="U143" s="85" t="n"/>
      <c r="V143" s="44" t="n"/>
      <c r="W143" s="45" t="n"/>
      <c r="X143" s="45" t="n"/>
      <c r="Y143" s="44" t="n"/>
      <c r="Z143" s="85" t="n"/>
      <c r="AA143" s="44" t="n"/>
      <c r="AB143" s="44" t="n"/>
      <c r="AC143" s="44" t="n"/>
      <c r="AD143" s="44" t="n"/>
      <c r="AE143" s="44" t="n"/>
      <c r="AF143" s="88" t="n"/>
      <c r="AG143" s="85" t="n"/>
      <c r="AH143" s="85" t="n"/>
      <c r="AI143" s="85" t="n"/>
      <c r="AJ143" s="85" t="n"/>
      <c r="AK143" s="85" t="n"/>
      <c r="AL143" s="85" t="n"/>
      <c r="AM143" s="85" t="n"/>
      <c r="AN143" s="85" t="n"/>
      <c r="AO143" s="85" t="n"/>
      <c r="AP143" s="85" t="n"/>
      <c r="AQ143" s="85" t="n"/>
      <c r="AR143" s="85" t="n"/>
      <c r="AS143" s="85" t="n"/>
      <c r="AT143" s="85" t="n"/>
      <c r="AU143" s="85" t="n"/>
      <c r="AV143" s="85" t="n"/>
      <c r="AW143" s="44" t="n"/>
      <c r="AX143" s="85" t="n"/>
      <c r="AY143" s="88" t="n"/>
      <c r="AZ143" s="86" t="n"/>
      <c r="BA143" s="44" t="n"/>
      <c r="BB143" s="44" t="n"/>
      <c r="BC143" s="87" t="n"/>
      <c r="BD143" s="44" t="n"/>
      <c r="BE143" s="87" t="n"/>
      <c r="BF143" s="85" t="n"/>
      <c r="BG143" s="44" t="n"/>
      <c r="BH143" s="44" t="n"/>
      <c r="BI143" s="85" t="n"/>
      <c r="BJ143" s="44" t="n"/>
      <c r="BK143" s="45" t="n"/>
      <c r="BL143" s="44" t="n"/>
      <c r="BM143" s="85" t="n"/>
      <c r="BN143" s="44" t="n"/>
      <c r="BO143" s="85" t="n"/>
      <c r="BP143" s="86" t="n"/>
      <c r="BQ143" s="44" t="n"/>
      <c r="BR143" s="50" t="n"/>
      <c r="BS143" s="89" t="n"/>
      <c r="BT143" s="50">
        <f>IF(OR(K143="",L143="",M143=""),"",IF(ABS(ROUND(((ROUND(N(K143)*100,0))-(0))*(100+N(M143))/100,0)-(ROUND(N(L143)*100,0)))&lt;=0+IF(((ROUND(N(K143)*100,0))-(0))*(100+N(M143))/100&lt;&gt;ROUND(((ROUND(N(K143)*100,0))-(0))*(100+N(M143))/100,0),1,0),"OK","ABWEICHUNG"))</f>
        <v/>
      </c>
    </row>
    <row r="144">
      <c r="A144" s="50" t="n"/>
      <c r="B144" s="44" t="n"/>
      <c r="C144" s="44" t="n"/>
      <c r="D144" s="44" t="n"/>
      <c r="E144" s="44" t="n"/>
      <c r="F144" s="44" t="n"/>
      <c r="G144" s="44" t="n"/>
      <c r="H144" s="44" t="n"/>
      <c r="I144" s="45" t="n"/>
      <c r="J144" s="45" t="n"/>
      <c r="K144" s="85" t="n"/>
      <c r="L144" s="85" t="n"/>
      <c r="M144" s="88" t="n"/>
      <c r="N144" s="88" t="n"/>
      <c r="O144" s="44" t="n"/>
      <c r="P144" s="45" t="n"/>
      <c r="Q144" s="45" t="n"/>
      <c r="R144" s="44" t="n"/>
      <c r="S144" s="45" t="n"/>
      <c r="T144" s="45" t="n"/>
      <c r="U144" s="85" t="n"/>
      <c r="V144" s="44" t="n"/>
      <c r="W144" s="45" t="n"/>
      <c r="X144" s="45" t="n"/>
      <c r="Y144" s="44" t="n"/>
      <c r="Z144" s="85" t="n"/>
      <c r="AA144" s="44" t="n"/>
      <c r="AB144" s="44" t="n"/>
      <c r="AC144" s="44" t="n"/>
      <c r="AD144" s="44" t="n"/>
      <c r="AE144" s="44" t="n"/>
      <c r="AF144" s="88" t="n"/>
      <c r="AG144" s="85" t="n"/>
      <c r="AH144" s="85" t="n"/>
      <c r="AI144" s="85" t="n"/>
      <c r="AJ144" s="85" t="n"/>
      <c r="AK144" s="85" t="n"/>
      <c r="AL144" s="85" t="n"/>
      <c r="AM144" s="85" t="n"/>
      <c r="AN144" s="85" t="n"/>
      <c r="AO144" s="85" t="n"/>
      <c r="AP144" s="85" t="n"/>
      <c r="AQ144" s="85" t="n"/>
      <c r="AR144" s="85" t="n"/>
      <c r="AS144" s="85" t="n"/>
      <c r="AT144" s="85" t="n"/>
      <c r="AU144" s="85" t="n"/>
      <c r="AV144" s="85" t="n"/>
      <c r="AW144" s="44" t="n"/>
      <c r="AX144" s="85" t="n"/>
      <c r="AY144" s="88" t="n"/>
      <c r="AZ144" s="86" t="n"/>
      <c r="BA144" s="44" t="n"/>
      <c r="BB144" s="44" t="n"/>
      <c r="BC144" s="87" t="n"/>
      <c r="BD144" s="44" t="n"/>
      <c r="BE144" s="87" t="n"/>
      <c r="BF144" s="85" t="n"/>
      <c r="BG144" s="44" t="n"/>
      <c r="BH144" s="44" t="n"/>
      <c r="BI144" s="85" t="n"/>
      <c r="BJ144" s="44" t="n"/>
      <c r="BK144" s="45" t="n"/>
      <c r="BL144" s="44" t="n"/>
      <c r="BM144" s="85" t="n"/>
      <c r="BN144" s="44" t="n"/>
      <c r="BO144" s="85" t="n"/>
      <c r="BP144" s="86" t="n"/>
      <c r="BQ144" s="44" t="n"/>
      <c r="BR144" s="50" t="n"/>
      <c r="BS144" s="89" t="n"/>
      <c r="BT144" s="50">
        <f>IF(OR(K144="",L144="",M144=""),"",IF(ABS(ROUND(((ROUND(N(K144)*100,0))-(0))*(100+N(M144))/100,0)-(ROUND(N(L144)*100,0)))&lt;=0+IF(((ROUND(N(K144)*100,0))-(0))*(100+N(M144))/100&lt;&gt;ROUND(((ROUND(N(K144)*100,0))-(0))*(100+N(M144))/100,0),1,0),"OK","ABWEICHUNG"))</f>
        <v/>
      </c>
    </row>
    <row r="145">
      <c r="A145" s="50" t="n"/>
      <c r="B145" s="44" t="n"/>
      <c r="C145" s="44" t="n"/>
      <c r="D145" s="44" t="n"/>
      <c r="E145" s="44" t="n"/>
      <c r="F145" s="44" t="n"/>
      <c r="G145" s="44" t="n"/>
      <c r="H145" s="44" t="n"/>
      <c r="I145" s="45" t="n"/>
      <c r="J145" s="45" t="n"/>
      <c r="K145" s="85" t="n"/>
      <c r="L145" s="85" t="n"/>
      <c r="M145" s="88" t="n"/>
      <c r="N145" s="88" t="n"/>
      <c r="O145" s="44" t="n"/>
      <c r="P145" s="45" t="n"/>
      <c r="Q145" s="45" t="n"/>
      <c r="R145" s="44" t="n"/>
      <c r="S145" s="45" t="n"/>
      <c r="T145" s="45" t="n"/>
      <c r="U145" s="85" t="n"/>
      <c r="V145" s="44" t="n"/>
      <c r="W145" s="45" t="n"/>
      <c r="X145" s="45" t="n"/>
      <c r="Y145" s="44" t="n"/>
      <c r="Z145" s="85" t="n"/>
      <c r="AA145" s="44" t="n"/>
      <c r="AB145" s="44" t="n"/>
      <c r="AC145" s="44" t="n"/>
      <c r="AD145" s="44" t="n"/>
      <c r="AE145" s="44" t="n"/>
      <c r="AF145" s="88" t="n"/>
      <c r="AG145" s="85" t="n"/>
      <c r="AH145" s="85" t="n"/>
      <c r="AI145" s="85" t="n"/>
      <c r="AJ145" s="85" t="n"/>
      <c r="AK145" s="85" t="n"/>
      <c r="AL145" s="85" t="n"/>
      <c r="AM145" s="85" t="n"/>
      <c r="AN145" s="85" t="n"/>
      <c r="AO145" s="85" t="n"/>
      <c r="AP145" s="85" t="n"/>
      <c r="AQ145" s="85" t="n"/>
      <c r="AR145" s="85" t="n"/>
      <c r="AS145" s="85" t="n"/>
      <c r="AT145" s="85" t="n"/>
      <c r="AU145" s="85" t="n"/>
      <c r="AV145" s="85" t="n"/>
      <c r="AW145" s="44" t="n"/>
      <c r="AX145" s="85" t="n"/>
      <c r="AY145" s="88" t="n"/>
      <c r="AZ145" s="86" t="n"/>
      <c r="BA145" s="44" t="n"/>
      <c r="BB145" s="44" t="n"/>
      <c r="BC145" s="87" t="n"/>
      <c r="BD145" s="44" t="n"/>
      <c r="BE145" s="87" t="n"/>
      <c r="BF145" s="85" t="n"/>
      <c r="BG145" s="44" t="n"/>
      <c r="BH145" s="44" t="n"/>
      <c r="BI145" s="85" t="n"/>
      <c r="BJ145" s="44" t="n"/>
      <c r="BK145" s="45" t="n"/>
      <c r="BL145" s="44" t="n"/>
      <c r="BM145" s="85" t="n"/>
      <c r="BN145" s="44" t="n"/>
      <c r="BO145" s="85" t="n"/>
      <c r="BP145" s="86" t="n"/>
      <c r="BQ145" s="44" t="n"/>
      <c r="BR145" s="50" t="n"/>
      <c r="BS145" s="89" t="n"/>
      <c r="BT145" s="50">
        <f>IF(OR(K145="",L145="",M145=""),"",IF(ABS(ROUND(((ROUND(N(K145)*100,0))-(0))*(100+N(M145))/100,0)-(ROUND(N(L145)*100,0)))&lt;=0+IF(((ROUND(N(K145)*100,0))-(0))*(100+N(M145))/100&lt;&gt;ROUND(((ROUND(N(K145)*100,0))-(0))*(100+N(M145))/100,0),1,0),"OK","ABWEICHUNG"))</f>
        <v/>
      </c>
    </row>
    <row r="146">
      <c r="A146" s="50" t="n"/>
      <c r="B146" s="44" t="n"/>
      <c r="C146" s="44" t="n"/>
      <c r="D146" s="44" t="n"/>
      <c r="E146" s="44" t="n"/>
      <c r="F146" s="44" t="n"/>
      <c r="G146" s="44" t="n"/>
      <c r="H146" s="44" t="n"/>
      <c r="I146" s="45" t="n"/>
      <c r="J146" s="45" t="n"/>
      <c r="K146" s="85" t="n"/>
      <c r="L146" s="85" t="n"/>
      <c r="M146" s="88" t="n"/>
      <c r="N146" s="88" t="n"/>
      <c r="O146" s="44" t="n"/>
      <c r="P146" s="45" t="n"/>
      <c r="Q146" s="45" t="n"/>
      <c r="R146" s="44" t="n"/>
      <c r="S146" s="45" t="n"/>
      <c r="T146" s="45" t="n"/>
      <c r="U146" s="85" t="n"/>
      <c r="V146" s="44" t="n"/>
      <c r="W146" s="45" t="n"/>
      <c r="X146" s="45" t="n"/>
      <c r="Y146" s="44" t="n"/>
      <c r="Z146" s="85" t="n"/>
      <c r="AA146" s="44" t="n"/>
      <c r="AB146" s="44" t="n"/>
      <c r="AC146" s="44" t="n"/>
      <c r="AD146" s="44" t="n"/>
      <c r="AE146" s="44" t="n"/>
      <c r="AF146" s="88" t="n"/>
      <c r="AG146" s="85" t="n"/>
      <c r="AH146" s="85" t="n"/>
      <c r="AI146" s="85" t="n"/>
      <c r="AJ146" s="85" t="n"/>
      <c r="AK146" s="85" t="n"/>
      <c r="AL146" s="85" t="n"/>
      <c r="AM146" s="85" t="n"/>
      <c r="AN146" s="85" t="n"/>
      <c r="AO146" s="85" t="n"/>
      <c r="AP146" s="85" t="n"/>
      <c r="AQ146" s="85" t="n"/>
      <c r="AR146" s="85" t="n"/>
      <c r="AS146" s="85" t="n"/>
      <c r="AT146" s="85" t="n"/>
      <c r="AU146" s="85" t="n"/>
      <c r="AV146" s="85" t="n"/>
      <c r="AW146" s="44" t="n"/>
      <c r="AX146" s="85" t="n"/>
      <c r="AY146" s="88" t="n"/>
      <c r="AZ146" s="86" t="n"/>
      <c r="BA146" s="44" t="n"/>
      <c r="BB146" s="44" t="n"/>
      <c r="BC146" s="87" t="n"/>
      <c r="BD146" s="44" t="n"/>
      <c r="BE146" s="87" t="n"/>
      <c r="BF146" s="85" t="n"/>
      <c r="BG146" s="44" t="n"/>
      <c r="BH146" s="44" t="n"/>
      <c r="BI146" s="85" t="n"/>
      <c r="BJ146" s="44" t="n"/>
      <c r="BK146" s="45" t="n"/>
      <c r="BL146" s="44" t="n"/>
      <c r="BM146" s="85" t="n"/>
      <c r="BN146" s="44" t="n"/>
      <c r="BO146" s="85" t="n"/>
      <c r="BP146" s="86" t="n"/>
      <c r="BQ146" s="44" t="n"/>
      <c r="BR146" s="50" t="n"/>
      <c r="BS146" s="89" t="n"/>
      <c r="BT146" s="50">
        <f>IF(OR(K146="",L146="",M146=""),"",IF(ABS(ROUND(((ROUND(N(K146)*100,0))-(0))*(100+N(M146))/100,0)-(ROUND(N(L146)*100,0)))&lt;=0+IF(((ROUND(N(K146)*100,0))-(0))*(100+N(M146))/100&lt;&gt;ROUND(((ROUND(N(K146)*100,0))-(0))*(100+N(M146))/100,0),1,0),"OK","ABWEICHUNG"))</f>
        <v/>
      </c>
    </row>
    <row r="147">
      <c r="A147" s="50" t="n"/>
      <c r="B147" s="44" t="n"/>
      <c r="C147" s="44" t="n"/>
      <c r="D147" s="44" t="n"/>
      <c r="E147" s="44" t="n"/>
      <c r="F147" s="44" t="n"/>
      <c r="G147" s="44" t="n"/>
      <c r="H147" s="44" t="n"/>
      <c r="I147" s="45" t="n"/>
      <c r="J147" s="45" t="n"/>
      <c r="K147" s="85" t="n"/>
      <c r="L147" s="85" t="n"/>
      <c r="M147" s="88" t="n"/>
      <c r="N147" s="88" t="n"/>
      <c r="O147" s="44" t="n"/>
      <c r="P147" s="45" t="n"/>
      <c r="Q147" s="45" t="n"/>
      <c r="R147" s="44" t="n"/>
      <c r="S147" s="45" t="n"/>
      <c r="T147" s="45" t="n"/>
      <c r="U147" s="85" t="n"/>
      <c r="V147" s="44" t="n"/>
      <c r="W147" s="45" t="n"/>
      <c r="X147" s="45" t="n"/>
      <c r="Y147" s="44" t="n"/>
      <c r="Z147" s="85" t="n"/>
      <c r="AA147" s="44" t="n"/>
      <c r="AB147" s="44" t="n"/>
      <c r="AC147" s="44" t="n"/>
      <c r="AD147" s="44" t="n"/>
      <c r="AE147" s="44" t="n"/>
      <c r="AF147" s="88" t="n"/>
      <c r="AG147" s="85" t="n"/>
      <c r="AH147" s="85" t="n"/>
      <c r="AI147" s="85" t="n"/>
      <c r="AJ147" s="85" t="n"/>
      <c r="AK147" s="85" t="n"/>
      <c r="AL147" s="85" t="n"/>
      <c r="AM147" s="85" t="n"/>
      <c r="AN147" s="85" t="n"/>
      <c r="AO147" s="85" t="n"/>
      <c r="AP147" s="85" t="n"/>
      <c r="AQ147" s="85" t="n"/>
      <c r="AR147" s="85" t="n"/>
      <c r="AS147" s="85" t="n"/>
      <c r="AT147" s="85" t="n"/>
      <c r="AU147" s="85" t="n"/>
      <c r="AV147" s="85" t="n"/>
      <c r="AW147" s="44" t="n"/>
      <c r="AX147" s="85" t="n"/>
      <c r="AY147" s="88" t="n"/>
      <c r="AZ147" s="86" t="n"/>
      <c r="BA147" s="44" t="n"/>
      <c r="BB147" s="44" t="n"/>
      <c r="BC147" s="87" t="n"/>
      <c r="BD147" s="44" t="n"/>
      <c r="BE147" s="87" t="n"/>
      <c r="BF147" s="85" t="n"/>
      <c r="BG147" s="44" t="n"/>
      <c r="BH147" s="44" t="n"/>
      <c r="BI147" s="85" t="n"/>
      <c r="BJ147" s="44" t="n"/>
      <c r="BK147" s="45" t="n"/>
      <c r="BL147" s="44" t="n"/>
      <c r="BM147" s="85" t="n"/>
      <c r="BN147" s="44" t="n"/>
      <c r="BO147" s="85" t="n"/>
      <c r="BP147" s="86" t="n"/>
      <c r="BQ147" s="44" t="n"/>
      <c r="BR147" s="50" t="n"/>
      <c r="BS147" s="89" t="n"/>
      <c r="BT147" s="50">
        <f>IF(OR(K147="",L147="",M147=""),"",IF(ABS(ROUND(((ROUND(N(K147)*100,0))-(0))*(100+N(M147))/100,0)-(ROUND(N(L147)*100,0)))&lt;=0+IF(((ROUND(N(K147)*100,0))-(0))*(100+N(M147))/100&lt;&gt;ROUND(((ROUND(N(K147)*100,0))-(0))*(100+N(M147))/100,0),1,0),"OK","ABWEICHUNG"))</f>
        <v/>
      </c>
    </row>
    <row r="148">
      <c r="A148" s="50" t="n"/>
      <c r="B148" s="44" t="n"/>
      <c r="C148" s="44" t="n"/>
      <c r="D148" s="44" t="n"/>
      <c r="E148" s="44" t="n"/>
      <c r="F148" s="44" t="n"/>
      <c r="G148" s="44" t="n"/>
      <c r="H148" s="44" t="n"/>
      <c r="I148" s="45" t="n"/>
      <c r="J148" s="45" t="n"/>
      <c r="K148" s="85" t="n"/>
      <c r="L148" s="85" t="n"/>
      <c r="M148" s="88" t="n"/>
      <c r="N148" s="88" t="n"/>
      <c r="O148" s="44" t="n"/>
      <c r="P148" s="45" t="n"/>
      <c r="Q148" s="45" t="n"/>
      <c r="R148" s="44" t="n"/>
      <c r="S148" s="45" t="n"/>
      <c r="T148" s="45" t="n"/>
      <c r="U148" s="85" t="n"/>
      <c r="V148" s="44" t="n"/>
      <c r="W148" s="45" t="n"/>
      <c r="X148" s="45" t="n"/>
      <c r="Y148" s="44" t="n"/>
      <c r="Z148" s="85" t="n"/>
      <c r="AA148" s="44" t="n"/>
      <c r="AB148" s="44" t="n"/>
      <c r="AC148" s="44" t="n"/>
      <c r="AD148" s="44" t="n"/>
      <c r="AE148" s="44" t="n"/>
      <c r="AF148" s="88" t="n"/>
      <c r="AG148" s="85" t="n"/>
      <c r="AH148" s="85" t="n"/>
      <c r="AI148" s="85" t="n"/>
      <c r="AJ148" s="85" t="n"/>
      <c r="AK148" s="85" t="n"/>
      <c r="AL148" s="85" t="n"/>
      <c r="AM148" s="85" t="n"/>
      <c r="AN148" s="85" t="n"/>
      <c r="AO148" s="85" t="n"/>
      <c r="AP148" s="85" t="n"/>
      <c r="AQ148" s="85" t="n"/>
      <c r="AR148" s="85" t="n"/>
      <c r="AS148" s="85" t="n"/>
      <c r="AT148" s="85" t="n"/>
      <c r="AU148" s="85" t="n"/>
      <c r="AV148" s="85" t="n"/>
      <c r="AW148" s="44" t="n"/>
      <c r="AX148" s="85" t="n"/>
      <c r="AY148" s="88" t="n"/>
      <c r="AZ148" s="86" t="n"/>
      <c r="BA148" s="44" t="n"/>
      <c r="BB148" s="44" t="n"/>
      <c r="BC148" s="87" t="n"/>
      <c r="BD148" s="44" t="n"/>
      <c r="BE148" s="87" t="n"/>
      <c r="BF148" s="85" t="n"/>
      <c r="BG148" s="44" t="n"/>
      <c r="BH148" s="44" t="n"/>
      <c r="BI148" s="85" t="n"/>
      <c r="BJ148" s="44" t="n"/>
      <c r="BK148" s="45" t="n"/>
      <c r="BL148" s="44" t="n"/>
      <c r="BM148" s="85" t="n"/>
      <c r="BN148" s="44" t="n"/>
      <c r="BO148" s="85" t="n"/>
      <c r="BP148" s="86" t="n"/>
      <c r="BQ148" s="44" t="n"/>
      <c r="BR148" s="50" t="n"/>
      <c r="BS148" s="89" t="n"/>
      <c r="BT148" s="50">
        <f>IF(OR(K148="",L148="",M148=""),"",IF(ABS(ROUND(((ROUND(N(K148)*100,0))-(0))*(100+N(M148))/100,0)-(ROUND(N(L148)*100,0)))&lt;=0+IF(((ROUND(N(K148)*100,0))-(0))*(100+N(M148))/100&lt;&gt;ROUND(((ROUND(N(K148)*100,0))-(0))*(100+N(M148))/100,0),1,0),"OK","ABWEICHUNG"))</f>
        <v/>
      </c>
    </row>
    <row r="149">
      <c r="A149" s="50" t="n"/>
      <c r="B149" s="44" t="n"/>
      <c r="C149" s="44" t="n"/>
      <c r="D149" s="44" t="n"/>
      <c r="E149" s="44" t="n"/>
      <c r="F149" s="44" t="n"/>
      <c r="G149" s="44" t="n"/>
      <c r="H149" s="44" t="n"/>
      <c r="I149" s="45" t="n"/>
      <c r="J149" s="45" t="n"/>
      <c r="K149" s="85" t="n"/>
      <c r="L149" s="85" t="n"/>
      <c r="M149" s="88" t="n"/>
      <c r="N149" s="88" t="n"/>
      <c r="O149" s="44" t="n"/>
      <c r="P149" s="45" t="n"/>
      <c r="Q149" s="45" t="n"/>
      <c r="R149" s="44" t="n"/>
      <c r="S149" s="45" t="n"/>
      <c r="T149" s="45" t="n"/>
      <c r="U149" s="85" t="n"/>
      <c r="V149" s="44" t="n"/>
      <c r="W149" s="45" t="n"/>
      <c r="X149" s="45" t="n"/>
      <c r="Y149" s="44" t="n"/>
      <c r="Z149" s="85" t="n"/>
      <c r="AA149" s="44" t="n"/>
      <c r="AB149" s="44" t="n"/>
      <c r="AC149" s="44" t="n"/>
      <c r="AD149" s="44" t="n"/>
      <c r="AE149" s="44" t="n"/>
      <c r="AF149" s="88" t="n"/>
      <c r="AG149" s="85" t="n"/>
      <c r="AH149" s="85" t="n"/>
      <c r="AI149" s="85" t="n"/>
      <c r="AJ149" s="85" t="n"/>
      <c r="AK149" s="85" t="n"/>
      <c r="AL149" s="85" t="n"/>
      <c r="AM149" s="85" t="n"/>
      <c r="AN149" s="85" t="n"/>
      <c r="AO149" s="85" t="n"/>
      <c r="AP149" s="85" t="n"/>
      <c r="AQ149" s="85" t="n"/>
      <c r="AR149" s="85" t="n"/>
      <c r="AS149" s="85" t="n"/>
      <c r="AT149" s="85" t="n"/>
      <c r="AU149" s="85" t="n"/>
      <c r="AV149" s="85" t="n"/>
      <c r="AW149" s="44" t="n"/>
      <c r="AX149" s="85" t="n"/>
      <c r="AY149" s="88" t="n"/>
      <c r="AZ149" s="86" t="n"/>
      <c r="BA149" s="44" t="n"/>
      <c r="BB149" s="44" t="n"/>
      <c r="BC149" s="87" t="n"/>
      <c r="BD149" s="44" t="n"/>
      <c r="BE149" s="87" t="n"/>
      <c r="BF149" s="85" t="n"/>
      <c r="BG149" s="44" t="n"/>
      <c r="BH149" s="44" t="n"/>
      <c r="BI149" s="85" t="n"/>
      <c r="BJ149" s="44" t="n"/>
      <c r="BK149" s="45" t="n"/>
      <c r="BL149" s="44" t="n"/>
      <c r="BM149" s="85" t="n"/>
      <c r="BN149" s="44" t="n"/>
      <c r="BO149" s="85" t="n"/>
      <c r="BP149" s="86" t="n"/>
      <c r="BQ149" s="44" t="n"/>
      <c r="BR149" s="50" t="n"/>
      <c r="BS149" s="89" t="n"/>
      <c r="BT149" s="50">
        <f>IF(OR(K149="",L149="",M149=""),"",IF(ABS(ROUND(((ROUND(N(K149)*100,0))-(0))*(100+N(M149))/100,0)-(ROUND(N(L149)*100,0)))&lt;=0+IF(((ROUND(N(K149)*100,0))-(0))*(100+N(M149))/100&lt;&gt;ROUND(((ROUND(N(K149)*100,0))-(0))*(100+N(M149))/100,0),1,0),"OK","ABWEICHUNG"))</f>
        <v/>
      </c>
    </row>
    <row r="150">
      <c r="A150" s="50" t="n"/>
      <c r="B150" s="44" t="n"/>
      <c r="C150" s="44" t="n"/>
      <c r="D150" s="44" t="n"/>
      <c r="E150" s="44" t="n"/>
      <c r="F150" s="44" t="n"/>
      <c r="G150" s="44" t="n"/>
      <c r="H150" s="44" t="n"/>
      <c r="I150" s="45" t="n"/>
      <c r="J150" s="45" t="n"/>
      <c r="K150" s="85" t="n"/>
      <c r="L150" s="85" t="n"/>
      <c r="M150" s="88" t="n"/>
      <c r="N150" s="88" t="n"/>
      <c r="O150" s="44" t="n"/>
      <c r="P150" s="45" t="n"/>
      <c r="Q150" s="45" t="n"/>
      <c r="R150" s="44" t="n"/>
      <c r="S150" s="45" t="n"/>
      <c r="T150" s="45" t="n"/>
      <c r="U150" s="85" t="n"/>
      <c r="V150" s="44" t="n"/>
      <c r="W150" s="45" t="n"/>
      <c r="X150" s="45" t="n"/>
      <c r="Y150" s="44" t="n"/>
      <c r="Z150" s="85" t="n"/>
      <c r="AA150" s="44" t="n"/>
      <c r="AB150" s="44" t="n"/>
      <c r="AC150" s="44" t="n"/>
      <c r="AD150" s="44" t="n"/>
      <c r="AE150" s="44" t="n"/>
      <c r="AF150" s="88" t="n"/>
      <c r="AG150" s="85" t="n"/>
      <c r="AH150" s="85" t="n"/>
      <c r="AI150" s="85" t="n"/>
      <c r="AJ150" s="85" t="n"/>
      <c r="AK150" s="85" t="n"/>
      <c r="AL150" s="85" t="n"/>
      <c r="AM150" s="85" t="n"/>
      <c r="AN150" s="85" t="n"/>
      <c r="AO150" s="85" t="n"/>
      <c r="AP150" s="85" t="n"/>
      <c r="AQ150" s="85" t="n"/>
      <c r="AR150" s="85" t="n"/>
      <c r="AS150" s="85" t="n"/>
      <c r="AT150" s="85" t="n"/>
      <c r="AU150" s="85" t="n"/>
      <c r="AV150" s="85" t="n"/>
      <c r="AW150" s="44" t="n"/>
      <c r="AX150" s="85" t="n"/>
      <c r="AY150" s="88" t="n"/>
      <c r="AZ150" s="86" t="n"/>
      <c r="BA150" s="44" t="n"/>
      <c r="BB150" s="44" t="n"/>
      <c r="BC150" s="87" t="n"/>
      <c r="BD150" s="44" t="n"/>
      <c r="BE150" s="87" t="n"/>
      <c r="BF150" s="85" t="n"/>
      <c r="BG150" s="44" t="n"/>
      <c r="BH150" s="44" t="n"/>
      <c r="BI150" s="85" t="n"/>
      <c r="BJ150" s="44" t="n"/>
      <c r="BK150" s="45" t="n"/>
      <c r="BL150" s="44" t="n"/>
      <c r="BM150" s="85" t="n"/>
      <c r="BN150" s="44" t="n"/>
      <c r="BO150" s="85" t="n"/>
      <c r="BP150" s="86" t="n"/>
      <c r="BQ150" s="44" t="n"/>
      <c r="BR150" s="50" t="n"/>
      <c r="BS150" s="89" t="n"/>
      <c r="BT150" s="50">
        <f>IF(OR(K150="",L150="",M150=""),"",IF(ABS(ROUND(((ROUND(N(K150)*100,0))-(0))*(100+N(M150))/100,0)-(ROUND(N(L150)*100,0)))&lt;=0+IF(((ROUND(N(K150)*100,0))-(0))*(100+N(M150))/100&lt;&gt;ROUND(((ROUND(N(K150)*100,0))-(0))*(100+N(M150))/100,0),1,0),"OK","ABWEICHUNG"))</f>
        <v/>
      </c>
    </row>
    <row r="151">
      <c r="A151" s="50" t="n"/>
      <c r="B151" s="44" t="n"/>
      <c r="C151" s="44" t="n"/>
      <c r="D151" s="44" t="n"/>
      <c r="E151" s="44" t="n"/>
      <c r="F151" s="44" t="n"/>
      <c r="G151" s="44" t="n"/>
      <c r="H151" s="44" t="n"/>
      <c r="I151" s="45" t="n"/>
      <c r="J151" s="45" t="n"/>
      <c r="K151" s="85" t="n"/>
      <c r="L151" s="85" t="n"/>
      <c r="M151" s="88" t="n"/>
      <c r="N151" s="88" t="n"/>
      <c r="O151" s="44" t="n"/>
      <c r="P151" s="45" t="n"/>
      <c r="Q151" s="45" t="n"/>
      <c r="R151" s="44" t="n"/>
      <c r="S151" s="45" t="n"/>
      <c r="T151" s="45" t="n"/>
      <c r="U151" s="85" t="n"/>
      <c r="V151" s="44" t="n"/>
      <c r="W151" s="45" t="n"/>
      <c r="X151" s="45" t="n"/>
      <c r="Y151" s="44" t="n"/>
      <c r="Z151" s="85" t="n"/>
      <c r="AA151" s="44" t="n"/>
      <c r="AB151" s="44" t="n"/>
      <c r="AC151" s="44" t="n"/>
      <c r="AD151" s="44" t="n"/>
      <c r="AE151" s="44" t="n"/>
      <c r="AF151" s="88" t="n"/>
      <c r="AG151" s="85" t="n"/>
      <c r="AH151" s="85" t="n"/>
      <c r="AI151" s="85" t="n"/>
      <c r="AJ151" s="85" t="n"/>
      <c r="AK151" s="85" t="n"/>
      <c r="AL151" s="85" t="n"/>
      <c r="AM151" s="85" t="n"/>
      <c r="AN151" s="85" t="n"/>
      <c r="AO151" s="85" t="n"/>
      <c r="AP151" s="85" t="n"/>
      <c r="AQ151" s="85" t="n"/>
      <c r="AR151" s="85" t="n"/>
      <c r="AS151" s="85" t="n"/>
      <c r="AT151" s="85" t="n"/>
      <c r="AU151" s="85" t="n"/>
      <c r="AV151" s="85" t="n"/>
      <c r="AW151" s="44" t="n"/>
      <c r="AX151" s="85" t="n"/>
      <c r="AY151" s="88" t="n"/>
      <c r="AZ151" s="86" t="n"/>
      <c r="BA151" s="44" t="n"/>
      <c r="BB151" s="44" t="n"/>
      <c r="BC151" s="87" t="n"/>
      <c r="BD151" s="44" t="n"/>
      <c r="BE151" s="87" t="n"/>
      <c r="BF151" s="85" t="n"/>
      <c r="BG151" s="44" t="n"/>
      <c r="BH151" s="44" t="n"/>
      <c r="BI151" s="85" t="n"/>
      <c r="BJ151" s="44" t="n"/>
      <c r="BK151" s="45" t="n"/>
      <c r="BL151" s="44" t="n"/>
      <c r="BM151" s="85" t="n"/>
      <c r="BN151" s="44" t="n"/>
      <c r="BO151" s="85" t="n"/>
      <c r="BP151" s="86" t="n"/>
      <c r="BQ151" s="44" t="n"/>
      <c r="BR151" s="50" t="n"/>
      <c r="BS151" s="89" t="n"/>
      <c r="BT151" s="50">
        <f>IF(OR(K151="",L151="",M151=""),"",IF(ABS(ROUND(((ROUND(N(K151)*100,0))-(0))*(100+N(M151))/100,0)-(ROUND(N(L151)*100,0)))&lt;=0+IF(((ROUND(N(K151)*100,0))-(0))*(100+N(M151))/100&lt;&gt;ROUND(((ROUND(N(K151)*100,0))-(0))*(100+N(M151))/100,0),1,0),"OK","ABWEICHUNG"))</f>
        <v/>
      </c>
    </row>
    <row r="152">
      <c r="A152" s="50" t="n"/>
      <c r="B152" s="44" t="n"/>
      <c r="C152" s="44" t="n"/>
      <c r="D152" s="44" t="n"/>
      <c r="E152" s="44" t="n"/>
      <c r="F152" s="44" t="n"/>
      <c r="G152" s="44" t="n"/>
      <c r="H152" s="44" t="n"/>
      <c r="I152" s="45" t="n"/>
      <c r="J152" s="45" t="n"/>
      <c r="K152" s="85" t="n"/>
      <c r="L152" s="85" t="n"/>
      <c r="M152" s="88" t="n"/>
      <c r="N152" s="88" t="n"/>
      <c r="O152" s="44" t="n"/>
      <c r="P152" s="45" t="n"/>
      <c r="Q152" s="45" t="n"/>
      <c r="R152" s="44" t="n"/>
      <c r="S152" s="45" t="n"/>
      <c r="T152" s="45" t="n"/>
      <c r="U152" s="85" t="n"/>
      <c r="V152" s="44" t="n"/>
      <c r="W152" s="45" t="n"/>
      <c r="X152" s="45" t="n"/>
      <c r="Y152" s="44" t="n"/>
      <c r="Z152" s="85" t="n"/>
      <c r="AA152" s="44" t="n"/>
      <c r="AB152" s="44" t="n"/>
      <c r="AC152" s="44" t="n"/>
      <c r="AD152" s="44" t="n"/>
      <c r="AE152" s="44" t="n"/>
      <c r="AF152" s="88" t="n"/>
      <c r="AG152" s="85" t="n"/>
      <c r="AH152" s="85" t="n"/>
      <c r="AI152" s="85" t="n"/>
      <c r="AJ152" s="85" t="n"/>
      <c r="AK152" s="85" t="n"/>
      <c r="AL152" s="85" t="n"/>
      <c r="AM152" s="85" t="n"/>
      <c r="AN152" s="85" t="n"/>
      <c r="AO152" s="85" t="n"/>
      <c r="AP152" s="85" t="n"/>
      <c r="AQ152" s="85" t="n"/>
      <c r="AR152" s="85" t="n"/>
      <c r="AS152" s="85" t="n"/>
      <c r="AT152" s="85" t="n"/>
      <c r="AU152" s="85" t="n"/>
      <c r="AV152" s="85" t="n"/>
      <c r="AW152" s="44" t="n"/>
      <c r="AX152" s="85" t="n"/>
      <c r="AY152" s="88" t="n"/>
      <c r="AZ152" s="86" t="n"/>
      <c r="BA152" s="44" t="n"/>
      <c r="BB152" s="44" t="n"/>
      <c r="BC152" s="87" t="n"/>
      <c r="BD152" s="44" t="n"/>
      <c r="BE152" s="87" t="n"/>
      <c r="BF152" s="85" t="n"/>
      <c r="BG152" s="44" t="n"/>
      <c r="BH152" s="44" t="n"/>
      <c r="BI152" s="85" t="n"/>
      <c r="BJ152" s="44" t="n"/>
      <c r="BK152" s="45" t="n"/>
      <c r="BL152" s="44" t="n"/>
      <c r="BM152" s="85" t="n"/>
      <c r="BN152" s="44" t="n"/>
      <c r="BO152" s="85" t="n"/>
      <c r="BP152" s="86" t="n"/>
      <c r="BQ152" s="44" t="n"/>
      <c r="BR152" s="50" t="n"/>
      <c r="BS152" s="89" t="n"/>
      <c r="BT152" s="50">
        <f>IF(OR(K152="",L152="",M152=""),"",IF(ABS(ROUND(((ROUND(N(K152)*100,0))-(0))*(100+N(M152))/100,0)-(ROUND(N(L152)*100,0)))&lt;=0+IF(((ROUND(N(K152)*100,0))-(0))*(100+N(M152))/100&lt;&gt;ROUND(((ROUND(N(K152)*100,0))-(0))*(100+N(M152))/100,0),1,0),"OK","ABWEICHUNG"))</f>
        <v/>
      </c>
    </row>
    <row r="153">
      <c r="A153" s="50" t="n"/>
      <c r="B153" s="44" t="n"/>
      <c r="C153" s="44" t="n"/>
      <c r="D153" s="44" t="n"/>
      <c r="E153" s="44" t="n"/>
      <c r="F153" s="44" t="n"/>
      <c r="G153" s="44" t="n"/>
      <c r="H153" s="44" t="n"/>
      <c r="I153" s="45" t="n"/>
      <c r="J153" s="45" t="n"/>
      <c r="K153" s="85" t="n"/>
      <c r="L153" s="85" t="n"/>
      <c r="M153" s="88" t="n"/>
      <c r="N153" s="88" t="n"/>
      <c r="O153" s="44" t="n"/>
      <c r="P153" s="45" t="n"/>
      <c r="Q153" s="45" t="n"/>
      <c r="R153" s="44" t="n"/>
      <c r="S153" s="45" t="n"/>
      <c r="T153" s="45" t="n"/>
      <c r="U153" s="85" t="n"/>
      <c r="V153" s="44" t="n"/>
      <c r="W153" s="45" t="n"/>
      <c r="X153" s="45" t="n"/>
      <c r="Y153" s="44" t="n"/>
      <c r="Z153" s="85" t="n"/>
      <c r="AA153" s="44" t="n"/>
      <c r="AB153" s="44" t="n"/>
      <c r="AC153" s="44" t="n"/>
      <c r="AD153" s="44" t="n"/>
      <c r="AE153" s="44" t="n"/>
      <c r="AF153" s="88" t="n"/>
      <c r="AG153" s="85" t="n"/>
      <c r="AH153" s="85" t="n"/>
      <c r="AI153" s="85" t="n"/>
      <c r="AJ153" s="85" t="n"/>
      <c r="AK153" s="85" t="n"/>
      <c r="AL153" s="85" t="n"/>
      <c r="AM153" s="85" t="n"/>
      <c r="AN153" s="85" t="n"/>
      <c r="AO153" s="85" t="n"/>
      <c r="AP153" s="85" t="n"/>
      <c r="AQ153" s="85" t="n"/>
      <c r="AR153" s="85" t="n"/>
      <c r="AS153" s="85" t="n"/>
      <c r="AT153" s="85" t="n"/>
      <c r="AU153" s="85" t="n"/>
      <c r="AV153" s="85" t="n"/>
      <c r="AW153" s="44" t="n"/>
      <c r="AX153" s="85" t="n"/>
      <c r="AY153" s="88" t="n"/>
      <c r="AZ153" s="86" t="n"/>
      <c r="BA153" s="44" t="n"/>
      <c r="BB153" s="44" t="n"/>
      <c r="BC153" s="87" t="n"/>
      <c r="BD153" s="44" t="n"/>
      <c r="BE153" s="87" t="n"/>
      <c r="BF153" s="85" t="n"/>
      <c r="BG153" s="44" t="n"/>
      <c r="BH153" s="44" t="n"/>
      <c r="BI153" s="85" t="n"/>
      <c r="BJ153" s="44" t="n"/>
      <c r="BK153" s="45" t="n"/>
      <c r="BL153" s="44" t="n"/>
      <c r="BM153" s="85" t="n"/>
      <c r="BN153" s="44" t="n"/>
      <c r="BO153" s="85" t="n"/>
      <c r="BP153" s="86" t="n"/>
      <c r="BQ153" s="44" t="n"/>
      <c r="BR153" s="50" t="n"/>
      <c r="BS153" s="89" t="n"/>
      <c r="BT153" s="50">
        <f>IF(OR(K153="",L153="",M153=""),"",IF(ABS(ROUND(((ROUND(N(K153)*100,0))-(0))*(100+N(M153))/100,0)-(ROUND(N(L153)*100,0)))&lt;=0+IF(((ROUND(N(K153)*100,0))-(0))*(100+N(M153))/100&lt;&gt;ROUND(((ROUND(N(K153)*100,0))-(0))*(100+N(M153))/100,0),1,0),"OK","ABWEICHUNG"))</f>
        <v/>
      </c>
    </row>
    <row r="154">
      <c r="A154" s="50" t="n"/>
      <c r="B154" s="44" t="n"/>
      <c r="C154" s="44" t="n"/>
      <c r="D154" s="44" t="n"/>
      <c r="E154" s="44" t="n"/>
      <c r="F154" s="44" t="n"/>
      <c r="G154" s="44" t="n"/>
      <c r="H154" s="44" t="n"/>
      <c r="I154" s="45" t="n"/>
      <c r="J154" s="45" t="n"/>
      <c r="K154" s="85" t="n"/>
      <c r="L154" s="85" t="n"/>
      <c r="M154" s="88" t="n"/>
      <c r="N154" s="88" t="n"/>
      <c r="O154" s="44" t="n"/>
      <c r="P154" s="45" t="n"/>
      <c r="Q154" s="45" t="n"/>
      <c r="R154" s="44" t="n"/>
      <c r="S154" s="45" t="n"/>
      <c r="T154" s="45" t="n"/>
      <c r="U154" s="85" t="n"/>
      <c r="V154" s="44" t="n"/>
      <c r="W154" s="45" t="n"/>
      <c r="X154" s="45" t="n"/>
      <c r="Y154" s="44" t="n"/>
      <c r="Z154" s="85" t="n"/>
      <c r="AA154" s="44" t="n"/>
      <c r="AB154" s="44" t="n"/>
      <c r="AC154" s="44" t="n"/>
      <c r="AD154" s="44" t="n"/>
      <c r="AE154" s="44" t="n"/>
      <c r="AF154" s="88" t="n"/>
      <c r="AG154" s="85" t="n"/>
      <c r="AH154" s="85" t="n"/>
      <c r="AI154" s="85" t="n"/>
      <c r="AJ154" s="85" t="n"/>
      <c r="AK154" s="85" t="n"/>
      <c r="AL154" s="85" t="n"/>
      <c r="AM154" s="85" t="n"/>
      <c r="AN154" s="85" t="n"/>
      <c r="AO154" s="85" t="n"/>
      <c r="AP154" s="85" t="n"/>
      <c r="AQ154" s="85" t="n"/>
      <c r="AR154" s="85" t="n"/>
      <c r="AS154" s="85" t="n"/>
      <c r="AT154" s="85" t="n"/>
      <c r="AU154" s="85" t="n"/>
      <c r="AV154" s="85" t="n"/>
      <c r="AW154" s="44" t="n"/>
      <c r="AX154" s="85" t="n"/>
      <c r="AY154" s="88" t="n"/>
      <c r="AZ154" s="86" t="n"/>
      <c r="BA154" s="44" t="n"/>
      <c r="BB154" s="44" t="n"/>
      <c r="BC154" s="87" t="n"/>
      <c r="BD154" s="44" t="n"/>
      <c r="BE154" s="87" t="n"/>
      <c r="BF154" s="85" t="n"/>
      <c r="BG154" s="44" t="n"/>
      <c r="BH154" s="44" t="n"/>
      <c r="BI154" s="85" t="n"/>
      <c r="BJ154" s="44" t="n"/>
      <c r="BK154" s="45" t="n"/>
      <c r="BL154" s="44" t="n"/>
      <c r="BM154" s="85" t="n"/>
      <c r="BN154" s="44" t="n"/>
      <c r="BO154" s="85" t="n"/>
      <c r="BP154" s="86" t="n"/>
      <c r="BQ154" s="44" t="n"/>
      <c r="BR154" s="50" t="n"/>
      <c r="BS154" s="89" t="n"/>
      <c r="BT154" s="50">
        <f>IF(OR(K154="",L154="",M154=""),"",IF(ABS(ROUND(((ROUND(N(K154)*100,0))-(0))*(100+N(M154))/100,0)-(ROUND(N(L154)*100,0)))&lt;=0+IF(((ROUND(N(K154)*100,0))-(0))*(100+N(M154))/100&lt;&gt;ROUND(((ROUND(N(K154)*100,0))-(0))*(100+N(M154))/100,0),1,0),"OK","ABWEICHUNG"))</f>
        <v/>
      </c>
    </row>
    <row r="155">
      <c r="A155" s="50" t="n"/>
      <c r="B155" s="44" t="n"/>
      <c r="C155" s="44" t="n"/>
      <c r="D155" s="44" t="n"/>
      <c r="E155" s="44" t="n"/>
      <c r="F155" s="44" t="n"/>
      <c r="G155" s="44" t="n"/>
      <c r="H155" s="44" t="n"/>
      <c r="I155" s="45" t="n"/>
      <c r="J155" s="45" t="n"/>
      <c r="K155" s="85" t="n"/>
      <c r="L155" s="85" t="n"/>
      <c r="M155" s="88" t="n"/>
      <c r="N155" s="88" t="n"/>
      <c r="O155" s="44" t="n"/>
      <c r="P155" s="45" t="n"/>
      <c r="Q155" s="45" t="n"/>
      <c r="R155" s="44" t="n"/>
      <c r="S155" s="45" t="n"/>
      <c r="T155" s="45" t="n"/>
      <c r="U155" s="85" t="n"/>
      <c r="V155" s="44" t="n"/>
      <c r="W155" s="45" t="n"/>
      <c r="X155" s="45" t="n"/>
      <c r="Y155" s="44" t="n"/>
      <c r="Z155" s="85" t="n"/>
      <c r="AA155" s="44" t="n"/>
      <c r="AB155" s="44" t="n"/>
      <c r="AC155" s="44" t="n"/>
      <c r="AD155" s="44" t="n"/>
      <c r="AE155" s="44" t="n"/>
      <c r="AF155" s="88" t="n"/>
      <c r="AG155" s="85" t="n"/>
      <c r="AH155" s="85" t="n"/>
      <c r="AI155" s="85" t="n"/>
      <c r="AJ155" s="85" t="n"/>
      <c r="AK155" s="85" t="n"/>
      <c r="AL155" s="85" t="n"/>
      <c r="AM155" s="85" t="n"/>
      <c r="AN155" s="85" t="n"/>
      <c r="AO155" s="85" t="n"/>
      <c r="AP155" s="85" t="n"/>
      <c r="AQ155" s="85" t="n"/>
      <c r="AR155" s="85" t="n"/>
      <c r="AS155" s="85" t="n"/>
      <c r="AT155" s="85" t="n"/>
      <c r="AU155" s="85" t="n"/>
      <c r="AV155" s="85" t="n"/>
      <c r="AW155" s="44" t="n"/>
      <c r="AX155" s="85" t="n"/>
      <c r="AY155" s="88" t="n"/>
      <c r="AZ155" s="86" t="n"/>
      <c r="BA155" s="44" t="n"/>
      <c r="BB155" s="44" t="n"/>
      <c r="BC155" s="87" t="n"/>
      <c r="BD155" s="44" t="n"/>
      <c r="BE155" s="87" t="n"/>
      <c r="BF155" s="85" t="n"/>
      <c r="BG155" s="44" t="n"/>
      <c r="BH155" s="44" t="n"/>
      <c r="BI155" s="85" t="n"/>
      <c r="BJ155" s="44" t="n"/>
      <c r="BK155" s="45" t="n"/>
      <c r="BL155" s="44" t="n"/>
      <c r="BM155" s="85" t="n"/>
      <c r="BN155" s="44" t="n"/>
      <c r="BO155" s="85" t="n"/>
      <c r="BP155" s="86" t="n"/>
      <c r="BQ155" s="44" t="n"/>
      <c r="BR155" s="50" t="n"/>
      <c r="BS155" s="89" t="n"/>
      <c r="BT155" s="50">
        <f>IF(OR(K155="",L155="",M155=""),"",IF(ABS(ROUND(((ROUND(N(K155)*100,0))-(0))*(100+N(M155))/100,0)-(ROUND(N(L155)*100,0)))&lt;=0+IF(((ROUND(N(K155)*100,0))-(0))*(100+N(M155))/100&lt;&gt;ROUND(((ROUND(N(K155)*100,0))-(0))*(100+N(M155))/100,0),1,0),"OK","ABWEICHUNG"))</f>
        <v/>
      </c>
    </row>
    <row r="156">
      <c r="A156" s="50" t="n"/>
      <c r="B156" s="44" t="n"/>
      <c r="C156" s="44" t="n"/>
      <c r="D156" s="44" t="n"/>
      <c r="E156" s="44" t="n"/>
      <c r="F156" s="44" t="n"/>
      <c r="G156" s="44" t="n"/>
      <c r="H156" s="44" t="n"/>
      <c r="I156" s="45" t="n"/>
      <c r="J156" s="45" t="n"/>
      <c r="K156" s="85" t="n"/>
      <c r="L156" s="85" t="n"/>
      <c r="M156" s="88" t="n"/>
      <c r="N156" s="88" t="n"/>
      <c r="O156" s="44" t="n"/>
      <c r="P156" s="45" t="n"/>
      <c r="Q156" s="45" t="n"/>
      <c r="R156" s="44" t="n"/>
      <c r="S156" s="45" t="n"/>
      <c r="T156" s="45" t="n"/>
      <c r="U156" s="85" t="n"/>
      <c r="V156" s="44" t="n"/>
      <c r="W156" s="45" t="n"/>
      <c r="X156" s="45" t="n"/>
      <c r="Y156" s="44" t="n"/>
      <c r="Z156" s="85" t="n"/>
      <c r="AA156" s="44" t="n"/>
      <c r="AB156" s="44" t="n"/>
      <c r="AC156" s="44" t="n"/>
      <c r="AD156" s="44" t="n"/>
      <c r="AE156" s="44" t="n"/>
      <c r="AF156" s="88" t="n"/>
      <c r="AG156" s="85" t="n"/>
      <c r="AH156" s="85" t="n"/>
      <c r="AI156" s="85" t="n"/>
      <c r="AJ156" s="85" t="n"/>
      <c r="AK156" s="85" t="n"/>
      <c r="AL156" s="85" t="n"/>
      <c r="AM156" s="85" t="n"/>
      <c r="AN156" s="85" t="n"/>
      <c r="AO156" s="85" t="n"/>
      <c r="AP156" s="85" t="n"/>
      <c r="AQ156" s="85" t="n"/>
      <c r="AR156" s="85" t="n"/>
      <c r="AS156" s="85" t="n"/>
      <c r="AT156" s="85" t="n"/>
      <c r="AU156" s="85" t="n"/>
      <c r="AV156" s="85" t="n"/>
      <c r="AW156" s="44" t="n"/>
      <c r="AX156" s="85" t="n"/>
      <c r="AY156" s="88" t="n"/>
      <c r="AZ156" s="86" t="n"/>
      <c r="BA156" s="44" t="n"/>
      <c r="BB156" s="44" t="n"/>
      <c r="BC156" s="87" t="n"/>
      <c r="BD156" s="44" t="n"/>
      <c r="BE156" s="87" t="n"/>
      <c r="BF156" s="85" t="n"/>
      <c r="BG156" s="44" t="n"/>
      <c r="BH156" s="44" t="n"/>
      <c r="BI156" s="85" t="n"/>
      <c r="BJ156" s="44" t="n"/>
      <c r="BK156" s="45" t="n"/>
      <c r="BL156" s="44" t="n"/>
      <c r="BM156" s="85" t="n"/>
      <c r="BN156" s="44" t="n"/>
      <c r="BO156" s="85" t="n"/>
      <c r="BP156" s="86" t="n"/>
      <c r="BQ156" s="44" t="n"/>
      <c r="BR156" s="50" t="n"/>
      <c r="BS156" s="89" t="n"/>
      <c r="BT156" s="50">
        <f>IF(OR(K156="",L156="",M156=""),"",IF(ABS(ROUND(((ROUND(N(K156)*100,0))-(0))*(100+N(M156))/100,0)-(ROUND(N(L156)*100,0)))&lt;=0+IF(((ROUND(N(K156)*100,0))-(0))*(100+N(M156))/100&lt;&gt;ROUND(((ROUND(N(K156)*100,0))-(0))*(100+N(M156))/100,0),1,0),"OK","ABWEICHUNG"))</f>
        <v/>
      </c>
    </row>
    <row r="157">
      <c r="A157" s="50" t="n"/>
      <c r="B157" s="44" t="n"/>
      <c r="C157" s="44" t="n"/>
      <c r="D157" s="44" t="n"/>
      <c r="E157" s="44" t="n"/>
      <c r="F157" s="44" t="n"/>
      <c r="G157" s="44" t="n"/>
      <c r="H157" s="44" t="n"/>
      <c r="I157" s="45" t="n"/>
      <c r="J157" s="45" t="n"/>
      <c r="K157" s="85" t="n"/>
      <c r="L157" s="85" t="n"/>
      <c r="M157" s="88" t="n"/>
      <c r="N157" s="88" t="n"/>
      <c r="O157" s="44" t="n"/>
      <c r="P157" s="45" t="n"/>
      <c r="Q157" s="45" t="n"/>
      <c r="R157" s="44" t="n"/>
      <c r="S157" s="45" t="n"/>
      <c r="T157" s="45" t="n"/>
      <c r="U157" s="85" t="n"/>
      <c r="V157" s="44" t="n"/>
      <c r="W157" s="45" t="n"/>
      <c r="X157" s="45" t="n"/>
      <c r="Y157" s="44" t="n"/>
      <c r="Z157" s="85" t="n"/>
      <c r="AA157" s="44" t="n"/>
      <c r="AB157" s="44" t="n"/>
      <c r="AC157" s="44" t="n"/>
      <c r="AD157" s="44" t="n"/>
      <c r="AE157" s="44" t="n"/>
      <c r="AF157" s="88" t="n"/>
      <c r="AG157" s="85" t="n"/>
      <c r="AH157" s="85" t="n"/>
      <c r="AI157" s="85" t="n"/>
      <c r="AJ157" s="85" t="n"/>
      <c r="AK157" s="85" t="n"/>
      <c r="AL157" s="85" t="n"/>
      <c r="AM157" s="85" t="n"/>
      <c r="AN157" s="85" t="n"/>
      <c r="AO157" s="85" t="n"/>
      <c r="AP157" s="85" t="n"/>
      <c r="AQ157" s="85" t="n"/>
      <c r="AR157" s="85" t="n"/>
      <c r="AS157" s="85" t="n"/>
      <c r="AT157" s="85" t="n"/>
      <c r="AU157" s="85" t="n"/>
      <c r="AV157" s="85" t="n"/>
      <c r="AW157" s="44" t="n"/>
      <c r="AX157" s="85" t="n"/>
      <c r="AY157" s="88" t="n"/>
      <c r="AZ157" s="86" t="n"/>
      <c r="BA157" s="44" t="n"/>
      <c r="BB157" s="44" t="n"/>
      <c r="BC157" s="87" t="n"/>
      <c r="BD157" s="44" t="n"/>
      <c r="BE157" s="87" t="n"/>
      <c r="BF157" s="85" t="n"/>
      <c r="BG157" s="44" t="n"/>
      <c r="BH157" s="44" t="n"/>
      <c r="BI157" s="85" t="n"/>
      <c r="BJ157" s="44" t="n"/>
      <c r="BK157" s="45" t="n"/>
      <c r="BL157" s="44" t="n"/>
      <c r="BM157" s="85" t="n"/>
      <c r="BN157" s="44" t="n"/>
      <c r="BO157" s="85" t="n"/>
      <c r="BP157" s="86" t="n"/>
      <c r="BQ157" s="44" t="n"/>
      <c r="BR157" s="50" t="n"/>
      <c r="BS157" s="89" t="n"/>
      <c r="BT157" s="50">
        <f>IF(OR(K157="",L157="",M157=""),"",IF(ABS(ROUND(((ROUND(N(K157)*100,0))-(0))*(100+N(M157))/100,0)-(ROUND(N(L157)*100,0)))&lt;=0+IF(((ROUND(N(K157)*100,0))-(0))*(100+N(M157))/100&lt;&gt;ROUND(((ROUND(N(K157)*100,0))-(0))*(100+N(M157))/100,0),1,0),"OK","ABWEICHUNG"))</f>
        <v/>
      </c>
    </row>
    <row r="158">
      <c r="A158" s="50" t="n"/>
      <c r="B158" s="44" t="n"/>
      <c r="C158" s="44" t="n"/>
      <c r="D158" s="44" t="n"/>
      <c r="E158" s="44" t="n"/>
      <c r="F158" s="44" t="n"/>
      <c r="G158" s="44" t="n"/>
      <c r="H158" s="44" t="n"/>
      <c r="I158" s="45" t="n"/>
      <c r="J158" s="45" t="n"/>
      <c r="K158" s="85" t="n"/>
      <c r="L158" s="85" t="n"/>
      <c r="M158" s="88" t="n"/>
      <c r="N158" s="88" t="n"/>
      <c r="O158" s="44" t="n"/>
      <c r="P158" s="45" t="n"/>
      <c r="Q158" s="45" t="n"/>
      <c r="R158" s="44" t="n"/>
      <c r="S158" s="45" t="n"/>
      <c r="T158" s="45" t="n"/>
      <c r="U158" s="85" t="n"/>
      <c r="V158" s="44" t="n"/>
      <c r="W158" s="45" t="n"/>
      <c r="X158" s="45" t="n"/>
      <c r="Y158" s="44" t="n"/>
      <c r="Z158" s="85" t="n"/>
      <c r="AA158" s="44" t="n"/>
      <c r="AB158" s="44" t="n"/>
      <c r="AC158" s="44" t="n"/>
      <c r="AD158" s="44" t="n"/>
      <c r="AE158" s="44" t="n"/>
      <c r="AF158" s="88" t="n"/>
      <c r="AG158" s="85" t="n"/>
      <c r="AH158" s="85" t="n"/>
      <c r="AI158" s="85" t="n"/>
      <c r="AJ158" s="85" t="n"/>
      <c r="AK158" s="85" t="n"/>
      <c r="AL158" s="85" t="n"/>
      <c r="AM158" s="85" t="n"/>
      <c r="AN158" s="85" t="n"/>
      <c r="AO158" s="85" t="n"/>
      <c r="AP158" s="85" t="n"/>
      <c r="AQ158" s="85" t="n"/>
      <c r="AR158" s="85" t="n"/>
      <c r="AS158" s="85" t="n"/>
      <c r="AT158" s="85" t="n"/>
      <c r="AU158" s="85" t="n"/>
      <c r="AV158" s="85" t="n"/>
      <c r="AW158" s="44" t="n"/>
      <c r="AX158" s="85" t="n"/>
      <c r="AY158" s="88" t="n"/>
      <c r="AZ158" s="86" t="n"/>
      <c r="BA158" s="44" t="n"/>
      <c r="BB158" s="44" t="n"/>
      <c r="BC158" s="87" t="n"/>
      <c r="BD158" s="44" t="n"/>
      <c r="BE158" s="87" t="n"/>
      <c r="BF158" s="85" t="n"/>
      <c r="BG158" s="44" t="n"/>
      <c r="BH158" s="44" t="n"/>
      <c r="BI158" s="85" t="n"/>
      <c r="BJ158" s="44" t="n"/>
      <c r="BK158" s="45" t="n"/>
      <c r="BL158" s="44" t="n"/>
      <c r="BM158" s="85" t="n"/>
      <c r="BN158" s="44" t="n"/>
      <c r="BO158" s="85" t="n"/>
      <c r="BP158" s="86" t="n"/>
      <c r="BQ158" s="44" t="n"/>
      <c r="BR158" s="50" t="n"/>
      <c r="BS158" s="89" t="n"/>
      <c r="BT158" s="50">
        <f>IF(OR(K158="",L158="",M158=""),"",IF(ABS(ROUND(((ROUND(N(K158)*100,0))-(0))*(100+N(M158))/100,0)-(ROUND(N(L158)*100,0)))&lt;=0+IF(((ROUND(N(K158)*100,0))-(0))*(100+N(M158))/100&lt;&gt;ROUND(((ROUND(N(K158)*100,0))-(0))*(100+N(M158))/100,0),1,0),"OK","ABWEICHUNG"))</f>
        <v/>
      </c>
    </row>
    <row r="159">
      <c r="A159" s="50" t="n"/>
      <c r="B159" s="44" t="n"/>
      <c r="C159" s="44" t="n"/>
      <c r="D159" s="44" t="n"/>
      <c r="E159" s="44" t="n"/>
      <c r="F159" s="44" t="n"/>
      <c r="G159" s="44" t="n"/>
      <c r="H159" s="44" t="n"/>
      <c r="I159" s="45" t="n"/>
      <c r="J159" s="45" t="n"/>
      <c r="K159" s="85" t="n"/>
      <c r="L159" s="85" t="n"/>
      <c r="M159" s="88" t="n"/>
      <c r="N159" s="88" t="n"/>
      <c r="O159" s="44" t="n"/>
      <c r="P159" s="45" t="n"/>
      <c r="Q159" s="45" t="n"/>
      <c r="R159" s="44" t="n"/>
      <c r="S159" s="45" t="n"/>
      <c r="T159" s="45" t="n"/>
      <c r="U159" s="85" t="n"/>
      <c r="V159" s="44" t="n"/>
      <c r="W159" s="45" t="n"/>
      <c r="X159" s="45" t="n"/>
      <c r="Y159" s="44" t="n"/>
      <c r="Z159" s="85" t="n"/>
      <c r="AA159" s="44" t="n"/>
      <c r="AB159" s="44" t="n"/>
      <c r="AC159" s="44" t="n"/>
      <c r="AD159" s="44" t="n"/>
      <c r="AE159" s="44" t="n"/>
      <c r="AF159" s="88" t="n"/>
      <c r="AG159" s="85" t="n"/>
      <c r="AH159" s="85" t="n"/>
      <c r="AI159" s="85" t="n"/>
      <c r="AJ159" s="85" t="n"/>
      <c r="AK159" s="85" t="n"/>
      <c r="AL159" s="85" t="n"/>
      <c r="AM159" s="85" t="n"/>
      <c r="AN159" s="85" t="n"/>
      <c r="AO159" s="85" t="n"/>
      <c r="AP159" s="85" t="n"/>
      <c r="AQ159" s="85" t="n"/>
      <c r="AR159" s="85" t="n"/>
      <c r="AS159" s="85" t="n"/>
      <c r="AT159" s="85" t="n"/>
      <c r="AU159" s="85" t="n"/>
      <c r="AV159" s="85" t="n"/>
      <c r="AW159" s="44" t="n"/>
      <c r="AX159" s="85" t="n"/>
      <c r="AY159" s="88" t="n"/>
      <c r="AZ159" s="86" t="n"/>
      <c r="BA159" s="44" t="n"/>
      <c r="BB159" s="44" t="n"/>
      <c r="BC159" s="87" t="n"/>
      <c r="BD159" s="44" t="n"/>
      <c r="BE159" s="87" t="n"/>
      <c r="BF159" s="85" t="n"/>
      <c r="BG159" s="44" t="n"/>
      <c r="BH159" s="44" t="n"/>
      <c r="BI159" s="85" t="n"/>
      <c r="BJ159" s="44" t="n"/>
      <c r="BK159" s="45" t="n"/>
      <c r="BL159" s="44" t="n"/>
      <c r="BM159" s="85" t="n"/>
      <c r="BN159" s="44" t="n"/>
      <c r="BO159" s="85" t="n"/>
      <c r="BP159" s="86" t="n"/>
      <c r="BQ159" s="44" t="n"/>
      <c r="BR159" s="50" t="n"/>
      <c r="BS159" s="89" t="n"/>
      <c r="BT159" s="50">
        <f>IF(OR(K159="",L159="",M159=""),"",IF(ABS(ROUND(((ROUND(N(K159)*100,0))-(0))*(100+N(M159))/100,0)-(ROUND(N(L159)*100,0)))&lt;=0+IF(((ROUND(N(K159)*100,0))-(0))*(100+N(M159))/100&lt;&gt;ROUND(((ROUND(N(K159)*100,0))-(0))*(100+N(M159))/100,0),1,0),"OK","ABWEICHUNG"))</f>
        <v/>
      </c>
    </row>
    <row r="160">
      <c r="A160" s="50" t="n"/>
      <c r="B160" s="44" t="n"/>
      <c r="C160" s="44" t="n"/>
      <c r="D160" s="44" t="n"/>
      <c r="E160" s="44" t="n"/>
      <c r="F160" s="44" t="n"/>
      <c r="G160" s="44" t="n"/>
      <c r="H160" s="44" t="n"/>
      <c r="I160" s="45" t="n"/>
      <c r="J160" s="45" t="n"/>
      <c r="K160" s="85" t="n"/>
      <c r="L160" s="85" t="n"/>
      <c r="M160" s="88" t="n"/>
      <c r="N160" s="88" t="n"/>
      <c r="O160" s="44" t="n"/>
      <c r="P160" s="45" t="n"/>
      <c r="Q160" s="45" t="n"/>
      <c r="R160" s="44" t="n"/>
      <c r="S160" s="45" t="n"/>
      <c r="T160" s="45" t="n"/>
      <c r="U160" s="85" t="n"/>
      <c r="V160" s="44" t="n"/>
      <c r="W160" s="45" t="n"/>
      <c r="X160" s="45" t="n"/>
      <c r="Y160" s="44" t="n"/>
      <c r="Z160" s="85" t="n"/>
      <c r="AA160" s="44" t="n"/>
      <c r="AB160" s="44" t="n"/>
      <c r="AC160" s="44" t="n"/>
      <c r="AD160" s="44" t="n"/>
      <c r="AE160" s="44" t="n"/>
      <c r="AF160" s="88" t="n"/>
      <c r="AG160" s="85" t="n"/>
      <c r="AH160" s="85" t="n"/>
      <c r="AI160" s="85" t="n"/>
      <c r="AJ160" s="85" t="n"/>
      <c r="AK160" s="85" t="n"/>
      <c r="AL160" s="85" t="n"/>
      <c r="AM160" s="85" t="n"/>
      <c r="AN160" s="85" t="n"/>
      <c r="AO160" s="85" t="n"/>
      <c r="AP160" s="85" t="n"/>
      <c r="AQ160" s="85" t="n"/>
      <c r="AR160" s="85" t="n"/>
      <c r="AS160" s="85" t="n"/>
      <c r="AT160" s="85" t="n"/>
      <c r="AU160" s="85" t="n"/>
      <c r="AV160" s="85" t="n"/>
      <c r="AW160" s="44" t="n"/>
      <c r="AX160" s="85" t="n"/>
      <c r="AY160" s="88" t="n"/>
      <c r="AZ160" s="86" t="n"/>
      <c r="BA160" s="44" t="n"/>
      <c r="BB160" s="44" t="n"/>
      <c r="BC160" s="87" t="n"/>
      <c r="BD160" s="44" t="n"/>
      <c r="BE160" s="87" t="n"/>
      <c r="BF160" s="85" t="n"/>
      <c r="BG160" s="44" t="n"/>
      <c r="BH160" s="44" t="n"/>
      <c r="BI160" s="85" t="n"/>
      <c r="BJ160" s="44" t="n"/>
      <c r="BK160" s="45" t="n"/>
      <c r="BL160" s="44" t="n"/>
      <c r="BM160" s="85" t="n"/>
      <c r="BN160" s="44" t="n"/>
      <c r="BO160" s="85" t="n"/>
      <c r="BP160" s="86" t="n"/>
      <c r="BQ160" s="44" t="n"/>
      <c r="BR160" s="50" t="n"/>
      <c r="BS160" s="89" t="n"/>
      <c r="BT160" s="50">
        <f>IF(OR(K160="",L160="",M160=""),"",IF(ABS(ROUND(((ROUND(N(K160)*100,0))-(0))*(100+N(M160))/100,0)-(ROUND(N(L160)*100,0)))&lt;=0+IF(((ROUND(N(K160)*100,0))-(0))*(100+N(M160))/100&lt;&gt;ROUND(((ROUND(N(K160)*100,0))-(0))*(100+N(M160))/100,0),1,0),"OK","ABWEICHUNG"))</f>
        <v/>
      </c>
    </row>
    <row r="161">
      <c r="A161" s="50" t="n"/>
      <c r="B161" s="44" t="n"/>
      <c r="C161" s="44" t="n"/>
      <c r="D161" s="44" t="n"/>
      <c r="E161" s="44" t="n"/>
      <c r="F161" s="44" t="n"/>
      <c r="G161" s="44" t="n"/>
      <c r="H161" s="44" t="n"/>
      <c r="I161" s="45" t="n"/>
      <c r="J161" s="45" t="n"/>
      <c r="K161" s="85" t="n"/>
      <c r="L161" s="85" t="n"/>
      <c r="M161" s="88" t="n"/>
      <c r="N161" s="88" t="n"/>
      <c r="O161" s="44" t="n"/>
      <c r="P161" s="45" t="n"/>
      <c r="Q161" s="45" t="n"/>
      <c r="R161" s="44" t="n"/>
      <c r="S161" s="45" t="n"/>
      <c r="T161" s="45" t="n"/>
      <c r="U161" s="85" t="n"/>
      <c r="V161" s="44" t="n"/>
      <c r="W161" s="45" t="n"/>
      <c r="X161" s="45" t="n"/>
      <c r="Y161" s="44" t="n"/>
      <c r="Z161" s="85" t="n"/>
      <c r="AA161" s="44" t="n"/>
      <c r="AB161" s="44" t="n"/>
      <c r="AC161" s="44" t="n"/>
      <c r="AD161" s="44" t="n"/>
      <c r="AE161" s="44" t="n"/>
      <c r="AF161" s="88" t="n"/>
      <c r="AG161" s="85" t="n"/>
      <c r="AH161" s="85" t="n"/>
      <c r="AI161" s="85" t="n"/>
      <c r="AJ161" s="85" t="n"/>
      <c r="AK161" s="85" t="n"/>
      <c r="AL161" s="85" t="n"/>
      <c r="AM161" s="85" t="n"/>
      <c r="AN161" s="85" t="n"/>
      <c r="AO161" s="85" t="n"/>
      <c r="AP161" s="85" t="n"/>
      <c r="AQ161" s="85" t="n"/>
      <c r="AR161" s="85" t="n"/>
      <c r="AS161" s="85" t="n"/>
      <c r="AT161" s="85" t="n"/>
      <c r="AU161" s="85" t="n"/>
      <c r="AV161" s="85" t="n"/>
      <c r="AW161" s="44" t="n"/>
      <c r="AX161" s="85" t="n"/>
      <c r="AY161" s="88" t="n"/>
      <c r="AZ161" s="86" t="n"/>
      <c r="BA161" s="44" t="n"/>
      <c r="BB161" s="44" t="n"/>
      <c r="BC161" s="87" t="n"/>
      <c r="BD161" s="44" t="n"/>
      <c r="BE161" s="87" t="n"/>
      <c r="BF161" s="85" t="n"/>
      <c r="BG161" s="44" t="n"/>
      <c r="BH161" s="44" t="n"/>
      <c r="BI161" s="85" t="n"/>
      <c r="BJ161" s="44" t="n"/>
      <c r="BK161" s="45" t="n"/>
      <c r="BL161" s="44" t="n"/>
      <c r="BM161" s="85" t="n"/>
      <c r="BN161" s="44" t="n"/>
      <c r="BO161" s="85" t="n"/>
      <c r="BP161" s="86" t="n"/>
      <c r="BQ161" s="44" t="n"/>
      <c r="BR161" s="50" t="n"/>
      <c r="BS161" s="89" t="n"/>
      <c r="BT161" s="50">
        <f>IF(OR(K161="",L161="",M161=""),"",IF(ABS(ROUND(((ROUND(N(K161)*100,0))-(0))*(100+N(M161))/100,0)-(ROUND(N(L161)*100,0)))&lt;=0+IF(((ROUND(N(K161)*100,0))-(0))*(100+N(M161))/100&lt;&gt;ROUND(((ROUND(N(K161)*100,0))-(0))*(100+N(M161))/100,0),1,0),"OK","ABWEICHUNG"))</f>
        <v/>
      </c>
    </row>
    <row r="162">
      <c r="A162" s="50" t="n"/>
      <c r="B162" s="44" t="n"/>
      <c r="C162" s="44" t="n"/>
      <c r="D162" s="44" t="n"/>
      <c r="E162" s="44" t="n"/>
      <c r="F162" s="44" t="n"/>
      <c r="G162" s="44" t="n"/>
      <c r="H162" s="44" t="n"/>
      <c r="I162" s="45" t="n"/>
      <c r="J162" s="45" t="n"/>
      <c r="K162" s="85" t="n"/>
      <c r="L162" s="85" t="n"/>
      <c r="M162" s="88" t="n"/>
      <c r="N162" s="88" t="n"/>
      <c r="O162" s="44" t="n"/>
      <c r="P162" s="45" t="n"/>
      <c r="Q162" s="45" t="n"/>
      <c r="R162" s="44" t="n"/>
      <c r="S162" s="45" t="n"/>
      <c r="T162" s="45" t="n"/>
      <c r="U162" s="85" t="n"/>
      <c r="V162" s="44" t="n"/>
      <c r="W162" s="45" t="n"/>
      <c r="X162" s="45" t="n"/>
      <c r="Y162" s="44" t="n"/>
      <c r="Z162" s="85" t="n"/>
      <c r="AA162" s="44" t="n"/>
      <c r="AB162" s="44" t="n"/>
      <c r="AC162" s="44" t="n"/>
      <c r="AD162" s="44" t="n"/>
      <c r="AE162" s="44" t="n"/>
      <c r="AF162" s="88" t="n"/>
      <c r="AG162" s="85" t="n"/>
      <c r="AH162" s="85" t="n"/>
      <c r="AI162" s="85" t="n"/>
      <c r="AJ162" s="85" t="n"/>
      <c r="AK162" s="85" t="n"/>
      <c r="AL162" s="85" t="n"/>
      <c r="AM162" s="85" t="n"/>
      <c r="AN162" s="85" t="n"/>
      <c r="AO162" s="85" t="n"/>
      <c r="AP162" s="85" t="n"/>
      <c r="AQ162" s="85" t="n"/>
      <c r="AR162" s="85" t="n"/>
      <c r="AS162" s="85" t="n"/>
      <c r="AT162" s="85" t="n"/>
      <c r="AU162" s="85" t="n"/>
      <c r="AV162" s="85" t="n"/>
      <c r="AW162" s="44" t="n"/>
      <c r="AX162" s="85" t="n"/>
      <c r="AY162" s="88" t="n"/>
      <c r="AZ162" s="86" t="n"/>
      <c r="BA162" s="44" t="n"/>
      <c r="BB162" s="44" t="n"/>
      <c r="BC162" s="87" t="n"/>
      <c r="BD162" s="44" t="n"/>
      <c r="BE162" s="87" t="n"/>
      <c r="BF162" s="85" t="n"/>
      <c r="BG162" s="44" t="n"/>
      <c r="BH162" s="44" t="n"/>
      <c r="BI162" s="85" t="n"/>
      <c r="BJ162" s="44" t="n"/>
      <c r="BK162" s="45" t="n"/>
      <c r="BL162" s="44" t="n"/>
      <c r="BM162" s="85" t="n"/>
      <c r="BN162" s="44" t="n"/>
      <c r="BO162" s="85" t="n"/>
      <c r="BP162" s="86" t="n"/>
      <c r="BQ162" s="44" t="n"/>
      <c r="BR162" s="50" t="n"/>
      <c r="BS162" s="89" t="n"/>
      <c r="BT162" s="50">
        <f>IF(OR(K162="",L162="",M162=""),"",IF(ABS(ROUND(((ROUND(N(K162)*100,0))-(0))*(100+N(M162))/100,0)-(ROUND(N(L162)*100,0)))&lt;=0+IF(((ROUND(N(K162)*100,0))-(0))*(100+N(M162))/100&lt;&gt;ROUND(((ROUND(N(K162)*100,0))-(0))*(100+N(M162))/100,0),1,0),"OK","ABWEICHUNG"))</f>
        <v/>
      </c>
    </row>
    <row r="163">
      <c r="A163" s="50" t="n"/>
      <c r="B163" s="44" t="n"/>
      <c r="C163" s="44" t="n"/>
      <c r="D163" s="44" t="n"/>
      <c r="E163" s="44" t="n"/>
      <c r="F163" s="44" t="n"/>
      <c r="G163" s="44" t="n"/>
      <c r="H163" s="44" t="n"/>
      <c r="I163" s="45" t="n"/>
      <c r="J163" s="45" t="n"/>
      <c r="K163" s="85" t="n"/>
      <c r="L163" s="85" t="n"/>
      <c r="M163" s="88" t="n"/>
      <c r="N163" s="88" t="n"/>
      <c r="O163" s="44" t="n"/>
      <c r="P163" s="45" t="n"/>
      <c r="Q163" s="45" t="n"/>
      <c r="R163" s="44" t="n"/>
      <c r="S163" s="45" t="n"/>
      <c r="T163" s="45" t="n"/>
      <c r="U163" s="85" t="n"/>
      <c r="V163" s="44" t="n"/>
      <c r="W163" s="45" t="n"/>
      <c r="X163" s="45" t="n"/>
      <c r="Y163" s="44" t="n"/>
      <c r="Z163" s="85" t="n"/>
      <c r="AA163" s="44" t="n"/>
      <c r="AB163" s="44" t="n"/>
      <c r="AC163" s="44" t="n"/>
      <c r="AD163" s="44" t="n"/>
      <c r="AE163" s="44" t="n"/>
      <c r="AF163" s="88" t="n"/>
      <c r="AG163" s="85" t="n"/>
      <c r="AH163" s="85" t="n"/>
      <c r="AI163" s="85" t="n"/>
      <c r="AJ163" s="85" t="n"/>
      <c r="AK163" s="85" t="n"/>
      <c r="AL163" s="85" t="n"/>
      <c r="AM163" s="85" t="n"/>
      <c r="AN163" s="85" t="n"/>
      <c r="AO163" s="85" t="n"/>
      <c r="AP163" s="85" t="n"/>
      <c r="AQ163" s="85" t="n"/>
      <c r="AR163" s="85" t="n"/>
      <c r="AS163" s="85" t="n"/>
      <c r="AT163" s="85" t="n"/>
      <c r="AU163" s="85" t="n"/>
      <c r="AV163" s="85" t="n"/>
      <c r="AW163" s="44" t="n"/>
      <c r="AX163" s="85" t="n"/>
      <c r="AY163" s="88" t="n"/>
      <c r="AZ163" s="86" t="n"/>
      <c r="BA163" s="44" t="n"/>
      <c r="BB163" s="44" t="n"/>
      <c r="BC163" s="87" t="n"/>
      <c r="BD163" s="44" t="n"/>
      <c r="BE163" s="87" t="n"/>
      <c r="BF163" s="85" t="n"/>
      <c r="BG163" s="44" t="n"/>
      <c r="BH163" s="44" t="n"/>
      <c r="BI163" s="85" t="n"/>
      <c r="BJ163" s="44" t="n"/>
      <c r="BK163" s="45" t="n"/>
      <c r="BL163" s="44" t="n"/>
      <c r="BM163" s="85" t="n"/>
      <c r="BN163" s="44" t="n"/>
      <c r="BO163" s="85" t="n"/>
      <c r="BP163" s="86" t="n"/>
      <c r="BQ163" s="44" t="n"/>
      <c r="BR163" s="50" t="n"/>
      <c r="BS163" s="89" t="n"/>
      <c r="BT163" s="50">
        <f>IF(OR(K163="",L163="",M163=""),"",IF(ABS(ROUND(((ROUND(N(K163)*100,0))-(0))*(100+N(M163))/100,0)-(ROUND(N(L163)*100,0)))&lt;=0+IF(((ROUND(N(K163)*100,0))-(0))*(100+N(M163))/100&lt;&gt;ROUND(((ROUND(N(K163)*100,0))-(0))*(100+N(M163))/100,0),1,0),"OK","ABWEICHUNG"))</f>
        <v/>
      </c>
    </row>
    <row r="164">
      <c r="A164" s="50" t="n"/>
      <c r="B164" s="44" t="n"/>
      <c r="C164" s="44" t="n"/>
      <c r="D164" s="44" t="n"/>
      <c r="E164" s="44" t="n"/>
      <c r="F164" s="44" t="n"/>
      <c r="G164" s="44" t="n"/>
      <c r="H164" s="44" t="n"/>
      <c r="I164" s="45" t="n"/>
      <c r="J164" s="45" t="n"/>
      <c r="K164" s="85" t="n"/>
      <c r="L164" s="85" t="n"/>
      <c r="M164" s="88" t="n"/>
      <c r="N164" s="88" t="n"/>
      <c r="O164" s="44" t="n"/>
      <c r="P164" s="45" t="n"/>
      <c r="Q164" s="45" t="n"/>
      <c r="R164" s="44" t="n"/>
      <c r="S164" s="45" t="n"/>
      <c r="T164" s="45" t="n"/>
      <c r="U164" s="85" t="n"/>
      <c r="V164" s="44" t="n"/>
      <c r="W164" s="45" t="n"/>
      <c r="X164" s="45" t="n"/>
      <c r="Y164" s="44" t="n"/>
      <c r="Z164" s="85" t="n"/>
      <c r="AA164" s="44" t="n"/>
      <c r="AB164" s="44" t="n"/>
      <c r="AC164" s="44" t="n"/>
      <c r="AD164" s="44" t="n"/>
      <c r="AE164" s="44" t="n"/>
      <c r="AF164" s="88" t="n"/>
      <c r="AG164" s="85" t="n"/>
      <c r="AH164" s="85" t="n"/>
      <c r="AI164" s="85" t="n"/>
      <c r="AJ164" s="85" t="n"/>
      <c r="AK164" s="85" t="n"/>
      <c r="AL164" s="85" t="n"/>
      <c r="AM164" s="85" t="n"/>
      <c r="AN164" s="85" t="n"/>
      <c r="AO164" s="85" t="n"/>
      <c r="AP164" s="85" t="n"/>
      <c r="AQ164" s="85" t="n"/>
      <c r="AR164" s="85" t="n"/>
      <c r="AS164" s="85" t="n"/>
      <c r="AT164" s="85" t="n"/>
      <c r="AU164" s="85" t="n"/>
      <c r="AV164" s="85" t="n"/>
      <c r="AW164" s="44" t="n"/>
      <c r="AX164" s="85" t="n"/>
      <c r="AY164" s="88" t="n"/>
      <c r="AZ164" s="86" t="n"/>
      <c r="BA164" s="44" t="n"/>
      <c r="BB164" s="44" t="n"/>
      <c r="BC164" s="87" t="n"/>
      <c r="BD164" s="44" t="n"/>
      <c r="BE164" s="87" t="n"/>
      <c r="BF164" s="85" t="n"/>
      <c r="BG164" s="44" t="n"/>
      <c r="BH164" s="44" t="n"/>
      <c r="BI164" s="85" t="n"/>
      <c r="BJ164" s="44" t="n"/>
      <c r="BK164" s="45" t="n"/>
      <c r="BL164" s="44" t="n"/>
      <c r="BM164" s="85" t="n"/>
      <c r="BN164" s="44" t="n"/>
      <c r="BO164" s="85" t="n"/>
      <c r="BP164" s="86" t="n"/>
      <c r="BQ164" s="44" t="n"/>
      <c r="BR164" s="50" t="n"/>
      <c r="BS164" s="89" t="n"/>
      <c r="BT164" s="50">
        <f>IF(OR(K164="",L164="",M164=""),"",IF(ABS(ROUND(((ROUND(N(K164)*100,0))-(0))*(100+N(M164))/100,0)-(ROUND(N(L164)*100,0)))&lt;=0+IF(((ROUND(N(K164)*100,0))-(0))*(100+N(M164))/100&lt;&gt;ROUND(((ROUND(N(K164)*100,0))-(0))*(100+N(M164))/100,0),1,0),"OK","ABWEICHUNG"))</f>
        <v/>
      </c>
    </row>
    <row r="165">
      <c r="A165" s="50" t="n"/>
      <c r="B165" s="44" t="n"/>
      <c r="C165" s="44" t="n"/>
      <c r="D165" s="44" t="n"/>
      <c r="E165" s="44" t="n"/>
      <c r="F165" s="44" t="n"/>
      <c r="G165" s="44" t="n"/>
      <c r="H165" s="44" t="n"/>
      <c r="I165" s="45" t="n"/>
      <c r="J165" s="45" t="n"/>
      <c r="K165" s="85" t="n"/>
      <c r="L165" s="85" t="n"/>
      <c r="M165" s="88" t="n"/>
      <c r="N165" s="88" t="n"/>
      <c r="O165" s="44" t="n"/>
      <c r="P165" s="45" t="n"/>
      <c r="Q165" s="45" t="n"/>
      <c r="R165" s="44" t="n"/>
      <c r="S165" s="45" t="n"/>
      <c r="T165" s="45" t="n"/>
      <c r="U165" s="85" t="n"/>
      <c r="V165" s="44" t="n"/>
      <c r="W165" s="45" t="n"/>
      <c r="X165" s="45" t="n"/>
      <c r="Y165" s="44" t="n"/>
      <c r="Z165" s="85" t="n"/>
      <c r="AA165" s="44" t="n"/>
      <c r="AB165" s="44" t="n"/>
      <c r="AC165" s="44" t="n"/>
      <c r="AD165" s="44" t="n"/>
      <c r="AE165" s="44" t="n"/>
      <c r="AF165" s="88" t="n"/>
      <c r="AG165" s="85" t="n"/>
      <c r="AH165" s="85" t="n"/>
      <c r="AI165" s="85" t="n"/>
      <c r="AJ165" s="85" t="n"/>
      <c r="AK165" s="85" t="n"/>
      <c r="AL165" s="85" t="n"/>
      <c r="AM165" s="85" t="n"/>
      <c r="AN165" s="85" t="n"/>
      <c r="AO165" s="85" t="n"/>
      <c r="AP165" s="85" t="n"/>
      <c r="AQ165" s="85" t="n"/>
      <c r="AR165" s="85" t="n"/>
      <c r="AS165" s="85" t="n"/>
      <c r="AT165" s="85" t="n"/>
      <c r="AU165" s="85" t="n"/>
      <c r="AV165" s="85" t="n"/>
      <c r="AW165" s="44" t="n"/>
      <c r="AX165" s="85" t="n"/>
      <c r="AY165" s="88" t="n"/>
      <c r="AZ165" s="86" t="n"/>
      <c r="BA165" s="44" t="n"/>
      <c r="BB165" s="44" t="n"/>
      <c r="BC165" s="87" t="n"/>
      <c r="BD165" s="44" t="n"/>
      <c r="BE165" s="87" t="n"/>
      <c r="BF165" s="85" t="n"/>
      <c r="BG165" s="44" t="n"/>
      <c r="BH165" s="44" t="n"/>
      <c r="BI165" s="85" t="n"/>
      <c r="BJ165" s="44" t="n"/>
      <c r="BK165" s="45" t="n"/>
      <c r="BL165" s="44" t="n"/>
      <c r="BM165" s="85" t="n"/>
      <c r="BN165" s="44" t="n"/>
      <c r="BO165" s="85" t="n"/>
      <c r="BP165" s="86" t="n"/>
      <c r="BQ165" s="44" t="n"/>
      <c r="BR165" s="50" t="n"/>
      <c r="BS165" s="89" t="n"/>
      <c r="BT165" s="50">
        <f>IF(OR(K165="",L165="",M165=""),"",IF(ABS(ROUND(((ROUND(N(K165)*100,0))-(0))*(100+N(M165))/100,0)-(ROUND(N(L165)*100,0)))&lt;=0+IF(((ROUND(N(K165)*100,0))-(0))*(100+N(M165))/100&lt;&gt;ROUND(((ROUND(N(K165)*100,0))-(0))*(100+N(M165))/100,0),1,0),"OK","ABWEICHUNG"))</f>
        <v/>
      </c>
    </row>
    <row r="166">
      <c r="A166" s="50" t="n"/>
      <c r="B166" s="44" t="n"/>
      <c r="C166" s="44" t="n"/>
      <c r="D166" s="44" t="n"/>
      <c r="E166" s="44" t="n"/>
      <c r="F166" s="44" t="n"/>
      <c r="G166" s="44" t="n"/>
      <c r="H166" s="44" t="n"/>
      <c r="I166" s="45" t="n"/>
      <c r="J166" s="45" t="n"/>
      <c r="K166" s="85" t="n"/>
      <c r="L166" s="85" t="n"/>
      <c r="M166" s="88" t="n"/>
      <c r="N166" s="88" t="n"/>
      <c r="O166" s="44" t="n"/>
      <c r="P166" s="45" t="n"/>
      <c r="Q166" s="45" t="n"/>
      <c r="R166" s="44" t="n"/>
      <c r="S166" s="45" t="n"/>
      <c r="T166" s="45" t="n"/>
      <c r="U166" s="85" t="n"/>
      <c r="V166" s="44" t="n"/>
      <c r="W166" s="45" t="n"/>
      <c r="X166" s="45" t="n"/>
      <c r="Y166" s="44" t="n"/>
      <c r="Z166" s="85" t="n"/>
      <c r="AA166" s="44" t="n"/>
      <c r="AB166" s="44" t="n"/>
      <c r="AC166" s="44" t="n"/>
      <c r="AD166" s="44" t="n"/>
      <c r="AE166" s="44" t="n"/>
      <c r="AF166" s="88" t="n"/>
      <c r="AG166" s="85" t="n"/>
      <c r="AH166" s="85" t="n"/>
      <c r="AI166" s="85" t="n"/>
      <c r="AJ166" s="85" t="n"/>
      <c r="AK166" s="85" t="n"/>
      <c r="AL166" s="85" t="n"/>
      <c r="AM166" s="85" t="n"/>
      <c r="AN166" s="85" t="n"/>
      <c r="AO166" s="85" t="n"/>
      <c r="AP166" s="85" t="n"/>
      <c r="AQ166" s="85" t="n"/>
      <c r="AR166" s="85" t="n"/>
      <c r="AS166" s="85" t="n"/>
      <c r="AT166" s="85" t="n"/>
      <c r="AU166" s="85" t="n"/>
      <c r="AV166" s="85" t="n"/>
      <c r="AW166" s="44" t="n"/>
      <c r="AX166" s="85" t="n"/>
      <c r="AY166" s="88" t="n"/>
      <c r="AZ166" s="86" t="n"/>
      <c r="BA166" s="44" t="n"/>
      <c r="BB166" s="44" t="n"/>
      <c r="BC166" s="87" t="n"/>
      <c r="BD166" s="44" t="n"/>
      <c r="BE166" s="87" t="n"/>
      <c r="BF166" s="85" t="n"/>
      <c r="BG166" s="44" t="n"/>
      <c r="BH166" s="44" t="n"/>
      <c r="BI166" s="85" t="n"/>
      <c r="BJ166" s="44" t="n"/>
      <c r="BK166" s="45" t="n"/>
      <c r="BL166" s="44" t="n"/>
      <c r="BM166" s="85" t="n"/>
      <c r="BN166" s="44" t="n"/>
      <c r="BO166" s="85" t="n"/>
      <c r="BP166" s="86" t="n"/>
      <c r="BQ166" s="44" t="n"/>
      <c r="BR166" s="50" t="n"/>
      <c r="BS166" s="89" t="n"/>
      <c r="BT166" s="50">
        <f>IF(OR(K166="",L166="",M166=""),"",IF(ABS(ROUND(((ROUND(N(K166)*100,0))-(0))*(100+N(M166))/100,0)-(ROUND(N(L166)*100,0)))&lt;=0+IF(((ROUND(N(K166)*100,0))-(0))*(100+N(M166))/100&lt;&gt;ROUND(((ROUND(N(K166)*100,0))-(0))*(100+N(M166))/100,0),1,0),"OK","ABWEICHUNG"))</f>
        <v/>
      </c>
    </row>
    <row r="167">
      <c r="A167" s="50" t="n"/>
      <c r="B167" s="44" t="n"/>
      <c r="C167" s="44" t="n"/>
      <c r="D167" s="44" t="n"/>
      <c r="E167" s="44" t="n"/>
      <c r="F167" s="44" t="n"/>
      <c r="G167" s="44" t="n"/>
      <c r="H167" s="44" t="n"/>
      <c r="I167" s="45" t="n"/>
      <c r="J167" s="45" t="n"/>
      <c r="K167" s="85" t="n"/>
      <c r="L167" s="85" t="n"/>
      <c r="M167" s="88" t="n"/>
      <c r="N167" s="88" t="n"/>
      <c r="O167" s="44" t="n"/>
      <c r="P167" s="45" t="n"/>
      <c r="Q167" s="45" t="n"/>
      <c r="R167" s="44" t="n"/>
      <c r="S167" s="45" t="n"/>
      <c r="T167" s="45" t="n"/>
      <c r="U167" s="85" t="n"/>
      <c r="V167" s="44" t="n"/>
      <c r="W167" s="45" t="n"/>
      <c r="X167" s="45" t="n"/>
      <c r="Y167" s="44" t="n"/>
      <c r="Z167" s="85" t="n"/>
      <c r="AA167" s="44" t="n"/>
      <c r="AB167" s="44" t="n"/>
      <c r="AC167" s="44" t="n"/>
      <c r="AD167" s="44" t="n"/>
      <c r="AE167" s="44" t="n"/>
      <c r="AF167" s="88" t="n"/>
      <c r="AG167" s="85" t="n"/>
      <c r="AH167" s="85" t="n"/>
      <c r="AI167" s="85" t="n"/>
      <c r="AJ167" s="85" t="n"/>
      <c r="AK167" s="85" t="n"/>
      <c r="AL167" s="85" t="n"/>
      <c r="AM167" s="85" t="n"/>
      <c r="AN167" s="85" t="n"/>
      <c r="AO167" s="85" t="n"/>
      <c r="AP167" s="85" t="n"/>
      <c r="AQ167" s="85" t="n"/>
      <c r="AR167" s="85" t="n"/>
      <c r="AS167" s="85" t="n"/>
      <c r="AT167" s="85" t="n"/>
      <c r="AU167" s="85" t="n"/>
      <c r="AV167" s="85" t="n"/>
      <c r="AW167" s="44" t="n"/>
      <c r="AX167" s="85" t="n"/>
      <c r="AY167" s="88" t="n"/>
      <c r="AZ167" s="86" t="n"/>
      <c r="BA167" s="44" t="n"/>
      <c r="BB167" s="44" t="n"/>
      <c r="BC167" s="87" t="n"/>
      <c r="BD167" s="44" t="n"/>
      <c r="BE167" s="87" t="n"/>
      <c r="BF167" s="85" t="n"/>
      <c r="BG167" s="44" t="n"/>
      <c r="BH167" s="44" t="n"/>
      <c r="BI167" s="85" t="n"/>
      <c r="BJ167" s="44" t="n"/>
      <c r="BK167" s="45" t="n"/>
      <c r="BL167" s="44" t="n"/>
      <c r="BM167" s="85" t="n"/>
      <c r="BN167" s="44" t="n"/>
      <c r="BO167" s="85" t="n"/>
      <c r="BP167" s="86" t="n"/>
      <c r="BQ167" s="44" t="n"/>
      <c r="BR167" s="50" t="n"/>
      <c r="BS167" s="89" t="n"/>
      <c r="BT167" s="50">
        <f>IF(OR(K167="",L167="",M167=""),"",IF(ABS(ROUND(((ROUND(N(K167)*100,0))-(0))*(100+N(M167))/100,0)-(ROUND(N(L167)*100,0)))&lt;=0+IF(((ROUND(N(K167)*100,0))-(0))*(100+N(M167))/100&lt;&gt;ROUND(((ROUND(N(K167)*100,0))-(0))*(100+N(M167))/100,0),1,0),"OK","ABWEICHUNG"))</f>
        <v/>
      </c>
    </row>
    <row r="168">
      <c r="A168" s="50" t="n"/>
      <c r="B168" s="44" t="n"/>
      <c r="C168" s="44" t="n"/>
      <c r="D168" s="44" t="n"/>
      <c r="E168" s="44" t="n"/>
      <c r="F168" s="44" t="n"/>
      <c r="G168" s="44" t="n"/>
      <c r="H168" s="44" t="n"/>
      <c r="I168" s="45" t="n"/>
      <c r="J168" s="45" t="n"/>
      <c r="K168" s="85" t="n"/>
      <c r="L168" s="85" t="n"/>
      <c r="M168" s="88" t="n"/>
      <c r="N168" s="88" t="n"/>
      <c r="O168" s="44" t="n"/>
      <c r="P168" s="45" t="n"/>
      <c r="Q168" s="45" t="n"/>
      <c r="R168" s="44" t="n"/>
      <c r="S168" s="45" t="n"/>
      <c r="T168" s="45" t="n"/>
      <c r="U168" s="85" t="n"/>
      <c r="V168" s="44" t="n"/>
      <c r="W168" s="45" t="n"/>
      <c r="X168" s="45" t="n"/>
      <c r="Y168" s="44" t="n"/>
      <c r="Z168" s="85" t="n"/>
      <c r="AA168" s="44" t="n"/>
      <c r="AB168" s="44" t="n"/>
      <c r="AC168" s="44" t="n"/>
      <c r="AD168" s="44" t="n"/>
      <c r="AE168" s="44" t="n"/>
      <c r="AF168" s="88" t="n"/>
      <c r="AG168" s="85" t="n"/>
      <c r="AH168" s="85" t="n"/>
      <c r="AI168" s="85" t="n"/>
      <c r="AJ168" s="85" t="n"/>
      <c r="AK168" s="85" t="n"/>
      <c r="AL168" s="85" t="n"/>
      <c r="AM168" s="85" t="n"/>
      <c r="AN168" s="85" t="n"/>
      <c r="AO168" s="85" t="n"/>
      <c r="AP168" s="85" t="n"/>
      <c r="AQ168" s="85" t="n"/>
      <c r="AR168" s="85" t="n"/>
      <c r="AS168" s="85" t="n"/>
      <c r="AT168" s="85" t="n"/>
      <c r="AU168" s="85" t="n"/>
      <c r="AV168" s="85" t="n"/>
      <c r="AW168" s="44" t="n"/>
      <c r="AX168" s="85" t="n"/>
      <c r="AY168" s="88" t="n"/>
      <c r="AZ168" s="86" t="n"/>
      <c r="BA168" s="44" t="n"/>
      <c r="BB168" s="44" t="n"/>
      <c r="BC168" s="87" t="n"/>
      <c r="BD168" s="44" t="n"/>
      <c r="BE168" s="87" t="n"/>
      <c r="BF168" s="85" t="n"/>
      <c r="BG168" s="44" t="n"/>
      <c r="BH168" s="44" t="n"/>
      <c r="BI168" s="85" t="n"/>
      <c r="BJ168" s="44" t="n"/>
      <c r="BK168" s="45" t="n"/>
      <c r="BL168" s="44" t="n"/>
      <c r="BM168" s="85" t="n"/>
      <c r="BN168" s="44" t="n"/>
      <c r="BO168" s="85" t="n"/>
      <c r="BP168" s="86" t="n"/>
      <c r="BQ168" s="44" t="n"/>
      <c r="BR168" s="50" t="n"/>
      <c r="BS168" s="89" t="n"/>
      <c r="BT168" s="50">
        <f>IF(OR(K168="",L168="",M168=""),"",IF(ABS(ROUND(((ROUND(N(K168)*100,0))-(0))*(100+N(M168))/100,0)-(ROUND(N(L168)*100,0)))&lt;=0+IF(((ROUND(N(K168)*100,0))-(0))*(100+N(M168))/100&lt;&gt;ROUND(((ROUND(N(K168)*100,0))-(0))*(100+N(M168))/100,0),1,0),"OK","ABWEICHUNG"))</f>
        <v/>
      </c>
    </row>
    <row r="169">
      <c r="A169" s="50" t="n"/>
      <c r="B169" s="44" t="n"/>
      <c r="C169" s="44" t="n"/>
      <c r="D169" s="44" t="n"/>
      <c r="E169" s="44" t="n"/>
      <c r="F169" s="44" t="n"/>
      <c r="G169" s="44" t="n"/>
      <c r="H169" s="44" t="n"/>
      <c r="I169" s="45" t="n"/>
      <c r="J169" s="45" t="n"/>
      <c r="K169" s="85" t="n"/>
      <c r="L169" s="85" t="n"/>
      <c r="M169" s="88" t="n"/>
      <c r="N169" s="88" t="n"/>
      <c r="O169" s="44" t="n"/>
      <c r="P169" s="45" t="n"/>
      <c r="Q169" s="45" t="n"/>
      <c r="R169" s="44" t="n"/>
      <c r="S169" s="45" t="n"/>
      <c r="T169" s="45" t="n"/>
      <c r="U169" s="85" t="n"/>
      <c r="V169" s="44" t="n"/>
      <c r="W169" s="45" t="n"/>
      <c r="X169" s="45" t="n"/>
      <c r="Y169" s="44" t="n"/>
      <c r="Z169" s="85" t="n"/>
      <c r="AA169" s="44" t="n"/>
      <c r="AB169" s="44" t="n"/>
      <c r="AC169" s="44" t="n"/>
      <c r="AD169" s="44" t="n"/>
      <c r="AE169" s="44" t="n"/>
      <c r="AF169" s="88" t="n"/>
      <c r="AG169" s="85" t="n"/>
      <c r="AH169" s="85" t="n"/>
      <c r="AI169" s="85" t="n"/>
      <c r="AJ169" s="85" t="n"/>
      <c r="AK169" s="85" t="n"/>
      <c r="AL169" s="85" t="n"/>
      <c r="AM169" s="85" t="n"/>
      <c r="AN169" s="85" t="n"/>
      <c r="AO169" s="85" t="n"/>
      <c r="AP169" s="85" t="n"/>
      <c r="AQ169" s="85" t="n"/>
      <c r="AR169" s="85" t="n"/>
      <c r="AS169" s="85" t="n"/>
      <c r="AT169" s="85" t="n"/>
      <c r="AU169" s="85" t="n"/>
      <c r="AV169" s="85" t="n"/>
      <c r="AW169" s="44" t="n"/>
      <c r="AX169" s="85" t="n"/>
      <c r="AY169" s="88" t="n"/>
      <c r="AZ169" s="86" t="n"/>
      <c r="BA169" s="44" t="n"/>
      <c r="BB169" s="44" t="n"/>
      <c r="BC169" s="87" t="n"/>
      <c r="BD169" s="44" t="n"/>
      <c r="BE169" s="87" t="n"/>
      <c r="BF169" s="85" t="n"/>
      <c r="BG169" s="44" t="n"/>
      <c r="BH169" s="44" t="n"/>
      <c r="BI169" s="85" t="n"/>
      <c r="BJ169" s="44" t="n"/>
      <c r="BK169" s="45" t="n"/>
      <c r="BL169" s="44" t="n"/>
      <c r="BM169" s="85" t="n"/>
      <c r="BN169" s="44" t="n"/>
      <c r="BO169" s="85" t="n"/>
      <c r="BP169" s="86" t="n"/>
      <c r="BQ169" s="44" t="n"/>
      <c r="BR169" s="50" t="n"/>
      <c r="BS169" s="89" t="n"/>
      <c r="BT169" s="50">
        <f>IF(OR(K169="",L169="",M169=""),"",IF(ABS(ROUND(((ROUND(N(K169)*100,0))-(0))*(100+N(M169))/100,0)-(ROUND(N(L169)*100,0)))&lt;=0+IF(((ROUND(N(K169)*100,0))-(0))*(100+N(M169))/100&lt;&gt;ROUND(((ROUND(N(K169)*100,0))-(0))*(100+N(M169))/100,0),1,0),"OK","ABWEICHUNG"))</f>
        <v/>
      </c>
    </row>
    <row r="170">
      <c r="A170" s="50" t="n"/>
      <c r="B170" s="44" t="n"/>
      <c r="C170" s="44" t="n"/>
      <c r="D170" s="44" t="n"/>
      <c r="E170" s="44" t="n"/>
      <c r="F170" s="44" t="n"/>
      <c r="G170" s="44" t="n"/>
      <c r="H170" s="44" t="n"/>
      <c r="I170" s="45" t="n"/>
      <c r="J170" s="45" t="n"/>
      <c r="K170" s="85" t="n"/>
      <c r="L170" s="85" t="n"/>
      <c r="M170" s="88" t="n"/>
      <c r="N170" s="88" t="n"/>
      <c r="O170" s="44" t="n"/>
      <c r="P170" s="45" t="n"/>
      <c r="Q170" s="45" t="n"/>
      <c r="R170" s="44" t="n"/>
      <c r="S170" s="45" t="n"/>
      <c r="T170" s="45" t="n"/>
      <c r="U170" s="85" t="n"/>
      <c r="V170" s="44" t="n"/>
      <c r="W170" s="45" t="n"/>
      <c r="X170" s="45" t="n"/>
      <c r="Y170" s="44" t="n"/>
      <c r="Z170" s="85" t="n"/>
      <c r="AA170" s="44" t="n"/>
      <c r="AB170" s="44" t="n"/>
      <c r="AC170" s="44" t="n"/>
      <c r="AD170" s="44" t="n"/>
      <c r="AE170" s="44" t="n"/>
      <c r="AF170" s="88" t="n"/>
      <c r="AG170" s="85" t="n"/>
      <c r="AH170" s="85" t="n"/>
      <c r="AI170" s="85" t="n"/>
      <c r="AJ170" s="85" t="n"/>
      <c r="AK170" s="85" t="n"/>
      <c r="AL170" s="85" t="n"/>
      <c r="AM170" s="85" t="n"/>
      <c r="AN170" s="85" t="n"/>
      <c r="AO170" s="85" t="n"/>
      <c r="AP170" s="85" t="n"/>
      <c r="AQ170" s="85" t="n"/>
      <c r="AR170" s="85" t="n"/>
      <c r="AS170" s="85" t="n"/>
      <c r="AT170" s="85" t="n"/>
      <c r="AU170" s="85" t="n"/>
      <c r="AV170" s="85" t="n"/>
      <c r="AW170" s="44" t="n"/>
      <c r="AX170" s="85" t="n"/>
      <c r="AY170" s="88" t="n"/>
      <c r="AZ170" s="86" t="n"/>
      <c r="BA170" s="44" t="n"/>
      <c r="BB170" s="44" t="n"/>
      <c r="BC170" s="87" t="n"/>
      <c r="BD170" s="44" t="n"/>
      <c r="BE170" s="87" t="n"/>
      <c r="BF170" s="85" t="n"/>
      <c r="BG170" s="44" t="n"/>
      <c r="BH170" s="44" t="n"/>
      <c r="BI170" s="85" t="n"/>
      <c r="BJ170" s="44" t="n"/>
      <c r="BK170" s="45" t="n"/>
      <c r="BL170" s="44" t="n"/>
      <c r="BM170" s="85" t="n"/>
      <c r="BN170" s="44" t="n"/>
      <c r="BO170" s="85" t="n"/>
      <c r="BP170" s="86" t="n"/>
      <c r="BQ170" s="44" t="n"/>
      <c r="BR170" s="50" t="n"/>
      <c r="BS170" s="89" t="n"/>
      <c r="BT170" s="50">
        <f>IF(OR(K170="",L170="",M170=""),"",IF(ABS(ROUND(((ROUND(N(K170)*100,0))-(0))*(100+N(M170))/100,0)-(ROUND(N(L170)*100,0)))&lt;=0+IF(((ROUND(N(K170)*100,0))-(0))*(100+N(M170))/100&lt;&gt;ROUND(((ROUND(N(K170)*100,0))-(0))*(100+N(M170))/100,0),1,0),"OK","ABWEICHUNG"))</f>
        <v/>
      </c>
    </row>
    <row r="171">
      <c r="A171" s="50" t="n"/>
      <c r="B171" s="44" t="n"/>
      <c r="C171" s="44" t="n"/>
      <c r="D171" s="44" t="n"/>
      <c r="E171" s="44" t="n"/>
      <c r="F171" s="44" t="n"/>
      <c r="G171" s="44" t="n"/>
      <c r="H171" s="44" t="n"/>
      <c r="I171" s="45" t="n"/>
      <c r="J171" s="45" t="n"/>
      <c r="K171" s="85" t="n"/>
      <c r="L171" s="85" t="n"/>
      <c r="M171" s="88" t="n"/>
      <c r="N171" s="88" t="n"/>
      <c r="O171" s="44" t="n"/>
      <c r="P171" s="45" t="n"/>
      <c r="Q171" s="45" t="n"/>
      <c r="R171" s="44" t="n"/>
      <c r="S171" s="45" t="n"/>
      <c r="T171" s="45" t="n"/>
      <c r="U171" s="85" t="n"/>
      <c r="V171" s="44" t="n"/>
      <c r="W171" s="45" t="n"/>
      <c r="X171" s="45" t="n"/>
      <c r="Y171" s="44" t="n"/>
      <c r="Z171" s="85" t="n"/>
      <c r="AA171" s="44" t="n"/>
      <c r="AB171" s="44" t="n"/>
      <c r="AC171" s="44" t="n"/>
      <c r="AD171" s="44" t="n"/>
      <c r="AE171" s="44" t="n"/>
      <c r="AF171" s="88" t="n"/>
      <c r="AG171" s="85" t="n"/>
      <c r="AH171" s="85" t="n"/>
      <c r="AI171" s="85" t="n"/>
      <c r="AJ171" s="85" t="n"/>
      <c r="AK171" s="85" t="n"/>
      <c r="AL171" s="85" t="n"/>
      <c r="AM171" s="85" t="n"/>
      <c r="AN171" s="85" t="n"/>
      <c r="AO171" s="85" t="n"/>
      <c r="AP171" s="85" t="n"/>
      <c r="AQ171" s="85" t="n"/>
      <c r="AR171" s="85" t="n"/>
      <c r="AS171" s="85" t="n"/>
      <c r="AT171" s="85" t="n"/>
      <c r="AU171" s="85" t="n"/>
      <c r="AV171" s="85" t="n"/>
      <c r="AW171" s="44" t="n"/>
      <c r="AX171" s="85" t="n"/>
      <c r="AY171" s="88" t="n"/>
      <c r="AZ171" s="86" t="n"/>
      <c r="BA171" s="44" t="n"/>
      <c r="BB171" s="44" t="n"/>
      <c r="BC171" s="87" t="n"/>
      <c r="BD171" s="44" t="n"/>
      <c r="BE171" s="87" t="n"/>
      <c r="BF171" s="85" t="n"/>
      <c r="BG171" s="44" t="n"/>
      <c r="BH171" s="44" t="n"/>
      <c r="BI171" s="85" t="n"/>
      <c r="BJ171" s="44" t="n"/>
      <c r="BK171" s="45" t="n"/>
      <c r="BL171" s="44" t="n"/>
      <c r="BM171" s="85" t="n"/>
      <c r="BN171" s="44" t="n"/>
      <c r="BO171" s="85" t="n"/>
      <c r="BP171" s="86" t="n"/>
      <c r="BQ171" s="44" t="n"/>
      <c r="BR171" s="50" t="n"/>
      <c r="BS171" s="89" t="n"/>
      <c r="BT171" s="50">
        <f>IF(OR(K171="",L171="",M171=""),"",IF(ABS(ROUND(((ROUND(N(K171)*100,0))-(0))*(100+N(M171))/100,0)-(ROUND(N(L171)*100,0)))&lt;=0+IF(((ROUND(N(K171)*100,0))-(0))*(100+N(M171))/100&lt;&gt;ROUND(((ROUND(N(K171)*100,0))-(0))*(100+N(M171))/100,0),1,0),"OK","ABWEICHUNG"))</f>
        <v/>
      </c>
    </row>
    <row r="172">
      <c r="A172" s="50" t="n"/>
      <c r="B172" s="44" t="n"/>
      <c r="C172" s="44" t="n"/>
      <c r="D172" s="44" t="n"/>
      <c r="E172" s="44" t="n"/>
      <c r="F172" s="44" t="n"/>
      <c r="G172" s="44" t="n"/>
      <c r="H172" s="44" t="n"/>
      <c r="I172" s="45" t="n"/>
      <c r="J172" s="45" t="n"/>
      <c r="K172" s="85" t="n"/>
      <c r="L172" s="85" t="n"/>
      <c r="M172" s="88" t="n"/>
      <c r="N172" s="88" t="n"/>
      <c r="O172" s="44" t="n"/>
      <c r="P172" s="45" t="n"/>
      <c r="Q172" s="45" t="n"/>
      <c r="R172" s="44" t="n"/>
      <c r="S172" s="45" t="n"/>
      <c r="T172" s="45" t="n"/>
      <c r="U172" s="85" t="n"/>
      <c r="V172" s="44" t="n"/>
      <c r="W172" s="45" t="n"/>
      <c r="X172" s="45" t="n"/>
      <c r="Y172" s="44" t="n"/>
      <c r="Z172" s="85" t="n"/>
      <c r="AA172" s="44" t="n"/>
      <c r="AB172" s="44" t="n"/>
      <c r="AC172" s="44" t="n"/>
      <c r="AD172" s="44" t="n"/>
      <c r="AE172" s="44" t="n"/>
      <c r="AF172" s="88" t="n"/>
      <c r="AG172" s="85" t="n"/>
      <c r="AH172" s="85" t="n"/>
      <c r="AI172" s="85" t="n"/>
      <c r="AJ172" s="85" t="n"/>
      <c r="AK172" s="85" t="n"/>
      <c r="AL172" s="85" t="n"/>
      <c r="AM172" s="85" t="n"/>
      <c r="AN172" s="85" t="n"/>
      <c r="AO172" s="85" t="n"/>
      <c r="AP172" s="85" t="n"/>
      <c r="AQ172" s="85" t="n"/>
      <c r="AR172" s="85" t="n"/>
      <c r="AS172" s="85" t="n"/>
      <c r="AT172" s="85" t="n"/>
      <c r="AU172" s="85" t="n"/>
      <c r="AV172" s="85" t="n"/>
      <c r="AW172" s="44" t="n"/>
      <c r="AX172" s="85" t="n"/>
      <c r="AY172" s="88" t="n"/>
      <c r="AZ172" s="86" t="n"/>
      <c r="BA172" s="44" t="n"/>
      <c r="BB172" s="44" t="n"/>
      <c r="BC172" s="87" t="n"/>
      <c r="BD172" s="44" t="n"/>
      <c r="BE172" s="87" t="n"/>
      <c r="BF172" s="85" t="n"/>
      <c r="BG172" s="44" t="n"/>
      <c r="BH172" s="44" t="n"/>
      <c r="BI172" s="85" t="n"/>
      <c r="BJ172" s="44" t="n"/>
      <c r="BK172" s="45" t="n"/>
      <c r="BL172" s="44" t="n"/>
      <c r="BM172" s="85" t="n"/>
      <c r="BN172" s="44" t="n"/>
      <c r="BO172" s="85" t="n"/>
      <c r="BP172" s="86" t="n"/>
      <c r="BQ172" s="44" t="n"/>
      <c r="BR172" s="50" t="n"/>
      <c r="BS172" s="89" t="n"/>
      <c r="BT172" s="50">
        <f>IF(OR(K172="",L172="",M172=""),"",IF(ABS(ROUND(((ROUND(N(K172)*100,0))-(0))*(100+N(M172))/100,0)-(ROUND(N(L172)*100,0)))&lt;=0+IF(((ROUND(N(K172)*100,0))-(0))*(100+N(M172))/100&lt;&gt;ROUND(((ROUND(N(K172)*100,0))-(0))*(100+N(M172))/100,0),1,0),"OK","ABWEICHUNG"))</f>
        <v/>
      </c>
    </row>
    <row r="173">
      <c r="A173" s="50" t="n"/>
      <c r="B173" s="44" t="n"/>
      <c r="C173" s="44" t="n"/>
      <c r="D173" s="44" t="n"/>
      <c r="E173" s="44" t="n"/>
      <c r="F173" s="44" t="n"/>
      <c r="G173" s="44" t="n"/>
      <c r="H173" s="44" t="n"/>
      <c r="I173" s="45" t="n"/>
      <c r="J173" s="45" t="n"/>
      <c r="K173" s="85" t="n"/>
      <c r="L173" s="85" t="n"/>
      <c r="M173" s="88" t="n"/>
      <c r="N173" s="88" t="n"/>
      <c r="O173" s="44" t="n"/>
      <c r="P173" s="45" t="n"/>
      <c r="Q173" s="45" t="n"/>
      <c r="R173" s="44" t="n"/>
      <c r="S173" s="45" t="n"/>
      <c r="T173" s="45" t="n"/>
      <c r="U173" s="85" t="n"/>
      <c r="V173" s="44" t="n"/>
      <c r="W173" s="45" t="n"/>
      <c r="X173" s="45" t="n"/>
      <c r="Y173" s="44" t="n"/>
      <c r="Z173" s="85" t="n"/>
      <c r="AA173" s="44" t="n"/>
      <c r="AB173" s="44" t="n"/>
      <c r="AC173" s="44" t="n"/>
      <c r="AD173" s="44" t="n"/>
      <c r="AE173" s="44" t="n"/>
      <c r="AF173" s="88" t="n"/>
      <c r="AG173" s="85" t="n"/>
      <c r="AH173" s="85" t="n"/>
      <c r="AI173" s="85" t="n"/>
      <c r="AJ173" s="85" t="n"/>
      <c r="AK173" s="85" t="n"/>
      <c r="AL173" s="85" t="n"/>
      <c r="AM173" s="85" t="n"/>
      <c r="AN173" s="85" t="n"/>
      <c r="AO173" s="85" t="n"/>
      <c r="AP173" s="85" t="n"/>
      <c r="AQ173" s="85" t="n"/>
      <c r="AR173" s="85" t="n"/>
      <c r="AS173" s="85" t="n"/>
      <c r="AT173" s="85" t="n"/>
      <c r="AU173" s="85" t="n"/>
      <c r="AV173" s="85" t="n"/>
      <c r="AW173" s="44" t="n"/>
      <c r="AX173" s="85" t="n"/>
      <c r="AY173" s="88" t="n"/>
      <c r="AZ173" s="86" t="n"/>
      <c r="BA173" s="44" t="n"/>
      <c r="BB173" s="44" t="n"/>
      <c r="BC173" s="87" t="n"/>
      <c r="BD173" s="44" t="n"/>
      <c r="BE173" s="87" t="n"/>
      <c r="BF173" s="85" t="n"/>
      <c r="BG173" s="44" t="n"/>
      <c r="BH173" s="44" t="n"/>
      <c r="BI173" s="85" t="n"/>
      <c r="BJ173" s="44" t="n"/>
      <c r="BK173" s="45" t="n"/>
      <c r="BL173" s="44" t="n"/>
      <c r="BM173" s="85" t="n"/>
      <c r="BN173" s="44" t="n"/>
      <c r="BO173" s="85" t="n"/>
      <c r="BP173" s="86" t="n"/>
      <c r="BQ173" s="44" t="n"/>
      <c r="BR173" s="50" t="n"/>
      <c r="BS173" s="89" t="n"/>
      <c r="BT173" s="50">
        <f>IF(OR(K173="",L173="",M173=""),"",IF(ABS(ROUND(((ROUND(N(K173)*100,0))-(0))*(100+N(M173))/100,0)-(ROUND(N(L173)*100,0)))&lt;=0+IF(((ROUND(N(K173)*100,0))-(0))*(100+N(M173))/100&lt;&gt;ROUND(((ROUND(N(K173)*100,0))-(0))*(100+N(M173))/100,0),1,0),"OK","ABWEICHUNG"))</f>
        <v/>
      </c>
    </row>
    <row r="174">
      <c r="A174" s="50" t="n"/>
      <c r="B174" s="44" t="n"/>
      <c r="C174" s="44" t="n"/>
      <c r="D174" s="44" t="n"/>
      <c r="E174" s="44" t="n"/>
      <c r="F174" s="44" t="n"/>
      <c r="G174" s="44" t="n"/>
      <c r="H174" s="44" t="n"/>
      <c r="I174" s="45" t="n"/>
      <c r="J174" s="45" t="n"/>
      <c r="K174" s="85" t="n"/>
      <c r="L174" s="85" t="n"/>
      <c r="M174" s="88" t="n"/>
      <c r="N174" s="88" t="n"/>
      <c r="O174" s="44" t="n"/>
      <c r="P174" s="45" t="n"/>
      <c r="Q174" s="45" t="n"/>
      <c r="R174" s="44" t="n"/>
      <c r="S174" s="45" t="n"/>
      <c r="T174" s="45" t="n"/>
      <c r="U174" s="85" t="n"/>
      <c r="V174" s="44" t="n"/>
      <c r="W174" s="45" t="n"/>
      <c r="X174" s="45" t="n"/>
      <c r="Y174" s="44" t="n"/>
      <c r="Z174" s="85" t="n"/>
      <c r="AA174" s="44" t="n"/>
      <c r="AB174" s="44" t="n"/>
      <c r="AC174" s="44" t="n"/>
      <c r="AD174" s="44" t="n"/>
      <c r="AE174" s="44" t="n"/>
      <c r="AF174" s="88" t="n"/>
      <c r="AG174" s="85" t="n"/>
      <c r="AH174" s="85" t="n"/>
      <c r="AI174" s="85" t="n"/>
      <c r="AJ174" s="85" t="n"/>
      <c r="AK174" s="85" t="n"/>
      <c r="AL174" s="85" t="n"/>
      <c r="AM174" s="85" t="n"/>
      <c r="AN174" s="85" t="n"/>
      <c r="AO174" s="85" t="n"/>
      <c r="AP174" s="85" t="n"/>
      <c r="AQ174" s="85" t="n"/>
      <c r="AR174" s="85" t="n"/>
      <c r="AS174" s="85" t="n"/>
      <c r="AT174" s="85" t="n"/>
      <c r="AU174" s="85" t="n"/>
      <c r="AV174" s="85" t="n"/>
      <c r="AW174" s="44" t="n"/>
      <c r="AX174" s="85" t="n"/>
      <c r="AY174" s="88" t="n"/>
      <c r="AZ174" s="86" t="n"/>
      <c r="BA174" s="44" t="n"/>
      <c r="BB174" s="44" t="n"/>
      <c r="BC174" s="87" t="n"/>
      <c r="BD174" s="44" t="n"/>
      <c r="BE174" s="87" t="n"/>
      <c r="BF174" s="85" t="n"/>
      <c r="BG174" s="44" t="n"/>
      <c r="BH174" s="44" t="n"/>
      <c r="BI174" s="85" t="n"/>
      <c r="BJ174" s="44" t="n"/>
      <c r="BK174" s="45" t="n"/>
      <c r="BL174" s="44" t="n"/>
      <c r="BM174" s="85" t="n"/>
      <c r="BN174" s="44" t="n"/>
      <c r="BO174" s="85" t="n"/>
      <c r="BP174" s="86" t="n"/>
      <c r="BQ174" s="44" t="n"/>
      <c r="BR174" s="50" t="n"/>
      <c r="BS174" s="89" t="n"/>
      <c r="BT174" s="50">
        <f>IF(OR(K174="",L174="",M174=""),"",IF(ABS(ROUND(((ROUND(N(K174)*100,0))-(0))*(100+N(M174))/100,0)-(ROUND(N(L174)*100,0)))&lt;=0+IF(((ROUND(N(K174)*100,0))-(0))*(100+N(M174))/100&lt;&gt;ROUND(((ROUND(N(K174)*100,0))-(0))*(100+N(M174))/100,0),1,0),"OK","ABWEICHUNG"))</f>
        <v/>
      </c>
    </row>
    <row r="175">
      <c r="A175" s="50" t="n"/>
      <c r="B175" s="44" t="n"/>
      <c r="C175" s="44" t="n"/>
      <c r="D175" s="44" t="n"/>
      <c r="E175" s="44" t="n"/>
      <c r="F175" s="44" t="n"/>
      <c r="G175" s="44" t="n"/>
      <c r="H175" s="44" t="n"/>
      <c r="I175" s="45" t="n"/>
      <c r="J175" s="45" t="n"/>
      <c r="K175" s="85" t="n"/>
      <c r="L175" s="85" t="n"/>
      <c r="M175" s="88" t="n"/>
      <c r="N175" s="88" t="n"/>
      <c r="O175" s="44" t="n"/>
      <c r="P175" s="45" t="n"/>
      <c r="Q175" s="45" t="n"/>
      <c r="R175" s="44" t="n"/>
      <c r="S175" s="45" t="n"/>
      <c r="T175" s="45" t="n"/>
      <c r="U175" s="85" t="n"/>
      <c r="V175" s="44" t="n"/>
      <c r="W175" s="45" t="n"/>
      <c r="X175" s="45" t="n"/>
      <c r="Y175" s="44" t="n"/>
      <c r="Z175" s="85" t="n"/>
      <c r="AA175" s="44" t="n"/>
      <c r="AB175" s="44" t="n"/>
      <c r="AC175" s="44" t="n"/>
      <c r="AD175" s="44" t="n"/>
      <c r="AE175" s="44" t="n"/>
      <c r="AF175" s="88" t="n"/>
      <c r="AG175" s="85" t="n"/>
      <c r="AH175" s="85" t="n"/>
      <c r="AI175" s="85" t="n"/>
      <c r="AJ175" s="85" t="n"/>
      <c r="AK175" s="85" t="n"/>
      <c r="AL175" s="85" t="n"/>
      <c r="AM175" s="85" t="n"/>
      <c r="AN175" s="85" t="n"/>
      <c r="AO175" s="85" t="n"/>
      <c r="AP175" s="85" t="n"/>
      <c r="AQ175" s="85" t="n"/>
      <c r="AR175" s="85" t="n"/>
      <c r="AS175" s="85" t="n"/>
      <c r="AT175" s="85" t="n"/>
      <c r="AU175" s="85" t="n"/>
      <c r="AV175" s="85" t="n"/>
      <c r="AW175" s="44" t="n"/>
      <c r="AX175" s="85" t="n"/>
      <c r="AY175" s="88" t="n"/>
      <c r="AZ175" s="86" t="n"/>
      <c r="BA175" s="44" t="n"/>
      <c r="BB175" s="44" t="n"/>
      <c r="BC175" s="87" t="n"/>
      <c r="BD175" s="44" t="n"/>
      <c r="BE175" s="87" t="n"/>
      <c r="BF175" s="85" t="n"/>
      <c r="BG175" s="44" t="n"/>
      <c r="BH175" s="44" t="n"/>
      <c r="BI175" s="85" t="n"/>
      <c r="BJ175" s="44" t="n"/>
      <c r="BK175" s="45" t="n"/>
      <c r="BL175" s="44" t="n"/>
      <c r="BM175" s="85" t="n"/>
      <c r="BN175" s="44" t="n"/>
      <c r="BO175" s="85" t="n"/>
      <c r="BP175" s="86" t="n"/>
      <c r="BQ175" s="44" t="n"/>
      <c r="BR175" s="50" t="n"/>
      <c r="BS175" s="89" t="n"/>
      <c r="BT175" s="50">
        <f>IF(OR(K175="",L175="",M175=""),"",IF(ABS(ROUND(((ROUND(N(K175)*100,0))-(0))*(100+N(M175))/100,0)-(ROUND(N(L175)*100,0)))&lt;=0+IF(((ROUND(N(K175)*100,0))-(0))*(100+N(M175))/100&lt;&gt;ROUND(((ROUND(N(K175)*100,0))-(0))*(100+N(M175))/100,0),1,0),"OK","ABWEICHUNG"))</f>
        <v/>
      </c>
    </row>
    <row r="176">
      <c r="A176" s="50" t="n"/>
      <c r="B176" s="44" t="n"/>
      <c r="C176" s="44" t="n"/>
      <c r="D176" s="44" t="n"/>
      <c r="E176" s="44" t="n"/>
      <c r="F176" s="44" t="n"/>
      <c r="G176" s="44" t="n"/>
      <c r="H176" s="44" t="n"/>
      <c r="I176" s="45" t="n"/>
      <c r="J176" s="45" t="n"/>
      <c r="K176" s="85" t="n"/>
      <c r="L176" s="85" t="n"/>
      <c r="M176" s="88" t="n"/>
      <c r="N176" s="88" t="n"/>
      <c r="O176" s="44" t="n"/>
      <c r="P176" s="45" t="n"/>
      <c r="Q176" s="45" t="n"/>
      <c r="R176" s="44" t="n"/>
      <c r="S176" s="45" t="n"/>
      <c r="T176" s="45" t="n"/>
      <c r="U176" s="85" t="n"/>
      <c r="V176" s="44" t="n"/>
      <c r="W176" s="45" t="n"/>
      <c r="X176" s="45" t="n"/>
      <c r="Y176" s="44" t="n"/>
      <c r="Z176" s="85" t="n"/>
      <c r="AA176" s="44" t="n"/>
      <c r="AB176" s="44" t="n"/>
      <c r="AC176" s="44" t="n"/>
      <c r="AD176" s="44" t="n"/>
      <c r="AE176" s="44" t="n"/>
      <c r="AF176" s="88" t="n"/>
      <c r="AG176" s="85" t="n"/>
      <c r="AH176" s="85" t="n"/>
      <c r="AI176" s="85" t="n"/>
      <c r="AJ176" s="85" t="n"/>
      <c r="AK176" s="85" t="n"/>
      <c r="AL176" s="85" t="n"/>
      <c r="AM176" s="85" t="n"/>
      <c r="AN176" s="85" t="n"/>
      <c r="AO176" s="85" t="n"/>
      <c r="AP176" s="85" t="n"/>
      <c r="AQ176" s="85" t="n"/>
      <c r="AR176" s="85" t="n"/>
      <c r="AS176" s="85" t="n"/>
      <c r="AT176" s="85" t="n"/>
      <c r="AU176" s="85" t="n"/>
      <c r="AV176" s="85" t="n"/>
      <c r="AW176" s="44" t="n"/>
      <c r="AX176" s="85" t="n"/>
      <c r="AY176" s="88" t="n"/>
      <c r="AZ176" s="86" t="n"/>
      <c r="BA176" s="44" t="n"/>
      <c r="BB176" s="44" t="n"/>
      <c r="BC176" s="87" t="n"/>
      <c r="BD176" s="44" t="n"/>
      <c r="BE176" s="87" t="n"/>
      <c r="BF176" s="85" t="n"/>
      <c r="BG176" s="44" t="n"/>
      <c r="BH176" s="44" t="n"/>
      <c r="BI176" s="85" t="n"/>
      <c r="BJ176" s="44" t="n"/>
      <c r="BK176" s="45" t="n"/>
      <c r="BL176" s="44" t="n"/>
      <c r="BM176" s="85" t="n"/>
      <c r="BN176" s="44" t="n"/>
      <c r="BO176" s="85" t="n"/>
      <c r="BP176" s="86" t="n"/>
      <c r="BQ176" s="44" t="n"/>
      <c r="BR176" s="50" t="n"/>
      <c r="BS176" s="89" t="n"/>
      <c r="BT176" s="50">
        <f>IF(OR(K176="",L176="",M176=""),"",IF(ABS(ROUND(((ROUND(N(K176)*100,0))-(0))*(100+N(M176))/100,0)-(ROUND(N(L176)*100,0)))&lt;=0+IF(((ROUND(N(K176)*100,0))-(0))*(100+N(M176))/100&lt;&gt;ROUND(((ROUND(N(K176)*100,0))-(0))*(100+N(M176))/100,0),1,0),"OK","ABWEICHUNG"))</f>
        <v/>
      </c>
    </row>
    <row r="177">
      <c r="A177" s="50" t="n"/>
      <c r="B177" s="44" t="n"/>
      <c r="C177" s="44" t="n"/>
      <c r="D177" s="44" t="n"/>
      <c r="E177" s="44" t="n"/>
      <c r="F177" s="44" t="n"/>
      <c r="G177" s="44" t="n"/>
      <c r="H177" s="44" t="n"/>
      <c r="I177" s="45" t="n"/>
      <c r="J177" s="45" t="n"/>
      <c r="K177" s="85" t="n"/>
      <c r="L177" s="85" t="n"/>
      <c r="M177" s="88" t="n"/>
      <c r="N177" s="88" t="n"/>
      <c r="O177" s="44" t="n"/>
      <c r="P177" s="45" t="n"/>
      <c r="Q177" s="45" t="n"/>
      <c r="R177" s="44" t="n"/>
      <c r="S177" s="45" t="n"/>
      <c r="T177" s="45" t="n"/>
      <c r="U177" s="85" t="n"/>
      <c r="V177" s="44" t="n"/>
      <c r="W177" s="45" t="n"/>
      <c r="X177" s="45" t="n"/>
      <c r="Y177" s="44" t="n"/>
      <c r="Z177" s="85" t="n"/>
      <c r="AA177" s="44" t="n"/>
      <c r="AB177" s="44" t="n"/>
      <c r="AC177" s="44" t="n"/>
      <c r="AD177" s="44" t="n"/>
      <c r="AE177" s="44" t="n"/>
      <c r="AF177" s="88" t="n"/>
      <c r="AG177" s="85" t="n"/>
      <c r="AH177" s="85" t="n"/>
      <c r="AI177" s="85" t="n"/>
      <c r="AJ177" s="85" t="n"/>
      <c r="AK177" s="85" t="n"/>
      <c r="AL177" s="85" t="n"/>
      <c r="AM177" s="85" t="n"/>
      <c r="AN177" s="85" t="n"/>
      <c r="AO177" s="85" t="n"/>
      <c r="AP177" s="85" t="n"/>
      <c r="AQ177" s="85" t="n"/>
      <c r="AR177" s="85" t="n"/>
      <c r="AS177" s="85" t="n"/>
      <c r="AT177" s="85" t="n"/>
      <c r="AU177" s="85" t="n"/>
      <c r="AV177" s="85" t="n"/>
      <c r="AW177" s="44" t="n"/>
      <c r="AX177" s="85" t="n"/>
      <c r="AY177" s="88" t="n"/>
      <c r="AZ177" s="86" t="n"/>
      <c r="BA177" s="44" t="n"/>
      <c r="BB177" s="44" t="n"/>
      <c r="BC177" s="87" t="n"/>
      <c r="BD177" s="44" t="n"/>
      <c r="BE177" s="87" t="n"/>
      <c r="BF177" s="85" t="n"/>
      <c r="BG177" s="44" t="n"/>
      <c r="BH177" s="44" t="n"/>
      <c r="BI177" s="85" t="n"/>
      <c r="BJ177" s="44" t="n"/>
      <c r="BK177" s="45" t="n"/>
      <c r="BL177" s="44" t="n"/>
      <c r="BM177" s="85" t="n"/>
      <c r="BN177" s="44" t="n"/>
      <c r="BO177" s="85" t="n"/>
      <c r="BP177" s="86" t="n"/>
      <c r="BQ177" s="44" t="n"/>
      <c r="BR177" s="50" t="n"/>
      <c r="BS177" s="89" t="n"/>
      <c r="BT177" s="50">
        <f>IF(OR(K177="",L177="",M177=""),"",IF(ABS(ROUND(((ROUND(N(K177)*100,0))-(0))*(100+N(M177))/100,0)-(ROUND(N(L177)*100,0)))&lt;=0+IF(((ROUND(N(K177)*100,0))-(0))*(100+N(M177))/100&lt;&gt;ROUND(((ROUND(N(K177)*100,0))-(0))*(100+N(M177))/100,0),1,0),"OK","ABWEICHUNG"))</f>
        <v/>
      </c>
    </row>
    <row r="178">
      <c r="A178" s="50" t="n"/>
      <c r="B178" s="44" t="n"/>
      <c r="C178" s="44" t="n"/>
      <c r="D178" s="44" t="n"/>
      <c r="E178" s="44" t="n"/>
      <c r="F178" s="44" t="n"/>
      <c r="G178" s="44" t="n"/>
      <c r="H178" s="44" t="n"/>
      <c r="I178" s="45" t="n"/>
      <c r="J178" s="45" t="n"/>
      <c r="K178" s="85" t="n"/>
      <c r="L178" s="85" t="n"/>
      <c r="M178" s="88" t="n"/>
      <c r="N178" s="88" t="n"/>
      <c r="O178" s="44" t="n"/>
      <c r="P178" s="45" t="n"/>
      <c r="Q178" s="45" t="n"/>
      <c r="R178" s="44" t="n"/>
      <c r="S178" s="45" t="n"/>
      <c r="T178" s="45" t="n"/>
      <c r="U178" s="85" t="n"/>
      <c r="V178" s="44" t="n"/>
      <c r="W178" s="45" t="n"/>
      <c r="X178" s="45" t="n"/>
      <c r="Y178" s="44" t="n"/>
      <c r="Z178" s="85" t="n"/>
      <c r="AA178" s="44" t="n"/>
      <c r="AB178" s="44" t="n"/>
      <c r="AC178" s="44" t="n"/>
      <c r="AD178" s="44" t="n"/>
      <c r="AE178" s="44" t="n"/>
      <c r="AF178" s="88" t="n"/>
      <c r="AG178" s="85" t="n"/>
      <c r="AH178" s="85" t="n"/>
      <c r="AI178" s="85" t="n"/>
      <c r="AJ178" s="85" t="n"/>
      <c r="AK178" s="85" t="n"/>
      <c r="AL178" s="85" t="n"/>
      <c r="AM178" s="85" t="n"/>
      <c r="AN178" s="85" t="n"/>
      <c r="AO178" s="85" t="n"/>
      <c r="AP178" s="85" t="n"/>
      <c r="AQ178" s="85" t="n"/>
      <c r="AR178" s="85" t="n"/>
      <c r="AS178" s="85" t="n"/>
      <c r="AT178" s="85" t="n"/>
      <c r="AU178" s="85" t="n"/>
      <c r="AV178" s="85" t="n"/>
      <c r="AW178" s="44" t="n"/>
      <c r="AX178" s="85" t="n"/>
      <c r="AY178" s="88" t="n"/>
      <c r="AZ178" s="86" t="n"/>
      <c r="BA178" s="44" t="n"/>
      <c r="BB178" s="44" t="n"/>
      <c r="BC178" s="87" t="n"/>
      <c r="BD178" s="44" t="n"/>
      <c r="BE178" s="87" t="n"/>
      <c r="BF178" s="85" t="n"/>
      <c r="BG178" s="44" t="n"/>
      <c r="BH178" s="44" t="n"/>
      <c r="BI178" s="85" t="n"/>
      <c r="BJ178" s="44" t="n"/>
      <c r="BK178" s="45" t="n"/>
      <c r="BL178" s="44" t="n"/>
      <c r="BM178" s="85" t="n"/>
      <c r="BN178" s="44" t="n"/>
      <c r="BO178" s="85" t="n"/>
      <c r="BP178" s="86" t="n"/>
      <c r="BQ178" s="44" t="n"/>
      <c r="BR178" s="50" t="n"/>
      <c r="BS178" s="89" t="n"/>
      <c r="BT178" s="50">
        <f>IF(OR(K178="",L178="",M178=""),"",IF(ABS(ROUND(((ROUND(N(K178)*100,0))-(0))*(100+N(M178))/100,0)-(ROUND(N(L178)*100,0)))&lt;=0+IF(((ROUND(N(K178)*100,0))-(0))*(100+N(M178))/100&lt;&gt;ROUND(((ROUND(N(K178)*100,0))-(0))*(100+N(M178))/100,0),1,0),"OK","ABWEICHUNG"))</f>
        <v/>
      </c>
    </row>
    <row r="179">
      <c r="A179" s="50" t="n"/>
      <c r="B179" s="44" t="n"/>
      <c r="C179" s="44" t="n"/>
      <c r="D179" s="44" t="n"/>
      <c r="E179" s="44" t="n"/>
      <c r="F179" s="44" t="n"/>
      <c r="G179" s="44" t="n"/>
      <c r="H179" s="44" t="n"/>
      <c r="I179" s="45" t="n"/>
      <c r="J179" s="45" t="n"/>
      <c r="K179" s="85" t="n"/>
      <c r="L179" s="85" t="n"/>
      <c r="M179" s="88" t="n"/>
      <c r="N179" s="88" t="n"/>
      <c r="O179" s="44" t="n"/>
      <c r="P179" s="45" t="n"/>
      <c r="Q179" s="45" t="n"/>
      <c r="R179" s="44" t="n"/>
      <c r="S179" s="45" t="n"/>
      <c r="T179" s="45" t="n"/>
      <c r="U179" s="85" t="n"/>
      <c r="V179" s="44" t="n"/>
      <c r="W179" s="45" t="n"/>
      <c r="X179" s="45" t="n"/>
      <c r="Y179" s="44" t="n"/>
      <c r="Z179" s="85" t="n"/>
      <c r="AA179" s="44" t="n"/>
      <c r="AB179" s="44" t="n"/>
      <c r="AC179" s="44" t="n"/>
      <c r="AD179" s="44" t="n"/>
      <c r="AE179" s="44" t="n"/>
      <c r="AF179" s="88" t="n"/>
      <c r="AG179" s="85" t="n"/>
      <c r="AH179" s="85" t="n"/>
      <c r="AI179" s="85" t="n"/>
      <c r="AJ179" s="85" t="n"/>
      <c r="AK179" s="85" t="n"/>
      <c r="AL179" s="85" t="n"/>
      <c r="AM179" s="85" t="n"/>
      <c r="AN179" s="85" t="n"/>
      <c r="AO179" s="85" t="n"/>
      <c r="AP179" s="85" t="n"/>
      <c r="AQ179" s="85" t="n"/>
      <c r="AR179" s="85" t="n"/>
      <c r="AS179" s="85" t="n"/>
      <c r="AT179" s="85" t="n"/>
      <c r="AU179" s="85" t="n"/>
      <c r="AV179" s="85" t="n"/>
      <c r="AW179" s="44" t="n"/>
      <c r="AX179" s="85" t="n"/>
      <c r="AY179" s="88" t="n"/>
      <c r="AZ179" s="86" t="n"/>
      <c r="BA179" s="44" t="n"/>
      <c r="BB179" s="44" t="n"/>
      <c r="BC179" s="87" t="n"/>
      <c r="BD179" s="44" t="n"/>
      <c r="BE179" s="87" t="n"/>
      <c r="BF179" s="85" t="n"/>
      <c r="BG179" s="44" t="n"/>
      <c r="BH179" s="44" t="n"/>
      <c r="BI179" s="85" t="n"/>
      <c r="BJ179" s="44" t="n"/>
      <c r="BK179" s="45" t="n"/>
      <c r="BL179" s="44" t="n"/>
      <c r="BM179" s="85" t="n"/>
      <c r="BN179" s="44" t="n"/>
      <c r="BO179" s="85" t="n"/>
      <c r="BP179" s="86" t="n"/>
      <c r="BQ179" s="44" t="n"/>
      <c r="BR179" s="50" t="n"/>
      <c r="BS179" s="89" t="n"/>
      <c r="BT179" s="50">
        <f>IF(OR(K179="",L179="",M179=""),"",IF(ABS(ROUND(((ROUND(N(K179)*100,0))-(0))*(100+N(M179))/100,0)-(ROUND(N(L179)*100,0)))&lt;=0+IF(((ROUND(N(K179)*100,0))-(0))*(100+N(M179))/100&lt;&gt;ROUND(((ROUND(N(K179)*100,0))-(0))*(100+N(M179))/100,0),1,0),"OK","ABWEICHUNG"))</f>
        <v/>
      </c>
    </row>
    <row r="180">
      <c r="A180" s="50" t="n"/>
      <c r="B180" s="44" t="n"/>
      <c r="C180" s="44" t="n"/>
      <c r="D180" s="44" t="n"/>
      <c r="E180" s="44" t="n"/>
      <c r="F180" s="44" t="n"/>
      <c r="G180" s="44" t="n"/>
      <c r="H180" s="44" t="n"/>
      <c r="I180" s="45" t="n"/>
      <c r="J180" s="45" t="n"/>
      <c r="K180" s="85" t="n"/>
      <c r="L180" s="85" t="n"/>
      <c r="M180" s="88" t="n"/>
      <c r="N180" s="88" t="n"/>
      <c r="O180" s="44" t="n"/>
      <c r="P180" s="45" t="n"/>
      <c r="Q180" s="45" t="n"/>
      <c r="R180" s="44" t="n"/>
      <c r="S180" s="45" t="n"/>
      <c r="T180" s="45" t="n"/>
      <c r="U180" s="85" t="n"/>
      <c r="V180" s="44" t="n"/>
      <c r="W180" s="45" t="n"/>
      <c r="X180" s="45" t="n"/>
      <c r="Y180" s="44" t="n"/>
      <c r="Z180" s="85" t="n"/>
      <c r="AA180" s="44" t="n"/>
      <c r="AB180" s="44" t="n"/>
      <c r="AC180" s="44" t="n"/>
      <c r="AD180" s="44" t="n"/>
      <c r="AE180" s="44" t="n"/>
      <c r="AF180" s="88" t="n"/>
      <c r="AG180" s="85" t="n"/>
      <c r="AH180" s="85" t="n"/>
      <c r="AI180" s="85" t="n"/>
      <c r="AJ180" s="85" t="n"/>
      <c r="AK180" s="85" t="n"/>
      <c r="AL180" s="85" t="n"/>
      <c r="AM180" s="85" t="n"/>
      <c r="AN180" s="85" t="n"/>
      <c r="AO180" s="85" t="n"/>
      <c r="AP180" s="85" t="n"/>
      <c r="AQ180" s="85" t="n"/>
      <c r="AR180" s="85" t="n"/>
      <c r="AS180" s="85" t="n"/>
      <c r="AT180" s="85" t="n"/>
      <c r="AU180" s="85" t="n"/>
      <c r="AV180" s="85" t="n"/>
      <c r="AW180" s="44" t="n"/>
      <c r="AX180" s="85" t="n"/>
      <c r="AY180" s="88" t="n"/>
      <c r="AZ180" s="86" t="n"/>
      <c r="BA180" s="44" t="n"/>
      <c r="BB180" s="44" t="n"/>
      <c r="BC180" s="87" t="n"/>
      <c r="BD180" s="44" t="n"/>
      <c r="BE180" s="87" t="n"/>
      <c r="BF180" s="85" t="n"/>
      <c r="BG180" s="44" t="n"/>
      <c r="BH180" s="44" t="n"/>
      <c r="BI180" s="85" t="n"/>
      <c r="BJ180" s="44" t="n"/>
      <c r="BK180" s="45" t="n"/>
      <c r="BL180" s="44" t="n"/>
      <c r="BM180" s="85" t="n"/>
      <c r="BN180" s="44" t="n"/>
      <c r="BO180" s="85" t="n"/>
      <c r="BP180" s="86" t="n"/>
      <c r="BQ180" s="44" t="n"/>
      <c r="BR180" s="50" t="n"/>
      <c r="BS180" s="89" t="n"/>
      <c r="BT180" s="50">
        <f>IF(OR(K180="",L180="",M180=""),"",IF(ABS(ROUND(((ROUND(N(K180)*100,0))-(0))*(100+N(M180))/100,0)-(ROUND(N(L180)*100,0)))&lt;=0+IF(((ROUND(N(K180)*100,0))-(0))*(100+N(M180))/100&lt;&gt;ROUND(((ROUND(N(K180)*100,0))-(0))*(100+N(M180))/100,0),1,0),"OK","ABWEICHUNG"))</f>
        <v/>
      </c>
    </row>
    <row r="181">
      <c r="A181" s="50" t="n"/>
      <c r="B181" s="44" t="n"/>
      <c r="C181" s="44" t="n"/>
      <c r="D181" s="44" t="n"/>
      <c r="E181" s="44" t="n"/>
      <c r="F181" s="44" t="n"/>
      <c r="G181" s="44" t="n"/>
      <c r="H181" s="44" t="n"/>
      <c r="I181" s="45" t="n"/>
      <c r="J181" s="45" t="n"/>
      <c r="K181" s="85" t="n"/>
      <c r="L181" s="85" t="n"/>
      <c r="M181" s="88" t="n"/>
      <c r="N181" s="88" t="n"/>
      <c r="O181" s="44" t="n"/>
      <c r="P181" s="45" t="n"/>
      <c r="Q181" s="45" t="n"/>
      <c r="R181" s="44" t="n"/>
      <c r="S181" s="45" t="n"/>
      <c r="T181" s="45" t="n"/>
      <c r="U181" s="85" t="n"/>
      <c r="V181" s="44" t="n"/>
      <c r="W181" s="45" t="n"/>
      <c r="X181" s="45" t="n"/>
      <c r="Y181" s="44" t="n"/>
      <c r="Z181" s="85" t="n"/>
      <c r="AA181" s="44" t="n"/>
      <c r="AB181" s="44" t="n"/>
      <c r="AC181" s="44" t="n"/>
      <c r="AD181" s="44" t="n"/>
      <c r="AE181" s="44" t="n"/>
      <c r="AF181" s="88" t="n"/>
      <c r="AG181" s="85" t="n"/>
      <c r="AH181" s="85" t="n"/>
      <c r="AI181" s="85" t="n"/>
      <c r="AJ181" s="85" t="n"/>
      <c r="AK181" s="85" t="n"/>
      <c r="AL181" s="85" t="n"/>
      <c r="AM181" s="85" t="n"/>
      <c r="AN181" s="85" t="n"/>
      <c r="AO181" s="85" t="n"/>
      <c r="AP181" s="85" t="n"/>
      <c r="AQ181" s="85" t="n"/>
      <c r="AR181" s="85" t="n"/>
      <c r="AS181" s="85" t="n"/>
      <c r="AT181" s="85" t="n"/>
      <c r="AU181" s="85" t="n"/>
      <c r="AV181" s="85" t="n"/>
      <c r="AW181" s="44" t="n"/>
      <c r="AX181" s="85" t="n"/>
      <c r="AY181" s="88" t="n"/>
      <c r="AZ181" s="86" t="n"/>
      <c r="BA181" s="44" t="n"/>
      <c r="BB181" s="44" t="n"/>
      <c r="BC181" s="87" t="n"/>
      <c r="BD181" s="44" t="n"/>
      <c r="BE181" s="87" t="n"/>
      <c r="BF181" s="85" t="n"/>
      <c r="BG181" s="44" t="n"/>
      <c r="BH181" s="44" t="n"/>
      <c r="BI181" s="85" t="n"/>
      <c r="BJ181" s="44" t="n"/>
      <c r="BK181" s="45" t="n"/>
      <c r="BL181" s="44" t="n"/>
      <c r="BM181" s="85" t="n"/>
      <c r="BN181" s="44" t="n"/>
      <c r="BO181" s="85" t="n"/>
      <c r="BP181" s="86" t="n"/>
      <c r="BQ181" s="44" t="n"/>
      <c r="BR181" s="50" t="n"/>
      <c r="BS181" s="89" t="n"/>
      <c r="BT181" s="50">
        <f>IF(OR(K181="",L181="",M181=""),"",IF(ABS(ROUND(((ROUND(N(K181)*100,0))-(0))*(100+N(M181))/100,0)-(ROUND(N(L181)*100,0)))&lt;=0+IF(((ROUND(N(K181)*100,0))-(0))*(100+N(M181))/100&lt;&gt;ROUND(((ROUND(N(K181)*100,0))-(0))*(100+N(M181))/100,0),1,0),"OK","ABWEICHUNG"))</f>
        <v/>
      </c>
    </row>
    <row r="182">
      <c r="A182" s="50" t="n"/>
      <c r="B182" s="44" t="n"/>
      <c r="C182" s="44" t="n"/>
      <c r="D182" s="44" t="n"/>
      <c r="E182" s="44" t="n"/>
      <c r="F182" s="44" t="n"/>
      <c r="G182" s="44" t="n"/>
      <c r="H182" s="44" t="n"/>
      <c r="I182" s="45" t="n"/>
      <c r="J182" s="45" t="n"/>
      <c r="K182" s="85" t="n"/>
      <c r="L182" s="85" t="n"/>
      <c r="M182" s="88" t="n"/>
      <c r="N182" s="88" t="n"/>
      <c r="O182" s="44" t="n"/>
      <c r="P182" s="45" t="n"/>
      <c r="Q182" s="45" t="n"/>
      <c r="R182" s="44" t="n"/>
      <c r="S182" s="45" t="n"/>
      <c r="T182" s="45" t="n"/>
      <c r="U182" s="85" t="n"/>
      <c r="V182" s="44" t="n"/>
      <c r="W182" s="45" t="n"/>
      <c r="X182" s="45" t="n"/>
      <c r="Y182" s="44" t="n"/>
      <c r="Z182" s="85" t="n"/>
      <c r="AA182" s="44" t="n"/>
      <c r="AB182" s="44" t="n"/>
      <c r="AC182" s="44" t="n"/>
      <c r="AD182" s="44" t="n"/>
      <c r="AE182" s="44" t="n"/>
      <c r="AF182" s="88" t="n"/>
      <c r="AG182" s="85" t="n"/>
      <c r="AH182" s="85" t="n"/>
      <c r="AI182" s="85" t="n"/>
      <c r="AJ182" s="85" t="n"/>
      <c r="AK182" s="85" t="n"/>
      <c r="AL182" s="85" t="n"/>
      <c r="AM182" s="85" t="n"/>
      <c r="AN182" s="85" t="n"/>
      <c r="AO182" s="85" t="n"/>
      <c r="AP182" s="85" t="n"/>
      <c r="AQ182" s="85" t="n"/>
      <c r="AR182" s="85" t="n"/>
      <c r="AS182" s="85" t="n"/>
      <c r="AT182" s="85" t="n"/>
      <c r="AU182" s="85" t="n"/>
      <c r="AV182" s="85" t="n"/>
      <c r="AW182" s="44" t="n"/>
      <c r="AX182" s="85" t="n"/>
      <c r="AY182" s="88" t="n"/>
      <c r="AZ182" s="86" t="n"/>
      <c r="BA182" s="44" t="n"/>
      <c r="BB182" s="44" t="n"/>
      <c r="BC182" s="87" t="n"/>
      <c r="BD182" s="44" t="n"/>
      <c r="BE182" s="87" t="n"/>
      <c r="BF182" s="85" t="n"/>
      <c r="BG182" s="44" t="n"/>
      <c r="BH182" s="44" t="n"/>
      <c r="BI182" s="85" t="n"/>
      <c r="BJ182" s="44" t="n"/>
      <c r="BK182" s="45" t="n"/>
      <c r="BL182" s="44" t="n"/>
      <c r="BM182" s="85" t="n"/>
      <c r="BN182" s="44" t="n"/>
      <c r="BO182" s="85" t="n"/>
      <c r="BP182" s="86" t="n"/>
      <c r="BQ182" s="44" t="n"/>
      <c r="BR182" s="50" t="n"/>
      <c r="BS182" s="89" t="n"/>
      <c r="BT182" s="50">
        <f>IF(OR(K182="",L182="",M182=""),"",IF(ABS(ROUND(((ROUND(N(K182)*100,0))-(0))*(100+N(M182))/100,0)-(ROUND(N(L182)*100,0)))&lt;=0+IF(((ROUND(N(K182)*100,0))-(0))*(100+N(M182))/100&lt;&gt;ROUND(((ROUND(N(K182)*100,0))-(0))*(100+N(M182))/100,0),1,0),"OK","ABWEICHUNG"))</f>
        <v/>
      </c>
    </row>
    <row r="183">
      <c r="A183" s="50" t="n"/>
      <c r="B183" s="44" t="n"/>
      <c r="C183" s="44" t="n"/>
      <c r="D183" s="44" t="n"/>
      <c r="E183" s="44" t="n"/>
      <c r="F183" s="44" t="n"/>
      <c r="G183" s="44" t="n"/>
      <c r="H183" s="44" t="n"/>
      <c r="I183" s="45" t="n"/>
      <c r="J183" s="45" t="n"/>
      <c r="K183" s="85" t="n"/>
      <c r="L183" s="85" t="n"/>
      <c r="M183" s="88" t="n"/>
      <c r="N183" s="88" t="n"/>
      <c r="O183" s="44" t="n"/>
      <c r="P183" s="45" t="n"/>
      <c r="Q183" s="45" t="n"/>
      <c r="R183" s="44" t="n"/>
      <c r="S183" s="45" t="n"/>
      <c r="T183" s="45" t="n"/>
      <c r="U183" s="85" t="n"/>
      <c r="V183" s="44" t="n"/>
      <c r="W183" s="45" t="n"/>
      <c r="X183" s="45" t="n"/>
      <c r="Y183" s="44" t="n"/>
      <c r="Z183" s="85" t="n"/>
      <c r="AA183" s="44" t="n"/>
      <c r="AB183" s="44" t="n"/>
      <c r="AC183" s="44" t="n"/>
      <c r="AD183" s="44" t="n"/>
      <c r="AE183" s="44" t="n"/>
      <c r="AF183" s="88" t="n"/>
      <c r="AG183" s="85" t="n"/>
      <c r="AH183" s="85" t="n"/>
      <c r="AI183" s="85" t="n"/>
      <c r="AJ183" s="85" t="n"/>
      <c r="AK183" s="85" t="n"/>
      <c r="AL183" s="85" t="n"/>
      <c r="AM183" s="85" t="n"/>
      <c r="AN183" s="85" t="n"/>
      <c r="AO183" s="85" t="n"/>
      <c r="AP183" s="85" t="n"/>
      <c r="AQ183" s="85" t="n"/>
      <c r="AR183" s="85" t="n"/>
      <c r="AS183" s="85" t="n"/>
      <c r="AT183" s="85" t="n"/>
      <c r="AU183" s="85" t="n"/>
      <c r="AV183" s="85" t="n"/>
      <c r="AW183" s="44" t="n"/>
      <c r="AX183" s="85" t="n"/>
      <c r="AY183" s="88" t="n"/>
      <c r="AZ183" s="86" t="n"/>
      <c r="BA183" s="44" t="n"/>
      <c r="BB183" s="44" t="n"/>
      <c r="BC183" s="87" t="n"/>
      <c r="BD183" s="44" t="n"/>
      <c r="BE183" s="87" t="n"/>
      <c r="BF183" s="85" t="n"/>
      <c r="BG183" s="44" t="n"/>
      <c r="BH183" s="44" t="n"/>
      <c r="BI183" s="85" t="n"/>
      <c r="BJ183" s="44" t="n"/>
      <c r="BK183" s="45" t="n"/>
      <c r="BL183" s="44" t="n"/>
      <c r="BM183" s="85" t="n"/>
      <c r="BN183" s="44" t="n"/>
      <c r="BO183" s="85" t="n"/>
      <c r="BP183" s="86" t="n"/>
      <c r="BQ183" s="44" t="n"/>
      <c r="BR183" s="50" t="n"/>
      <c r="BS183" s="89" t="n"/>
      <c r="BT183" s="50">
        <f>IF(OR(K183="",L183="",M183=""),"",IF(ABS(ROUND(((ROUND(N(K183)*100,0))-(0))*(100+N(M183))/100,0)-(ROUND(N(L183)*100,0)))&lt;=0+IF(((ROUND(N(K183)*100,0))-(0))*(100+N(M183))/100&lt;&gt;ROUND(((ROUND(N(K183)*100,0))-(0))*(100+N(M183))/100,0),1,0),"OK","ABWEICHUNG"))</f>
        <v/>
      </c>
    </row>
    <row r="184">
      <c r="A184" s="50" t="n"/>
      <c r="B184" s="44" t="n"/>
      <c r="C184" s="44" t="n"/>
      <c r="D184" s="44" t="n"/>
      <c r="E184" s="44" t="n"/>
      <c r="F184" s="44" t="n"/>
      <c r="G184" s="44" t="n"/>
      <c r="H184" s="44" t="n"/>
      <c r="I184" s="45" t="n"/>
      <c r="J184" s="45" t="n"/>
      <c r="K184" s="85" t="n"/>
      <c r="L184" s="85" t="n"/>
      <c r="M184" s="88" t="n"/>
      <c r="N184" s="88" t="n"/>
      <c r="O184" s="44" t="n"/>
      <c r="P184" s="45" t="n"/>
      <c r="Q184" s="45" t="n"/>
      <c r="R184" s="44" t="n"/>
      <c r="S184" s="45" t="n"/>
      <c r="T184" s="45" t="n"/>
      <c r="U184" s="85" t="n"/>
      <c r="V184" s="44" t="n"/>
      <c r="W184" s="45" t="n"/>
      <c r="X184" s="45" t="n"/>
      <c r="Y184" s="44" t="n"/>
      <c r="Z184" s="85" t="n"/>
      <c r="AA184" s="44" t="n"/>
      <c r="AB184" s="44" t="n"/>
      <c r="AC184" s="44" t="n"/>
      <c r="AD184" s="44" t="n"/>
      <c r="AE184" s="44" t="n"/>
      <c r="AF184" s="88" t="n"/>
      <c r="AG184" s="85" t="n"/>
      <c r="AH184" s="85" t="n"/>
      <c r="AI184" s="85" t="n"/>
      <c r="AJ184" s="85" t="n"/>
      <c r="AK184" s="85" t="n"/>
      <c r="AL184" s="85" t="n"/>
      <c r="AM184" s="85" t="n"/>
      <c r="AN184" s="85" t="n"/>
      <c r="AO184" s="85" t="n"/>
      <c r="AP184" s="85" t="n"/>
      <c r="AQ184" s="85" t="n"/>
      <c r="AR184" s="85" t="n"/>
      <c r="AS184" s="85" t="n"/>
      <c r="AT184" s="85" t="n"/>
      <c r="AU184" s="85" t="n"/>
      <c r="AV184" s="85" t="n"/>
      <c r="AW184" s="44" t="n"/>
      <c r="AX184" s="85" t="n"/>
      <c r="AY184" s="88" t="n"/>
      <c r="AZ184" s="86" t="n"/>
      <c r="BA184" s="44" t="n"/>
      <c r="BB184" s="44" t="n"/>
      <c r="BC184" s="87" t="n"/>
      <c r="BD184" s="44" t="n"/>
      <c r="BE184" s="87" t="n"/>
      <c r="BF184" s="85" t="n"/>
      <c r="BG184" s="44" t="n"/>
      <c r="BH184" s="44" t="n"/>
      <c r="BI184" s="85" t="n"/>
      <c r="BJ184" s="44" t="n"/>
      <c r="BK184" s="45" t="n"/>
      <c r="BL184" s="44" t="n"/>
      <c r="BM184" s="85" t="n"/>
      <c r="BN184" s="44" t="n"/>
      <c r="BO184" s="85" t="n"/>
      <c r="BP184" s="86" t="n"/>
      <c r="BQ184" s="44" t="n"/>
      <c r="BR184" s="50" t="n"/>
      <c r="BS184" s="89" t="n"/>
      <c r="BT184" s="50">
        <f>IF(OR(K184="",L184="",M184=""),"",IF(ABS(ROUND(((ROUND(N(K184)*100,0))-(0))*(100+N(M184))/100,0)-(ROUND(N(L184)*100,0)))&lt;=0+IF(((ROUND(N(K184)*100,0))-(0))*(100+N(M184))/100&lt;&gt;ROUND(((ROUND(N(K184)*100,0))-(0))*(100+N(M184))/100,0),1,0),"OK","ABWEICHUNG"))</f>
        <v/>
      </c>
    </row>
    <row r="185">
      <c r="A185" s="50" t="n"/>
      <c r="B185" s="44" t="n"/>
      <c r="C185" s="44" t="n"/>
      <c r="D185" s="44" t="n"/>
      <c r="E185" s="44" t="n"/>
      <c r="F185" s="44" t="n"/>
      <c r="G185" s="44" t="n"/>
      <c r="H185" s="44" t="n"/>
      <c r="I185" s="45" t="n"/>
      <c r="J185" s="45" t="n"/>
      <c r="K185" s="85" t="n"/>
      <c r="L185" s="85" t="n"/>
      <c r="M185" s="88" t="n"/>
      <c r="N185" s="88" t="n"/>
      <c r="O185" s="44" t="n"/>
      <c r="P185" s="45" t="n"/>
      <c r="Q185" s="45" t="n"/>
      <c r="R185" s="44" t="n"/>
      <c r="S185" s="45" t="n"/>
      <c r="T185" s="45" t="n"/>
      <c r="U185" s="85" t="n"/>
      <c r="V185" s="44" t="n"/>
      <c r="W185" s="45" t="n"/>
      <c r="X185" s="45" t="n"/>
      <c r="Y185" s="44" t="n"/>
      <c r="Z185" s="85" t="n"/>
      <c r="AA185" s="44" t="n"/>
      <c r="AB185" s="44" t="n"/>
      <c r="AC185" s="44" t="n"/>
      <c r="AD185" s="44" t="n"/>
      <c r="AE185" s="44" t="n"/>
      <c r="AF185" s="88" t="n"/>
      <c r="AG185" s="85" t="n"/>
      <c r="AH185" s="85" t="n"/>
      <c r="AI185" s="85" t="n"/>
      <c r="AJ185" s="85" t="n"/>
      <c r="AK185" s="85" t="n"/>
      <c r="AL185" s="85" t="n"/>
      <c r="AM185" s="85" t="n"/>
      <c r="AN185" s="85" t="n"/>
      <c r="AO185" s="85" t="n"/>
      <c r="AP185" s="85" t="n"/>
      <c r="AQ185" s="85" t="n"/>
      <c r="AR185" s="85" t="n"/>
      <c r="AS185" s="85" t="n"/>
      <c r="AT185" s="85" t="n"/>
      <c r="AU185" s="85" t="n"/>
      <c r="AV185" s="85" t="n"/>
      <c r="AW185" s="44" t="n"/>
      <c r="AX185" s="85" t="n"/>
      <c r="AY185" s="88" t="n"/>
      <c r="AZ185" s="86" t="n"/>
      <c r="BA185" s="44" t="n"/>
      <c r="BB185" s="44" t="n"/>
      <c r="BC185" s="87" t="n"/>
      <c r="BD185" s="44" t="n"/>
      <c r="BE185" s="87" t="n"/>
      <c r="BF185" s="85" t="n"/>
      <c r="BG185" s="44" t="n"/>
      <c r="BH185" s="44" t="n"/>
      <c r="BI185" s="85" t="n"/>
      <c r="BJ185" s="44" t="n"/>
      <c r="BK185" s="45" t="n"/>
      <c r="BL185" s="44" t="n"/>
      <c r="BM185" s="85" t="n"/>
      <c r="BN185" s="44" t="n"/>
      <c r="BO185" s="85" t="n"/>
      <c r="BP185" s="86" t="n"/>
      <c r="BQ185" s="44" t="n"/>
      <c r="BR185" s="50" t="n"/>
      <c r="BS185" s="89" t="n"/>
      <c r="BT185" s="50">
        <f>IF(OR(K185="",L185="",M185=""),"",IF(ABS(ROUND(((ROUND(N(K185)*100,0))-(0))*(100+N(M185))/100,0)-(ROUND(N(L185)*100,0)))&lt;=0+IF(((ROUND(N(K185)*100,0))-(0))*(100+N(M185))/100&lt;&gt;ROUND(((ROUND(N(K185)*100,0))-(0))*(100+N(M185))/100,0),1,0),"OK","ABWEICHUNG"))</f>
        <v/>
      </c>
    </row>
    <row r="186">
      <c r="A186" s="50" t="n"/>
      <c r="B186" s="44" t="n"/>
      <c r="C186" s="44" t="n"/>
      <c r="D186" s="44" t="n"/>
      <c r="E186" s="44" t="n"/>
      <c r="F186" s="44" t="n"/>
      <c r="G186" s="44" t="n"/>
      <c r="H186" s="44" t="n"/>
      <c r="I186" s="45" t="n"/>
      <c r="J186" s="45" t="n"/>
      <c r="K186" s="85" t="n"/>
      <c r="L186" s="85" t="n"/>
      <c r="M186" s="88" t="n"/>
      <c r="N186" s="88" t="n"/>
      <c r="O186" s="44" t="n"/>
      <c r="P186" s="45" t="n"/>
      <c r="Q186" s="45" t="n"/>
      <c r="R186" s="44" t="n"/>
      <c r="S186" s="45" t="n"/>
      <c r="T186" s="45" t="n"/>
      <c r="U186" s="85" t="n"/>
      <c r="V186" s="44" t="n"/>
      <c r="W186" s="45" t="n"/>
      <c r="X186" s="45" t="n"/>
      <c r="Y186" s="44" t="n"/>
      <c r="Z186" s="85" t="n"/>
      <c r="AA186" s="44" t="n"/>
      <c r="AB186" s="44" t="n"/>
      <c r="AC186" s="44" t="n"/>
      <c r="AD186" s="44" t="n"/>
      <c r="AE186" s="44" t="n"/>
      <c r="AF186" s="88" t="n"/>
      <c r="AG186" s="85" t="n"/>
      <c r="AH186" s="85" t="n"/>
      <c r="AI186" s="85" t="n"/>
      <c r="AJ186" s="85" t="n"/>
      <c r="AK186" s="85" t="n"/>
      <c r="AL186" s="85" t="n"/>
      <c r="AM186" s="85" t="n"/>
      <c r="AN186" s="85" t="n"/>
      <c r="AO186" s="85" t="n"/>
      <c r="AP186" s="85" t="n"/>
      <c r="AQ186" s="85" t="n"/>
      <c r="AR186" s="85" t="n"/>
      <c r="AS186" s="85" t="n"/>
      <c r="AT186" s="85" t="n"/>
      <c r="AU186" s="85" t="n"/>
      <c r="AV186" s="85" t="n"/>
      <c r="AW186" s="44" t="n"/>
      <c r="AX186" s="85" t="n"/>
      <c r="AY186" s="88" t="n"/>
      <c r="AZ186" s="86" t="n"/>
      <c r="BA186" s="44" t="n"/>
      <c r="BB186" s="44" t="n"/>
      <c r="BC186" s="87" t="n"/>
      <c r="BD186" s="44" t="n"/>
      <c r="BE186" s="87" t="n"/>
      <c r="BF186" s="85" t="n"/>
      <c r="BG186" s="44" t="n"/>
      <c r="BH186" s="44" t="n"/>
      <c r="BI186" s="85" t="n"/>
      <c r="BJ186" s="44" t="n"/>
      <c r="BK186" s="45" t="n"/>
      <c r="BL186" s="44" t="n"/>
      <c r="BM186" s="85" t="n"/>
      <c r="BN186" s="44" t="n"/>
      <c r="BO186" s="85" t="n"/>
      <c r="BP186" s="86" t="n"/>
      <c r="BQ186" s="44" t="n"/>
      <c r="BR186" s="50" t="n"/>
      <c r="BS186" s="89" t="n"/>
      <c r="BT186" s="50">
        <f>IF(OR(K186="",L186="",M186=""),"",IF(ABS(ROUND(((ROUND(N(K186)*100,0))-(0))*(100+N(M186))/100,0)-(ROUND(N(L186)*100,0)))&lt;=0+IF(((ROUND(N(K186)*100,0))-(0))*(100+N(M186))/100&lt;&gt;ROUND(((ROUND(N(K186)*100,0))-(0))*(100+N(M186))/100,0),1,0),"OK","ABWEICHUNG"))</f>
        <v/>
      </c>
    </row>
    <row r="187">
      <c r="A187" s="50" t="n"/>
      <c r="B187" s="44" t="n"/>
      <c r="C187" s="44" t="n"/>
      <c r="D187" s="44" t="n"/>
      <c r="E187" s="44" t="n"/>
      <c r="F187" s="44" t="n"/>
      <c r="G187" s="44" t="n"/>
      <c r="H187" s="44" t="n"/>
      <c r="I187" s="45" t="n"/>
      <c r="J187" s="45" t="n"/>
      <c r="K187" s="85" t="n"/>
      <c r="L187" s="85" t="n"/>
      <c r="M187" s="88" t="n"/>
      <c r="N187" s="88" t="n"/>
      <c r="O187" s="44" t="n"/>
      <c r="P187" s="45" t="n"/>
      <c r="Q187" s="45" t="n"/>
      <c r="R187" s="44" t="n"/>
      <c r="S187" s="45" t="n"/>
      <c r="T187" s="45" t="n"/>
      <c r="U187" s="85" t="n"/>
      <c r="V187" s="44" t="n"/>
      <c r="W187" s="45" t="n"/>
      <c r="X187" s="45" t="n"/>
      <c r="Y187" s="44" t="n"/>
      <c r="Z187" s="85" t="n"/>
      <c r="AA187" s="44" t="n"/>
      <c r="AB187" s="44" t="n"/>
      <c r="AC187" s="44" t="n"/>
      <c r="AD187" s="44" t="n"/>
      <c r="AE187" s="44" t="n"/>
      <c r="AF187" s="88" t="n"/>
      <c r="AG187" s="85" t="n"/>
      <c r="AH187" s="85" t="n"/>
      <c r="AI187" s="85" t="n"/>
      <c r="AJ187" s="85" t="n"/>
      <c r="AK187" s="85" t="n"/>
      <c r="AL187" s="85" t="n"/>
      <c r="AM187" s="85" t="n"/>
      <c r="AN187" s="85" t="n"/>
      <c r="AO187" s="85" t="n"/>
      <c r="AP187" s="85" t="n"/>
      <c r="AQ187" s="85" t="n"/>
      <c r="AR187" s="85" t="n"/>
      <c r="AS187" s="85" t="n"/>
      <c r="AT187" s="85" t="n"/>
      <c r="AU187" s="85" t="n"/>
      <c r="AV187" s="85" t="n"/>
      <c r="AW187" s="44" t="n"/>
      <c r="AX187" s="85" t="n"/>
      <c r="AY187" s="88" t="n"/>
      <c r="AZ187" s="86" t="n"/>
      <c r="BA187" s="44" t="n"/>
      <c r="BB187" s="44" t="n"/>
      <c r="BC187" s="87" t="n"/>
      <c r="BD187" s="44" t="n"/>
      <c r="BE187" s="87" t="n"/>
      <c r="BF187" s="85" t="n"/>
      <c r="BG187" s="44" t="n"/>
      <c r="BH187" s="44" t="n"/>
      <c r="BI187" s="85" t="n"/>
      <c r="BJ187" s="44" t="n"/>
      <c r="BK187" s="45" t="n"/>
      <c r="BL187" s="44" t="n"/>
      <c r="BM187" s="85" t="n"/>
      <c r="BN187" s="44" t="n"/>
      <c r="BO187" s="85" t="n"/>
      <c r="BP187" s="86" t="n"/>
      <c r="BQ187" s="44" t="n"/>
      <c r="BR187" s="50" t="n"/>
      <c r="BS187" s="89" t="n"/>
      <c r="BT187" s="50">
        <f>IF(OR(K187="",L187="",M187=""),"",IF(ABS(ROUND(((ROUND(N(K187)*100,0))-(0))*(100+N(M187))/100,0)-(ROUND(N(L187)*100,0)))&lt;=0+IF(((ROUND(N(K187)*100,0))-(0))*(100+N(M187))/100&lt;&gt;ROUND(((ROUND(N(K187)*100,0))-(0))*(100+N(M187))/100,0),1,0),"OK","ABWEICHUNG"))</f>
        <v/>
      </c>
    </row>
    <row r="188">
      <c r="A188" s="50" t="n"/>
      <c r="B188" s="44" t="n"/>
      <c r="C188" s="44" t="n"/>
      <c r="D188" s="44" t="n"/>
      <c r="E188" s="44" t="n"/>
      <c r="F188" s="44" t="n"/>
      <c r="G188" s="44" t="n"/>
      <c r="H188" s="44" t="n"/>
      <c r="I188" s="45" t="n"/>
      <c r="J188" s="45" t="n"/>
      <c r="K188" s="85" t="n"/>
      <c r="L188" s="85" t="n"/>
      <c r="M188" s="88" t="n"/>
      <c r="N188" s="88" t="n"/>
      <c r="O188" s="44" t="n"/>
      <c r="P188" s="45" t="n"/>
      <c r="Q188" s="45" t="n"/>
      <c r="R188" s="44" t="n"/>
      <c r="S188" s="45" t="n"/>
      <c r="T188" s="45" t="n"/>
      <c r="U188" s="85" t="n"/>
      <c r="V188" s="44" t="n"/>
      <c r="W188" s="45" t="n"/>
      <c r="X188" s="45" t="n"/>
      <c r="Y188" s="44" t="n"/>
      <c r="Z188" s="85" t="n"/>
      <c r="AA188" s="44" t="n"/>
      <c r="AB188" s="44" t="n"/>
      <c r="AC188" s="44" t="n"/>
      <c r="AD188" s="44" t="n"/>
      <c r="AE188" s="44" t="n"/>
      <c r="AF188" s="88" t="n"/>
      <c r="AG188" s="85" t="n"/>
      <c r="AH188" s="85" t="n"/>
      <c r="AI188" s="85" t="n"/>
      <c r="AJ188" s="85" t="n"/>
      <c r="AK188" s="85" t="n"/>
      <c r="AL188" s="85" t="n"/>
      <c r="AM188" s="85" t="n"/>
      <c r="AN188" s="85" t="n"/>
      <c r="AO188" s="85" t="n"/>
      <c r="AP188" s="85" t="n"/>
      <c r="AQ188" s="85" t="n"/>
      <c r="AR188" s="85" t="n"/>
      <c r="AS188" s="85" t="n"/>
      <c r="AT188" s="85" t="n"/>
      <c r="AU188" s="85" t="n"/>
      <c r="AV188" s="85" t="n"/>
      <c r="AW188" s="44" t="n"/>
      <c r="AX188" s="85" t="n"/>
      <c r="AY188" s="88" t="n"/>
      <c r="AZ188" s="86" t="n"/>
      <c r="BA188" s="44" t="n"/>
      <c r="BB188" s="44" t="n"/>
      <c r="BC188" s="87" t="n"/>
      <c r="BD188" s="44" t="n"/>
      <c r="BE188" s="87" t="n"/>
      <c r="BF188" s="85" t="n"/>
      <c r="BG188" s="44" t="n"/>
      <c r="BH188" s="44" t="n"/>
      <c r="BI188" s="85" t="n"/>
      <c r="BJ188" s="44" t="n"/>
      <c r="BK188" s="45" t="n"/>
      <c r="BL188" s="44" t="n"/>
      <c r="BM188" s="85" t="n"/>
      <c r="BN188" s="44" t="n"/>
      <c r="BO188" s="85" t="n"/>
      <c r="BP188" s="86" t="n"/>
      <c r="BQ188" s="44" t="n"/>
      <c r="BR188" s="50" t="n"/>
      <c r="BS188" s="89" t="n"/>
      <c r="BT188" s="50">
        <f>IF(OR(K188="",L188="",M188=""),"",IF(ABS(ROUND(((ROUND(N(K188)*100,0))-(0))*(100+N(M188))/100,0)-(ROUND(N(L188)*100,0)))&lt;=0+IF(((ROUND(N(K188)*100,0))-(0))*(100+N(M188))/100&lt;&gt;ROUND(((ROUND(N(K188)*100,0))-(0))*(100+N(M188))/100,0),1,0),"OK","ABWEICHUNG"))</f>
        <v/>
      </c>
    </row>
    <row r="189">
      <c r="A189" s="50" t="n"/>
      <c r="B189" s="44" t="n"/>
      <c r="C189" s="44" t="n"/>
      <c r="D189" s="44" t="n"/>
      <c r="E189" s="44" t="n"/>
      <c r="F189" s="44" t="n"/>
      <c r="G189" s="44" t="n"/>
      <c r="H189" s="44" t="n"/>
      <c r="I189" s="45" t="n"/>
      <c r="J189" s="45" t="n"/>
      <c r="K189" s="85" t="n"/>
      <c r="L189" s="85" t="n"/>
      <c r="M189" s="88" t="n"/>
      <c r="N189" s="88" t="n"/>
      <c r="O189" s="44" t="n"/>
      <c r="P189" s="45" t="n"/>
      <c r="Q189" s="45" t="n"/>
      <c r="R189" s="44" t="n"/>
      <c r="S189" s="45" t="n"/>
      <c r="T189" s="45" t="n"/>
      <c r="U189" s="85" t="n"/>
      <c r="V189" s="44" t="n"/>
      <c r="W189" s="45" t="n"/>
      <c r="X189" s="45" t="n"/>
      <c r="Y189" s="44" t="n"/>
      <c r="Z189" s="85" t="n"/>
      <c r="AA189" s="44" t="n"/>
      <c r="AB189" s="44" t="n"/>
      <c r="AC189" s="44" t="n"/>
      <c r="AD189" s="44" t="n"/>
      <c r="AE189" s="44" t="n"/>
      <c r="AF189" s="88" t="n"/>
      <c r="AG189" s="85" t="n"/>
      <c r="AH189" s="85" t="n"/>
      <c r="AI189" s="85" t="n"/>
      <c r="AJ189" s="85" t="n"/>
      <c r="AK189" s="85" t="n"/>
      <c r="AL189" s="85" t="n"/>
      <c r="AM189" s="85" t="n"/>
      <c r="AN189" s="85" t="n"/>
      <c r="AO189" s="85" t="n"/>
      <c r="AP189" s="85" t="n"/>
      <c r="AQ189" s="85" t="n"/>
      <c r="AR189" s="85" t="n"/>
      <c r="AS189" s="85" t="n"/>
      <c r="AT189" s="85" t="n"/>
      <c r="AU189" s="85" t="n"/>
      <c r="AV189" s="85" t="n"/>
      <c r="AW189" s="44" t="n"/>
      <c r="AX189" s="85" t="n"/>
      <c r="AY189" s="88" t="n"/>
      <c r="AZ189" s="86" t="n"/>
      <c r="BA189" s="44" t="n"/>
      <c r="BB189" s="44" t="n"/>
      <c r="BC189" s="87" t="n"/>
      <c r="BD189" s="44" t="n"/>
      <c r="BE189" s="87" t="n"/>
      <c r="BF189" s="85" t="n"/>
      <c r="BG189" s="44" t="n"/>
      <c r="BH189" s="44" t="n"/>
      <c r="BI189" s="85" t="n"/>
      <c r="BJ189" s="44" t="n"/>
      <c r="BK189" s="45" t="n"/>
      <c r="BL189" s="44" t="n"/>
      <c r="BM189" s="85" t="n"/>
      <c r="BN189" s="44" t="n"/>
      <c r="BO189" s="85" t="n"/>
      <c r="BP189" s="86" t="n"/>
      <c r="BQ189" s="44" t="n"/>
      <c r="BR189" s="50" t="n"/>
      <c r="BS189" s="89" t="n"/>
      <c r="BT189" s="50">
        <f>IF(OR(K189="",L189="",M189=""),"",IF(ABS(ROUND(((ROUND(N(K189)*100,0))-(0))*(100+N(M189))/100,0)-(ROUND(N(L189)*100,0)))&lt;=0+IF(((ROUND(N(K189)*100,0))-(0))*(100+N(M189))/100&lt;&gt;ROUND(((ROUND(N(K189)*100,0))-(0))*(100+N(M189))/100,0),1,0),"OK","ABWEICHUNG"))</f>
        <v/>
      </c>
    </row>
    <row r="190">
      <c r="A190" s="50" t="n"/>
      <c r="B190" s="44" t="n"/>
      <c r="C190" s="44" t="n"/>
      <c r="D190" s="44" t="n"/>
      <c r="E190" s="44" t="n"/>
      <c r="F190" s="44" t="n"/>
      <c r="G190" s="44" t="n"/>
      <c r="H190" s="44" t="n"/>
      <c r="I190" s="45" t="n"/>
      <c r="J190" s="45" t="n"/>
      <c r="K190" s="85" t="n"/>
      <c r="L190" s="85" t="n"/>
      <c r="M190" s="88" t="n"/>
      <c r="N190" s="88" t="n"/>
      <c r="O190" s="44" t="n"/>
      <c r="P190" s="45" t="n"/>
      <c r="Q190" s="45" t="n"/>
      <c r="R190" s="44" t="n"/>
      <c r="S190" s="45" t="n"/>
      <c r="T190" s="45" t="n"/>
      <c r="U190" s="85" t="n"/>
      <c r="V190" s="44" t="n"/>
      <c r="W190" s="45" t="n"/>
      <c r="X190" s="45" t="n"/>
      <c r="Y190" s="44" t="n"/>
      <c r="Z190" s="85" t="n"/>
      <c r="AA190" s="44" t="n"/>
      <c r="AB190" s="44" t="n"/>
      <c r="AC190" s="44" t="n"/>
      <c r="AD190" s="44" t="n"/>
      <c r="AE190" s="44" t="n"/>
      <c r="AF190" s="88" t="n"/>
      <c r="AG190" s="85" t="n"/>
      <c r="AH190" s="85" t="n"/>
      <c r="AI190" s="85" t="n"/>
      <c r="AJ190" s="85" t="n"/>
      <c r="AK190" s="85" t="n"/>
      <c r="AL190" s="85" t="n"/>
      <c r="AM190" s="85" t="n"/>
      <c r="AN190" s="85" t="n"/>
      <c r="AO190" s="85" t="n"/>
      <c r="AP190" s="85" t="n"/>
      <c r="AQ190" s="85" t="n"/>
      <c r="AR190" s="85" t="n"/>
      <c r="AS190" s="85" t="n"/>
      <c r="AT190" s="85" t="n"/>
      <c r="AU190" s="85" t="n"/>
      <c r="AV190" s="85" t="n"/>
      <c r="AW190" s="44" t="n"/>
      <c r="AX190" s="85" t="n"/>
      <c r="AY190" s="88" t="n"/>
      <c r="AZ190" s="86" t="n"/>
      <c r="BA190" s="44" t="n"/>
      <c r="BB190" s="44" t="n"/>
      <c r="BC190" s="87" t="n"/>
      <c r="BD190" s="44" t="n"/>
      <c r="BE190" s="87" t="n"/>
      <c r="BF190" s="85" t="n"/>
      <c r="BG190" s="44" t="n"/>
      <c r="BH190" s="44" t="n"/>
      <c r="BI190" s="85" t="n"/>
      <c r="BJ190" s="44" t="n"/>
      <c r="BK190" s="45" t="n"/>
      <c r="BL190" s="44" t="n"/>
      <c r="BM190" s="85" t="n"/>
      <c r="BN190" s="44" t="n"/>
      <c r="BO190" s="85" t="n"/>
      <c r="BP190" s="86" t="n"/>
      <c r="BQ190" s="44" t="n"/>
      <c r="BR190" s="50" t="n"/>
      <c r="BS190" s="89" t="n"/>
      <c r="BT190" s="50">
        <f>IF(OR(K190="",L190="",M190=""),"",IF(ABS(ROUND(((ROUND(N(K190)*100,0))-(0))*(100+N(M190))/100,0)-(ROUND(N(L190)*100,0)))&lt;=0+IF(((ROUND(N(K190)*100,0))-(0))*(100+N(M190))/100&lt;&gt;ROUND(((ROUND(N(K190)*100,0))-(0))*(100+N(M190))/100,0),1,0),"OK","ABWEICHUNG"))</f>
        <v/>
      </c>
    </row>
    <row r="191">
      <c r="A191" s="50" t="n"/>
      <c r="B191" s="44" t="n"/>
      <c r="C191" s="44" t="n"/>
      <c r="D191" s="44" t="n"/>
      <c r="E191" s="44" t="n"/>
      <c r="F191" s="44" t="n"/>
      <c r="G191" s="44" t="n"/>
      <c r="H191" s="44" t="n"/>
      <c r="I191" s="45" t="n"/>
      <c r="J191" s="45" t="n"/>
      <c r="K191" s="85" t="n"/>
      <c r="L191" s="85" t="n"/>
      <c r="M191" s="88" t="n"/>
      <c r="N191" s="88" t="n"/>
      <c r="O191" s="44" t="n"/>
      <c r="P191" s="45" t="n"/>
      <c r="Q191" s="45" t="n"/>
      <c r="R191" s="44" t="n"/>
      <c r="S191" s="45" t="n"/>
      <c r="T191" s="45" t="n"/>
      <c r="U191" s="85" t="n"/>
      <c r="V191" s="44" t="n"/>
      <c r="W191" s="45" t="n"/>
      <c r="X191" s="45" t="n"/>
      <c r="Y191" s="44" t="n"/>
      <c r="Z191" s="85" t="n"/>
      <c r="AA191" s="44" t="n"/>
      <c r="AB191" s="44" t="n"/>
      <c r="AC191" s="44" t="n"/>
      <c r="AD191" s="44" t="n"/>
      <c r="AE191" s="44" t="n"/>
      <c r="AF191" s="88" t="n"/>
      <c r="AG191" s="85" t="n"/>
      <c r="AH191" s="85" t="n"/>
      <c r="AI191" s="85" t="n"/>
      <c r="AJ191" s="85" t="n"/>
      <c r="AK191" s="85" t="n"/>
      <c r="AL191" s="85" t="n"/>
      <c r="AM191" s="85" t="n"/>
      <c r="AN191" s="85" t="n"/>
      <c r="AO191" s="85" t="n"/>
      <c r="AP191" s="85" t="n"/>
      <c r="AQ191" s="85" t="n"/>
      <c r="AR191" s="85" t="n"/>
      <c r="AS191" s="85" t="n"/>
      <c r="AT191" s="85" t="n"/>
      <c r="AU191" s="85" t="n"/>
      <c r="AV191" s="85" t="n"/>
      <c r="AW191" s="44" t="n"/>
      <c r="AX191" s="85" t="n"/>
      <c r="AY191" s="88" t="n"/>
      <c r="AZ191" s="86" t="n"/>
      <c r="BA191" s="44" t="n"/>
      <c r="BB191" s="44" t="n"/>
      <c r="BC191" s="87" t="n"/>
      <c r="BD191" s="44" t="n"/>
      <c r="BE191" s="87" t="n"/>
      <c r="BF191" s="85" t="n"/>
      <c r="BG191" s="44" t="n"/>
      <c r="BH191" s="44" t="n"/>
      <c r="BI191" s="85" t="n"/>
      <c r="BJ191" s="44" t="n"/>
      <c r="BK191" s="45" t="n"/>
      <c r="BL191" s="44" t="n"/>
      <c r="BM191" s="85" t="n"/>
      <c r="BN191" s="44" t="n"/>
      <c r="BO191" s="85" t="n"/>
      <c r="BP191" s="86" t="n"/>
      <c r="BQ191" s="44" t="n"/>
      <c r="BR191" s="50" t="n"/>
      <c r="BS191" s="89" t="n"/>
      <c r="BT191" s="50">
        <f>IF(OR(K191="",L191="",M191=""),"",IF(ABS(ROUND(((ROUND(N(K191)*100,0))-(0))*(100+N(M191))/100,0)-(ROUND(N(L191)*100,0)))&lt;=0+IF(((ROUND(N(K191)*100,0))-(0))*(100+N(M191))/100&lt;&gt;ROUND(((ROUND(N(K191)*100,0))-(0))*(100+N(M191))/100,0),1,0),"OK","ABWEICHUNG"))</f>
        <v/>
      </c>
    </row>
    <row r="192">
      <c r="A192" s="50" t="n"/>
      <c r="B192" s="44" t="n"/>
      <c r="C192" s="44" t="n"/>
      <c r="D192" s="44" t="n"/>
      <c r="E192" s="44" t="n"/>
      <c r="F192" s="44" t="n"/>
      <c r="G192" s="44" t="n"/>
      <c r="H192" s="44" t="n"/>
      <c r="I192" s="45" t="n"/>
      <c r="J192" s="45" t="n"/>
      <c r="K192" s="85" t="n"/>
      <c r="L192" s="85" t="n"/>
      <c r="M192" s="88" t="n"/>
      <c r="N192" s="88" t="n"/>
      <c r="O192" s="44" t="n"/>
      <c r="P192" s="45" t="n"/>
      <c r="Q192" s="45" t="n"/>
      <c r="R192" s="44" t="n"/>
      <c r="S192" s="45" t="n"/>
      <c r="T192" s="45" t="n"/>
      <c r="U192" s="85" t="n"/>
      <c r="V192" s="44" t="n"/>
      <c r="W192" s="45" t="n"/>
      <c r="X192" s="45" t="n"/>
      <c r="Y192" s="44" t="n"/>
      <c r="Z192" s="85" t="n"/>
      <c r="AA192" s="44" t="n"/>
      <c r="AB192" s="44" t="n"/>
      <c r="AC192" s="44" t="n"/>
      <c r="AD192" s="44" t="n"/>
      <c r="AE192" s="44" t="n"/>
      <c r="AF192" s="88" t="n"/>
      <c r="AG192" s="85" t="n"/>
      <c r="AH192" s="85" t="n"/>
      <c r="AI192" s="85" t="n"/>
      <c r="AJ192" s="85" t="n"/>
      <c r="AK192" s="85" t="n"/>
      <c r="AL192" s="85" t="n"/>
      <c r="AM192" s="85" t="n"/>
      <c r="AN192" s="85" t="n"/>
      <c r="AO192" s="85" t="n"/>
      <c r="AP192" s="85" t="n"/>
      <c r="AQ192" s="85" t="n"/>
      <c r="AR192" s="85" t="n"/>
      <c r="AS192" s="85" t="n"/>
      <c r="AT192" s="85" t="n"/>
      <c r="AU192" s="85" t="n"/>
      <c r="AV192" s="85" t="n"/>
      <c r="AW192" s="44" t="n"/>
      <c r="AX192" s="85" t="n"/>
      <c r="AY192" s="88" t="n"/>
      <c r="AZ192" s="86" t="n"/>
      <c r="BA192" s="44" t="n"/>
      <c r="BB192" s="44" t="n"/>
      <c r="BC192" s="87" t="n"/>
      <c r="BD192" s="44" t="n"/>
      <c r="BE192" s="87" t="n"/>
      <c r="BF192" s="85" t="n"/>
      <c r="BG192" s="44" t="n"/>
      <c r="BH192" s="44" t="n"/>
      <c r="BI192" s="85" t="n"/>
      <c r="BJ192" s="44" t="n"/>
      <c r="BK192" s="45" t="n"/>
      <c r="BL192" s="44" t="n"/>
      <c r="BM192" s="85" t="n"/>
      <c r="BN192" s="44" t="n"/>
      <c r="BO192" s="85" t="n"/>
      <c r="BP192" s="86" t="n"/>
      <c r="BQ192" s="44" t="n"/>
      <c r="BR192" s="50" t="n"/>
      <c r="BS192" s="89" t="n"/>
      <c r="BT192" s="50">
        <f>IF(OR(K192="",L192="",M192=""),"",IF(ABS(ROUND(((ROUND(N(K192)*100,0))-(0))*(100+N(M192))/100,0)-(ROUND(N(L192)*100,0)))&lt;=0+IF(((ROUND(N(K192)*100,0))-(0))*(100+N(M192))/100&lt;&gt;ROUND(((ROUND(N(K192)*100,0))-(0))*(100+N(M192))/100,0),1,0),"OK","ABWEICHUNG"))</f>
        <v/>
      </c>
    </row>
    <row r="193">
      <c r="A193" s="50" t="n"/>
      <c r="B193" s="44" t="n"/>
      <c r="C193" s="44" t="n"/>
      <c r="D193" s="44" t="n"/>
      <c r="E193" s="44" t="n"/>
      <c r="F193" s="44" t="n"/>
      <c r="G193" s="44" t="n"/>
      <c r="H193" s="44" t="n"/>
      <c r="I193" s="45" t="n"/>
      <c r="J193" s="45" t="n"/>
      <c r="K193" s="85" t="n"/>
      <c r="L193" s="85" t="n"/>
      <c r="M193" s="88" t="n"/>
      <c r="N193" s="88" t="n"/>
      <c r="O193" s="44" t="n"/>
      <c r="P193" s="45" t="n"/>
      <c r="Q193" s="45" t="n"/>
      <c r="R193" s="44" t="n"/>
      <c r="S193" s="45" t="n"/>
      <c r="T193" s="45" t="n"/>
      <c r="U193" s="85" t="n"/>
      <c r="V193" s="44" t="n"/>
      <c r="W193" s="45" t="n"/>
      <c r="X193" s="45" t="n"/>
      <c r="Y193" s="44" t="n"/>
      <c r="Z193" s="85" t="n"/>
      <c r="AA193" s="44" t="n"/>
      <c r="AB193" s="44" t="n"/>
      <c r="AC193" s="44" t="n"/>
      <c r="AD193" s="44" t="n"/>
      <c r="AE193" s="44" t="n"/>
      <c r="AF193" s="88" t="n"/>
      <c r="AG193" s="85" t="n"/>
      <c r="AH193" s="85" t="n"/>
      <c r="AI193" s="85" t="n"/>
      <c r="AJ193" s="85" t="n"/>
      <c r="AK193" s="85" t="n"/>
      <c r="AL193" s="85" t="n"/>
      <c r="AM193" s="85" t="n"/>
      <c r="AN193" s="85" t="n"/>
      <c r="AO193" s="85" t="n"/>
      <c r="AP193" s="85" t="n"/>
      <c r="AQ193" s="85" t="n"/>
      <c r="AR193" s="85" t="n"/>
      <c r="AS193" s="85" t="n"/>
      <c r="AT193" s="85" t="n"/>
      <c r="AU193" s="85" t="n"/>
      <c r="AV193" s="85" t="n"/>
      <c r="AW193" s="44" t="n"/>
      <c r="AX193" s="85" t="n"/>
      <c r="AY193" s="88" t="n"/>
      <c r="AZ193" s="86" t="n"/>
      <c r="BA193" s="44" t="n"/>
      <c r="BB193" s="44" t="n"/>
      <c r="BC193" s="87" t="n"/>
      <c r="BD193" s="44" t="n"/>
      <c r="BE193" s="87" t="n"/>
      <c r="BF193" s="85" t="n"/>
      <c r="BG193" s="44" t="n"/>
      <c r="BH193" s="44" t="n"/>
      <c r="BI193" s="85" t="n"/>
      <c r="BJ193" s="44" t="n"/>
      <c r="BK193" s="45" t="n"/>
      <c r="BL193" s="44" t="n"/>
      <c r="BM193" s="85" t="n"/>
      <c r="BN193" s="44" t="n"/>
      <c r="BO193" s="85" t="n"/>
      <c r="BP193" s="86" t="n"/>
      <c r="BQ193" s="44" t="n"/>
      <c r="BR193" s="50" t="n"/>
      <c r="BS193" s="89" t="n"/>
      <c r="BT193" s="50">
        <f>IF(OR(K193="",L193="",M193=""),"",IF(ABS(ROUND(((ROUND(N(K193)*100,0))-(0))*(100+N(M193))/100,0)-(ROUND(N(L193)*100,0)))&lt;=0+IF(((ROUND(N(K193)*100,0))-(0))*(100+N(M193))/100&lt;&gt;ROUND(((ROUND(N(K193)*100,0))-(0))*(100+N(M193))/100,0),1,0),"OK","ABWEICHUNG"))</f>
        <v/>
      </c>
    </row>
    <row r="194">
      <c r="A194" s="50" t="n"/>
      <c r="B194" s="44" t="n"/>
      <c r="C194" s="44" t="n"/>
      <c r="D194" s="44" t="n"/>
      <c r="E194" s="44" t="n"/>
      <c r="F194" s="44" t="n"/>
      <c r="G194" s="44" t="n"/>
      <c r="H194" s="44" t="n"/>
      <c r="I194" s="45" t="n"/>
      <c r="J194" s="45" t="n"/>
      <c r="K194" s="85" t="n"/>
      <c r="L194" s="85" t="n"/>
      <c r="M194" s="88" t="n"/>
      <c r="N194" s="88" t="n"/>
      <c r="O194" s="44" t="n"/>
      <c r="P194" s="45" t="n"/>
      <c r="Q194" s="45" t="n"/>
      <c r="R194" s="44" t="n"/>
      <c r="S194" s="45" t="n"/>
      <c r="T194" s="45" t="n"/>
      <c r="U194" s="85" t="n"/>
      <c r="V194" s="44" t="n"/>
      <c r="W194" s="45" t="n"/>
      <c r="X194" s="45" t="n"/>
      <c r="Y194" s="44" t="n"/>
      <c r="Z194" s="85" t="n"/>
      <c r="AA194" s="44" t="n"/>
      <c r="AB194" s="44" t="n"/>
      <c r="AC194" s="44" t="n"/>
      <c r="AD194" s="44" t="n"/>
      <c r="AE194" s="44" t="n"/>
      <c r="AF194" s="88" t="n"/>
      <c r="AG194" s="85" t="n"/>
      <c r="AH194" s="85" t="n"/>
      <c r="AI194" s="85" t="n"/>
      <c r="AJ194" s="85" t="n"/>
      <c r="AK194" s="85" t="n"/>
      <c r="AL194" s="85" t="n"/>
      <c r="AM194" s="85" t="n"/>
      <c r="AN194" s="85" t="n"/>
      <c r="AO194" s="85" t="n"/>
      <c r="AP194" s="85" t="n"/>
      <c r="AQ194" s="85" t="n"/>
      <c r="AR194" s="85" t="n"/>
      <c r="AS194" s="85" t="n"/>
      <c r="AT194" s="85" t="n"/>
      <c r="AU194" s="85" t="n"/>
      <c r="AV194" s="85" t="n"/>
      <c r="AW194" s="44" t="n"/>
      <c r="AX194" s="85" t="n"/>
      <c r="AY194" s="88" t="n"/>
      <c r="AZ194" s="86" t="n"/>
      <c r="BA194" s="44" t="n"/>
      <c r="BB194" s="44" t="n"/>
      <c r="BC194" s="87" t="n"/>
      <c r="BD194" s="44" t="n"/>
      <c r="BE194" s="87" t="n"/>
      <c r="BF194" s="85" t="n"/>
      <c r="BG194" s="44" t="n"/>
      <c r="BH194" s="44" t="n"/>
      <c r="BI194" s="85" t="n"/>
      <c r="BJ194" s="44" t="n"/>
      <c r="BK194" s="45" t="n"/>
      <c r="BL194" s="44" t="n"/>
      <c r="BM194" s="85" t="n"/>
      <c r="BN194" s="44" t="n"/>
      <c r="BO194" s="85" t="n"/>
      <c r="BP194" s="86" t="n"/>
      <c r="BQ194" s="44" t="n"/>
      <c r="BR194" s="50" t="n"/>
      <c r="BS194" s="89" t="n"/>
      <c r="BT194" s="50">
        <f>IF(OR(K194="",L194="",M194=""),"",IF(ABS(ROUND(((ROUND(N(K194)*100,0))-(0))*(100+N(M194))/100,0)-(ROUND(N(L194)*100,0)))&lt;=0+IF(((ROUND(N(K194)*100,0))-(0))*(100+N(M194))/100&lt;&gt;ROUND(((ROUND(N(K194)*100,0))-(0))*(100+N(M194))/100,0),1,0),"OK","ABWEICHUNG"))</f>
        <v/>
      </c>
    </row>
    <row r="195">
      <c r="A195" s="50" t="n"/>
      <c r="B195" s="44" t="n"/>
      <c r="C195" s="44" t="n"/>
      <c r="D195" s="44" t="n"/>
      <c r="E195" s="44" t="n"/>
      <c r="F195" s="44" t="n"/>
      <c r="G195" s="44" t="n"/>
      <c r="H195" s="44" t="n"/>
      <c r="I195" s="45" t="n"/>
      <c r="J195" s="45" t="n"/>
      <c r="K195" s="85" t="n"/>
      <c r="L195" s="85" t="n"/>
      <c r="M195" s="88" t="n"/>
      <c r="N195" s="88" t="n"/>
      <c r="O195" s="44" t="n"/>
      <c r="P195" s="45" t="n"/>
      <c r="Q195" s="45" t="n"/>
      <c r="R195" s="44" t="n"/>
      <c r="S195" s="45" t="n"/>
      <c r="T195" s="45" t="n"/>
      <c r="U195" s="85" t="n"/>
      <c r="V195" s="44" t="n"/>
      <c r="W195" s="45" t="n"/>
      <c r="X195" s="45" t="n"/>
      <c r="Y195" s="44" t="n"/>
      <c r="Z195" s="85" t="n"/>
      <c r="AA195" s="44" t="n"/>
      <c r="AB195" s="44" t="n"/>
      <c r="AC195" s="44" t="n"/>
      <c r="AD195" s="44" t="n"/>
      <c r="AE195" s="44" t="n"/>
      <c r="AF195" s="88" t="n"/>
      <c r="AG195" s="85" t="n"/>
      <c r="AH195" s="85" t="n"/>
      <c r="AI195" s="85" t="n"/>
      <c r="AJ195" s="85" t="n"/>
      <c r="AK195" s="85" t="n"/>
      <c r="AL195" s="85" t="n"/>
      <c r="AM195" s="85" t="n"/>
      <c r="AN195" s="85" t="n"/>
      <c r="AO195" s="85" t="n"/>
      <c r="AP195" s="85" t="n"/>
      <c r="AQ195" s="85" t="n"/>
      <c r="AR195" s="85" t="n"/>
      <c r="AS195" s="85" t="n"/>
      <c r="AT195" s="85" t="n"/>
      <c r="AU195" s="85" t="n"/>
      <c r="AV195" s="85" t="n"/>
      <c r="AW195" s="44" t="n"/>
      <c r="AX195" s="85" t="n"/>
      <c r="AY195" s="88" t="n"/>
      <c r="AZ195" s="86" t="n"/>
      <c r="BA195" s="44" t="n"/>
      <c r="BB195" s="44" t="n"/>
      <c r="BC195" s="87" t="n"/>
      <c r="BD195" s="44" t="n"/>
      <c r="BE195" s="87" t="n"/>
      <c r="BF195" s="85" t="n"/>
      <c r="BG195" s="44" t="n"/>
      <c r="BH195" s="44" t="n"/>
      <c r="BI195" s="85" t="n"/>
      <c r="BJ195" s="44" t="n"/>
      <c r="BK195" s="45" t="n"/>
      <c r="BL195" s="44" t="n"/>
      <c r="BM195" s="85" t="n"/>
      <c r="BN195" s="44" t="n"/>
      <c r="BO195" s="85" t="n"/>
      <c r="BP195" s="86" t="n"/>
      <c r="BQ195" s="44" t="n"/>
      <c r="BR195" s="50" t="n"/>
      <c r="BS195" s="89" t="n"/>
      <c r="BT195" s="50">
        <f>IF(OR(K195="",L195="",M195=""),"",IF(ABS(ROUND(((ROUND(N(K195)*100,0))-(0))*(100+N(M195))/100,0)-(ROUND(N(L195)*100,0)))&lt;=0+IF(((ROUND(N(K195)*100,0))-(0))*(100+N(M195))/100&lt;&gt;ROUND(((ROUND(N(K195)*100,0))-(0))*(100+N(M195))/100,0),1,0),"OK","ABWEICHUNG"))</f>
        <v/>
      </c>
    </row>
    <row r="196">
      <c r="A196" s="50" t="n"/>
      <c r="B196" s="44" t="n"/>
      <c r="C196" s="44" t="n"/>
      <c r="D196" s="44" t="n"/>
      <c r="E196" s="44" t="n"/>
      <c r="F196" s="44" t="n"/>
      <c r="G196" s="44" t="n"/>
      <c r="H196" s="44" t="n"/>
      <c r="I196" s="45" t="n"/>
      <c r="J196" s="45" t="n"/>
      <c r="K196" s="85" t="n"/>
      <c r="L196" s="85" t="n"/>
      <c r="M196" s="88" t="n"/>
      <c r="N196" s="88" t="n"/>
      <c r="O196" s="44" t="n"/>
      <c r="P196" s="45" t="n"/>
      <c r="Q196" s="45" t="n"/>
      <c r="R196" s="44" t="n"/>
      <c r="S196" s="45" t="n"/>
      <c r="T196" s="45" t="n"/>
      <c r="U196" s="85" t="n"/>
      <c r="V196" s="44" t="n"/>
      <c r="W196" s="45" t="n"/>
      <c r="X196" s="45" t="n"/>
      <c r="Y196" s="44" t="n"/>
      <c r="Z196" s="85" t="n"/>
      <c r="AA196" s="44" t="n"/>
      <c r="AB196" s="44" t="n"/>
      <c r="AC196" s="44" t="n"/>
      <c r="AD196" s="44" t="n"/>
      <c r="AE196" s="44" t="n"/>
      <c r="AF196" s="88" t="n"/>
      <c r="AG196" s="85" t="n"/>
      <c r="AH196" s="85" t="n"/>
      <c r="AI196" s="85" t="n"/>
      <c r="AJ196" s="85" t="n"/>
      <c r="AK196" s="85" t="n"/>
      <c r="AL196" s="85" t="n"/>
      <c r="AM196" s="85" t="n"/>
      <c r="AN196" s="85" t="n"/>
      <c r="AO196" s="85" t="n"/>
      <c r="AP196" s="85" t="n"/>
      <c r="AQ196" s="85" t="n"/>
      <c r="AR196" s="85" t="n"/>
      <c r="AS196" s="85" t="n"/>
      <c r="AT196" s="85" t="n"/>
      <c r="AU196" s="85" t="n"/>
      <c r="AV196" s="85" t="n"/>
      <c r="AW196" s="44" t="n"/>
      <c r="AX196" s="85" t="n"/>
      <c r="AY196" s="88" t="n"/>
      <c r="AZ196" s="86" t="n"/>
      <c r="BA196" s="44" t="n"/>
      <c r="BB196" s="44" t="n"/>
      <c r="BC196" s="87" t="n"/>
      <c r="BD196" s="44" t="n"/>
      <c r="BE196" s="87" t="n"/>
      <c r="BF196" s="85" t="n"/>
      <c r="BG196" s="44" t="n"/>
      <c r="BH196" s="44" t="n"/>
      <c r="BI196" s="85" t="n"/>
      <c r="BJ196" s="44" t="n"/>
      <c r="BK196" s="45" t="n"/>
      <c r="BL196" s="44" t="n"/>
      <c r="BM196" s="85" t="n"/>
      <c r="BN196" s="44" t="n"/>
      <c r="BO196" s="85" t="n"/>
      <c r="BP196" s="86" t="n"/>
      <c r="BQ196" s="44" t="n"/>
      <c r="BR196" s="50" t="n"/>
      <c r="BS196" s="89" t="n"/>
      <c r="BT196" s="50">
        <f>IF(OR(K196="",L196="",M196=""),"",IF(ABS(ROUND(((ROUND(N(K196)*100,0))-(0))*(100+N(M196))/100,0)-(ROUND(N(L196)*100,0)))&lt;=0+IF(((ROUND(N(K196)*100,0))-(0))*(100+N(M196))/100&lt;&gt;ROUND(((ROUND(N(K196)*100,0))-(0))*(100+N(M196))/100,0),1,0),"OK","ABWEICHUNG"))</f>
        <v/>
      </c>
    </row>
    <row r="197">
      <c r="A197" s="50" t="n"/>
      <c r="B197" s="44" t="n"/>
      <c r="C197" s="44" t="n"/>
      <c r="D197" s="44" t="n"/>
      <c r="E197" s="44" t="n"/>
      <c r="F197" s="44" t="n"/>
      <c r="G197" s="44" t="n"/>
      <c r="H197" s="44" t="n"/>
      <c r="I197" s="45" t="n"/>
      <c r="J197" s="45" t="n"/>
      <c r="K197" s="85" t="n"/>
      <c r="L197" s="85" t="n"/>
      <c r="M197" s="88" t="n"/>
      <c r="N197" s="88" t="n"/>
      <c r="O197" s="44" t="n"/>
      <c r="P197" s="45" t="n"/>
      <c r="Q197" s="45" t="n"/>
      <c r="R197" s="44" t="n"/>
      <c r="S197" s="45" t="n"/>
      <c r="T197" s="45" t="n"/>
      <c r="U197" s="85" t="n"/>
      <c r="V197" s="44" t="n"/>
      <c r="W197" s="45" t="n"/>
      <c r="X197" s="45" t="n"/>
      <c r="Y197" s="44" t="n"/>
      <c r="Z197" s="85" t="n"/>
      <c r="AA197" s="44" t="n"/>
      <c r="AB197" s="44" t="n"/>
      <c r="AC197" s="44" t="n"/>
      <c r="AD197" s="44" t="n"/>
      <c r="AE197" s="44" t="n"/>
      <c r="AF197" s="88" t="n"/>
      <c r="AG197" s="85" t="n"/>
      <c r="AH197" s="85" t="n"/>
      <c r="AI197" s="85" t="n"/>
      <c r="AJ197" s="85" t="n"/>
      <c r="AK197" s="85" t="n"/>
      <c r="AL197" s="85" t="n"/>
      <c r="AM197" s="85" t="n"/>
      <c r="AN197" s="85" t="n"/>
      <c r="AO197" s="85" t="n"/>
      <c r="AP197" s="85" t="n"/>
      <c r="AQ197" s="85" t="n"/>
      <c r="AR197" s="85" t="n"/>
      <c r="AS197" s="85" t="n"/>
      <c r="AT197" s="85" t="n"/>
      <c r="AU197" s="85" t="n"/>
      <c r="AV197" s="85" t="n"/>
      <c r="AW197" s="44" t="n"/>
      <c r="AX197" s="85" t="n"/>
      <c r="AY197" s="88" t="n"/>
      <c r="AZ197" s="86" t="n"/>
      <c r="BA197" s="44" t="n"/>
      <c r="BB197" s="44" t="n"/>
      <c r="BC197" s="87" t="n"/>
      <c r="BD197" s="44" t="n"/>
      <c r="BE197" s="87" t="n"/>
      <c r="BF197" s="85" t="n"/>
      <c r="BG197" s="44" t="n"/>
      <c r="BH197" s="44" t="n"/>
      <c r="BI197" s="85" t="n"/>
      <c r="BJ197" s="44" t="n"/>
      <c r="BK197" s="45" t="n"/>
      <c r="BL197" s="44" t="n"/>
      <c r="BM197" s="85" t="n"/>
      <c r="BN197" s="44" t="n"/>
      <c r="BO197" s="85" t="n"/>
      <c r="BP197" s="86" t="n"/>
      <c r="BQ197" s="44" t="n"/>
      <c r="BR197" s="50" t="n"/>
      <c r="BS197" s="89" t="n"/>
      <c r="BT197" s="50">
        <f>IF(OR(K197="",L197="",M197=""),"",IF(ABS(ROUND(((ROUND(N(K197)*100,0))-(0))*(100+N(M197))/100,0)-(ROUND(N(L197)*100,0)))&lt;=0+IF(((ROUND(N(K197)*100,0))-(0))*(100+N(M197))/100&lt;&gt;ROUND(((ROUND(N(K197)*100,0))-(0))*(100+N(M197))/100,0),1,0),"OK","ABWEICHUNG"))</f>
        <v/>
      </c>
    </row>
    <row r="198">
      <c r="A198" s="50" t="n"/>
      <c r="B198" s="44" t="n"/>
      <c r="C198" s="44" t="n"/>
      <c r="D198" s="44" t="n"/>
      <c r="E198" s="44" t="n"/>
      <c r="F198" s="44" t="n"/>
      <c r="G198" s="44" t="n"/>
      <c r="H198" s="44" t="n"/>
      <c r="I198" s="45" t="n"/>
      <c r="J198" s="45" t="n"/>
      <c r="K198" s="85" t="n"/>
      <c r="L198" s="85" t="n"/>
      <c r="M198" s="88" t="n"/>
      <c r="N198" s="88" t="n"/>
      <c r="O198" s="44" t="n"/>
      <c r="P198" s="45" t="n"/>
      <c r="Q198" s="45" t="n"/>
      <c r="R198" s="44" t="n"/>
      <c r="S198" s="45" t="n"/>
      <c r="T198" s="45" t="n"/>
      <c r="U198" s="85" t="n"/>
      <c r="V198" s="44" t="n"/>
      <c r="W198" s="45" t="n"/>
      <c r="X198" s="45" t="n"/>
      <c r="Y198" s="44" t="n"/>
      <c r="Z198" s="85" t="n"/>
      <c r="AA198" s="44" t="n"/>
      <c r="AB198" s="44" t="n"/>
      <c r="AC198" s="44" t="n"/>
      <c r="AD198" s="44" t="n"/>
      <c r="AE198" s="44" t="n"/>
      <c r="AF198" s="88" t="n"/>
      <c r="AG198" s="85" t="n"/>
      <c r="AH198" s="85" t="n"/>
      <c r="AI198" s="85" t="n"/>
      <c r="AJ198" s="85" t="n"/>
      <c r="AK198" s="85" t="n"/>
      <c r="AL198" s="85" t="n"/>
      <c r="AM198" s="85" t="n"/>
      <c r="AN198" s="85" t="n"/>
      <c r="AO198" s="85" t="n"/>
      <c r="AP198" s="85" t="n"/>
      <c r="AQ198" s="85" t="n"/>
      <c r="AR198" s="85" t="n"/>
      <c r="AS198" s="85" t="n"/>
      <c r="AT198" s="85" t="n"/>
      <c r="AU198" s="85" t="n"/>
      <c r="AV198" s="85" t="n"/>
      <c r="AW198" s="44" t="n"/>
      <c r="AX198" s="85" t="n"/>
      <c r="AY198" s="88" t="n"/>
      <c r="AZ198" s="86" t="n"/>
      <c r="BA198" s="44" t="n"/>
      <c r="BB198" s="44" t="n"/>
      <c r="BC198" s="87" t="n"/>
      <c r="BD198" s="44" t="n"/>
      <c r="BE198" s="87" t="n"/>
      <c r="BF198" s="85" t="n"/>
      <c r="BG198" s="44" t="n"/>
      <c r="BH198" s="44" t="n"/>
      <c r="BI198" s="85" t="n"/>
      <c r="BJ198" s="44" t="n"/>
      <c r="BK198" s="45" t="n"/>
      <c r="BL198" s="44" t="n"/>
      <c r="BM198" s="85" t="n"/>
      <c r="BN198" s="44" t="n"/>
      <c r="BO198" s="85" t="n"/>
      <c r="BP198" s="86" t="n"/>
      <c r="BQ198" s="44" t="n"/>
      <c r="BR198" s="50" t="n"/>
      <c r="BS198" s="89" t="n"/>
      <c r="BT198" s="50">
        <f>IF(OR(K198="",L198="",M198=""),"",IF(ABS(ROUND(((ROUND(N(K198)*100,0))-(0))*(100+N(M198))/100,0)-(ROUND(N(L198)*100,0)))&lt;=0+IF(((ROUND(N(K198)*100,0))-(0))*(100+N(M198))/100&lt;&gt;ROUND(((ROUND(N(K198)*100,0))-(0))*(100+N(M198))/100,0),1,0),"OK","ABWEICHUNG"))</f>
        <v/>
      </c>
    </row>
    <row r="199">
      <c r="A199" s="50" t="n"/>
      <c r="B199" s="44" t="n"/>
      <c r="C199" s="44" t="n"/>
      <c r="D199" s="44" t="n"/>
      <c r="E199" s="44" t="n"/>
      <c r="F199" s="44" t="n"/>
      <c r="G199" s="44" t="n"/>
      <c r="H199" s="44" t="n"/>
      <c r="I199" s="45" t="n"/>
      <c r="J199" s="45" t="n"/>
      <c r="K199" s="85" t="n"/>
      <c r="L199" s="85" t="n"/>
      <c r="M199" s="88" t="n"/>
      <c r="N199" s="88" t="n"/>
      <c r="O199" s="44" t="n"/>
      <c r="P199" s="45" t="n"/>
      <c r="Q199" s="45" t="n"/>
      <c r="R199" s="44" t="n"/>
      <c r="S199" s="45" t="n"/>
      <c r="T199" s="45" t="n"/>
      <c r="U199" s="85" t="n"/>
      <c r="V199" s="44" t="n"/>
      <c r="W199" s="45" t="n"/>
      <c r="X199" s="45" t="n"/>
      <c r="Y199" s="44" t="n"/>
      <c r="Z199" s="85" t="n"/>
      <c r="AA199" s="44" t="n"/>
      <c r="AB199" s="44" t="n"/>
      <c r="AC199" s="44" t="n"/>
      <c r="AD199" s="44" t="n"/>
      <c r="AE199" s="44" t="n"/>
      <c r="AF199" s="88" t="n"/>
      <c r="AG199" s="85" t="n"/>
      <c r="AH199" s="85" t="n"/>
      <c r="AI199" s="85" t="n"/>
      <c r="AJ199" s="85" t="n"/>
      <c r="AK199" s="85" t="n"/>
      <c r="AL199" s="85" t="n"/>
      <c r="AM199" s="85" t="n"/>
      <c r="AN199" s="85" t="n"/>
      <c r="AO199" s="85" t="n"/>
      <c r="AP199" s="85" t="n"/>
      <c r="AQ199" s="85" t="n"/>
      <c r="AR199" s="85" t="n"/>
      <c r="AS199" s="85" t="n"/>
      <c r="AT199" s="85" t="n"/>
      <c r="AU199" s="85" t="n"/>
      <c r="AV199" s="85" t="n"/>
      <c r="AW199" s="44" t="n"/>
      <c r="AX199" s="85" t="n"/>
      <c r="AY199" s="88" t="n"/>
      <c r="AZ199" s="86" t="n"/>
      <c r="BA199" s="44" t="n"/>
      <c r="BB199" s="44" t="n"/>
      <c r="BC199" s="87" t="n"/>
      <c r="BD199" s="44" t="n"/>
      <c r="BE199" s="87" t="n"/>
      <c r="BF199" s="85" t="n"/>
      <c r="BG199" s="44" t="n"/>
      <c r="BH199" s="44" t="n"/>
      <c r="BI199" s="85" t="n"/>
      <c r="BJ199" s="44" t="n"/>
      <c r="BK199" s="45" t="n"/>
      <c r="BL199" s="44" t="n"/>
      <c r="BM199" s="85" t="n"/>
      <c r="BN199" s="44" t="n"/>
      <c r="BO199" s="85" t="n"/>
      <c r="BP199" s="86" t="n"/>
      <c r="BQ199" s="44" t="n"/>
      <c r="BR199" s="50" t="n"/>
      <c r="BS199" s="89" t="n"/>
      <c r="BT199" s="50">
        <f>IF(OR(K199="",L199="",M199=""),"",IF(ABS(ROUND(((ROUND(N(K199)*100,0))-(0))*(100+N(M199))/100,0)-(ROUND(N(L199)*100,0)))&lt;=0+IF(((ROUND(N(K199)*100,0))-(0))*(100+N(M199))/100&lt;&gt;ROUND(((ROUND(N(K199)*100,0))-(0))*(100+N(M199))/100,0),1,0),"OK","ABWEICHUNG"))</f>
        <v/>
      </c>
    </row>
    <row r="200">
      <c r="A200" s="50" t="n"/>
      <c r="B200" s="44" t="n"/>
      <c r="C200" s="44" t="n"/>
      <c r="D200" s="44" t="n"/>
      <c r="E200" s="44" t="n"/>
      <c r="F200" s="44" t="n"/>
      <c r="G200" s="44" t="n"/>
      <c r="H200" s="44" t="n"/>
      <c r="I200" s="45" t="n"/>
      <c r="J200" s="45" t="n"/>
      <c r="K200" s="85" t="n"/>
      <c r="L200" s="85" t="n"/>
      <c r="M200" s="88" t="n"/>
      <c r="N200" s="88" t="n"/>
      <c r="O200" s="44" t="n"/>
      <c r="P200" s="45" t="n"/>
      <c r="Q200" s="45" t="n"/>
      <c r="R200" s="44" t="n"/>
      <c r="S200" s="45" t="n"/>
      <c r="T200" s="45" t="n"/>
      <c r="U200" s="85" t="n"/>
      <c r="V200" s="44" t="n"/>
      <c r="W200" s="45" t="n"/>
      <c r="X200" s="45" t="n"/>
      <c r="Y200" s="44" t="n"/>
      <c r="Z200" s="85" t="n"/>
      <c r="AA200" s="44" t="n"/>
      <c r="AB200" s="44" t="n"/>
      <c r="AC200" s="44" t="n"/>
      <c r="AD200" s="44" t="n"/>
      <c r="AE200" s="44" t="n"/>
      <c r="AF200" s="88" t="n"/>
      <c r="AG200" s="85" t="n"/>
      <c r="AH200" s="85" t="n"/>
      <c r="AI200" s="85" t="n"/>
      <c r="AJ200" s="85" t="n"/>
      <c r="AK200" s="85" t="n"/>
      <c r="AL200" s="85" t="n"/>
      <c r="AM200" s="85" t="n"/>
      <c r="AN200" s="85" t="n"/>
      <c r="AO200" s="85" t="n"/>
      <c r="AP200" s="85" t="n"/>
      <c r="AQ200" s="85" t="n"/>
      <c r="AR200" s="85" t="n"/>
      <c r="AS200" s="85" t="n"/>
      <c r="AT200" s="85" t="n"/>
      <c r="AU200" s="85" t="n"/>
      <c r="AV200" s="85" t="n"/>
      <c r="AW200" s="44" t="n"/>
      <c r="AX200" s="85" t="n"/>
      <c r="AY200" s="88" t="n"/>
      <c r="AZ200" s="86" t="n"/>
      <c r="BA200" s="44" t="n"/>
      <c r="BB200" s="44" t="n"/>
      <c r="BC200" s="87" t="n"/>
      <c r="BD200" s="44" t="n"/>
      <c r="BE200" s="87" t="n"/>
      <c r="BF200" s="85" t="n"/>
      <c r="BG200" s="44" t="n"/>
      <c r="BH200" s="44" t="n"/>
      <c r="BI200" s="85" t="n"/>
      <c r="BJ200" s="44" t="n"/>
      <c r="BK200" s="45" t="n"/>
      <c r="BL200" s="44" t="n"/>
      <c r="BM200" s="85" t="n"/>
      <c r="BN200" s="44" t="n"/>
      <c r="BO200" s="85" t="n"/>
      <c r="BP200" s="86" t="n"/>
      <c r="BQ200" s="44" t="n"/>
      <c r="BR200" s="50" t="n"/>
      <c r="BS200" s="89" t="n"/>
      <c r="BT200" s="50">
        <f>IF(OR(K200="",L200="",M200=""),"",IF(ABS(ROUND(((ROUND(N(K200)*100,0))-(0))*(100+N(M200))/100,0)-(ROUND(N(L200)*100,0)))&lt;=0+IF(((ROUND(N(K200)*100,0))-(0))*(100+N(M200))/100&lt;&gt;ROUND(((ROUND(N(K200)*100,0))-(0))*(100+N(M200))/100,0),1,0),"OK","ABWEICHUNG"))</f>
        <v/>
      </c>
    </row>
    <row r="201">
      <c r="A201" s="50" t="n"/>
      <c r="B201" s="44" t="n"/>
      <c r="C201" s="44" t="n"/>
      <c r="D201" s="44" t="n"/>
      <c r="E201" s="44" t="n"/>
      <c r="F201" s="44" t="n"/>
      <c r="G201" s="44" t="n"/>
      <c r="H201" s="44" t="n"/>
      <c r="I201" s="45" t="n"/>
      <c r="J201" s="45" t="n"/>
      <c r="K201" s="85" t="n"/>
      <c r="L201" s="85" t="n"/>
      <c r="M201" s="88" t="n"/>
      <c r="N201" s="88" t="n"/>
      <c r="O201" s="44" t="n"/>
      <c r="P201" s="45" t="n"/>
      <c r="Q201" s="45" t="n"/>
      <c r="R201" s="44" t="n"/>
      <c r="S201" s="45" t="n"/>
      <c r="T201" s="45" t="n"/>
      <c r="U201" s="85" t="n"/>
      <c r="V201" s="44" t="n"/>
      <c r="W201" s="45" t="n"/>
      <c r="X201" s="45" t="n"/>
      <c r="Y201" s="44" t="n"/>
      <c r="Z201" s="85" t="n"/>
      <c r="AA201" s="44" t="n"/>
      <c r="AB201" s="44" t="n"/>
      <c r="AC201" s="44" t="n"/>
      <c r="AD201" s="44" t="n"/>
      <c r="AE201" s="44" t="n"/>
      <c r="AF201" s="88" t="n"/>
      <c r="AG201" s="85" t="n"/>
      <c r="AH201" s="85" t="n"/>
      <c r="AI201" s="85" t="n"/>
      <c r="AJ201" s="85" t="n"/>
      <c r="AK201" s="85" t="n"/>
      <c r="AL201" s="85" t="n"/>
      <c r="AM201" s="85" t="n"/>
      <c r="AN201" s="85" t="n"/>
      <c r="AO201" s="85" t="n"/>
      <c r="AP201" s="85" t="n"/>
      <c r="AQ201" s="85" t="n"/>
      <c r="AR201" s="85" t="n"/>
      <c r="AS201" s="85" t="n"/>
      <c r="AT201" s="85" t="n"/>
      <c r="AU201" s="85" t="n"/>
      <c r="AV201" s="85" t="n"/>
      <c r="AW201" s="44" t="n"/>
      <c r="AX201" s="85" t="n"/>
      <c r="AY201" s="88" t="n"/>
      <c r="AZ201" s="86" t="n"/>
      <c r="BA201" s="44" t="n"/>
      <c r="BB201" s="44" t="n"/>
      <c r="BC201" s="87" t="n"/>
      <c r="BD201" s="44" t="n"/>
      <c r="BE201" s="87" t="n"/>
      <c r="BF201" s="85" t="n"/>
      <c r="BG201" s="44" t="n"/>
      <c r="BH201" s="44" t="n"/>
      <c r="BI201" s="85" t="n"/>
      <c r="BJ201" s="44" t="n"/>
      <c r="BK201" s="45" t="n"/>
      <c r="BL201" s="44" t="n"/>
      <c r="BM201" s="85" t="n"/>
      <c r="BN201" s="44" t="n"/>
      <c r="BO201" s="85" t="n"/>
      <c r="BP201" s="86" t="n"/>
      <c r="BQ201" s="44" t="n"/>
      <c r="BR201" s="50" t="n"/>
      <c r="BS201" s="89" t="n"/>
      <c r="BT201" s="50">
        <f>IF(OR(K201="",L201="",M201=""),"",IF(ABS(ROUND(((ROUND(N(K201)*100,0))-(0))*(100+N(M201))/100,0)-(ROUND(N(L201)*100,0)))&lt;=0+IF(((ROUND(N(K201)*100,0))-(0))*(100+N(M201))/100&lt;&gt;ROUND(((ROUND(N(K201)*100,0))-(0))*(100+N(M201))/100,0),1,0),"OK","ABWEICHUNG"))</f>
        <v/>
      </c>
    </row>
    <row r="202">
      <c r="A202" s="50" t="n"/>
      <c r="B202" s="44" t="n"/>
      <c r="C202" s="44" t="n"/>
      <c r="D202" s="44" t="n"/>
      <c r="E202" s="44" t="n"/>
      <c r="F202" s="44" t="n"/>
      <c r="G202" s="44" t="n"/>
      <c r="H202" s="44" t="n"/>
      <c r="I202" s="45" t="n"/>
      <c r="J202" s="45" t="n"/>
      <c r="K202" s="85" t="n"/>
      <c r="L202" s="85" t="n"/>
      <c r="M202" s="88" t="n"/>
      <c r="N202" s="88" t="n"/>
      <c r="O202" s="44" t="n"/>
      <c r="P202" s="45" t="n"/>
      <c r="Q202" s="45" t="n"/>
      <c r="R202" s="44" t="n"/>
      <c r="S202" s="45" t="n"/>
      <c r="T202" s="45" t="n"/>
      <c r="U202" s="85" t="n"/>
      <c r="V202" s="44" t="n"/>
      <c r="W202" s="45" t="n"/>
      <c r="X202" s="45" t="n"/>
      <c r="Y202" s="44" t="n"/>
      <c r="Z202" s="85" t="n"/>
      <c r="AA202" s="44" t="n"/>
      <c r="AB202" s="44" t="n"/>
      <c r="AC202" s="44" t="n"/>
      <c r="AD202" s="44" t="n"/>
      <c r="AE202" s="44" t="n"/>
      <c r="AF202" s="88" t="n"/>
      <c r="AG202" s="85" t="n"/>
      <c r="AH202" s="85" t="n"/>
      <c r="AI202" s="85" t="n"/>
      <c r="AJ202" s="85" t="n"/>
      <c r="AK202" s="85" t="n"/>
      <c r="AL202" s="85" t="n"/>
      <c r="AM202" s="85" t="n"/>
      <c r="AN202" s="85" t="n"/>
      <c r="AO202" s="85" t="n"/>
      <c r="AP202" s="85" t="n"/>
      <c r="AQ202" s="85" t="n"/>
      <c r="AR202" s="85" t="n"/>
      <c r="AS202" s="85" t="n"/>
      <c r="AT202" s="85" t="n"/>
      <c r="AU202" s="85" t="n"/>
      <c r="AV202" s="85" t="n"/>
      <c r="AW202" s="44" t="n"/>
      <c r="AX202" s="85" t="n"/>
      <c r="AY202" s="88" t="n"/>
      <c r="AZ202" s="86" t="n"/>
      <c r="BA202" s="44" t="n"/>
      <c r="BB202" s="44" t="n"/>
      <c r="BC202" s="87" t="n"/>
      <c r="BD202" s="44" t="n"/>
      <c r="BE202" s="87" t="n"/>
      <c r="BF202" s="85" t="n"/>
      <c r="BG202" s="44" t="n"/>
      <c r="BH202" s="44" t="n"/>
      <c r="BI202" s="85" t="n"/>
      <c r="BJ202" s="44" t="n"/>
      <c r="BK202" s="45" t="n"/>
      <c r="BL202" s="44" t="n"/>
      <c r="BM202" s="85" t="n"/>
      <c r="BN202" s="44" t="n"/>
      <c r="BO202" s="85" t="n"/>
      <c r="BP202" s="86" t="n"/>
      <c r="BQ202" s="44" t="n"/>
      <c r="BR202" s="50" t="n"/>
      <c r="BS202" s="89" t="n"/>
      <c r="BT202" s="50">
        <f>IF(OR(K202="",L202="",M202=""),"",IF(ABS(ROUND(((ROUND(N(K202)*100,0))-(0))*(100+N(M202))/100,0)-(ROUND(N(L202)*100,0)))&lt;=0+IF(((ROUND(N(K202)*100,0))-(0))*(100+N(M202))/100&lt;&gt;ROUND(((ROUND(N(K202)*100,0))-(0))*(100+N(M202))/100,0),1,0),"OK","ABWEICHUNG"))</f>
        <v/>
      </c>
    </row>
    <row r="203">
      <c r="A203" s="50" t="n"/>
      <c r="B203" s="44" t="n"/>
      <c r="C203" s="44" t="n"/>
      <c r="D203" s="44" t="n"/>
      <c r="E203" s="44" t="n"/>
      <c r="F203" s="44" t="n"/>
      <c r="G203" s="44" t="n"/>
      <c r="H203" s="44" t="n"/>
      <c r="I203" s="45" t="n"/>
      <c r="J203" s="45" t="n"/>
      <c r="K203" s="85" t="n"/>
      <c r="L203" s="85" t="n"/>
      <c r="M203" s="88" t="n"/>
      <c r="N203" s="88" t="n"/>
      <c r="O203" s="44" t="n"/>
      <c r="P203" s="45" t="n"/>
      <c r="Q203" s="45" t="n"/>
      <c r="R203" s="44" t="n"/>
      <c r="S203" s="45" t="n"/>
      <c r="T203" s="45" t="n"/>
      <c r="U203" s="85" t="n"/>
      <c r="V203" s="44" t="n"/>
      <c r="W203" s="45" t="n"/>
      <c r="X203" s="45" t="n"/>
      <c r="Y203" s="44" t="n"/>
      <c r="Z203" s="85" t="n"/>
      <c r="AA203" s="44" t="n"/>
      <c r="AB203" s="44" t="n"/>
      <c r="AC203" s="44" t="n"/>
      <c r="AD203" s="44" t="n"/>
      <c r="AE203" s="44" t="n"/>
      <c r="AF203" s="88" t="n"/>
      <c r="AG203" s="85" t="n"/>
      <c r="AH203" s="85" t="n"/>
      <c r="AI203" s="85" t="n"/>
      <c r="AJ203" s="85" t="n"/>
      <c r="AK203" s="85" t="n"/>
      <c r="AL203" s="85" t="n"/>
      <c r="AM203" s="85" t="n"/>
      <c r="AN203" s="85" t="n"/>
      <c r="AO203" s="85" t="n"/>
      <c r="AP203" s="85" t="n"/>
      <c r="AQ203" s="85" t="n"/>
      <c r="AR203" s="85" t="n"/>
      <c r="AS203" s="85" t="n"/>
      <c r="AT203" s="85" t="n"/>
      <c r="AU203" s="85" t="n"/>
      <c r="AV203" s="85" t="n"/>
      <c r="AW203" s="44" t="n"/>
      <c r="AX203" s="85" t="n"/>
      <c r="AY203" s="88" t="n"/>
      <c r="AZ203" s="86" t="n"/>
      <c r="BA203" s="44" t="n"/>
      <c r="BB203" s="44" t="n"/>
      <c r="BC203" s="87" t="n"/>
      <c r="BD203" s="44" t="n"/>
      <c r="BE203" s="87" t="n"/>
      <c r="BF203" s="85" t="n"/>
      <c r="BG203" s="44" t="n"/>
      <c r="BH203" s="44" t="n"/>
      <c r="BI203" s="85" t="n"/>
      <c r="BJ203" s="44" t="n"/>
      <c r="BK203" s="45" t="n"/>
      <c r="BL203" s="44" t="n"/>
      <c r="BM203" s="85" t="n"/>
      <c r="BN203" s="44" t="n"/>
      <c r="BO203" s="85" t="n"/>
      <c r="BP203" s="86" t="n"/>
      <c r="BQ203" s="44" t="n"/>
      <c r="BR203" s="50" t="n"/>
      <c r="BS203" s="89" t="n"/>
      <c r="BT203" s="50">
        <f>IF(OR(K203="",L203="",M203=""),"",IF(ABS(ROUND(((ROUND(N(K203)*100,0))-(0))*(100+N(M203))/100,0)-(ROUND(N(L203)*100,0)))&lt;=0+IF(((ROUND(N(K203)*100,0))-(0))*(100+N(M203))/100&lt;&gt;ROUND(((ROUND(N(K203)*100,0))-(0))*(100+N(M203))/100,0),1,0),"OK","ABWEICHUNG"))</f>
        <v/>
      </c>
    </row>
    <row r="204">
      <c r="A204" s="50" t="n"/>
      <c r="B204" s="44" t="n"/>
      <c r="C204" s="44" t="n"/>
      <c r="D204" s="44" t="n"/>
      <c r="E204" s="44" t="n"/>
      <c r="F204" s="44" t="n"/>
      <c r="G204" s="44" t="n"/>
      <c r="H204" s="44" t="n"/>
      <c r="I204" s="45" t="n"/>
      <c r="J204" s="45" t="n"/>
      <c r="K204" s="85" t="n"/>
      <c r="L204" s="85" t="n"/>
      <c r="M204" s="88" t="n"/>
      <c r="N204" s="88" t="n"/>
      <c r="O204" s="44" t="n"/>
      <c r="P204" s="45" t="n"/>
      <c r="Q204" s="45" t="n"/>
      <c r="R204" s="44" t="n"/>
      <c r="S204" s="45" t="n"/>
      <c r="T204" s="45" t="n"/>
      <c r="U204" s="85" t="n"/>
      <c r="V204" s="44" t="n"/>
      <c r="W204" s="45" t="n"/>
      <c r="X204" s="45" t="n"/>
      <c r="Y204" s="44" t="n"/>
      <c r="Z204" s="85" t="n"/>
      <c r="AA204" s="44" t="n"/>
      <c r="AB204" s="44" t="n"/>
      <c r="AC204" s="44" t="n"/>
      <c r="AD204" s="44" t="n"/>
      <c r="AE204" s="44" t="n"/>
      <c r="AF204" s="88" t="n"/>
      <c r="AG204" s="85" t="n"/>
      <c r="AH204" s="85" t="n"/>
      <c r="AI204" s="85" t="n"/>
      <c r="AJ204" s="85" t="n"/>
      <c r="AK204" s="85" t="n"/>
      <c r="AL204" s="85" t="n"/>
      <c r="AM204" s="85" t="n"/>
      <c r="AN204" s="85" t="n"/>
      <c r="AO204" s="85" t="n"/>
      <c r="AP204" s="85" t="n"/>
      <c r="AQ204" s="85" t="n"/>
      <c r="AR204" s="85" t="n"/>
      <c r="AS204" s="85" t="n"/>
      <c r="AT204" s="85" t="n"/>
      <c r="AU204" s="85" t="n"/>
      <c r="AV204" s="85" t="n"/>
      <c r="AW204" s="44" t="n"/>
      <c r="AX204" s="85" t="n"/>
      <c r="AY204" s="88" t="n"/>
      <c r="AZ204" s="86" t="n"/>
      <c r="BA204" s="44" t="n"/>
      <c r="BB204" s="44" t="n"/>
      <c r="BC204" s="87" t="n"/>
      <c r="BD204" s="44" t="n"/>
      <c r="BE204" s="87" t="n"/>
      <c r="BF204" s="85" t="n"/>
      <c r="BG204" s="44" t="n"/>
      <c r="BH204" s="44" t="n"/>
      <c r="BI204" s="85" t="n"/>
      <c r="BJ204" s="44" t="n"/>
      <c r="BK204" s="45" t="n"/>
      <c r="BL204" s="44" t="n"/>
      <c r="BM204" s="85" t="n"/>
      <c r="BN204" s="44" t="n"/>
      <c r="BO204" s="85" t="n"/>
      <c r="BP204" s="86" t="n"/>
      <c r="BQ204" s="44" t="n"/>
      <c r="BR204" s="50" t="n"/>
      <c r="BS204" s="89" t="n"/>
      <c r="BT204" s="50">
        <f>IF(OR(K204="",L204="",M204=""),"",IF(ABS(ROUND(((ROUND(N(K204)*100,0))-(0))*(100+N(M204))/100,0)-(ROUND(N(L204)*100,0)))&lt;=0+IF(((ROUND(N(K204)*100,0))-(0))*(100+N(M204))/100&lt;&gt;ROUND(((ROUND(N(K204)*100,0))-(0))*(100+N(M204))/100,0),1,0),"OK","ABWEICHUNG"))</f>
        <v/>
      </c>
    </row>
    <row r="205">
      <c r="A205" s="50" t="n"/>
      <c r="B205" s="44" t="n"/>
      <c r="C205" s="44" t="n"/>
      <c r="D205" s="44" t="n"/>
      <c r="E205" s="44" t="n"/>
      <c r="F205" s="44" t="n"/>
      <c r="G205" s="44" t="n"/>
      <c r="H205" s="44" t="n"/>
      <c r="I205" s="45" t="n"/>
      <c r="J205" s="45" t="n"/>
      <c r="K205" s="85" t="n"/>
      <c r="L205" s="85" t="n"/>
      <c r="M205" s="88" t="n"/>
      <c r="N205" s="88" t="n"/>
      <c r="O205" s="44" t="n"/>
      <c r="P205" s="45" t="n"/>
      <c r="Q205" s="45" t="n"/>
      <c r="R205" s="44" t="n"/>
      <c r="S205" s="45" t="n"/>
      <c r="T205" s="45" t="n"/>
      <c r="U205" s="85" t="n"/>
      <c r="V205" s="44" t="n"/>
      <c r="W205" s="45" t="n"/>
      <c r="X205" s="45" t="n"/>
      <c r="Y205" s="44" t="n"/>
      <c r="Z205" s="85" t="n"/>
      <c r="AA205" s="44" t="n"/>
      <c r="AB205" s="44" t="n"/>
      <c r="AC205" s="44" t="n"/>
      <c r="AD205" s="44" t="n"/>
      <c r="AE205" s="44" t="n"/>
      <c r="AF205" s="88" t="n"/>
      <c r="AG205" s="85" t="n"/>
      <c r="AH205" s="85" t="n"/>
      <c r="AI205" s="85" t="n"/>
      <c r="AJ205" s="85" t="n"/>
      <c r="AK205" s="85" t="n"/>
      <c r="AL205" s="85" t="n"/>
      <c r="AM205" s="85" t="n"/>
      <c r="AN205" s="85" t="n"/>
      <c r="AO205" s="85" t="n"/>
      <c r="AP205" s="85" t="n"/>
      <c r="AQ205" s="85" t="n"/>
      <c r="AR205" s="85" t="n"/>
      <c r="AS205" s="85" t="n"/>
      <c r="AT205" s="85" t="n"/>
      <c r="AU205" s="85" t="n"/>
      <c r="AV205" s="85" t="n"/>
      <c r="AW205" s="44" t="n"/>
      <c r="AX205" s="85" t="n"/>
      <c r="AY205" s="88" t="n"/>
      <c r="AZ205" s="86" t="n"/>
      <c r="BA205" s="44" t="n"/>
      <c r="BB205" s="44" t="n"/>
      <c r="BC205" s="87" t="n"/>
      <c r="BD205" s="44" t="n"/>
      <c r="BE205" s="87" t="n"/>
      <c r="BF205" s="85" t="n"/>
      <c r="BG205" s="44" t="n"/>
      <c r="BH205" s="44" t="n"/>
      <c r="BI205" s="85" t="n"/>
      <c r="BJ205" s="44" t="n"/>
      <c r="BK205" s="45" t="n"/>
      <c r="BL205" s="44" t="n"/>
      <c r="BM205" s="85" t="n"/>
      <c r="BN205" s="44" t="n"/>
      <c r="BO205" s="85" t="n"/>
      <c r="BP205" s="86" t="n"/>
      <c r="BQ205" s="44" t="n"/>
      <c r="BR205" s="50" t="n"/>
      <c r="BS205" s="89" t="n"/>
      <c r="BT205" s="50">
        <f>IF(OR(K205="",L205="",M205=""),"",IF(ABS(ROUND(((ROUND(N(K205)*100,0))-(0))*(100+N(M205))/100,0)-(ROUND(N(L205)*100,0)))&lt;=0+IF(((ROUND(N(K205)*100,0))-(0))*(100+N(M205))/100&lt;&gt;ROUND(((ROUND(N(K205)*100,0))-(0))*(100+N(M205))/100,0),1,0),"OK","ABWEICHUNG"))</f>
        <v/>
      </c>
    </row>
    <row r="206">
      <c r="A206" s="50" t="n"/>
      <c r="B206" s="44" t="n"/>
      <c r="C206" s="44" t="n"/>
      <c r="D206" s="44" t="n"/>
      <c r="E206" s="44" t="n"/>
      <c r="F206" s="44" t="n"/>
      <c r="G206" s="44" t="n"/>
      <c r="H206" s="44" t="n"/>
      <c r="I206" s="45" t="n"/>
      <c r="J206" s="45" t="n"/>
      <c r="K206" s="85" t="n"/>
      <c r="L206" s="85" t="n"/>
      <c r="M206" s="88" t="n"/>
      <c r="N206" s="88" t="n"/>
      <c r="O206" s="44" t="n"/>
      <c r="P206" s="45" t="n"/>
      <c r="Q206" s="45" t="n"/>
      <c r="R206" s="44" t="n"/>
      <c r="S206" s="45" t="n"/>
      <c r="T206" s="45" t="n"/>
      <c r="U206" s="85" t="n"/>
      <c r="V206" s="44" t="n"/>
      <c r="W206" s="45" t="n"/>
      <c r="X206" s="45" t="n"/>
      <c r="Y206" s="44" t="n"/>
      <c r="Z206" s="85" t="n"/>
      <c r="AA206" s="44" t="n"/>
      <c r="AB206" s="44" t="n"/>
      <c r="AC206" s="44" t="n"/>
      <c r="AD206" s="44" t="n"/>
      <c r="AE206" s="44" t="n"/>
      <c r="AF206" s="88" t="n"/>
      <c r="AG206" s="85" t="n"/>
      <c r="AH206" s="85" t="n"/>
      <c r="AI206" s="85" t="n"/>
      <c r="AJ206" s="85" t="n"/>
      <c r="AK206" s="85" t="n"/>
      <c r="AL206" s="85" t="n"/>
      <c r="AM206" s="85" t="n"/>
      <c r="AN206" s="85" t="n"/>
      <c r="AO206" s="85" t="n"/>
      <c r="AP206" s="85" t="n"/>
      <c r="AQ206" s="85" t="n"/>
      <c r="AR206" s="85" t="n"/>
      <c r="AS206" s="85" t="n"/>
      <c r="AT206" s="85" t="n"/>
      <c r="AU206" s="85" t="n"/>
      <c r="AV206" s="85" t="n"/>
      <c r="AW206" s="44" t="n"/>
      <c r="AX206" s="85" t="n"/>
      <c r="AY206" s="88" t="n"/>
      <c r="AZ206" s="86" t="n"/>
      <c r="BA206" s="44" t="n"/>
      <c r="BB206" s="44" t="n"/>
      <c r="BC206" s="87" t="n"/>
      <c r="BD206" s="44" t="n"/>
      <c r="BE206" s="87" t="n"/>
      <c r="BF206" s="85" t="n"/>
      <c r="BG206" s="44" t="n"/>
      <c r="BH206" s="44" t="n"/>
      <c r="BI206" s="85" t="n"/>
      <c r="BJ206" s="44" t="n"/>
      <c r="BK206" s="45" t="n"/>
      <c r="BL206" s="44" t="n"/>
      <c r="BM206" s="85" t="n"/>
      <c r="BN206" s="44" t="n"/>
      <c r="BO206" s="85" t="n"/>
      <c r="BP206" s="86" t="n"/>
      <c r="BQ206" s="44" t="n"/>
      <c r="BR206" s="50" t="n"/>
      <c r="BS206" s="89" t="n"/>
      <c r="BT206" s="50">
        <f>IF(OR(K206="",L206="",M206=""),"",IF(ABS(ROUND(((ROUND(N(K206)*100,0))-(0))*(100+N(M206))/100,0)-(ROUND(N(L206)*100,0)))&lt;=0+IF(((ROUND(N(K206)*100,0))-(0))*(100+N(M206))/100&lt;&gt;ROUND(((ROUND(N(K206)*100,0))-(0))*(100+N(M206))/100,0),1,0),"OK","ABWEICHUNG"))</f>
        <v/>
      </c>
    </row>
    <row r="207">
      <c r="A207" s="50" t="n"/>
      <c r="B207" s="44" t="n"/>
      <c r="C207" s="44" t="n"/>
      <c r="D207" s="44" t="n"/>
      <c r="E207" s="44" t="n"/>
      <c r="F207" s="44" t="n"/>
      <c r="G207" s="44" t="n"/>
      <c r="H207" s="44" t="n"/>
      <c r="I207" s="45" t="n"/>
      <c r="J207" s="45" t="n"/>
      <c r="K207" s="85" t="n"/>
      <c r="L207" s="85" t="n"/>
      <c r="M207" s="88" t="n"/>
      <c r="N207" s="88" t="n"/>
      <c r="O207" s="44" t="n"/>
      <c r="P207" s="45" t="n"/>
      <c r="Q207" s="45" t="n"/>
      <c r="R207" s="44" t="n"/>
      <c r="S207" s="45" t="n"/>
      <c r="T207" s="45" t="n"/>
      <c r="U207" s="85" t="n"/>
      <c r="V207" s="44" t="n"/>
      <c r="W207" s="45" t="n"/>
      <c r="X207" s="45" t="n"/>
      <c r="Y207" s="44" t="n"/>
      <c r="Z207" s="85" t="n"/>
      <c r="AA207" s="44" t="n"/>
      <c r="AB207" s="44" t="n"/>
      <c r="AC207" s="44" t="n"/>
      <c r="AD207" s="44" t="n"/>
      <c r="AE207" s="44" t="n"/>
      <c r="AF207" s="88" t="n"/>
      <c r="AG207" s="85" t="n"/>
      <c r="AH207" s="85" t="n"/>
      <c r="AI207" s="85" t="n"/>
      <c r="AJ207" s="85" t="n"/>
      <c r="AK207" s="85" t="n"/>
      <c r="AL207" s="85" t="n"/>
      <c r="AM207" s="85" t="n"/>
      <c r="AN207" s="85" t="n"/>
      <c r="AO207" s="85" t="n"/>
      <c r="AP207" s="85" t="n"/>
      <c r="AQ207" s="85" t="n"/>
      <c r="AR207" s="85" t="n"/>
      <c r="AS207" s="85" t="n"/>
      <c r="AT207" s="85" t="n"/>
      <c r="AU207" s="85" t="n"/>
      <c r="AV207" s="85" t="n"/>
      <c r="AW207" s="44" t="n"/>
      <c r="AX207" s="85" t="n"/>
      <c r="AY207" s="88" t="n"/>
      <c r="AZ207" s="86" t="n"/>
      <c r="BA207" s="44" t="n"/>
      <c r="BB207" s="44" t="n"/>
      <c r="BC207" s="87" t="n"/>
      <c r="BD207" s="44" t="n"/>
      <c r="BE207" s="87" t="n"/>
      <c r="BF207" s="85" t="n"/>
      <c r="BG207" s="44" t="n"/>
      <c r="BH207" s="44" t="n"/>
      <c r="BI207" s="85" t="n"/>
      <c r="BJ207" s="44" t="n"/>
      <c r="BK207" s="45" t="n"/>
      <c r="BL207" s="44" t="n"/>
      <c r="BM207" s="85" t="n"/>
      <c r="BN207" s="44" t="n"/>
      <c r="BO207" s="85" t="n"/>
      <c r="BP207" s="86" t="n"/>
      <c r="BQ207" s="44" t="n"/>
      <c r="BR207" s="50" t="n"/>
      <c r="BS207" s="89" t="n"/>
      <c r="BT207" s="50">
        <f>IF(OR(K207="",L207="",M207=""),"",IF(ABS(ROUND(((ROUND(N(K207)*100,0))-(0))*(100+N(M207))/100,0)-(ROUND(N(L207)*100,0)))&lt;=0+IF(((ROUND(N(K207)*100,0))-(0))*(100+N(M207))/100&lt;&gt;ROUND(((ROUND(N(K207)*100,0))-(0))*(100+N(M207))/100,0),1,0),"OK","ABWEICHUNG"))</f>
        <v/>
      </c>
    </row>
    <row r="208">
      <c r="A208" s="50" t="n"/>
      <c r="B208" s="44" t="n"/>
      <c r="C208" s="44" t="n"/>
      <c r="D208" s="44" t="n"/>
      <c r="E208" s="44" t="n"/>
      <c r="F208" s="44" t="n"/>
      <c r="G208" s="44" t="n"/>
      <c r="H208" s="44" t="n"/>
      <c r="I208" s="45" t="n"/>
      <c r="J208" s="45" t="n"/>
      <c r="K208" s="85" t="n"/>
      <c r="L208" s="85" t="n"/>
      <c r="M208" s="88" t="n"/>
      <c r="N208" s="88" t="n"/>
      <c r="O208" s="44" t="n"/>
      <c r="P208" s="45" t="n"/>
      <c r="Q208" s="45" t="n"/>
      <c r="R208" s="44" t="n"/>
      <c r="S208" s="45" t="n"/>
      <c r="T208" s="45" t="n"/>
      <c r="U208" s="85" t="n"/>
      <c r="V208" s="44" t="n"/>
      <c r="W208" s="45" t="n"/>
      <c r="X208" s="45" t="n"/>
      <c r="Y208" s="44" t="n"/>
      <c r="Z208" s="85" t="n"/>
      <c r="AA208" s="44" t="n"/>
      <c r="AB208" s="44" t="n"/>
      <c r="AC208" s="44" t="n"/>
      <c r="AD208" s="44" t="n"/>
      <c r="AE208" s="44" t="n"/>
      <c r="AF208" s="88" t="n"/>
      <c r="AG208" s="85" t="n"/>
      <c r="AH208" s="85" t="n"/>
      <c r="AI208" s="85" t="n"/>
      <c r="AJ208" s="85" t="n"/>
      <c r="AK208" s="85" t="n"/>
      <c r="AL208" s="85" t="n"/>
      <c r="AM208" s="85" t="n"/>
      <c r="AN208" s="85" t="n"/>
      <c r="AO208" s="85" t="n"/>
      <c r="AP208" s="85" t="n"/>
      <c r="AQ208" s="85" t="n"/>
      <c r="AR208" s="85" t="n"/>
      <c r="AS208" s="85" t="n"/>
      <c r="AT208" s="85" t="n"/>
      <c r="AU208" s="85" t="n"/>
      <c r="AV208" s="85" t="n"/>
      <c r="AW208" s="44" t="n"/>
      <c r="AX208" s="85" t="n"/>
      <c r="AY208" s="88" t="n"/>
      <c r="AZ208" s="86" t="n"/>
      <c r="BA208" s="44" t="n"/>
      <c r="BB208" s="44" t="n"/>
      <c r="BC208" s="87" t="n"/>
      <c r="BD208" s="44" t="n"/>
      <c r="BE208" s="87" t="n"/>
      <c r="BF208" s="85" t="n"/>
      <c r="BG208" s="44" t="n"/>
      <c r="BH208" s="44" t="n"/>
      <c r="BI208" s="85" t="n"/>
      <c r="BJ208" s="44" t="n"/>
      <c r="BK208" s="45" t="n"/>
      <c r="BL208" s="44" t="n"/>
      <c r="BM208" s="85" t="n"/>
      <c r="BN208" s="44" t="n"/>
      <c r="BO208" s="85" t="n"/>
      <c r="BP208" s="86" t="n"/>
      <c r="BQ208" s="44" t="n"/>
      <c r="BR208" s="50" t="n"/>
      <c r="BS208" s="89" t="n"/>
      <c r="BT208" s="50">
        <f>IF(OR(K208="",L208="",M208=""),"",IF(ABS(ROUND(((ROUND(N(K208)*100,0))-(0))*(100+N(M208))/100,0)-(ROUND(N(L208)*100,0)))&lt;=0+IF(((ROUND(N(K208)*100,0))-(0))*(100+N(M208))/100&lt;&gt;ROUND(((ROUND(N(K208)*100,0))-(0))*(100+N(M208))/100,0),1,0),"OK","ABWEICHUNG"))</f>
        <v/>
      </c>
    </row>
    <row r="209">
      <c r="A209" s="50" t="n"/>
      <c r="B209" s="44" t="n"/>
      <c r="C209" s="44" t="n"/>
      <c r="D209" s="44" t="n"/>
      <c r="E209" s="44" t="n"/>
      <c r="F209" s="44" t="n"/>
      <c r="G209" s="44" t="n"/>
      <c r="H209" s="44" t="n"/>
      <c r="I209" s="45" t="n"/>
      <c r="J209" s="45" t="n"/>
      <c r="K209" s="85" t="n"/>
      <c r="L209" s="85" t="n"/>
      <c r="M209" s="88" t="n"/>
      <c r="N209" s="88" t="n"/>
      <c r="O209" s="44" t="n"/>
      <c r="P209" s="45" t="n"/>
      <c r="Q209" s="45" t="n"/>
      <c r="R209" s="44" t="n"/>
      <c r="S209" s="45" t="n"/>
      <c r="T209" s="45" t="n"/>
      <c r="U209" s="85" t="n"/>
      <c r="V209" s="44" t="n"/>
      <c r="W209" s="45" t="n"/>
      <c r="X209" s="45" t="n"/>
      <c r="Y209" s="44" t="n"/>
      <c r="Z209" s="85" t="n"/>
      <c r="AA209" s="44" t="n"/>
      <c r="AB209" s="44" t="n"/>
      <c r="AC209" s="44" t="n"/>
      <c r="AD209" s="44" t="n"/>
      <c r="AE209" s="44" t="n"/>
      <c r="AF209" s="88" t="n"/>
      <c r="AG209" s="85" t="n"/>
      <c r="AH209" s="85" t="n"/>
      <c r="AI209" s="85" t="n"/>
      <c r="AJ209" s="85" t="n"/>
      <c r="AK209" s="85" t="n"/>
      <c r="AL209" s="85" t="n"/>
      <c r="AM209" s="85" t="n"/>
      <c r="AN209" s="85" t="n"/>
      <c r="AO209" s="85" t="n"/>
      <c r="AP209" s="85" t="n"/>
      <c r="AQ209" s="85" t="n"/>
      <c r="AR209" s="85" t="n"/>
      <c r="AS209" s="85" t="n"/>
      <c r="AT209" s="85" t="n"/>
      <c r="AU209" s="85" t="n"/>
      <c r="AV209" s="85" t="n"/>
      <c r="AW209" s="44" t="n"/>
      <c r="AX209" s="85" t="n"/>
      <c r="AY209" s="88" t="n"/>
      <c r="AZ209" s="86" t="n"/>
      <c r="BA209" s="44" t="n"/>
      <c r="BB209" s="44" t="n"/>
      <c r="BC209" s="87" t="n"/>
      <c r="BD209" s="44" t="n"/>
      <c r="BE209" s="87" t="n"/>
      <c r="BF209" s="85" t="n"/>
      <c r="BG209" s="44" t="n"/>
      <c r="BH209" s="44" t="n"/>
      <c r="BI209" s="85" t="n"/>
      <c r="BJ209" s="44" t="n"/>
      <c r="BK209" s="45" t="n"/>
      <c r="BL209" s="44" t="n"/>
      <c r="BM209" s="85" t="n"/>
      <c r="BN209" s="44" t="n"/>
      <c r="BO209" s="85" t="n"/>
      <c r="BP209" s="86" t="n"/>
      <c r="BQ209" s="44" t="n"/>
      <c r="BR209" s="50" t="n"/>
      <c r="BS209" s="89" t="n"/>
      <c r="BT209" s="50">
        <f>IF(OR(K209="",L209="",M209=""),"",IF(ABS(ROUND(((ROUND(N(K209)*100,0))-(0))*(100+N(M209))/100,0)-(ROUND(N(L209)*100,0)))&lt;=0+IF(((ROUND(N(K209)*100,0))-(0))*(100+N(M209))/100&lt;&gt;ROUND(((ROUND(N(K209)*100,0))-(0))*(100+N(M209))/100,0),1,0),"OK","ABWEICHUNG"))</f>
        <v/>
      </c>
    </row>
    <row r="210">
      <c r="A210" s="50" t="n"/>
      <c r="B210" s="44" t="n"/>
      <c r="C210" s="44" t="n"/>
      <c r="D210" s="44" t="n"/>
      <c r="E210" s="44" t="n"/>
      <c r="F210" s="44" t="n"/>
      <c r="G210" s="44" t="n"/>
      <c r="H210" s="44" t="n"/>
      <c r="I210" s="45" t="n"/>
      <c r="J210" s="45" t="n"/>
      <c r="K210" s="85" t="n"/>
      <c r="L210" s="85" t="n"/>
      <c r="M210" s="88" t="n"/>
      <c r="N210" s="88" t="n"/>
      <c r="O210" s="44" t="n"/>
      <c r="P210" s="45" t="n"/>
      <c r="Q210" s="45" t="n"/>
      <c r="R210" s="44" t="n"/>
      <c r="S210" s="45" t="n"/>
      <c r="T210" s="45" t="n"/>
      <c r="U210" s="85" t="n"/>
      <c r="V210" s="44" t="n"/>
      <c r="W210" s="45" t="n"/>
      <c r="X210" s="45" t="n"/>
      <c r="Y210" s="44" t="n"/>
      <c r="Z210" s="85" t="n"/>
      <c r="AA210" s="44" t="n"/>
      <c r="AB210" s="44" t="n"/>
      <c r="AC210" s="44" t="n"/>
      <c r="AD210" s="44" t="n"/>
      <c r="AE210" s="44" t="n"/>
      <c r="AF210" s="88" t="n"/>
      <c r="AG210" s="85" t="n"/>
      <c r="AH210" s="85" t="n"/>
      <c r="AI210" s="85" t="n"/>
      <c r="AJ210" s="85" t="n"/>
      <c r="AK210" s="85" t="n"/>
      <c r="AL210" s="85" t="n"/>
      <c r="AM210" s="85" t="n"/>
      <c r="AN210" s="85" t="n"/>
      <c r="AO210" s="85" t="n"/>
      <c r="AP210" s="85" t="n"/>
      <c r="AQ210" s="85" t="n"/>
      <c r="AR210" s="85" t="n"/>
      <c r="AS210" s="85" t="n"/>
      <c r="AT210" s="85" t="n"/>
      <c r="AU210" s="85" t="n"/>
      <c r="AV210" s="85" t="n"/>
      <c r="AW210" s="44" t="n"/>
      <c r="AX210" s="85" t="n"/>
      <c r="AY210" s="88" t="n"/>
      <c r="AZ210" s="86" t="n"/>
      <c r="BA210" s="44" t="n"/>
      <c r="BB210" s="44" t="n"/>
      <c r="BC210" s="87" t="n"/>
      <c r="BD210" s="44" t="n"/>
      <c r="BE210" s="87" t="n"/>
      <c r="BF210" s="85" t="n"/>
      <c r="BG210" s="44" t="n"/>
      <c r="BH210" s="44" t="n"/>
      <c r="BI210" s="85" t="n"/>
      <c r="BJ210" s="44" t="n"/>
      <c r="BK210" s="45" t="n"/>
      <c r="BL210" s="44" t="n"/>
      <c r="BM210" s="85" t="n"/>
      <c r="BN210" s="44" t="n"/>
      <c r="BO210" s="85" t="n"/>
      <c r="BP210" s="86" t="n"/>
      <c r="BQ210" s="44" t="n"/>
      <c r="BR210" s="50" t="n"/>
      <c r="BS210" s="89" t="n"/>
      <c r="BT210" s="50">
        <f>IF(OR(K210="",L210="",M210=""),"",IF(ABS(ROUND(((ROUND(N(K210)*100,0))-(0))*(100+N(M210))/100,0)-(ROUND(N(L210)*100,0)))&lt;=0+IF(((ROUND(N(K210)*100,0))-(0))*(100+N(M210))/100&lt;&gt;ROUND(((ROUND(N(K210)*100,0))-(0))*(100+N(M210))/100,0),1,0),"OK","ABWEICHUNG"))</f>
        <v/>
      </c>
    </row>
    <row r="211">
      <c r="A211" s="50" t="n"/>
      <c r="B211" s="44" t="n"/>
      <c r="C211" s="44" t="n"/>
      <c r="D211" s="44" t="n"/>
      <c r="E211" s="44" t="n"/>
      <c r="F211" s="44" t="n"/>
      <c r="G211" s="44" t="n"/>
      <c r="H211" s="44" t="n"/>
      <c r="I211" s="45" t="n"/>
      <c r="J211" s="45" t="n"/>
      <c r="K211" s="85" t="n"/>
      <c r="L211" s="85" t="n"/>
      <c r="M211" s="88" t="n"/>
      <c r="N211" s="88" t="n"/>
      <c r="O211" s="44" t="n"/>
      <c r="P211" s="45" t="n"/>
      <c r="Q211" s="45" t="n"/>
      <c r="R211" s="44" t="n"/>
      <c r="S211" s="45" t="n"/>
      <c r="T211" s="45" t="n"/>
      <c r="U211" s="85" t="n"/>
      <c r="V211" s="44" t="n"/>
      <c r="W211" s="45" t="n"/>
      <c r="X211" s="45" t="n"/>
      <c r="Y211" s="44" t="n"/>
      <c r="Z211" s="85" t="n"/>
      <c r="AA211" s="44" t="n"/>
      <c r="AB211" s="44" t="n"/>
      <c r="AC211" s="44" t="n"/>
      <c r="AD211" s="44" t="n"/>
      <c r="AE211" s="44" t="n"/>
      <c r="AF211" s="88" t="n"/>
      <c r="AG211" s="85" t="n"/>
      <c r="AH211" s="85" t="n"/>
      <c r="AI211" s="85" t="n"/>
      <c r="AJ211" s="85" t="n"/>
      <c r="AK211" s="85" t="n"/>
      <c r="AL211" s="85" t="n"/>
      <c r="AM211" s="85" t="n"/>
      <c r="AN211" s="85" t="n"/>
      <c r="AO211" s="85" t="n"/>
      <c r="AP211" s="85" t="n"/>
      <c r="AQ211" s="85" t="n"/>
      <c r="AR211" s="85" t="n"/>
      <c r="AS211" s="85" t="n"/>
      <c r="AT211" s="85" t="n"/>
      <c r="AU211" s="85" t="n"/>
      <c r="AV211" s="85" t="n"/>
      <c r="AW211" s="44" t="n"/>
      <c r="AX211" s="85" t="n"/>
      <c r="AY211" s="88" t="n"/>
      <c r="AZ211" s="86" t="n"/>
      <c r="BA211" s="44" t="n"/>
      <c r="BB211" s="44" t="n"/>
      <c r="BC211" s="87" t="n"/>
      <c r="BD211" s="44" t="n"/>
      <c r="BE211" s="87" t="n"/>
      <c r="BF211" s="85" t="n"/>
      <c r="BG211" s="44" t="n"/>
      <c r="BH211" s="44" t="n"/>
      <c r="BI211" s="85" t="n"/>
      <c r="BJ211" s="44" t="n"/>
      <c r="BK211" s="45" t="n"/>
      <c r="BL211" s="44" t="n"/>
      <c r="BM211" s="85" t="n"/>
      <c r="BN211" s="44" t="n"/>
      <c r="BO211" s="85" t="n"/>
      <c r="BP211" s="86" t="n"/>
      <c r="BQ211" s="44" t="n"/>
      <c r="BR211" s="50" t="n"/>
      <c r="BS211" s="89" t="n"/>
      <c r="BT211" s="50">
        <f>IF(OR(K211="",L211="",M211=""),"",IF(ABS(ROUND(((ROUND(N(K211)*100,0))-(0))*(100+N(M211))/100,0)-(ROUND(N(L211)*100,0)))&lt;=0+IF(((ROUND(N(K211)*100,0))-(0))*(100+N(M211))/100&lt;&gt;ROUND(((ROUND(N(K211)*100,0))-(0))*(100+N(M211))/100,0),1,0),"OK","ABWEICHUNG"))</f>
        <v/>
      </c>
    </row>
    <row r="212">
      <c r="A212" s="50" t="n"/>
      <c r="B212" s="44" t="n"/>
      <c r="C212" s="44" t="n"/>
      <c r="D212" s="44" t="n"/>
      <c r="E212" s="44" t="n"/>
      <c r="F212" s="44" t="n"/>
      <c r="G212" s="44" t="n"/>
      <c r="H212" s="44" t="n"/>
      <c r="I212" s="45" t="n"/>
      <c r="J212" s="45" t="n"/>
      <c r="K212" s="85" t="n"/>
      <c r="L212" s="85" t="n"/>
      <c r="M212" s="88" t="n"/>
      <c r="N212" s="88" t="n"/>
      <c r="O212" s="44" t="n"/>
      <c r="P212" s="45" t="n"/>
      <c r="Q212" s="45" t="n"/>
      <c r="R212" s="44" t="n"/>
      <c r="S212" s="45" t="n"/>
      <c r="T212" s="45" t="n"/>
      <c r="U212" s="85" t="n"/>
      <c r="V212" s="44" t="n"/>
      <c r="W212" s="45" t="n"/>
      <c r="X212" s="45" t="n"/>
      <c r="Y212" s="44" t="n"/>
      <c r="Z212" s="85" t="n"/>
      <c r="AA212" s="44" t="n"/>
      <c r="AB212" s="44" t="n"/>
      <c r="AC212" s="44" t="n"/>
      <c r="AD212" s="44" t="n"/>
      <c r="AE212" s="44" t="n"/>
      <c r="AF212" s="88" t="n"/>
      <c r="AG212" s="85" t="n"/>
      <c r="AH212" s="85" t="n"/>
      <c r="AI212" s="85" t="n"/>
      <c r="AJ212" s="85" t="n"/>
      <c r="AK212" s="85" t="n"/>
      <c r="AL212" s="85" t="n"/>
      <c r="AM212" s="85" t="n"/>
      <c r="AN212" s="85" t="n"/>
      <c r="AO212" s="85" t="n"/>
      <c r="AP212" s="85" t="n"/>
      <c r="AQ212" s="85" t="n"/>
      <c r="AR212" s="85" t="n"/>
      <c r="AS212" s="85" t="n"/>
      <c r="AT212" s="85" t="n"/>
      <c r="AU212" s="85" t="n"/>
      <c r="AV212" s="85" t="n"/>
      <c r="AW212" s="44" t="n"/>
      <c r="AX212" s="85" t="n"/>
      <c r="AY212" s="88" t="n"/>
      <c r="AZ212" s="86" t="n"/>
      <c r="BA212" s="44" t="n"/>
      <c r="BB212" s="44" t="n"/>
      <c r="BC212" s="87" t="n"/>
      <c r="BD212" s="44" t="n"/>
      <c r="BE212" s="87" t="n"/>
      <c r="BF212" s="85" t="n"/>
      <c r="BG212" s="44" t="n"/>
      <c r="BH212" s="44" t="n"/>
      <c r="BI212" s="85" t="n"/>
      <c r="BJ212" s="44" t="n"/>
      <c r="BK212" s="45" t="n"/>
      <c r="BL212" s="44" t="n"/>
      <c r="BM212" s="85" t="n"/>
      <c r="BN212" s="44" t="n"/>
      <c r="BO212" s="85" t="n"/>
      <c r="BP212" s="86" t="n"/>
      <c r="BQ212" s="44" t="n"/>
      <c r="BR212" s="50" t="n"/>
      <c r="BS212" s="89" t="n"/>
      <c r="BT212" s="50">
        <f>IF(OR(K212="",L212="",M212=""),"",IF(ABS(ROUND(((ROUND(N(K212)*100,0))-(0))*(100+N(M212))/100,0)-(ROUND(N(L212)*100,0)))&lt;=0+IF(((ROUND(N(K212)*100,0))-(0))*(100+N(M212))/100&lt;&gt;ROUND(((ROUND(N(K212)*100,0))-(0))*(100+N(M212))/100,0),1,0),"OK","ABWEICHUNG"))</f>
        <v/>
      </c>
    </row>
    <row r="213">
      <c r="A213" s="50" t="n"/>
      <c r="B213" s="44" t="n"/>
      <c r="C213" s="44" t="n"/>
      <c r="D213" s="44" t="n"/>
      <c r="E213" s="44" t="n"/>
      <c r="F213" s="44" t="n"/>
      <c r="G213" s="44" t="n"/>
      <c r="H213" s="44" t="n"/>
      <c r="I213" s="45" t="n"/>
      <c r="J213" s="45" t="n"/>
      <c r="K213" s="85" t="n"/>
      <c r="L213" s="85" t="n"/>
      <c r="M213" s="88" t="n"/>
      <c r="N213" s="88" t="n"/>
      <c r="O213" s="44" t="n"/>
      <c r="P213" s="45" t="n"/>
      <c r="Q213" s="45" t="n"/>
      <c r="R213" s="44" t="n"/>
      <c r="S213" s="45" t="n"/>
      <c r="T213" s="45" t="n"/>
      <c r="U213" s="85" t="n"/>
      <c r="V213" s="44" t="n"/>
      <c r="W213" s="45" t="n"/>
      <c r="X213" s="45" t="n"/>
      <c r="Y213" s="44" t="n"/>
      <c r="Z213" s="85" t="n"/>
      <c r="AA213" s="44" t="n"/>
      <c r="AB213" s="44" t="n"/>
      <c r="AC213" s="44" t="n"/>
      <c r="AD213" s="44" t="n"/>
      <c r="AE213" s="44" t="n"/>
      <c r="AF213" s="88" t="n"/>
      <c r="AG213" s="85" t="n"/>
      <c r="AH213" s="85" t="n"/>
      <c r="AI213" s="85" t="n"/>
      <c r="AJ213" s="85" t="n"/>
      <c r="AK213" s="85" t="n"/>
      <c r="AL213" s="85" t="n"/>
      <c r="AM213" s="85" t="n"/>
      <c r="AN213" s="85" t="n"/>
      <c r="AO213" s="85" t="n"/>
      <c r="AP213" s="85" t="n"/>
      <c r="AQ213" s="85" t="n"/>
      <c r="AR213" s="85" t="n"/>
      <c r="AS213" s="85" t="n"/>
      <c r="AT213" s="85" t="n"/>
      <c r="AU213" s="85" t="n"/>
      <c r="AV213" s="85" t="n"/>
      <c r="AW213" s="44" t="n"/>
      <c r="AX213" s="85" t="n"/>
      <c r="AY213" s="88" t="n"/>
      <c r="AZ213" s="86" t="n"/>
      <c r="BA213" s="44" t="n"/>
      <c r="BB213" s="44" t="n"/>
      <c r="BC213" s="87" t="n"/>
      <c r="BD213" s="44" t="n"/>
      <c r="BE213" s="87" t="n"/>
      <c r="BF213" s="85" t="n"/>
      <c r="BG213" s="44" t="n"/>
      <c r="BH213" s="44" t="n"/>
      <c r="BI213" s="85" t="n"/>
      <c r="BJ213" s="44" t="n"/>
      <c r="BK213" s="45" t="n"/>
      <c r="BL213" s="44" t="n"/>
      <c r="BM213" s="85" t="n"/>
      <c r="BN213" s="44" t="n"/>
      <c r="BO213" s="85" t="n"/>
      <c r="BP213" s="86" t="n"/>
      <c r="BQ213" s="44" t="n"/>
      <c r="BR213" s="50" t="n"/>
      <c r="BS213" s="89" t="n"/>
      <c r="BT213" s="50">
        <f>IF(OR(K213="",L213="",M213=""),"",IF(ABS(ROUND(((ROUND(N(K213)*100,0))-(0))*(100+N(M213))/100,0)-(ROUND(N(L213)*100,0)))&lt;=0+IF(((ROUND(N(K213)*100,0))-(0))*(100+N(M213))/100&lt;&gt;ROUND(((ROUND(N(K213)*100,0))-(0))*(100+N(M213))/100,0),1,0),"OK","ABWEICHUNG"))</f>
        <v/>
      </c>
    </row>
    <row r="214">
      <c r="A214" s="50" t="n"/>
      <c r="B214" s="44" t="n"/>
      <c r="C214" s="44" t="n"/>
      <c r="D214" s="44" t="n"/>
      <c r="E214" s="44" t="n"/>
      <c r="F214" s="44" t="n"/>
      <c r="G214" s="44" t="n"/>
      <c r="H214" s="44" t="n"/>
      <c r="I214" s="45" t="n"/>
      <c r="J214" s="45" t="n"/>
      <c r="K214" s="85" t="n"/>
      <c r="L214" s="85" t="n"/>
      <c r="M214" s="88" t="n"/>
      <c r="N214" s="88" t="n"/>
      <c r="O214" s="44" t="n"/>
      <c r="P214" s="45" t="n"/>
      <c r="Q214" s="45" t="n"/>
      <c r="R214" s="44" t="n"/>
      <c r="S214" s="45" t="n"/>
      <c r="T214" s="45" t="n"/>
      <c r="U214" s="85" t="n"/>
      <c r="V214" s="44" t="n"/>
      <c r="W214" s="45" t="n"/>
      <c r="X214" s="45" t="n"/>
      <c r="Y214" s="44" t="n"/>
      <c r="Z214" s="85" t="n"/>
      <c r="AA214" s="44" t="n"/>
      <c r="AB214" s="44" t="n"/>
      <c r="AC214" s="44" t="n"/>
      <c r="AD214" s="44" t="n"/>
      <c r="AE214" s="44" t="n"/>
      <c r="AF214" s="88" t="n"/>
      <c r="AG214" s="85" t="n"/>
      <c r="AH214" s="85" t="n"/>
      <c r="AI214" s="85" t="n"/>
      <c r="AJ214" s="85" t="n"/>
      <c r="AK214" s="85" t="n"/>
      <c r="AL214" s="85" t="n"/>
      <c r="AM214" s="85" t="n"/>
      <c r="AN214" s="85" t="n"/>
      <c r="AO214" s="85" t="n"/>
      <c r="AP214" s="85" t="n"/>
      <c r="AQ214" s="85" t="n"/>
      <c r="AR214" s="85" t="n"/>
      <c r="AS214" s="85" t="n"/>
      <c r="AT214" s="85" t="n"/>
      <c r="AU214" s="85" t="n"/>
      <c r="AV214" s="85" t="n"/>
      <c r="AW214" s="44" t="n"/>
      <c r="AX214" s="85" t="n"/>
      <c r="AY214" s="88" t="n"/>
      <c r="AZ214" s="86" t="n"/>
      <c r="BA214" s="44" t="n"/>
      <c r="BB214" s="44" t="n"/>
      <c r="BC214" s="87" t="n"/>
      <c r="BD214" s="44" t="n"/>
      <c r="BE214" s="87" t="n"/>
      <c r="BF214" s="85" t="n"/>
      <c r="BG214" s="44" t="n"/>
      <c r="BH214" s="44" t="n"/>
      <c r="BI214" s="85" t="n"/>
      <c r="BJ214" s="44" t="n"/>
      <c r="BK214" s="45" t="n"/>
      <c r="BL214" s="44" t="n"/>
      <c r="BM214" s="85" t="n"/>
      <c r="BN214" s="44" t="n"/>
      <c r="BO214" s="85" t="n"/>
      <c r="BP214" s="86" t="n"/>
      <c r="BQ214" s="44" t="n"/>
      <c r="BR214" s="50" t="n"/>
      <c r="BS214" s="89" t="n"/>
      <c r="BT214" s="50">
        <f>IF(OR(K214="",L214="",M214=""),"",IF(ABS(ROUND(((ROUND(N(K214)*100,0))-(0))*(100+N(M214))/100,0)-(ROUND(N(L214)*100,0)))&lt;=0+IF(((ROUND(N(K214)*100,0))-(0))*(100+N(M214))/100&lt;&gt;ROUND(((ROUND(N(K214)*100,0))-(0))*(100+N(M214))/100,0),1,0),"OK","ABWEICHUNG"))</f>
        <v/>
      </c>
    </row>
    <row r="215">
      <c r="A215" s="50" t="n"/>
      <c r="B215" s="44" t="n"/>
      <c r="C215" s="44" t="n"/>
      <c r="D215" s="44" t="n"/>
      <c r="E215" s="44" t="n"/>
      <c r="F215" s="44" t="n"/>
      <c r="G215" s="44" t="n"/>
      <c r="H215" s="44" t="n"/>
      <c r="I215" s="45" t="n"/>
      <c r="J215" s="45" t="n"/>
      <c r="K215" s="85" t="n"/>
      <c r="L215" s="85" t="n"/>
      <c r="M215" s="88" t="n"/>
      <c r="N215" s="88" t="n"/>
      <c r="O215" s="44" t="n"/>
      <c r="P215" s="45" t="n"/>
      <c r="Q215" s="45" t="n"/>
      <c r="R215" s="44" t="n"/>
      <c r="S215" s="45" t="n"/>
      <c r="T215" s="45" t="n"/>
      <c r="U215" s="85" t="n"/>
      <c r="V215" s="44" t="n"/>
      <c r="W215" s="45" t="n"/>
      <c r="X215" s="45" t="n"/>
      <c r="Y215" s="44" t="n"/>
      <c r="Z215" s="85" t="n"/>
      <c r="AA215" s="44" t="n"/>
      <c r="AB215" s="44" t="n"/>
      <c r="AC215" s="44" t="n"/>
      <c r="AD215" s="44" t="n"/>
      <c r="AE215" s="44" t="n"/>
      <c r="AF215" s="88" t="n"/>
      <c r="AG215" s="85" t="n"/>
      <c r="AH215" s="85" t="n"/>
      <c r="AI215" s="85" t="n"/>
      <c r="AJ215" s="85" t="n"/>
      <c r="AK215" s="85" t="n"/>
      <c r="AL215" s="85" t="n"/>
      <c r="AM215" s="85" t="n"/>
      <c r="AN215" s="85" t="n"/>
      <c r="AO215" s="85" t="n"/>
      <c r="AP215" s="85" t="n"/>
      <c r="AQ215" s="85" t="n"/>
      <c r="AR215" s="85" t="n"/>
      <c r="AS215" s="85" t="n"/>
      <c r="AT215" s="85" t="n"/>
      <c r="AU215" s="85" t="n"/>
      <c r="AV215" s="85" t="n"/>
      <c r="AW215" s="44" t="n"/>
      <c r="AX215" s="85" t="n"/>
      <c r="AY215" s="88" t="n"/>
      <c r="AZ215" s="86" t="n"/>
      <c r="BA215" s="44" t="n"/>
      <c r="BB215" s="44" t="n"/>
      <c r="BC215" s="87" t="n"/>
      <c r="BD215" s="44" t="n"/>
      <c r="BE215" s="87" t="n"/>
      <c r="BF215" s="85" t="n"/>
      <c r="BG215" s="44" t="n"/>
      <c r="BH215" s="44" t="n"/>
      <c r="BI215" s="85" t="n"/>
      <c r="BJ215" s="44" t="n"/>
      <c r="BK215" s="45" t="n"/>
      <c r="BL215" s="44" t="n"/>
      <c r="BM215" s="85" t="n"/>
      <c r="BN215" s="44" t="n"/>
      <c r="BO215" s="85" t="n"/>
      <c r="BP215" s="86" t="n"/>
      <c r="BQ215" s="44" t="n"/>
      <c r="BR215" s="50" t="n"/>
      <c r="BS215" s="89" t="n"/>
      <c r="BT215" s="50">
        <f>IF(OR(K215="",L215="",M215=""),"",IF(ABS(ROUND(((ROUND(N(K215)*100,0))-(0))*(100+N(M215))/100,0)-(ROUND(N(L215)*100,0)))&lt;=0+IF(((ROUND(N(K215)*100,0))-(0))*(100+N(M215))/100&lt;&gt;ROUND(((ROUND(N(K215)*100,0))-(0))*(100+N(M215))/100,0),1,0),"OK","ABWEICHUNG"))</f>
        <v/>
      </c>
    </row>
    <row r="216">
      <c r="A216" s="50" t="n"/>
      <c r="B216" s="44" t="n"/>
      <c r="C216" s="44" t="n"/>
      <c r="D216" s="44" t="n"/>
      <c r="E216" s="44" t="n"/>
      <c r="F216" s="44" t="n"/>
      <c r="G216" s="44" t="n"/>
      <c r="H216" s="44" t="n"/>
      <c r="I216" s="45" t="n"/>
      <c r="J216" s="45" t="n"/>
      <c r="K216" s="85" t="n"/>
      <c r="L216" s="85" t="n"/>
      <c r="M216" s="88" t="n"/>
      <c r="N216" s="88" t="n"/>
      <c r="O216" s="44" t="n"/>
      <c r="P216" s="45" t="n"/>
      <c r="Q216" s="45" t="n"/>
      <c r="R216" s="44" t="n"/>
      <c r="S216" s="45" t="n"/>
      <c r="T216" s="45" t="n"/>
      <c r="U216" s="85" t="n"/>
      <c r="V216" s="44" t="n"/>
      <c r="W216" s="45" t="n"/>
      <c r="X216" s="45" t="n"/>
      <c r="Y216" s="44" t="n"/>
      <c r="Z216" s="85" t="n"/>
      <c r="AA216" s="44" t="n"/>
      <c r="AB216" s="44" t="n"/>
      <c r="AC216" s="44" t="n"/>
      <c r="AD216" s="44" t="n"/>
      <c r="AE216" s="44" t="n"/>
      <c r="AF216" s="88" t="n"/>
      <c r="AG216" s="85" t="n"/>
      <c r="AH216" s="85" t="n"/>
      <c r="AI216" s="85" t="n"/>
      <c r="AJ216" s="85" t="n"/>
      <c r="AK216" s="85" t="n"/>
      <c r="AL216" s="85" t="n"/>
      <c r="AM216" s="85" t="n"/>
      <c r="AN216" s="85" t="n"/>
      <c r="AO216" s="85" t="n"/>
      <c r="AP216" s="85" t="n"/>
      <c r="AQ216" s="85" t="n"/>
      <c r="AR216" s="85" t="n"/>
      <c r="AS216" s="85" t="n"/>
      <c r="AT216" s="85" t="n"/>
      <c r="AU216" s="85" t="n"/>
      <c r="AV216" s="85" t="n"/>
      <c r="AW216" s="44" t="n"/>
      <c r="AX216" s="85" t="n"/>
      <c r="AY216" s="88" t="n"/>
      <c r="AZ216" s="86" t="n"/>
      <c r="BA216" s="44" t="n"/>
      <c r="BB216" s="44" t="n"/>
      <c r="BC216" s="87" t="n"/>
      <c r="BD216" s="44" t="n"/>
      <c r="BE216" s="87" t="n"/>
      <c r="BF216" s="85" t="n"/>
      <c r="BG216" s="44" t="n"/>
      <c r="BH216" s="44" t="n"/>
      <c r="BI216" s="85" t="n"/>
      <c r="BJ216" s="44" t="n"/>
      <c r="BK216" s="45" t="n"/>
      <c r="BL216" s="44" t="n"/>
      <c r="BM216" s="85" t="n"/>
      <c r="BN216" s="44" t="n"/>
      <c r="BO216" s="85" t="n"/>
      <c r="BP216" s="86" t="n"/>
      <c r="BQ216" s="44" t="n"/>
      <c r="BR216" s="50" t="n"/>
      <c r="BS216" s="89" t="n"/>
      <c r="BT216" s="50">
        <f>IF(OR(K216="",L216="",M216=""),"",IF(ABS(ROUND(((ROUND(N(K216)*100,0))-(0))*(100+N(M216))/100,0)-(ROUND(N(L216)*100,0)))&lt;=0+IF(((ROUND(N(K216)*100,0))-(0))*(100+N(M216))/100&lt;&gt;ROUND(((ROUND(N(K216)*100,0))-(0))*(100+N(M216))/100,0),1,0),"OK","ABWEICHUNG"))</f>
        <v/>
      </c>
    </row>
    <row r="217">
      <c r="A217" s="50" t="n"/>
      <c r="B217" s="44" t="n"/>
      <c r="C217" s="44" t="n"/>
      <c r="D217" s="44" t="n"/>
      <c r="E217" s="44" t="n"/>
      <c r="F217" s="44" t="n"/>
      <c r="G217" s="44" t="n"/>
      <c r="H217" s="44" t="n"/>
      <c r="I217" s="45" t="n"/>
      <c r="J217" s="45" t="n"/>
      <c r="K217" s="85" t="n"/>
      <c r="L217" s="85" t="n"/>
      <c r="M217" s="88" t="n"/>
      <c r="N217" s="88" t="n"/>
      <c r="O217" s="44" t="n"/>
      <c r="P217" s="45" t="n"/>
      <c r="Q217" s="45" t="n"/>
      <c r="R217" s="44" t="n"/>
      <c r="S217" s="45" t="n"/>
      <c r="T217" s="45" t="n"/>
      <c r="U217" s="85" t="n"/>
      <c r="V217" s="44" t="n"/>
      <c r="W217" s="45" t="n"/>
      <c r="X217" s="45" t="n"/>
      <c r="Y217" s="44" t="n"/>
      <c r="Z217" s="85" t="n"/>
      <c r="AA217" s="44" t="n"/>
      <c r="AB217" s="44" t="n"/>
      <c r="AC217" s="44" t="n"/>
      <c r="AD217" s="44" t="n"/>
      <c r="AE217" s="44" t="n"/>
      <c r="AF217" s="88" t="n"/>
      <c r="AG217" s="85" t="n"/>
      <c r="AH217" s="85" t="n"/>
      <c r="AI217" s="85" t="n"/>
      <c r="AJ217" s="85" t="n"/>
      <c r="AK217" s="85" t="n"/>
      <c r="AL217" s="85" t="n"/>
      <c r="AM217" s="85" t="n"/>
      <c r="AN217" s="85" t="n"/>
      <c r="AO217" s="85" t="n"/>
      <c r="AP217" s="85" t="n"/>
      <c r="AQ217" s="85" t="n"/>
      <c r="AR217" s="85" t="n"/>
      <c r="AS217" s="85" t="n"/>
      <c r="AT217" s="85" t="n"/>
      <c r="AU217" s="85" t="n"/>
      <c r="AV217" s="85" t="n"/>
      <c r="AW217" s="44" t="n"/>
      <c r="AX217" s="85" t="n"/>
      <c r="AY217" s="88" t="n"/>
      <c r="AZ217" s="86" t="n"/>
      <c r="BA217" s="44" t="n"/>
      <c r="BB217" s="44" t="n"/>
      <c r="BC217" s="87" t="n"/>
      <c r="BD217" s="44" t="n"/>
      <c r="BE217" s="87" t="n"/>
      <c r="BF217" s="85" t="n"/>
      <c r="BG217" s="44" t="n"/>
      <c r="BH217" s="44" t="n"/>
      <c r="BI217" s="85" t="n"/>
      <c r="BJ217" s="44" t="n"/>
      <c r="BK217" s="45" t="n"/>
      <c r="BL217" s="44" t="n"/>
      <c r="BM217" s="85" t="n"/>
      <c r="BN217" s="44" t="n"/>
      <c r="BO217" s="85" t="n"/>
      <c r="BP217" s="86" t="n"/>
      <c r="BQ217" s="44" t="n"/>
      <c r="BR217" s="50" t="n"/>
      <c r="BS217" s="89" t="n"/>
      <c r="BT217" s="50">
        <f>IF(OR(K217="",L217="",M217=""),"",IF(ABS(ROUND(((ROUND(N(K217)*100,0))-(0))*(100+N(M217))/100,0)-(ROUND(N(L217)*100,0)))&lt;=0+IF(((ROUND(N(K217)*100,0))-(0))*(100+N(M217))/100&lt;&gt;ROUND(((ROUND(N(K217)*100,0))-(0))*(100+N(M217))/100,0),1,0),"OK","ABWEICHUNG"))</f>
        <v/>
      </c>
    </row>
    <row r="218">
      <c r="A218" s="50" t="n"/>
      <c r="B218" s="44" t="n"/>
      <c r="C218" s="44" t="n"/>
      <c r="D218" s="44" t="n"/>
      <c r="E218" s="44" t="n"/>
      <c r="F218" s="44" t="n"/>
      <c r="G218" s="44" t="n"/>
      <c r="H218" s="44" t="n"/>
      <c r="I218" s="45" t="n"/>
      <c r="J218" s="45" t="n"/>
      <c r="K218" s="85" t="n"/>
      <c r="L218" s="85" t="n"/>
      <c r="M218" s="88" t="n"/>
      <c r="N218" s="88" t="n"/>
      <c r="O218" s="44" t="n"/>
      <c r="P218" s="45" t="n"/>
      <c r="Q218" s="45" t="n"/>
      <c r="R218" s="44" t="n"/>
      <c r="S218" s="45" t="n"/>
      <c r="T218" s="45" t="n"/>
      <c r="U218" s="85" t="n"/>
      <c r="V218" s="44" t="n"/>
      <c r="W218" s="45" t="n"/>
      <c r="X218" s="45" t="n"/>
      <c r="Y218" s="44" t="n"/>
      <c r="Z218" s="85" t="n"/>
      <c r="AA218" s="44" t="n"/>
      <c r="AB218" s="44" t="n"/>
      <c r="AC218" s="44" t="n"/>
      <c r="AD218" s="44" t="n"/>
      <c r="AE218" s="44" t="n"/>
      <c r="AF218" s="88" t="n"/>
      <c r="AG218" s="85" t="n"/>
      <c r="AH218" s="85" t="n"/>
      <c r="AI218" s="85" t="n"/>
      <c r="AJ218" s="85" t="n"/>
      <c r="AK218" s="85" t="n"/>
      <c r="AL218" s="85" t="n"/>
      <c r="AM218" s="85" t="n"/>
      <c r="AN218" s="85" t="n"/>
      <c r="AO218" s="85" t="n"/>
      <c r="AP218" s="85" t="n"/>
      <c r="AQ218" s="85" t="n"/>
      <c r="AR218" s="85" t="n"/>
      <c r="AS218" s="85" t="n"/>
      <c r="AT218" s="85" t="n"/>
      <c r="AU218" s="85" t="n"/>
      <c r="AV218" s="85" t="n"/>
      <c r="AW218" s="44" t="n"/>
      <c r="AX218" s="85" t="n"/>
      <c r="AY218" s="88" t="n"/>
      <c r="AZ218" s="86" t="n"/>
      <c r="BA218" s="44" t="n"/>
      <c r="BB218" s="44" t="n"/>
      <c r="BC218" s="87" t="n"/>
      <c r="BD218" s="44" t="n"/>
      <c r="BE218" s="87" t="n"/>
      <c r="BF218" s="85" t="n"/>
      <c r="BG218" s="44" t="n"/>
      <c r="BH218" s="44" t="n"/>
      <c r="BI218" s="85" t="n"/>
      <c r="BJ218" s="44" t="n"/>
      <c r="BK218" s="45" t="n"/>
      <c r="BL218" s="44" t="n"/>
      <c r="BM218" s="85" t="n"/>
      <c r="BN218" s="44" t="n"/>
      <c r="BO218" s="85" t="n"/>
      <c r="BP218" s="86" t="n"/>
      <c r="BQ218" s="44" t="n"/>
      <c r="BR218" s="50" t="n"/>
      <c r="BS218" s="89" t="n"/>
      <c r="BT218" s="50">
        <f>IF(OR(K218="",L218="",M218=""),"",IF(ABS(ROUND(((ROUND(N(K218)*100,0))-(0))*(100+N(M218))/100,0)-(ROUND(N(L218)*100,0)))&lt;=0+IF(((ROUND(N(K218)*100,0))-(0))*(100+N(M218))/100&lt;&gt;ROUND(((ROUND(N(K218)*100,0))-(0))*(100+N(M218))/100,0),1,0),"OK","ABWEICHUNG"))</f>
        <v/>
      </c>
    </row>
    <row r="219">
      <c r="A219" s="50" t="n"/>
      <c r="B219" s="44" t="n"/>
      <c r="C219" s="44" t="n"/>
      <c r="D219" s="44" t="n"/>
      <c r="E219" s="44" t="n"/>
      <c r="F219" s="44" t="n"/>
      <c r="G219" s="44" t="n"/>
      <c r="H219" s="44" t="n"/>
      <c r="I219" s="45" t="n"/>
      <c r="J219" s="45" t="n"/>
      <c r="K219" s="85" t="n"/>
      <c r="L219" s="85" t="n"/>
      <c r="M219" s="88" t="n"/>
      <c r="N219" s="88" t="n"/>
      <c r="O219" s="44" t="n"/>
      <c r="P219" s="45" t="n"/>
      <c r="Q219" s="45" t="n"/>
      <c r="R219" s="44" t="n"/>
      <c r="S219" s="45" t="n"/>
      <c r="T219" s="45" t="n"/>
      <c r="U219" s="85" t="n"/>
      <c r="V219" s="44" t="n"/>
      <c r="W219" s="45" t="n"/>
      <c r="X219" s="45" t="n"/>
      <c r="Y219" s="44" t="n"/>
      <c r="Z219" s="85" t="n"/>
      <c r="AA219" s="44" t="n"/>
      <c r="AB219" s="44" t="n"/>
      <c r="AC219" s="44" t="n"/>
      <c r="AD219" s="44" t="n"/>
      <c r="AE219" s="44" t="n"/>
      <c r="AF219" s="88" t="n"/>
      <c r="AG219" s="85" t="n"/>
      <c r="AH219" s="85" t="n"/>
      <c r="AI219" s="85" t="n"/>
      <c r="AJ219" s="85" t="n"/>
      <c r="AK219" s="85" t="n"/>
      <c r="AL219" s="85" t="n"/>
      <c r="AM219" s="85" t="n"/>
      <c r="AN219" s="85" t="n"/>
      <c r="AO219" s="85" t="n"/>
      <c r="AP219" s="85" t="n"/>
      <c r="AQ219" s="85" t="n"/>
      <c r="AR219" s="85" t="n"/>
      <c r="AS219" s="85" t="n"/>
      <c r="AT219" s="85" t="n"/>
      <c r="AU219" s="85" t="n"/>
      <c r="AV219" s="85" t="n"/>
      <c r="AW219" s="44" t="n"/>
      <c r="AX219" s="85" t="n"/>
      <c r="AY219" s="88" t="n"/>
      <c r="AZ219" s="86" t="n"/>
      <c r="BA219" s="44" t="n"/>
      <c r="BB219" s="44" t="n"/>
      <c r="BC219" s="87" t="n"/>
      <c r="BD219" s="44" t="n"/>
      <c r="BE219" s="87" t="n"/>
      <c r="BF219" s="85" t="n"/>
      <c r="BG219" s="44" t="n"/>
      <c r="BH219" s="44" t="n"/>
      <c r="BI219" s="85" t="n"/>
      <c r="BJ219" s="44" t="n"/>
      <c r="BK219" s="45" t="n"/>
      <c r="BL219" s="44" t="n"/>
      <c r="BM219" s="85" t="n"/>
      <c r="BN219" s="44" t="n"/>
      <c r="BO219" s="85" t="n"/>
      <c r="BP219" s="86" t="n"/>
      <c r="BQ219" s="44" t="n"/>
      <c r="BR219" s="50" t="n"/>
      <c r="BS219" s="89" t="n"/>
      <c r="BT219" s="50">
        <f>IF(OR(K219="",L219="",M219=""),"",IF(ABS(ROUND(((ROUND(N(K219)*100,0))-(0))*(100+N(M219))/100,0)-(ROUND(N(L219)*100,0)))&lt;=0+IF(((ROUND(N(K219)*100,0))-(0))*(100+N(M219))/100&lt;&gt;ROUND(((ROUND(N(K219)*100,0))-(0))*(100+N(M219))/100,0),1,0),"OK","ABWEICHUNG"))</f>
        <v/>
      </c>
    </row>
    <row r="220">
      <c r="A220" s="50" t="n"/>
      <c r="B220" s="44" t="n"/>
      <c r="C220" s="44" t="n"/>
      <c r="D220" s="44" t="n"/>
      <c r="E220" s="44" t="n"/>
      <c r="F220" s="44" t="n"/>
      <c r="G220" s="44" t="n"/>
      <c r="H220" s="44" t="n"/>
      <c r="I220" s="45" t="n"/>
      <c r="J220" s="45" t="n"/>
      <c r="K220" s="85" t="n"/>
      <c r="L220" s="85" t="n"/>
      <c r="M220" s="88" t="n"/>
      <c r="N220" s="88" t="n"/>
      <c r="O220" s="44" t="n"/>
      <c r="P220" s="45" t="n"/>
      <c r="Q220" s="45" t="n"/>
      <c r="R220" s="44" t="n"/>
      <c r="S220" s="45" t="n"/>
      <c r="T220" s="45" t="n"/>
      <c r="U220" s="85" t="n"/>
      <c r="V220" s="44" t="n"/>
      <c r="W220" s="45" t="n"/>
      <c r="X220" s="45" t="n"/>
      <c r="Y220" s="44" t="n"/>
      <c r="Z220" s="85" t="n"/>
      <c r="AA220" s="44" t="n"/>
      <c r="AB220" s="44" t="n"/>
      <c r="AC220" s="44" t="n"/>
      <c r="AD220" s="44" t="n"/>
      <c r="AE220" s="44" t="n"/>
      <c r="AF220" s="88" t="n"/>
      <c r="AG220" s="85" t="n"/>
      <c r="AH220" s="85" t="n"/>
      <c r="AI220" s="85" t="n"/>
      <c r="AJ220" s="85" t="n"/>
      <c r="AK220" s="85" t="n"/>
      <c r="AL220" s="85" t="n"/>
      <c r="AM220" s="85" t="n"/>
      <c r="AN220" s="85" t="n"/>
      <c r="AO220" s="85" t="n"/>
      <c r="AP220" s="85" t="n"/>
      <c r="AQ220" s="85" t="n"/>
      <c r="AR220" s="85" t="n"/>
      <c r="AS220" s="85" t="n"/>
      <c r="AT220" s="85" t="n"/>
      <c r="AU220" s="85" t="n"/>
      <c r="AV220" s="85" t="n"/>
      <c r="AW220" s="44" t="n"/>
      <c r="AX220" s="85" t="n"/>
      <c r="AY220" s="88" t="n"/>
      <c r="AZ220" s="86" t="n"/>
      <c r="BA220" s="44" t="n"/>
      <c r="BB220" s="44" t="n"/>
      <c r="BC220" s="87" t="n"/>
      <c r="BD220" s="44" t="n"/>
      <c r="BE220" s="87" t="n"/>
      <c r="BF220" s="85" t="n"/>
      <c r="BG220" s="44" t="n"/>
      <c r="BH220" s="44" t="n"/>
      <c r="BI220" s="85" t="n"/>
      <c r="BJ220" s="44" t="n"/>
      <c r="BK220" s="45" t="n"/>
      <c r="BL220" s="44" t="n"/>
      <c r="BM220" s="85" t="n"/>
      <c r="BN220" s="44" t="n"/>
      <c r="BO220" s="85" t="n"/>
      <c r="BP220" s="86" t="n"/>
      <c r="BQ220" s="44" t="n"/>
      <c r="BR220" s="50" t="n"/>
      <c r="BS220" s="89" t="n"/>
      <c r="BT220" s="50">
        <f>IF(OR(K220="",L220="",M220=""),"",IF(ABS(ROUND(((ROUND(N(K220)*100,0))-(0))*(100+N(M220))/100,0)-(ROUND(N(L220)*100,0)))&lt;=0+IF(((ROUND(N(K220)*100,0))-(0))*(100+N(M220))/100&lt;&gt;ROUND(((ROUND(N(K220)*100,0))-(0))*(100+N(M220))/100,0),1,0),"OK","ABWEICHUNG"))</f>
        <v/>
      </c>
    </row>
    <row r="221">
      <c r="A221" s="50" t="n"/>
      <c r="B221" s="44" t="n"/>
      <c r="C221" s="44" t="n"/>
      <c r="D221" s="44" t="n"/>
      <c r="E221" s="44" t="n"/>
      <c r="F221" s="44" t="n"/>
      <c r="G221" s="44" t="n"/>
      <c r="H221" s="44" t="n"/>
      <c r="I221" s="45" t="n"/>
      <c r="J221" s="45" t="n"/>
      <c r="K221" s="85" t="n"/>
      <c r="L221" s="85" t="n"/>
      <c r="M221" s="88" t="n"/>
      <c r="N221" s="88" t="n"/>
      <c r="O221" s="44" t="n"/>
      <c r="P221" s="45" t="n"/>
      <c r="Q221" s="45" t="n"/>
      <c r="R221" s="44" t="n"/>
      <c r="S221" s="45" t="n"/>
      <c r="T221" s="45" t="n"/>
      <c r="U221" s="85" t="n"/>
      <c r="V221" s="44" t="n"/>
      <c r="W221" s="45" t="n"/>
      <c r="X221" s="45" t="n"/>
      <c r="Y221" s="44" t="n"/>
      <c r="Z221" s="85" t="n"/>
      <c r="AA221" s="44" t="n"/>
      <c r="AB221" s="44" t="n"/>
      <c r="AC221" s="44" t="n"/>
      <c r="AD221" s="44" t="n"/>
      <c r="AE221" s="44" t="n"/>
      <c r="AF221" s="88" t="n"/>
      <c r="AG221" s="85" t="n"/>
      <c r="AH221" s="85" t="n"/>
      <c r="AI221" s="85" t="n"/>
      <c r="AJ221" s="85" t="n"/>
      <c r="AK221" s="85" t="n"/>
      <c r="AL221" s="85" t="n"/>
      <c r="AM221" s="85" t="n"/>
      <c r="AN221" s="85" t="n"/>
      <c r="AO221" s="85" t="n"/>
      <c r="AP221" s="85" t="n"/>
      <c r="AQ221" s="85" t="n"/>
      <c r="AR221" s="85" t="n"/>
      <c r="AS221" s="85" t="n"/>
      <c r="AT221" s="85" t="n"/>
      <c r="AU221" s="85" t="n"/>
      <c r="AV221" s="85" t="n"/>
      <c r="AW221" s="44" t="n"/>
      <c r="AX221" s="85" t="n"/>
      <c r="AY221" s="88" t="n"/>
      <c r="AZ221" s="86" t="n"/>
      <c r="BA221" s="44" t="n"/>
      <c r="BB221" s="44" t="n"/>
      <c r="BC221" s="87" t="n"/>
      <c r="BD221" s="44" t="n"/>
      <c r="BE221" s="87" t="n"/>
      <c r="BF221" s="85" t="n"/>
      <c r="BG221" s="44" t="n"/>
      <c r="BH221" s="44" t="n"/>
      <c r="BI221" s="85" t="n"/>
      <c r="BJ221" s="44" t="n"/>
      <c r="BK221" s="45" t="n"/>
      <c r="BL221" s="44" t="n"/>
      <c r="BM221" s="85" t="n"/>
      <c r="BN221" s="44" t="n"/>
      <c r="BO221" s="85" t="n"/>
      <c r="BP221" s="86" t="n"/>
      <c r="BQ221" s="44" t="n"/>
      <c r="BR221" s="50" t="n"/>
      <c r="BS221" s="89" t="n"/>
      <c r="BT221" s="50">
        <f>IF(OR(K221="",L221="",M221=""),"",IF(ABS(ROUND(((ROUND(N(K221)*100,0))-(0))*(100+N(M221))/100,0)-(ROUND(N(L221)*100,0)))&lt;=0+IF(((ROUND(N(K221)*100,0))-(0))*(100+N(M221))/100&lt;&gt;ROUND(((ROUND(N(K221)*100,0))-(0))*(100+N(M221))/100,0),1,0),"OK","ABWEICHUNG"))</f>
        <v/>
      </c>
    </row>
    <row r="222">
      <c r="A222" s="50" t="n"/>
      <c r="B222" s="44" t="n"/>
      <c r="C222" s="44" t="n"/>
      <c r="D222" s="44" t="n"/>
      <c r="E222" s="44" t="n"/>
      <c r="F222" s="44" t="n"/>
      <c r="G222" s="44" t="n"/>
      <c r="H222" s="44" t="n"/>
      <c r="I222" s="45" t="n"/>
      <c r="J222" s="45" t="n"/>
      <c r="K222" s="85" t="n"/>
      <c r="L222" s="85" t="n"/>
      <c r="M222" s="88" t="n"/>
      <c r="N222" s="88" t="n"/>
      <c r="O222" s="44" t="n"/>
      <c r="P222" s="45" t="n"/>
      <c r="Q222" s="45" t="n"/>
      <c r="R222" s="44" t="n"/>
      <c r="S222" s="45" t="n"/>
      <c r="T222" s="45" t="n"/>
      <c r="U222" s="85" t="n"/>
      <c r="V222" s="44" t="n"/>
      <c r="W222" s="45" t="n"/>
      <c r="X222" s="45" t="n"/>
      <c r="Y222" s="44" t="n"/>
      <c r="Z222" s="85" t="n"/>
      <c r="AA222" s="44" t="n"/>
      <c r="AB222" s="44" t="n"/>
      <c r="AC222" s="44" t="n"/>
      <c r="AD222" s="44" t="n"/>
      <c r="AE222" s="44" t="n"/>
      <c r="AF222" s="88" t="n"/>
      <c r="AG222" s="85" t="n"/>
      <c r="AH222" s="85" t="n"/>
      <c r="AI222" s="85" t="n"/>
      <c r="AJ222" s="85" t="n"/>
      <c r="AK222" s="85" t="n"/>
      <c r="AL222" s="85" t="n"/>
      <c r="AM222" s="85" t="n"/>
      <c r="AN222" s="85" t="n"/>
      <c r="AO222" s="85" t="n"/>
      <c r="AP222" s="85" t="n"/>
      <c r="AQ222" s="85" t="n"/>
      <c r="AR222" s="85" t="n"/>
      <c r="AS222" s="85" t="n"/>
      <c r="AT222" s="85" t="n"/>
      <c r="AU222" s="85" t="n"/>
      <c r="AV222" s="85" t="n"/>
      <c r="AW222" s="44" t="n"/>
      <c r="AX222" s="85" t="n"/>
      <c r="AY222" s="88" t="n"/>
      <c r="AZ222" s="86" t="n"/>
      <c r="BA222" s="44" t="n"/>
      <c r="BB222" s="44" t="n"/>
      <c r="BC222" s="87" t="n"/>
      <c r="BD222" s="44" t="n"/>
      <c r="BE222" s="87" t="n"/>
      <c r="BF222" s="85" t="n"/>
      <c r="BG222" s="44" t="n"/>
      <c r="BH222" s="44" t="n"/>
      <c r="BI222" s="85" t="n"/>
      <c r="BJ222" s="44" t="n"/>
      <c r="BK222" s="45" t="n"/>
      <c r="BL222" s="44" t="n"/>
      <c r="BM222" s="85" t="n"/>
      <c r="BN222" s="44" t="n"/>
      <c r="BO222" s="85" t="n"/>
      <c r="BP222" s="86" t="n"/>
      <c r="BQ222" s="44" t="n"/>
      <c r="BR222" s="50" t="n"/>
      <c r="BS222" s="89" t="n"/>
      <c r="BT222" s="50">
        <f>IF(OR(K222="",L222="",M222=""),"",IF(ABS(ROUND(((ROUND(N(K222)*100,0))-(0))*(100+N(M222))/100,0)-(ROUND(N(L222)*100,0)))&lt;=0+IF(((ROUND(N(K222)*100,0))-(0))*(100+N(M222))/100&lt;&gt;ROUND(((ROUND(N(K222)*100,0))-(0))*(100+N(M222))/100,0),1,0),"OK","ABWEICHUNG"))</f>
        <v/>
      </c>
    </row>
    <row r="223">
      <c r="A223" s="50" t="n"/>
      <c r="B223" s="44" t="n"/>
      <c r="C223" s="44" t="n"/>
      <c r="D223" s="44" t="n"/>
      <c r="E223" s="44" t="n"/>
      <c r="F223" s="44" t="n"/>
      <c r="G223" s="44" t="n"/>
      <c r="H223" s="44" t="n"/>
      <c r="I223" s="45" t="n"/>
      <c r="J223" s="45" t="n"/>
      <c r="K223" s="85" t="n"/>
      <c r="L223" s="85" t="n"/>
      <c r="M223" s="88" t="n"/>
      <c r="N223" s="88" t="n"/>
      <c r="O223" s="44" t="n"/>
      <c r="P223" s="45" t="n"/>
      <c r="Q223" s="45" t="n"/>
      <c r="R223" s="44" t="n"/>
      <c r="S223" s="45" t="n"/>
      <c r="T223" s="45" t="n"/>
      <c r="U223" s="85" t="n"/>
      <c r="V223" s="44" t="n"/>
      <c r="W223" s="45" t="n"/>
      <c r="X223" s="45" t="n"/>
      <c r="Y223" s="44" t="n"/>
      <c r="Z223" s="85" t="n"/>
      <c r="AA223" s="44" t="n"/>
      <c r="AB223" s="44" t="n"/>
      <c r="AC223" s="44" t="n"/>
      <c r="AD223" s="44" t="n"/>
      <c r="AE223" s="44" t="n"/>
      <c r="AF223" s="88" t="n"/>
      <c r="AG223" s="85" t="n"/>
      <c r="AH223" s="85" t="n"/>
      <c r="AI223" s="85" t="n"/>
      <c r="AJ223" s="85" t="n"/>
      <c r="AK223" s="85" t="n"/>
      <c r="AL223" s="85" t="n"/>
      <c r="AM223" s="85" t="n"/>
      <c r="AN223" s="85" t="n"/>
      <c r="AO223" s="85" t="n"/>
      <c r="AP223" s="85" t="n"/>
      <c r="AQ223" s="85" t="n"/>
      <c r="AR223" s="85" t="n"/>
      <c r="AS223" s="85" t="n"/>
      <c r="AT223" s="85" t="n"/>
      <c r="AU223" s="85" t="n"/>
      <c r="AV223" s="85" t="n"/>
      <c r="AW223" s="44" t="n"/>
      <c r="AX223" s="85" t="n"/>
      <c r="AY223" s="88" t="n"/>
      <c r="AZ223" s="86" t="n"/>
      <c r="BA223" s="44" t="n"/>
      <c r="BB223" s="44" t="n"/>
      <c r="BC223" s="87" t="n"/>
      <c r="BD223" s="44" t="n"/>
      <c r="BE223" s="87" t="n"/>
      <c r="BF223" s="85" t="n"/>
      <c r="BG223" s="44" t="n"/>
      <c r="BH223" s="44" t="n"/>
      <c r="BI223" s="85" t="n"/>
      <c r="BJ223" s="44" t="n"/>
      <c r="BK223" s="45" t="n"/>
      <c r="BL223" s="44" t="n"/>
      <c r="BM223" s="85" t="n"/>
      <c r="BN223" s="44" t="n"/>
      <c r="BO223" s="85" t="n"/>
      <c r="BP223" s="86" t="n"/>
      <c r="BQ223" s="44" t="n"/>
      <c r="BR223" s="50" t="n"/>
      <c r="BS223" s="89" t="n"/>
      <c r="BT223" s="50">
        <f>IF(OR(K223="",L223="",M223=""),"",IF(ABS(ROUND(((ROUND(N(K223)*100,0))-(0))*(100+N(M223))/100,0)-(ROUND(N(L223)*100,0)))&lt;=0+IF(((ROUND(N(K223)*100,0))-(0))*(100+N(M223))/100&lt;&gt;ROUND(((ROUND(N(K223)*100,0))-(0))*(100+N(M223))/100,0),1,0),"OK","ABWEICHUNG"))</f>
        <v/>
      </c>
    </row>
    <row r="224">
      <c r="A224" s="50" t="n"/>
      <c r="B224" s="44" t="n"/>
      <c r="C224" s="44" t="n"/>
      <c r="D224" s="44" t="n"/>
      <c r="E224" s="44" t="n"/>
      <c r="F224" s="44" t="n"/>
      <c r="G224" s="44" t="n"/>
      <c r="H224" s="44" t="n"/>
      <c r="I224" s="45" t="n"/>
      <c r="J224" s="45" t="n"/>
      <c r="K224" s="85" t="n"/>
      <c r="L224" s="85" t="n"/>
      <c r="M224" s="88" t="n"/>
      <c r="N224" s="88" t="n"/>
      <c r="O224" s="44" t="n"/>
      <c r="P224" s="45" t="n"/>
      <c r="Q224" s="45" t="n"/>
      <c r="R224" s="44" t="n"/>
      <c r="S224" s="45" t="n"/>
      <c r="T224" s="45" t="n"/>
      <c r="U224" s="85" t="n"/>
      <c r="V224" s="44" t="n"/>
      <c r="W224" s="45" t="n"/>
      <c r="X224" s="45" t="n"/>
      <c r="Y224" s="44" t="n"/>
      <c r="Z224" s="85" t="n"/>
      <c r="AA224" s="44" t="n"/>
      <c r="AB224" s="44" t="n"/>
      <c r="AC224" s="44" t="n"/>
      <c r="AD224" s="44" t="n"/>
      <c r="AE224" s="44" t="n"/>
      <c r="AF224" s="88" t="n"/>
      <c r="AG224" s="85" t="n"/>
      <c r="AH224" s="85" t="n"/>
      <c r="AI224" s="85" t="n"/>
      <c r="AJ224" s="85" t="n"/>
      <c r="AK224" s="85" t="n"/>
      <c r="AL224" s="85" t="n"/>
      <c r="AM224" s="85" t="n"/>
      <c r="AN224" s="85" t="n"/>
      <c r="AO224" s="85" t="n"/>
      <c r="AP224" s="85" t="n"/>
      <c r="AQ224" s="85" t="n"/>
      <c r="AR224" s="85" t="n"/>
      <c r="AS224" s="85" t="n"/>
      <c r="AT224" s="85" t="n"/>
      <c r="AU224" s="85" t="n"/>
      <c r="AV224" s="85" t="n"/>
      <c r="AW224" s="44" t="n"/>
      <c r="AX224" s="85" t="n"/>
      <c r="AY224" s="88" t="n"/>
      <c r="AZ224" s="86" t="n"/>
      <c r="BA224" s="44" t="n"/>
      <c r="BB224" s="44" t="n"/>
      <c r="BC224" s="87" t="n"/>
      <c r="BD224" s="44" t="n"/>
      <c r="BE224" s="87" t="n"/>
      <c r="BF224" s="85" t="n"/>
      <c r="BG224" s="44" t="n"/>
      <c r="BH224" s="44" t="n"/>
      <c r="BI224" s="85" t="n"/>
      <c r="BJ224" s="44" t="n"/>
      <c r="BK224" s="45" t="n"/>
      <c r="BL224" s="44" t="n"/>
      <c r="BM224" s="85" t="n"/>
      <c r="BN224" s="44" t="n"/>
      <c r="BO224" s="85" t="n"/>
      <c r="BP224" s="86" t="n"/>
      <c r="BQ224" s="44" t="n"/>
      <c r="BR224" s="50" t="n"/>
      <c r="BS224" s="89" t="n"/>
      <c r="BT224" s="50">
        <f>IF(OR(K224="",L224="",M224=""),"",IF(ABS(ROUND(((ROUND(N(K224)*100,0))-(0))*(100+N(M224))/100,0)-(ROUND(N(L224)*100,0)))&lt;=0+IF(((ROUND(N(K224)*100,0))-(0))*(100+N(M224))/100&lt;&gt;ROUND(((ROUND(N(K224)*100,0))-(0))*(100+N(M224))/100,0),1,0),"OK","ABWEICHUNG"))</f>
        <v/>
      </c>
    </row>
    <row r="225">
      <c r="A225" s="50" t="n"/>
      <c r="B225" s="44" t="n"/>
      <c r="C225" s="44" t="n"/>
      <c r="D225" s="44" t="n"/>
      <c r="E225" s="44" t="n"/>
      <c r="F225" s="44" t="n"/>
      <c r="G225" s="44" t="n"/>
      <c r="H225" s="44" t="n"/>
      <c r="I225" s="45" t="n"/>
      <c r="J225" s="45" t="n"/>
      <c r="K225" s="85" t="n"/>
      <c r="L225" s="85" t="n"/>
      <c r="M225" s="88" t="n"/>
      <c r="N225" s="88" t="n"/>
      <c r="O225" s="44" t="n"/>
      <c r="P225" s="45" t="n"/>
      <c r="Q225" s="45" t="n"/>
      <c r="R225" s="44" t="n"/>
      <c r="S225" s="45" t="n"/>
      <c r="T225" s="45" t="n"/>
      <c r="U225" s="85" t="n"/>
      <c r="V225" s="44" t="n"/>
      <c r="W225" s="45" t="n"/>
      <c r="X225" s="45" t="n"/>
      <c r="Y225" s="44" t="n"/>
      <c r="Z225" s="85" t="n"/>
      <c r="AA225" s="44" t="n"/>
      <c r="AB225" s="44" t="n"/>
      <c r="AC225" s="44" t="n"/>
      <c r="AD225" s="44" t="n"/>
      <c r="AE225" s="44" t="n"/>
      <c r="AF225" s="88" t="n"/>
      <c r="AG225" s="85" t="n"/>
      <c r="AH225" s="85" t="n"/>
      <c r="AI225" s="85" t="n"/>
      <c r="AJ225" s="85" t="n"/>
      <c r="AK225" s="85" t="n"/>
      <c r="AL225" s="85" t="n"/>
      <c r="AM225" s="85" t="n"/>
      <c r="AN225" s="85" t="n"/>
      <c r="AO225" s="85" t="n"/>
      <c r="AP225" s="85" t="n"/>
      <c r="AQ225" s="85" t="n"/>
      <c r="AR225" s="85" t="n"/>
      <c r="AS225" s="85" t="n"/>
      <c r="AT225" s="85" t="n"/>
      <c r="AU225" s="85" t="n"/>
      <c r="AV225" s="85" t="n"/>
      <c r="AW225" s="44" t="n"/>
      <c r="AX225" s="85" t="n"/>
      <c r="AY225" s="88" t="n"/>
      <c r="AZ225" s="86" t="n"/>
      <c r="BA225" s="44" t="n"/>
      <c r="BB225" s="44" t="n"/>
      <c r="BC225" s="87" t="n"/>
      <c r="BD225" s="44" t="n"/>
      <c r="BE225" s="87" t="n"/>
      <c r="BF225" s="85" t="n"/>
      <c r="BG225" s="44" t="n"/>
      <c r="BH225" s="44" t="n"/>
      <c r="BI225" s="85" t="n"/>
      <c r="BJ225" s="44" t="n"/>
      <c r="BK225" s="45" t="n"/>
      <c r="BL225" s="44" t="n"/>
      <c r="BM225" s="85" t="n"/>
      <c r="BN225" s="44" t="n"/>
      <c r="BO225" s="85" t="n"/>
      <c r="BP225" s="86" t="n"/>
      <c r="BQ225" s="44" t="n"/>
      <c r="BR225" s="50" t="n"/>
      <c r="BS225" s="89" t="n"/>
      <c r="BT225" s="50">
        <f>IF(OR(K225="",L225="",M225=""),"",IF(ABS(ROUND(((ROUND(N(K225)*100,0))-(0))*(100+N(M225))/100,0)-(ROUND(N(L225)*100,0)))&lt;=0+IF(((ROUND(N(K225)*100,0))-(0))*(100+N(M225))/100&lt;&gt;ROUND(((ROUND(N(K225)*100,0))-(0))*(100+N(M225))/100,0),1,0),"OK","ABWEICHUNG"))</f>
        <v/>
      </c>
    </row>
    <row r="226">
      <c r="A226" s="50" t="n"/>
      <c r="B226" s="44" t="n"/>
      <c r="C226" s="44" t="n"/>
      <c r="D226" s="44" t="n"/>
      <c r="E226" s="44" t="n"/>
      <c r="F226" s="44" t="n"/>
      <c r="G226" s="44" t="n"/>
      <c r="H226" s="44" t="n"/>
      <c r="I226" s="45" t="n"/>
      <c r="J226" s="45" t="n"/>
      <c r="K226" s="85" t="n"/>
      <c r="L226" s="85" t="n"/>
      <c r="M226" s="88" t="n"/>
      <c r="N226" s="88" t="n"/>
      <c r="O226" s="44" t="n"/>
      <c r="P226" s="45" t="n"/>
      <c r="Q226" s="45" t="n"/>
      <c r="R226" s="44" t="n"/>
      <c r="S226" s="45" t="n"/>
      <c r="T226" s="45" t="n"/>
      <c r="U226" s="85" t="n"/>
      <c r="V226" s="44" t="n"/>
      <c r="W226" s="45" t="n"/>
      <c r="X226" s="45" t="n"/>
      <c r="Y226" s="44" t="n"/>
      <c r="Z226" s="85" t="n"/>
      <c r="AA226" s="44" t="n"/>
      <c r="AB226" s="44" t="n"/>
      <c r="AC226" s="44" t="n"/>
      <c r="AD226" s="44" t="n"/>
      <c r="AE226" s="44" t="n"/>
      <c r="AF226" s="88" t="n"/>
      <c r="AG226" s="85" t="n"/>
      <c r="AH226" s="85" t="n"/>
      <c r="AI226" s="85" t="n"/>
      <c r="AJ226" s="85" t="n"/>
      <c r="AK226" s="85" t="n"/>
      <c r="AL226" s="85" t="n"/>
      <c r="AM226" s="85" t="n"/>
      <c r="AN226" s="85" t="n"/>
      <c r="AO226" s="85" t="n"/>
      <c r="AP226" s="85" t="n"/>
      <c r="AQ226" s="85" t="n"/>
      <c r="AR226" s="85" t="n"/>
      <c r="AS226" s="85" t="n"/>
      <c r="AT226" s="85" t="n"/>
      <c r="AU226" s="85" t="n"/>
      <c r="AV226" s="85" t="n"/>
      <c r="AW226" s="44" t="n"/>
      <c r="AX226" s="85" t="n"/>
      <c r="AY226" s="88" t="n"/>
      <c r="AZ226" s="86" t="n"/>
      <c r="BA226" s="44" t="n"/>
      <c r="BB226" s="44" t="n"/>
      <c r="BC226" s="87" t="n"/>
      <c r="BD226" s="44" t="n"/>
      <c r="BE226" s="87" t="n"/>
      <c r="BF226" s="85" t="n"/>
      <c r="BG226" s="44" t="n"/>
      <c r="BH226" s="44" t="n"/>
      <c r="BI226" s="85" t="n"/>
      <c r="BJ226" s="44" t="n"/>
      <c r="BK226" s="45" t="n"/>
      <c r="BL226" s="44" t="n"/>
      <c r="BM226" s="85" t="n"/>
      <c r="BN226" s="44" t="n"/>
      <c r="BO226" s="85" t="n"/>
      <c r="BP226" s="86" t="n"/>
      <c r="BQ226" s="44" t="n"/>
      <c r="BR226" s="50" t="n"/>
      <c r="BS226" s="89" t="n"/>
      <c r="BT226" s="50">
        <f>IF(OR(K226="",L226="",M226=""),"",IF(ABS(ROUND(((ROUND(N(K226)*100,0))-(0))*(100+N(M226))/100,0)-(ROUND(N(L226)*100,0)))&lt;=0+IF(((ROUND(N(K226)*100,0))-(0))*(100+N(M226))/100&lt;&gt;ROUND(((ROUND(N(K226)*100,0))-(0))*(100+N(M226))/100,0),1,0),"OK","ABWEICHUNG"))</f>
        <v/>
      </c>
    </row>
    <row r="227">
      <c r="A227" s="50" t="n"/>
      <c r="B227" s="44" t="n"/>
      <c r="C227" s="44" t="n"/>
      <c r="D227" s="44" t="n"/>
      <c r="E227" s="44" t="n"/>
      <c r="F227" s="44" t="n"/>
      <c r="G227" s="44" t="n"/>
      <c r="H227" s="44" t="n"/>
      <c r="I227" s="45" t="n"/>
      <c r="J227" s="45" t="n"/>
      <c r="K227" s="85" t="n"/>
      <c r="L227" s="85" t="n"/>
      <c r="M227" s="88" t="n"/>
      <c r="N227" s="88" t="n"/>
      <c r="O227" s="44" t="n"/>
      <c r="P227" s="45" t="n"/>
      <c r="Q227" s="45" t="n"/>
      <c r="R227" s="44" t="n"/>
      <c r="S227" s="45" t="n"/>
      <c r="T227" s="45" t="n"/>
      <c r="U227" s="85" t="n"/>
      <c r="V227" s="44" t="n"/>
      <c r="W227" s="45" t="n"/>
      <c r="X227" s="45" t="n"/>
      <c r="Y227" s="44" t="n"/>
      <c r="Z227" s="85" t="n"/>
      <c r="AA227" s="44" t="n"/>
      <c r="AB227" s="44" t="n"/>
      <c r="AC227" s="44" t="n"/>
      <c r="AD227" s="44" t="n"/>
      <c r="AE227" s="44" t="n"/>
      <c r="AF227" s="88" t="n"/>
      <c r="AG227" s="85" t="n"/>
      <c r="AH227" s="85" t="n"/>
      <c r="AI227" s="85" t="n"/>
      <c r="AJ227" s="85" t="n"/>
      <c r="AK227" s="85" t="n"/>
      <c r="AL227" s="85" t="n"/>
      <c r="AM227" s="85" t="n"/>
      <c r="AN227" s="85" t="n"/>
      <c r="AO227" s="85" t="n"/>
      <c r="AP227" s="85" t="n"/>
      <c r="AQ227" s="85" t="n"/>
      <c r="AR227" s="85" t="n"/>
      <c r="AS227" s="85" t="n"/>
      <c r="AT227" s="85" t="n"/>
      <c r="AU227" s="85" t="n"/>
      <c r="AV227" s="85" t="n"/>
      <c r="AW227" s="44" t="n"/>
      <c r="AX227" s="85" t="n"/>
      <c r="AY227" s="88" t="n"/>
      <c r="AZ227" s="86" t="n"/>
      <c r="BA227" s="44" t="n"/>
      <c r="BB227" s="44" t="n"/>
      <c r="BC227" s="87" t="n"/>
      <c r="BD227" s="44" t="n"/>
      <c r="BE227" s="87" t="n"/>
      <c r="BF227" s="85" t="n"/>
      <c r="BG227" s="44" t="n"/>
      <c r="BH227" s="44" t="n"/>
      <c r="BI227" s="85" t="n"/>
      <c r="BJ227" s="44" t="n"/>
      <c r="BK227" s="45" t="n"/>
      <c r="BL227" s="44" t="n"/>
      <c r="BM227" s="85" t="n"/>
      <c r="BN227" s="44" t="n"/>
      <c r="BO227" s="85" t="n"/>
      <c r="BP227" s="86" t="n"/>
      <c r="BQ227" s="44" t="n"/>
      <c r="BR227" s="50" t="n"/>
      <c r="BS227" s="89" t="n"/>
      <c r="BT227" s="50">
        <f>IF(OR(K227="",L227="",M227=""),"",IF(ABS(ROUND(((ROUND(N(K227)*100,0))-(0))*(100+N(M227))/100,0)-(ROUND(N(L227)*100,0)))&lt;=0+IF(((ROUND(N(K227)*100,0))-(0))*(100+N(M227))/100&lt;&gt;ROUND(((ROUND(N(K227)*100,0))-(0))*(100+N(M227))/100,0),1,0),"OK","ABWEICHUNG"))</f>
        <v/>
      </c>
    </row>
    <row r="228">
      <c r="A228" s="50" t="n"/>
      <c r="B228" s="44" t="n"/>
      <c r="C228" s="44" t="n"/>
      <c r="D228" s="44" t="n"/>
      <c r="E228" s="44" t="n"/>
      <c r="F228" s="44" t="n"/>
      <c r="G228" s="44" t="n"/>
      <c r="H228" s="44" t="n"/>
      <c r="I228" s="45" t="n"/>
      <c r="J228" s="45" t="n"/>
      <c r="K228" s="85" t="n"/>
      <c r="L228" s="85" t="n"/>
      <c r="M228" s="88" t="n"/>
      <c r="N228" s="88" t="n"/>
      <c r="O228" s="44" t="n"/>
      <c r="P228" s="45" t="n"/>
      <c r="Q228" s="45" t="n"/>
      <c r="R228" s="44" t="n"/>
      <c r="S228" s="45" t="n"/>
      <c r="T228" s="45" t="n"/>
      <c r="U228" s="85" t="n"/>
      <c r="V228" s="44" t="n"/>
      <c r="W228" s="45" t="n"/>
      <c r="X228" s="45" t="n"/>
      <c r="Y228" s="44" t="n"/>
      <c r="Z228" s="85" t="n"/>
      <c r="AA228" s="44" t="n"/>
      <c r="AB228" s="44" t="n"/>
      <c r="AC228" s="44" t="n"/>
      <c r="AD228" s="44" t="n"/>
      <c r="AE228" s="44" t="n"/>
      <c r="AF228" s="88" t="n"/>
      <c r="AG228" s="85" t="n"/>
      <c r="AH228" s="85" t="n"/>
      <c r="AI228" s="85" t="n"/>
      <c r="AJ228" s="85" t="n"/>
      <c r="AK228" s="85" t="n"/>
      <c r="AL228" s="85" t="n"/>
      <c r="AM228" s="85" t="n"/>
      <c r="AN228" s="85" t="n"/>
      <c r="AO228" s="85" t="n"/>
      <c r="AP228" s="85" t="n"/>
      <c r="AQ228" s="85" t="n"/>
      <c r="AR228" s="85" t="n"/>
      <c r="AS228" s="85" t="n"/>
      <c r="AT228" s="85" t="n"/>
      <c r="AU228" s="85" t="n"/>
      <c r="AV228" s="85" t="n"/>
      <c r="AW228" s="44" t="n"/>
      <c r="AX228" s="85" t="n"/>
      <c r="AY228" s="88" t="n"/>
      <c r="AZ228" s="86" t="n"/>
      <c r="BA228" s="44" t="n"/>
      <c r="BB228" s="44" t="n"/>
      <c r="BC228" s="87" t="n"/>
      <c r="BD228" s="44" t="n"/>
      <c r="BE228" s="87" t="n"/>
      <c r="BF228" s="85" t="n"/>
      <c r="BG228" s="44" t="n"/>
      <c r="BH228" s="44" t="n"/>
      <c r="BI228" s="85" t="n"/>
      <c r="BJ228" s="44" t="n"/>
      <c r="BK228" s="45" t="n"/>
      <c r="BL228" s="44" t="n"/>
      <c r="BM228" s="85" t="n"/>
      <c r="BN228" s="44" t="n"/>
      <c r="BO228" s="85" t="n"/>
      <c r="BP228" s="86" t="n"/>
      <c r="BQ228" s="44" t="n"/>
      <c r="BR228" s="50" t="n"/>
      <c r="BS228" s="89" t="n"/>
      <c r="BT228" s="50">
        <f>IF(OR(K228="",L228="",M228=""),"",IF(ABS(ROUND(((ROUND(N(K228)*100,0))-(0))*(100+N(M228))/100,0)-(ROUND(N(L228)*100,0)))&lt;=0+IF(((ROUND(N(K228)*100,0))-(0))*(100+N(M228))/100&lt;&gt;ROUND(((ROUND(N(K228)*100,0))-(0))*(100+N(M228))/100,0),1,0),"OK","ABWEICHUNG"))</f>
        <v/>
      </c>
    </row>
    <row r="229">
      <c r="A229" s="50" t="n"/>
      <c r="B229" s="44" t="n"/>
      <c r="C229" s="44" t="n"/>
      <c r="D229" s="44" t="n"/>
      <c r="E229" s="44" t="n"/>
      <c r="F229" s="44" t="n"/>
      <c r="G229" s="44" t="n"/>
      <c r="H229" s="44" t="n"/>
      <c r="I229" s="45" t="n"/>
      <c r="J229" s="45" t="n"/>
      <c r="K229" s="85" t="n"/>
      <c r="L229" s="85" t="n"/>
      <c r="M229" s="88" t="n"/>
      <c r="N229" s="88" t="n"/>
      <c r="O229" s="44" t="n"/>
      <c r="P229" s="45" t="n"/>
      <c r="Q229" s="45" t="n"/>
      <c r="R229" s="44" t="n"/>
      <c r="S229" s="45" t="n"/>
      <c r="T229" s="45" t="n"/>
      <c r="U229" s="85" t="n"/>
      <c r="V229" s="44" t="n"/>
      <c r="W229" s="45" t="n"/>
      <c r="X229" s="45" t="n"/>
      <c r="Y229" s="44" t="n"/>
      <c r="Z229" s="85" t="n"/>
      <c r="AA229" s="44" t="n"/>
      <c r="AB229" s="44" t="n"/>
      <c r="AC229" s="44" t="n"/>
      <c r="AD229" s="44" t="n"/>
      <c r="AE229" s="44" t="n"/>
      <c r="AF229" s="88" t="n"/>
      <c r="AG229" s="85" t="n"/>
      <c r="AH229" s="85" t="n"/>
      <c r="AI229" s="85" t="n"/>
      <c r="AJ229" s="85" t="n"/>
      <c r="AK229" s="85" t="n"/>
      <c r="AL229" s="85" t="n"/>
      <c r="AM229" s="85" t="n"/>
      <c r="AN229" s="85" t="n"/>
      <c r="AO229" s="85" t="n"/>
      <c r="AP229" s="85" t="n"/>
      <c r="AQ229" s="85" t="n"/>
      <c r="AR229" s="85" t="n"/>
      <c r="AS229" s="85" t="n"/>
      <c r="AT229" s="85" t="n"/>
      <c r="AU229" s="85" t="n"/>
      <c r="AV229" s="85" t="n"/>
      <c r="AW229" s="44" t="n"/>
      <c r="AX229" s="85" t="n"/>
      <c r="AY229" s="88" t="n"/>
      <c r="AZ229" s="86" t="n"/>
      <c r="BA229" s="44" t="n"/>
      <c r="BB229" s="44" t="n"/>
      <c r="BC229" s="87" t="n"/>
      <c r="BD229" s="44" t="n"/>
      <c r="BE229" s="87" t="n"/>
      <c r="BF229" s="85" t="n"/>
      <c r="BG229" s="44" t="n"/>
      <c r="BH229" s="44" t="n"/>
      <c r="BI229" s="85" t="n"/>
      <c r="BJ229" s="44" t="n"/>
      <c r="BK229" s="45" t="n"/>
      <c r="BL229" s="44" t="n"/>
      <c r="BM229" s="85" t="n"/>
      <c r="BN229" s="44" t="n"/>
      <c r="BO229" s="85" t="n"/>
      <c r="BP229" s="86" t="n"/>
      <c r="BQ229" s="44" t="n"/>
      <c r="BR229" s="50" t="n"/>
      <c r="BS229" s="89" t="n"/>
      <c r="BT229" s="50">
        <f>IF(OR(K229="",L229="",M229=""),"",IF(ABS(ROUND(((ROUND(N(K229)*100,0))-(0))*(100+N(M229))/100,0)-(ROUND(N(L229)*100,0)))&lt;=0+IF(((ROUND(N(K229)*100,0))-(0))*(100+N(M229))/100&lt;&gt;ROUND(((ROUND(N(K229)*100,0))-(0))*(100+N(M229))/100,0),1,0),"OK","ABWEICHUNG"))</f>
        <v/>
      </c>
    </row>
    <row r="230">
      <c r="A230" s="50" t="n"/>
      <c r="B230" s="44" t="n"/>
      <c r="C230" s="44" t="n"/>
      <c r="D230" s="44" t="n"/>
      <c r="E230" s="44" t="n"/>
      <c r="F230" s="44" t="n"/>
      <c r="G230" s="44" t="n"/>
      <c r="H230" s="44" t="n"/>
      <c r="I230" s="45" t="n"/>
      <c r="J230" s="45" t="n"/>
      <c r="K230" s="85" t="n"/>
      <c r="L230" s="85" t="n"/>
      <c r="M230" s="88" t="n"/>
      <c r="N230" s="88" t="n"/>
      <c r="O230" s="44" t="n"/>
      <c r="P230" s="45" t="n"/>
      <c r="Q230" s="45" t="n"/>
      <c r="R230" s="44" t="n"/>
      <c r="S230" s="45" t="n"/>
      <c r="T230" s="45" t="n"/>
      <c r="U230" s="85" t="n"/>
      <c r="V230" s="44" t="n"/>
      <c r="W230" s="45" t="n"/>
      <c r="X230" s="45" t="n"/>
      <c r="Y230" s="44" t="n"/>
      <c r="Z230" s="85" t="n"/>
      <c r="AA230" s="44" t="n"/>
      <c r="AB230" s="44" t="n"/>
      <c r="AC230" s="44" t="n"/>
      <c r="AD230" s="44" t="n"/>
      <c r="AE230" s="44" t="n"/>
      <c r="AF230" s="88" t="n"/>
      <c r="AG230" s="85" t="n"/>
      <c r="AH230" s="85" t="n"/>
      <c r="AI230" s="85" t="n"/>
      <c r="AJ230" s="85" t="n"/>
      <c r="AK230" s="85" t="n"/>
      <c r="AL230" s="85" t="n"/>
      <c r="AM230" s="85" t="n"/>
      <c r="AN230" s="85" t="n"/>
      <c r="AO230" s="85" t="n"/>
      <c r="AP230" s="85" t="n"/>
      <c r="AQ230" s="85" t="n"/>
      <c r="AR230" s="85" t="n"/>
      <c r="AS230" s="85" t="n"/>
      <c r="AT230" s="85" t="n"/>
      <c r="AU230" s="85" t="n"/>
      <c r="AV230" s="85" t="n"/>
      <c r="AW230" s="44" t="n"/>
      <c r="AX230" s="85" t="n"/>
      <c r="AY230" s="88" t="n"/>
      <c r="AZ230" s="86" t="n"/>
      <c r="BA230" s="44" t="n"/>
      <c r="BB230" s="44" t="n"/>
      <c r="BC230" s="87" t="n"/>
      <c r="BD230" s="44" t="n"/>
      <c r="BE230" s="87" t="n"/>
      <c r="BF230" s="85" t="n"/>
      <c r="BG230" s="44" t="n"/>
      <c r="BH230" s="44" t="n"/>
      <c r="BI230" s="85" t="n"/>
      <c r="BJ230" s="44" t="n"/>
      <c r="BK230" s="45" t="n"/>
      <c r="BL230" s="44" t="n"/>
      <c r="BM230" s="85" t="n"/>
      <c r="BN230" s="44" t="n"/>
      <c r="BO230" s="85" t="n"/>
      <c r="BP230" s="86" t="n"/>
      <c r="BQ230" s="44" t="n"/>
      <c r="BR230" s="50" t="n"/>
      <c r="BS230" s="89" t="n"/>
      <c r="BT230" s="50">
        <f>IF(OR(K230="",L230="",M230=""),"",IF(ABS(ROUND(((ROUND(N(K230)*100,0))-(0))*(100+N(M230))/100,0)-(ROUND(N(L230)*100,0)))&lt;=0+IF(((ROUND(N(K230)*100,0))-(0))*(100+N(M230))/100&lt;&gt;ROUND(((ROUND(N(K230)*100,0))-(0))*(100+N(M230))/100,0),1,0),"OK","ABWEICHUNG"))</f>
        <v/>
      </c>
    </row>
    <row r="231">
      <c r="A231" s="50" t="n"/>
      <c r="B231" s="44" t="n"/>
      <c r="C231" s="44" t="n"/>
      <c r="D231" s="44" t="n"/>
      <c r="E231" s="44" t="n"/>
      <c r="F231" s="44" t="n"/>
      <c r="G231" s="44" t="n"/>
      <c r="H231" s="44" t="n"/>
      <c r="I231" s="45" t="n"/>
      <c r="J231" s="45" t="n"/>
      <c r="K231" s="85" t="n"/>
      <c r="L231" s="85" t="n"/>
      <c r="M231" s="88" t="n"/>
      <c r="N231" s="88" t="n"/>
      <c r="O231" s="44" t="n"/>
      <c r="P231" s="45" t="n"/>
      <c r="Q231" s="45" t="n"/>
      <c r="R231" s="44" t="n"/>
      <c r="S231" s="45" t="n"/>
      <c r="T231" s="45" t="n"/>
      <c r="U231" s="85" t="n"/>
      <c r="V231" s="44" t="n"/>
      <c r="W231" s="45" t="n"/>
      <c r="X231" s="45" t="n"/>
      <c r="Y231" s="44" t="n"/>
      <c r="Z231" s="85" t="n"/>
      <c r="AA231" s="44" t="n"/>
      <c r="AB231" s="44" t="n"/>
      <c r="AC231" s="44" t="n"/>
      <c r="AD231" s="44" t="n"/>
      <c r="AE231" s="44" t="n"/>
      <c r="AF231" s="88" t="n"/>
      <c r="AG231" s="85" t="n"/>
      <c r="AH231" s="85" t="n"/>
      <c r="AI231" s="85" t="n"/>
      <c r="AJ231" s="85" t="n"/>
      <c r="AK231" s="85" t="n"/>
      <c r="AL231" s="85" t="n"/>
      <c r="AM231" s="85" t="n"/>
      <c r="AN231" s="85" t="n"/>
      <c r="AO231" s="85" t="n"/>
      <c r="AP231" s="85" t="n"/>
      <c r="AQ231" s="85" t="n"/>
      <c r="AR231" s="85" t="n"/>
      <c r="AS231" s="85" t="n"/>
      <c r="AT231" s="85" t="n"/>
      <c r="AU231" s="85" t="n"/>
      <c r="AV231" s="85" t="n"/>
      <c r="AW231" s="44" t="n"/>
      <c r="AX231" s="85" t="n"/>
      <c r="AY231" s="88" t="n"/>
      <c r="AZ231" s="86" t="n"/>
      <c r="BA231" s="44" t="n"/>
      <c r="BB231" s="44" t="n"/>
      <c r="BC231" s="87" t="n"/>
      <c r="BD231" s="44" t="n"/>
      <c r="BE231" s="87" t="n"/>
      <c r="BF231" s="85" t="n"/>
      <c r="BG231" s="44" t="n"/>
      <c r="BH231" s="44" t="n"/>
      <c r="BI231" s="85" t="n"/>
      <c r="BJ231" s="44" t="n"/>
      <c r="BK231" s="45" t="n"/>
      <c r="BL231" s="44" t="n"/>
      <c r="BM231" s="85" t="n"/>
      <c r="BN231" s="44" t="n"/>
      <c r="BO231" s="85" t="n"/>
      <c r="BP231" s="86" t="n"/>
      <c r="BQ231" s="44" t="n"/>
      <c r="BR231" s="50" t="n"/>
      <c r="BS231" s="89" t="n"/>
      <c r="BT231" s="50">
        <f>IF(OR(K231="",L231="",M231=""),"",IF(ABS(ROUND(((ROUND(N(K231)*100,0))-(0))*(100+N(M231))/100,0)-(ROUND(N(L231)*100,0)))&lt;=0+IF(((ROUND(N(K231)*100,0))-(0))*(100+N(M231))/100&lt;&gt;ROUND(((ROUND(N(K231)*100,0))-(0))*(100+N(M231))/100,0),1,0),"OK","ABWEICHUNG"))</f>
        <v/>
      </c>
    </row>
    <row r="232">
      <c r="A232" s="50" t="n"/>
      <c r="B232" s="44" t="n"/>
      <c r="C232" s="44" t="n"/>
      <c r="D232" s="44" t="n"/>
      <c r="E232" s="44" t="n"/>
      <c r="F232" s="44" t="n"/>
      <c r="G232" s="44" t="n"/>
      <c r="H232" s="44" t="n"/>
      <c r="I232" s="45" t="n"/>
      <c r="J232" s="45" t="n"/>
      <c r="K232" s="85" t="n"/>
      <c r="L232" s="85" t="n"/>
      <c r="M232" s="88" t="n"/>
      <c r="N232" s="88" t="n"/>
      <c r="O232" s="44" t="n"/>
      <c r="P232" s="45" t="n"/>
      <c r="Q232" s="45" t="n"/>
      <c r="R232" s="44" t="n"/>
      <c r="S232" s="45" t="n"/>
      <c r="T232" s="45" t="n"/>
      <c r="U232" s="85" t="n"/>
      <c r="V232" s="44" t="n"/>
      <c r="W232" s="45" t="n"/>
      <c r="X232" s="45" t="n"/>
      <c r="Y232" s="44" t="n"/>
      <c r="Z232" s="85" t="n"/>
      <c r="AA232" s="44" t="n"/>
      <c r="AB232" s="44" t="n"/>
      <c r="AC232" s="44" t="n"/>
      <c r="AD232" s="44" t="n"/>
      <c r="AE232" s="44" t="n"/>
      <c r="AF232" s="88" t="n"/>
      <c r="AG232" s="85" t="n"/>
      <c r="AH232" s="85" t="n"/>
      <c r="AI232" s="85" t="n"/>
      <c r="AJ232" s="85" t="n"/>
      <c r="AK232" s="85" t="n"/>
      <c r="AL232" s="85" t="n"/>
      <c r="AM232" s="85" t="n"/>
      <c r="AN232" s="85" t="n"/>
      <c r="AO232" s="85" t="n"/>
      <c r="AP232" s="85" t="n"/>
      <c r="AQ232" s="85" t="n"/>
      <c r="AR232" s="85" t="n"/>
      <c r="AS232" s="85" t="n"/>
      <c r="AT232" s="85" t="n"/>
      <c r="AU232" s="85" t="n"/>
      <c r="AV232" s="85" t="n"/>
      <c r="AW232" s="44" t="n"/>
      <c r="AX232" s="85" t="n"/>
      <c r="AY232" s="88" t="n"/>
      <c r="AZ232" s="86" t="n"/>
      <c r="BA232" s="44" t="n"/>
      <c r="BB232" s="44" t="n"/>
      <c r="BC232" s="87" t="n"/>
      <c r="BD232" s="44" t="n"/>
      <c r="BE232" s="87" t="n"/>
      <c r="BF232" s="85" t="n"/>
      <c r="BG232" s="44" t="n"/>
      <c r="BH232" s="44" t="n"/>
      <c r="BI232" s="85" t="n"/>
      <c r="BJ232" s="44" t="n"/>
      <c r="BK232" s="45" t="n"/>
      <c r="BL232" s="44" t="n"/>
      <c r="BM232" s="85" t="n"/>
      <c r="BN232" s="44" t="n"/>
      <c r="BO232" s="85" t="n"/>
      <c r="BP232" s="86" t="n"/>
      <c r="BQ232" s="44" t="n"/>
      <c r="BR232" s="50" t="n"/>
      <c r="BS232" s="89" t="n"/>
      <c r="BT232" s="50">
        <f>IF(OR(K232="",L232="",M232=""),"",IF(ABS(ROUND(((ROUND(N(K232)*100,0))-(0))*(100+N(M232))/100,0)-(ROUND(N(L232)*100,0)))&lt;=0+IF(((ROUND(N(K232)*100,0))-(0))*(100+N(M232))/100&lt;&gt;ROUND(((ROUND(N(K232)*100,0))-(0))*(100+N(M232))/100,0),1,0),"OK","ABWEICHUNG"))</f>
        <v/>
      </c>
    </row>
    <row r="233">
      <c r="A233" s="50" t="n"/>
      <c r="B233" s="44" t="n"/>
      <c r="C233" s="44" t="n"/>
      <c r="D233" s="44" t="n"/>
      <c r="E233" s="44" t="n"/>
      <c r="F233" s="44" t="n"/>
      <c r="G233" s="44" t="n"/>
      <c r="H233" s="44" t="n"/>
      <c r="I233" s="45" t="n"/>
      <c r="J233" s="45" t="n"/>
      <c r="K233" s="85" t="n"/>
      <c r="L233" s="85" t="n"/>
      <c r="M233" s="88" t="n"/>
      <c r="N233" s="88" t="n"/>
      <c r="O233" s="44" t="n"/>
      <c r="P233" s="45" t="n"/>
      <c r="Q233" s="45" t="n"/>
      <c r="R233" s="44" t="n"/>
      <c r="S233" s="45" t="n"/>
      <c r="T233" s="45" t="n"/>
      <c r="U233" s="85" t="n"/>
      <c r="V233" s="44" t="n"/>
      <c r="W233" s="45" t="n"/>
      <c r="X233" s="45" t="n"/>
      <c r="Y233" s="44" t="n"/>
      <c r="Z233" s="85" t="n"/>
      <c r="AA233" s="44" t="n"/>
      <c r="AB233" s="44" t="n"/>
      <c r="AC233" s="44" t="n"/>
      <c r="AD233" s="44" t="n"/>
      <c r="AE233" s="44" t="n"/>
      <c r="AF233" s="88" t="n"/>
      <c r="AG233" s="85" t="n"/>
      <c r="AH233" s="85" t="n"/>
      <c r="AI233" s="85" t="n"/>
      <c r="AJ233" s="85" t="n"/>
      <c r="AK233" s="85" t="n"/>
      <c r="AL233" s="85" t="n"/>
      <c r="AM233" s="85" t="n"/>
      <c r="AN233" s="85" t="n"/>
      <c r="AO233" s="85" t="n"/>
      <c r="AP233" s="85" t="n"/>
      <c r="AQ233" s="85" t="n"/>
      <c r="AR233" s="85" t="n"/>
      <c r="AS233" s="85" t="n"/>
      <c r="AT233" s="85" t="n"/>
      <c r="AU233" s="85" t="n"/>
      <c r="AV233" s="85" t="n"/>
      <c r="AW233" s="44" t="n"/>
      <c r="AX233" s="85" t="n"/>
      <c r="AY233" s="88" t="n"/>
      <c r="AZ233" s="86" t="n"/>
      <c r="BA233" s="44" t="n"/>
      <c r="BB233" s="44" t="n"/>
      <c r="BC233" s="87" t="n"/>
      <c r="BD233" s="44" t="n"/>
      <c r="BE233" s="87" t="n"/>
      <c r="BF233" s="85" t="n"/>
      <c r="BG233" s="44" t="n"/>
      <c r="BH233" s="44" t="n"/>
      <c r="BI233" s="85" t="n"/>
      <c r="BJ233" s="44" t="n"/>
      <c r="BK233" s="45" t="n"/>
      <c r="BL233" s="44" t="n"/>
      <c r="BM233" s="85" t="n"/>
      <c r="BN233" s="44" t="n"/>
      <c r="BO233" s="85" t="n"/>
      <c r="BP233" s="86" t="n"/>
      <c r="BQ233" s="44" t="n"/>
      <c r="BR233" s="50" t="n"/>
      <c r="BS233" s="89" t="n"/>
      <c r="BT233" s="50">
        <f>IF(OR(K233="",L233="",M233=""),"",IF(ABS(ROUND(((ROUND(N(K233)*100,0))-(0))*(100+N(M233))/100,0)-(ROUND(N(L233)*100,0)))&lt;=0+IF(((ROUND(N(K233)*100,0))-(0))*(100+N(M233))/100&lt;&gt;ROUND(((ROUND(N(K233)*100,0))-(0))*(100+N(M233))/100,0),1,0),"OK","ABWEICHUNG"))</f>
        <v/>
      </c>
    </row>
    <row r="234">
      <c r="A234" s="50" t="n"/>
      <c r="B234" s="44" t="n"/>
      <c r="C234" s="44" t="n"/>
      <c r="D234" s="44" t="n"/>
      <c r="E234" s="44" t="n"/>
      <c r="F234" s="44" t="n"/>
      <c r="G234" s="44" t="n"/>
      <c r="H234" s="44" t="n"/>
      <c r="I234" s="45" t="n"/>
      <c r="J234" s="45" t="n"/>
      <c r="K234" s="85" t="n"/>
      <c r="L234" s="85" t="n"/>
      <c r="M234" s="88" t="n"/>
      <c r="N234" s="88" t="n"/>
      <c r="O234" s="44" t="n"/>
      <c r="P234" s="45" t="n"/>
      <c r="Q234" s="45" t="n"/>
      <c r="R234" s="44" t="n"/>
      <c r="S234" s="45" t="n"/>
      <c r="T234" s="45" t="n"/>
      <c r="U234" s="85" t="n"/>
      <c r="V234" s="44" t="n"/>
      <c r="W234" s="45" t="n"/>
      <c r="X234" s="45" t="n"/>
      <c r="Y234" s="44" t="n"/>
      <c r="Z234" s="85" t="n"/>
      <c r="AA234" s="44" t="n"/>
      <c r="AB234" s="44" t="n"/>
      <c r="AC234" s="44" t="n"/>
      <c r="AD234" s="44" t="n"/>
      <c r="AE234" s="44" t="n"/>
      <c r="AF234" s="88" t="n"/>
      <c r="AG234" s="85" t="n"/>
      <c r="AH234" s="85" t="n"/>
      <c r="AI234" s="85" t="n"/>
      <c r="AJ234" s="85" t="n"/>
      <c r="AK234" s="85" t="n"/>
      <c r="AL234" s="85" t="n"/>
      <c r="AM234" s="85" t="n"/>
      <c r="AN234" s="85" t="n"/>
      <c r="AO234" s="85" t="n"/>
      <c r="AP234" s="85" t="n"/>
      <c r="AQ234" s="85" t="n"/>
      <c r="AR234" s="85" t="n"/>
      <c r="AS234" s="85" t="n"/>
      <c r="AT234" s="85" t="n"/>
      <c r="AU234" s="85" t="n"/>
      <c r="AV234" s="85" t="n"/>
      <c r="AW234" s="44" t="n"/>
      <c r="AX234" s="85" t="n"/>
      <c r="AY234" s="88" t="n"/>
      <c r="AZ234" s="86" t="n"/>
      <c r="BA234" s="44" t="n"/>
      <c r="BB234" s="44" t="n"/>
      <c r="BC234" s="87" t="n"/>
      <c r="BD234" s="44" t="n"/>
      <c r="BE234" s="87" t="n"/>
      <c r="BF234" s="85" t="n"/>
      <c r="BG234" s="44" t="n"/>
      <c r="BH234" s="44" t="n"/>
      <c r="BI234" s="85" t="n"/>
      <c r="BJ234" s="44" t="n"/>
      <c r="BK234" s="45" t="n"/>
      <c r="BL234" s="44" t="n"/>
      <c r="BM234" s="85" t="n"/>
      <c r="BN234" s="44" t="n"/>
      <c r="BO234" s="85" t="n"/>
      <c r="BP234" s="86" t="n"/>
      <c r="BQ234" s="44" t="n"/>
      <c r="BR234" s="50" t="n"/>
      <c r="BS234" s="89" t="n"/>
      <c r="BT234" s="50">
        <f>IF(OR(K234="",L234="",M234=""),"",IF(ABS(ROUND(((ROUND(N(K234)*100,0))-(0))*(100+N(M234))/100,0)-(ROUND(N(L234)*100,0)))&lt;=0+IF(((ROUND(N(K234)*100,0))-(0))*(100+N(M234))/100&lt;&gt;ROUND(((ROUND(N(K234)*100,0))-(0))*(100+N(M234))/100,0),1,0),"OK","ABWEICHUNG"))</f>
        <v/>
      </c>
    </row>
    <row r="235">
      <c r="A235" s="50" t="n"/>
      <c r="B235" s="44" t="n"/>
      <c r="C235" s="44" t="n"/>
      <c r="D235" s="44" t="n"/>
      <c r="E235" s="44" t="n"/>
      <c r="F235" s="44" t="n"/>
      <c r="G235" s="44" t="n"/>
      <c r="H235" s="44" t="n"/>
      <c r="I235" s="45" t="n"/>
      <c r="J235" s="45" t="n"/>
      <c r="K235" s="85" t="n"/>
      <c r="L235" s="85" t="n"/>
      <c r="M235" s="88" t="n"/>
      <c r="N235" s="88" t="n"/>
      <c r="O235" s="44" t="n"/>
      <c r="P235" s="45" t="n"/>
      <c r="Q235" s="45" t="n"/>
      <c r="R235" s="44" t="n"/>
      <c r="S235" s="45" t="n"/>
      <c r="T235" s="45" t="n"/>
      <c r="U235" s="85" t="n"/>
      <c r="V235" s="44" t="n"/>
      <c r="W235" s="45" t="n"/>
      <c r="X235" s="45" t="n"/>
      <c r="Y235" s="44" t="n"/>
      <c r="Z235" s="85" t="n"/>
      <c r="AA235" s="44" t="n"/>
      <c r="AB235" s="44" t="n"/>
      <c r="AC235" s="44" t="n"/>
      <c r="AD235" s="44" t="n"/>
      <c r="AE235" s="44" t="n"/>
      <c r="AF235" s="88" t="n"/>
      <c r="AG235" s="85" t="n"/>
      <c r="AH235" s="85" t="n"/>
      <c r="AI235" s="85" t="n"/>
      <c r="AJ235" s="85" t="n"/>
      <c r="AK235" s="85" t="n"/>
      <c r="AL235" s="85" t="n"/>
      <c r="AM235" s="85" t="n"/>
      <c r="AN235" s="85" t="n"/>
      <c r="AO235" s="85" t="n"/>
      <c r="AP235" s="85" t="n"/>
      <c r="AQ235" s="85" t="n"/>
      <c r="AR235" s="85" t="n"/>
      <c r="AS235" s="85" t="n"/>
      <c r="AT235" s="85" t="n"/>
      <c r="AU235" s="85" t="n"/>
      <c r="AV235" s="85" t="n"/>
      <c r="AW235" s="44" t="n"/>
      <c r="AX235" s="85" t="n"/>
      <c r="AY235" s="88" t="n"/>
      <c r="AZ235" s="86" t="n"/>
      <c r="BA235" s="44" t="n"/>
      <c r="BB235" s="44" t="n"/>
      <c r="BC235" s="87" t="n"/>
      <c r="BD235" s="44" t="n"/>
      <c r="BE235" s="87" t="n"/>
      <c r="BF235" s="85" t="n"/>
      <c r="BG235" s="44" t="n"/>
      <c r="BH235" s="44" t="n"/>
      <c r="BI235" s="85" t="n"/>
      <c r="BJ235" s="44" t="n"/>
      <c r="BK235" s="45" t="n"/>
      <c r="BL235" s="44" t="n"/>
      <c r="BM235" s="85" t="n"/>
      <c r="BN235" s="44" t="n"/>
      <c r="BO235" s="85" t="n"/>
      <c r="BP235" s="86" t="n"/>
      <c r="BQ235" s="44" t="n"/>
      <c r="BR235" s="50" t="n"/>
      <c r="BS235" s="89" t="n"/>
      <c r="BT235" s="50">
        <f>IF(OR(K235="",L235="",M235=""),"",IF(ABS(ROUND(((ROUND(N(K235)*100,0))-(0))*(100+N(M235))/100,0)-(ROUND(N(L235)*100,0)))&lt;=0+IF(((ROUND(N(K235)*100,0))-(0))*(100+N(M235))/100&lt;&gt;ROUND(((ROUND(N(K235)*100,0))-(0))*(100+N(M235))/100,0),1,0),"OK","ABWEICHUNG"))</f>
        <v/>
      </c>
    </row>
    <row r="236">
      <c r="A236" s="50" t="n"/>
      <c r="B236" s="44" t="n"/>
      <c r="C236" s="44" t="n"/>
      <c r="D236" s="44" t="n"/>
      <c r="E236" s="44" t="n"/>
      <c r="F236" s="44" t="n"/>
      <c r="G236" s="44" t="n"/>
      <c r="H236" s="44" t="n"/>
      <c r="I236" s="45" t="n"/>
      <c r="J236" s="45" t="n"/>
      <c r="K236" s="85" t="n"/>
      <c r="L236" s="85" t="n"/>
      <c r="M236" s="88" t="n"/>
      <c r="N236" s="88" t="n"/>
      <c r="O236" s="44" t="n"/>
      <c r="P236" s="45" t="n"/>
      <c r="Q236" s="45" t="n"/>
      <c r="R236" s="44" t="n"/>
      <c r="S236" s="45" t="n"/>
      <c r="T236" s="45" t="n"/>
      <c r="U236" s="85" t="n"/>
      <c r="V236" s="44" t="n"/>
      <c r="W236" s="45" t="n"/>
      <c r="X236" s="45" t="n"/>
      <c r="Y236" s="44" t="n"/>
      <c r="Z236" s="85" t="n"/>
      <c r="AA236" s="44" t="n"/>
      <c r="AB236" s="44" t="n"/>
      <c r="AC236" s="44" t="n"/>
      <c r="AD236" s="44" t="n"/>
      <c r="AE236" s="44" t="n"/>
      <c r="AF236" s="88" t="n"/>
      <c r="AG236" s="85" t="n"/>
      <c r="AH236" s="85" t="n"/>
      <c r="AI236" s="85" t="n"/>
      <c r="AJ236" s="85" t="n"/>
      <c r="AK236" s="85" t="n"/>
      <c r="AL236" s="85" t="n"/>
      <c r="AM236" s="85" t="n"/>
      <c r="AN236" s="85" t="n"/>
      <c r="AO236" s="85" t="n"/>
      <c r="AP236" s="85" t="n"/>
      <c r="AQ236" s="85" t="n"/>
      <c r="AR236" s="85" t="n"/>
      <c r="AS236" s="85" t="n"/>
      <c r="AT236" s="85" t="n"/>
      <c r="AU236" s="85" t="n"/>
      <c r="AV236" s="85" t="n"/>
      <c r="AW236" s="44" t="n"/>
      <c r="AX236" s="85" t="n"/>
      <c r="AY236" s="88" t="n"/>
      <c r="AZ236" s="86" t="n"/>
      <c r="BA236" s="44" t="n"/>
      <c r="BB236" s="44" t="n"/>
      <c r="BC236" s="87" t="n"/>
      <c r="BD236" s="44" t="n"/>
      <c r="BE236" s="87" t="n"/>
      <c r="BF236" s="85" t="n"/>
      <c r="BG236" s="44" t="n"/>
      <c r="BH236" s="44" t="n"/>
      <c r="BI236" s="85" t="n"/>
      <c r="BJ236" s="44" t="n"/>
      <c r="BK236" s="45" t="n"/>
      <c r="BL236" s="44" t="n"/>
      <c r="BM236" s="85" t="n"/>
      <c r="BN236" s="44" t="n"/>
      <c r="BO236" s="85" t="n"/>
      <c r="BP236" s="86" t="n"/>
      <c r="BQ236" s="44" t="n"/>
      <c r="BR236" s="50" t="n"/>
      <c r="BS236" s="89" t="n"/>
      <c r="BT236" s="50">
        <f>IF(OR(K236="",L236="",M236=""),"",IF(ABS(ROUND(((ROUND(N(K236)*100,0))-(0))*(100+N(M236))/100,0)-(ROUND(N(L236)*100,0)))&lt;=0+IF(((ROUND(N(K236)*100,0))-(0))*(100+N(M236))/100&lt;&gt;ROUND(((ROUND(N(K236)*100,0))-(0))*(100+N(M236))/100,0),1,0),"OK","ABWEICHUNG"))</f>
        <v/>
      </c>
    </row>
    <row r="237">
      <c r="A237" s="50" t="n"/>
      <c r="B237" s="44" t="n"/>
      <c r="C237" s="44" t="n"/>
      <c r="D237" s="44" t="n"/>
      <c r="E237" s="44" t="n"/>
      <c r="F237" s="44" t="n"/>
      <c r="G237" s="44" t="n"/>
      <c r="H237" s="44" t="n"/>
      <c r="I237" s="45" t="n"/>
      <c r="J237" s="45" t="n"/>
      <c r="K237" s="85" t="n"/>
      <c r="L237" s="85" t="n"/>
      <c r="M237" s="88" t="n"/>
      <c r="N237" s="88" t="n"/>
      <c r="O237" s="44" t="n"/>
      <c r="P237" s="45" t="n"/>
      <c r="Q237" s="45" t="n"/>
      <c r="R237" s="44" t="n"/>
      <c r="S237" s="45" t="n"/>
      <c r="T237" s="45" t="n"/>
      <c r="U237" s="85" t="n"/>
      <c r="V237" s="44" t="n"/>
      <c r="W237" s="45" t="n"/>
      <c r="X237" s="45" t="n"/>
      <c r="Y237" s="44" t="n"/>
      <c r="Z237" s="85" t="n"/>
      <c r="AA237" s="44" t="n"/>
      <c r="AB237" s="44" t="n"/>
      <c r="AC237" s="44" t="n"/>
      <c r="AD237" s="44" t="n"/>
      <c r="AE237" s="44" t="n"/>
      <c r="AF237" s="88" t="n"/>
      <c r="AG237" s="85" t="n"/>
      <c r="AH237" s="85" t="n"/>
      <c r="AI237" s="85" t="n"/>
      <c r="AJ237" s="85" t="n"/>
      <c r="AK237" s="85" t="n"/>
      <c r="AL237" s="85" t="n"/>
      <c r="AM237" s="85" t="n"/>
      <c r="AN237" s="85" t="n"/>
      <c r="AO237" s="85" t="n"/>
      <c r="AP237" s="85" t="n"/>
      <c r="AQ237" s="85" t="n"/>
      <c r="AR237" s="85" t="n"/>
      <c r="AS237" s="85" t="n"/>
      <c r="AT237" s="85" t="n"/>
      <c r="AU237" s="85" t="n"/>
      <c r="AV237" s="85" t="n"/>
      <c r="AW237" s="44" t="n"/>
      <c r="AX237" s="85" t="n"/>
      <c r="AY237" s="88" t="n"/>
      <c r="AZ237" s="86" t="n"/>
      <c r="BA237" s="44" t="n"/>
      <c r="BB237" s="44" t="n"/>
      <c r="BC237" s="87" t="n"/>
      <c r="BD237" s="44" t="n"/>
      <c r="BE237" s="87" t="n"/>
      <c r="BF237" s="85" t="n"/>
      <c r="BG237" s="44" t="n"/>
      <c r="BH237" s="44" t="n"/>
      <c r="BI237" s="85" t="n"/>
      <c r="BJ237" s="44" t="n"/>
      <c r="BK237" s="45" t="n"/>
      <c r="BL237" s="44" t="n"/>
      <c r="BM237" s="85" t="n"/>
      <c r="BN237" s="44" t="n"/>
      <c r="BO237" s="85" t="n"/>
      <c r="BP237" s="86" t="n"/>
      <c r="BQ237" s="44" t="n"/>
      <c r="BR237" s="50" t="n"/>
      <c r="BS237" s="89" t="n"/>
      <c r="BT237" s="50">
        <f>IF(OR(K237="",L237="",M237=""),"",IF(ABS(ROUND(((ROUND(N(K237)*100,0))-(0))*(100+N(M237))/100,0)-(ROUND(N(L237)*100,0)))&lt;=0+IF(((ROUND(N(K237)*100,0))-(0))*(100+N(M237))/100&lt;&gt;ROUND(((ROUND(N(K237)*100,0))-(0))*(100+N(M237))/100,0),1,0),"OK","ABWEICHUNG"))</f>
        <v/>
      </c>
    </row>
    <row r="238">
      <c r="A238" s="50" t="n"/>
      <c r="B238" s="44" t="n"/>
      <c r="C238" s="44" t="n"/>
      <c r="D238" s="44" t="n"/>
      <c r="E238" s="44" t="n"/>
      <c r="F238" s="44" t="n"/>
      <c r="G238" s="44" t="n"/>
      <c r="H238" s="44" t="n"/>
      <c r="I238" s="45" t="n"/>
      <c r="J238" s="45" t="n"/>
      <c r="K238" s="85" t="n"/>
      <c r="L238" s="85" t="n"/>
      <c r="M238" s="88" t="n"/>
      <c r="N238" s="88" t="n"/>
      <c r="O238" s="44" t="n"/>
      <c r="P238" s="45" t="n"/>
      <c r="Q238" s="45" t="n"/>
      <c r="R238" s="44" t="n"/>
      <c r="S238" s="45" t="n"/>
      <c r="T238" s="45" t="n"/>
      <c r="U238" s="85" t="n"/>
      <c r="V238" s="44" t="n"/>
      <c r="W238" s="45" t="n"/>
      <c r="X238" s="45" t="n"/>
      <c r="Y238" s="44" t="n"/>
      <c r="Z238" s="85" t="n"/>
      <c r="AA238" s="44" t="n"/>
      <c r="AB238" s="44" t="n"/>
      <c r="AC238" s="44" t="n"/>
      <c r="AD238" s="44" t="n"/>
      <c r="AE238" s="44" t="n"/>
      <c r="AF238" s="88" t="n"/>
      <c r="AG238" s="85" t="n"/>
      <c r="AH238" s="85" t="n"/>
      <c r="AI238" s="85" t="n"/>
      <c r="AJ238" s="85" t="n"/>
      <c r="AK238" s="85" t="n"/>
      <c r="AL238" s="85" t="n"/>
      <c r="AM238" s="85" t="n"/>
      <c r="AN238" s="85" t="n"/>
      <c r="AO238" s="85" t="n"/>
      <c r="AP238" s="85" t="n"/>
      <c r="AQ238" s="85" t="n"/>
      <c r="AR238" s="85" t="n"/>
      <c r="AS238" s="85" t="n"/>
      <c r="AT238" s="85" t="n"/>
      <c r="AU238" s="85" t="n"/>
      <c r="AV238" s="85" t="n"/>
      <c r="AW238" s="44" t="n"/>
      <c r="AX238" s="85" t="n"/>
      <c r="AY238" s="88" t="n"/>
      <c r="AZ238" s="86" t="n"/>
      <c r="BA238" s="44" t="n"/>
      <c r="BB238" s="44" t="n"/>
      <c r="BC238" s="87" t="n"/>
      <c r="BD238" s="44" t="n"/>
      <c r="BE238" s="87" t="n"/>
      <c r="BF238" s="85" t="n"/>
      <c r="BG238" s="44" t="n"/>
      <c r="BH238" s="44" t="n"/>
      <c r="BI238" s="85" t="n"/>
      <c r="BJ238" s="44" t="n"/>
      <c r="BK238" s="45" t="n"/>
      <c r="BL238" s="44" t="n"/>
      <c r="BM238" s="85" t="n"/>
      <c r="BN238" s="44" t="n"/>
      <c r="BO238" s="85" t="n"/>
      <c r="BP238" s="86" t="n"/>
      <c r="BQ238" s="44" t="n"/>
      <c r="BR238" s="50" t="n"/>
      <c r="BS238" s="89" t="n"/>
      <c r="BT238" s="50">
        <f>IF(OR(K238="",L238="",M238=""),"",IF(ABS(ROUND(((ROUND(N(K238)*100,0))-(0))*(100+N(M238))/100,0)-(ROUND(N(L238)*100,0)))&lt;=0+IF(((ROUND(N(K238)*100,0))-(0))*(100+N(M238))/100&lt;&gt;ROUND(((ROUND(N(K238)*100,0))-(0))*(100+N(M238))/100,0),1,0),"OK","ABWEICHUNG"))</f>
        <v/>
      </c>
    </row>
    <row r="239">
      <c r="A239" s="50" t="n"/>
      <c r="B239" s="44" t="n"/>
      <c r="C239" s="44" t="n"/>
      <c r="D239" s="44" t="n"/>
      <c r="E239" s="44" t="n"/>
      <c r="F239" s="44" t="n"/>
      <c r="G239" s="44" t="n"/>
      <c r="H239" s="44" t="n"/>
      <c r="I239" s="45" t="n"/>
      <c r="J239" s="45" t="n"/>
      <c r="K239" s="85" t="n"/>
      <c r="L239" s="85" t="n"/>
      <c r="M239" s="88" t="n"/>
      <c r="N239" s="88" t="n"/>
      <c r="O239" s="44" t="n"/>
      <c r="P239" s="45" t="n"/>
      <c r="Q239" s="45" t="n"/>
      <c r="R239" s="44" t="n"/>
      <c r="S239" s="45" t="n"/>
      <c r="T239" s="45" t="n"/>
      <c r="U239" s="85" t="n"/>
      <c r="V239" s="44" t="n"/>
      <c r="W239" s="45" t="n"/>
      <c r="X239" s="45" t="n"/>
      <c r="Y239" s="44" t="n"/>
      <c r="Z239" s="85" t="n"/>
      <c r="AA239" s="44" t="n"/>
      <c r="AB239" s="44" t="n"/>
      <c r="AC239" s="44" t="n"/>
      <c r="AD239" s="44" t="n"/>
      <c r="AE239" s="44" t="n"/>
      <c r="AF239" s="88" t="n"/>
      <c r="AG239" s="85" t="n"/>
      <c r="AH239" s="85" t="n"/>
      <c r="AI239" s="85" t="n"/>
      <c r="AJ239" s="85" t="n"/>
      <c r="AK239" s="85" t="n"/>
      <c r="AL239" s="85" t="n"/>
      <c r="AM239" s="85" t="n"/>
      <c r="AN239" s="85" t="n"/>
      <c r="AO239" s="85" t="n"/>
      <c r="AP239" s="85" t="n"/>
      <c r="AQ239" s="85" t="n"/>
      <c r="AR239" s="85" t="n"/>
      <c r="AS239" s="85" t="n"/>
      <c r="AT239" s="85" t="n"/>
      <c r="AU239" s="85" t="n"/>
      <c r="AV239" s="85" t="n"/>
      <c r="AW239" s="44" t="n"/>
      <c r="AX239" s="85" t="n"/>
      <c r="AY239" s="88" t="n"/>
      <c r="AZ239" s="86" t="n"/>
      <c r="BA239" s="44" t="n"/>
      <c r="BB239" s="44" t="n"/>
      <c r="BC239" s="87" t="n"/>
      <c r="BD239" s="44" t="n"/>
      <c r="BE239" s="87" t="n"/>
      <c r="BF239" s="85" t="n"/>
      <c r="BG239" s="44" t="n"/>
      <c r="BH239" s="44" t="n"/>
      <c r="BI239" s="85" t="n"/>
      <c r="BJ239" s="44" t="n"/>
      <c r="BK239" s="45" t="n"/>
      <c r="BL239" s="44" t="n"/>
      <c r="BM239" s="85" t="n"/>
      <c r="BN239" s="44" t="n"/>
      <c r="BO239" s="85" t="n"/>
      <c r="BP239" s="86" t="n"/>
      <c r="BQ239" s="44" t="n"/>
      <c r="BR239" s="50" t="n"/>
      <c r="BS239" s="89" t="n"/>
      <c r="BT239" s="50">
        <f>IF(OR(K239="",L239="",M239=""),"",IF(ABS(ROUND(((ROUND(N(K239)*100,0))-(0))*(100+N(M239))/100,0)-(ROUND(N(L239)*100,0)))&lt;=0+IF(((ROUND(N(K239)*100,0))-(0))*(100+N(M239))/100&lt;&gt;ROUND(((ROUND(N(K239)*100,0))-(0))*(100+N(M239))/100,0),1,0),"OK","ABWEICHUNG"))</f>
        <v/>
      </c>
    </row>
    <row r="240">
      <c r="A240" s="50" t="n"/>
      <c r="B240" s="44" t="n"/>
      <c r="C240" s="44" t="n"/>
      <c r="D240" s="44" t="n"/>
      <c r="E240" s="44" t="n"/>
      <c r="F240" s="44" t="n"/>
      <c r="G240" s="44" t="n"/>
      <c r="H240" s="44" t="n"/>
      <c r="I240" s="45" t="n"/>
      <c r="J240" s="45" t="n"/>
      <c r="K240" s="85" t="n"/>
      <c r="L240" s="85" t="n"/>
      <c r="M240" s="88" t="n"/>
      <c r="N240" s="88" t="n"/>
      <c r="O240" s="44" t="n"/>
      <c r="P240" s="45" t="n"/>
      <c r="Q240" s="45" t="n"/>
      <c r="R240" s="44" t="n"/>
      <c r="S240" s="45" t="n"/>
      <c r="T240" s="45" t="n"/>
      <c r="U240" s="85" t="n"/>
      <c r="V240" s="44" t="n"/>
      <c r="W240" s="45" t="n"/>
      <c r="X240" s="45" t="n"/>
      <c r="Y240" s="44" t="n"/>
      <c r="Z240" s="85" t="n"/>
      <c r="AA240" s="44" t="n"/>
      <c r="AB240" s="44" t="n"/>
      <c r="AC240" s="44" t="n"/>
      <c r="AD240" s="44" t="n"/>
      <c r="AE240" s="44" t="n"/>
      <c r="AF240" s="88" t="n"/>
      <c r="AG240" s="85" t="n"/>
      <c r="AH240" s="85" t="n"/>
      <c r="AI240" s="85" t="n"/>
      <c r="AJ240" s="85" t="n"/>
      <c r="AK240" s="85" t="n"/>
      <c r="AL240" s="85" t="n"/>
      <c r="AM240" s="85" t="n"/>
      <c r="AN240" s="85" t="n"/>
      <c r="AO240" s="85" t="n"/>
      <c r="AP240" s="85" t="n"/>
      <c r="AQ240" s="85" t="n"/>
      <c r="AR240" s="85" t="n"/>
      <c r="AS240" s="85" t="n"/>
      <c r="AT240" s="85" t="n"/>
      <c r="AU240" s="85" t="n"/>
      <c r="AV240" s="85" t="n"/>
      <c r="AW240" s="44" t="n"/>
      <c r="AX240" s="85" t="n"/>
      <c r="AY240" s="88" t="n"/>
      <c r="AZ240" s="86" t="n"/>
      <c r="BA240" s="44" t="n"/>
      <c r="BB240" s="44" t="n"/>
      <c r="BC240" s="87" t="n"/>
      <c r="BD240" s="44" t="n"/>
      <c r="BE240" s="87" t="n"/>
      <c r="BF240" s="85" t="n"/>
      <c r="BG240" s="44" t="n"/>
      <c r="BH240" s="44" t="n"/>
      <c r="BI240" s="85" t="n"/>
      <c r="BJ240" s="44" t="n"/>
      <c r="BK240" s="45" t="n"/>
      <c r="BL240" s="44" t="n"/>
      <c r="BM240" s="85" t="n"/>
      <c r="BN240" s="44" t="n"/>
      <c r="BO240" s="85" t="n"/>
      <c r="BP240" s="86" t="n"/>
      <c r="BQ240" s="44" t="n"/>
      <c r="BR240" s="50" t="n"/>
      <c r="BS240" s="89" t="n"/>
      <c r="BT240" s="50">
        <f>IF(OR(K240="",L240="",M240=""),"",IF(ABS(ROUND(((ROUND(N(K240)*100,0))-(0))*(100+N(M240))/100,0)-(ROUND(N(L240)*100,0)))&lt;=0+IF(((ROUND(N(K240)*100,0))-(0))*(100+N(M240))/100&lt;&gt;ROUND(((ROUND(N(K240)*100,0))-(0))*(100+N(M240))/100,0),1,0),"OK","ABWEICHUNG"))</f>
        <v/>
      </c>
    </row>
    <row r="241">
      <c r="A241" s="50" t="n"/>
      <c r="B241" s="44" t="n"/>
      <c r="C241" s="44" t="n"/>
      <c r="D241" s="44" t="n"/>
      <c r="E241" s="44" t="n"/>
      <c r="F241" s="44" t="n"/>
      <c r="G241" s="44" t="n"/>
      <c r="H241" s="44" t="n"/>
      <c r="I241" s="45" t="n"/>
      <c r="J241" s="45" t="n"/>
      <c r="K241" s="85" t="n"/>
      <c r="L241" s="85" t="n"/>
      <c r="M241" s="88" t="n"/>
      <c r="N241" s="88" t="n"/>
      <c r="O241" s="44" t="n"/>
      <c r="P241" s="45" t="n"/>
      <c r="Q241" s="45" t="n"/>
      <c r="R241" s="44" t="n"/>
      <c r="S241" s="45" t="n"/>
      <c r="T241" s="45" t="n"/>
      <c r="U241" s="85" t="n"/>
      <c r="V241" s="44" t="n"/>
      <c r="W241" s="45" t="n"/>
      <c r="X241" s="45" t="n"/>
      <c r="Y241" s="44" t="n"/>
      <c r="Z241" s="85" t="n"/>
      <c r="AA241" s="44" t="n"/>
      <c r="AB241" s="44" t="n"/>
      <c r="AC241" s="44" t="n"/>
      <c r="AD241" s="44" t="n"/>
      <c r="AE241" s="44" t="n"/>
      <c r="AF241" s="88" t="n"/>
      <c r="AG241" s="85" t="n"/>
      <c r="AH241" s="85" t="n"/>
      <c r="AI241" s="85" t="n"/>
      <c r="AJ241" s="85" t="n"/>
      <c r="AK241" s="85" t="n"/>
      <c r="AL241" s="85" t="n"/>
      <c r="AM241" s="85" t="n"/>
      <c r="AN241" s="85" t="n"/>
      <c r="AO241" s="85" t="n"/>
      <c r="AP241" s="85" t="n"/>
      <c r="AQ241" s="85" t="n"/>
      <c r="AR241" s="85" t="n"/>
      <c r="AS241" s="85" t="n"/>
      <c r="AT241" s="85" t="n"/>
      <c r="AU241" s="85" t="n"/>
      <c r="AV241" s="85" t="n"/>
      <c r="AW241" s="44" t="n"/>
      <c r="AX241" s="85" t="n"/>
      <c r="AY241" s="88" t="n"/>
      <c r="AZ241" s="86" t="n"/>
      <c r="BA241" s="44" t="n"/>
      <c r="BB241" s="44" t="n"/>
      <c r="BC241" s="87" t="n"/>
      <c r="BD241" s="44" t="n"/>
      <c r="BE241" s="87" t="n"/>
      <c r="BF241" s="85" t="n"/>
      <c r="BG241" s="44" t="n"/>
      <c r="BH241" s="44" t="n"/>
      <c r="BI241" s="85" t="n"/>
      <c r="BJ241" s="44" t="n"/>
      <c r="BK241" s="45" t="n"/>
      <c r="BL241" s="44" t="n"/>
      <c r="BM241" s="85" t="n"/>
      <c r="BN241" s="44" t="n"/>
      <c r="BO241" s="85" t="n"/>
      <c r="BP241" s="86" t="n"/>
      <c r="BQ241" s="44" t="n"/>
      <c r="BR241" s="50" t="n"/>
      <c r="BS241" s="89" t="n"/>
      <c r="BT241" s="50">
        <f>IF(OR(K241="",L241="",M241=""),"",IF(ABS(ROUND(((ROUND(N(K241)*100,0))-(0))*(100+N(M241))/100,0)-(ROUND(N(L241)*100,0)))&lt;=0+IF(((ROUND(N(K241)*100,0))-(0))*(100+N(M241))/100&lt;&gt;ROUND(((ROUND(N(K241)*100,0))-(0))*(100+N(M241))/100,0),1,0),"OK","ABWEICHUNG"))</f>
        <v/>
      </c>
    </row>
    <row r="242">
      <c r="A242" s="50" t="n"/>
      <c r="B242" s="44" t="n"/>
      <c r="C242" s="44" t="n"/>
      <c r="D242" s="44" t="n"/>
      <c r="E242" s="44" t="n"/>
      <c r="F242" s="44" t="n"/>
      <c r="G242" s="44" t="n"/>
      <c r="H242" s="44" t="n"/>
      <c r="I242" s="45" t="n"/>
      <c r="J242" s="45" t="n"/>
      <c r="K242" s="85" t="n"/>
      <c r="L242" s="85" t="n"/>
      <c r="M242" s="88" t="n"/>
      <c r="N242" s="88" t="n"/>
      <c r="O242" s="44" t="n"/>
      <c r="P242" s="45" t="n"/>
      <c r="Q242" s="45" t="n"/>
      <c r="R242" s="44" t="n"/>
      <c r="S242" s="45" t="n"/>
      <c r="T242" s="45" t="n"/>
      <c r="U242" s="85" t="n"/>
      <c r="V242" s="44" t="n"/>
      <c r="W242" s="45" t="n"/>
      <c r="X242" s="45" t="n"/>
      <c r="Y242" s="44" t="n"/>
      <c r="Z242" s="85" t="n"/>
      <c r="AA242" s="44" t="n"/>
      <c r="AB242" s="44" t="n"/>
      <c r="AC242" s="44" t="n"/>
      <c r="AD242" s="44" t="n"/>
      <c r="AE242" s="44" t="n"/>
      <c r="AF242" s="88" t="n"/>
      <c r="AG242" s="85" t="n"/>
      <c r="AH242" s="85" t="n"/>
      <c r="AI242" s="85" t="n"/>
      <c r="AJ242" s="85" t="n"/>
      <c r="AK242" s="85" t="n"/>
      <c r="AL242" s="85" t="n"/>
      <c r="AM242" s="85" t="n"/>
      <c r="AN242" s="85" t="n"/>
      <c r="AO242" s="85" t="n"/>
      <c r="AP242" s="85" t="n"/>
      <c r="AQ242" s="85" t="n"/>
      <c r="AR242" s="85" t="n"/>
      <c r="AS242" s="85" t="n"/>
      <c r="AT242" s="85" t="n"/>
      <c r="AU242" s="85" t="n"/>
      <c r="AV242" s="85" t="n"/>
      <c r="AW242" s="44" t="n"/>
      <c r="AX242" s="85" t="n"/>
      <c r="AY242" s="88" t="n"/>
      <c r="AZ242" s="86" t="n"/>
      <c r="BA242" s="44" t="n"/>
      <c r="BB242" s="44" t="n"/>
      <c r="BC242" s="87" t="n"/>
      <c r="BD242" s="44" t="n"/>
      <c r="BE242" s="87" t="n"/>
      <c r="BF242" s="85" t="n"/>
      <c r="BG242" s="44" t="n"/>
      <c r="BH242" s="44" t="n"/>
      <c r="BI242" s="85" t="n"/>
      <c r="BJ242" s="44" t="n"/>
      <c r="BK242" s="45" t="n"/>
      <c r="BL242" s="44" t="n"/>
      <c r="BM242" s="85" t="n"/>
      <c r="BN242" s="44" t="n"/>
      <c r="BO242" s="85" t="n"/>
      <c r="BP242" s="86" t="n"/>
      <c r="BQ242" s="44" t="n"/>
      <c r="BR242" s="50" t="n"/>
      <c r="BS242" s="89" t="n"/>
      <c r="BT242" s="50">
        <f>IF(OR(K242="",L242="",M242=""),"",IF(ABS(ROUND(((ROUND(N(K242)*100,0))-(0))*(100+N(M242))/100,0)-(ROUND(N(L242)*100,0)))&lt;=0+IF(((ROUND(N(K242)*100,0))-(0))*(100+N(M242))/100&lt;&gt;ROUND(((ROUND(N(K242)*100,0))-(0))*(100+N(M242))/100,0),1,0),"OK","ABWEICHUNG"))</f>
        <v/>
      </c>
    </row>
    <row r="243">
      <c r="A243" s="50" t="n"/>
      <c r="B243" s="44" t="n"/>
      <c r="C243" s="44" t="n"/>
      <c r="D243" s="44" t="n"/>
      <c r="E243" s="44" t="n"/>
      <c r="F243" s="44" t="n"/>
      <c r="G243" s="44" t="n"/>
      <c r="H243" s="44" t="n"/>
      <c r="I243" s="45" t="n"/>
      <c r="J243" s="45" t="n"/>
      <c r="K243" s="85" t="n"/>
      <c r="L243" s="85" t="n"/>
      <c r="M243" s="88" t="n"/>
      <c r="N243" s="88" t="n"/>
      <c r="O243" s="44" t="n"/>
      <c r="P243" s="45" t="n"/>
      <c r="Q243" s="45" t="n"/>
      <c r="R243" s="44" t="n"/>
      <c r="S243" s="45" t="n"/>
      <c r="T243" s="45" t="n"/>
      <c r="U243" s="85" t="n"/>
      <c r="V243" s="44" t="n"/>
      <c r="W243" s="45" t="n"/>
      <c r="X243" s="45" t="n"/>
      <c r="Y243" s="44" t="n"/>
      <c r="Z243" s="85" t="n"/>
      <c r="AA243" s="44" t="n"/>
      <c r="AB243" s="44" t="n"/>
      <c r="AC243" s="44" t="n"/>
      <c r="AD243" s="44" t="n"/>
      <c r="AE243" s="44" t="n"/>
      <c r="AF243" s="88" t="n"/>
      <c r="AG243" s="85" t="n"/>
      <c r="AH243" s="85" t="n"/>
      <c r="AI243" s="85" t="n"/>
      <c r="AJ243" s="85" t="n"/>
      <c r="AK243" s="85" t="n"/>
      <c r="AL243" s="85" t="n"/>
      <c r="AM243" s="85" t="n"/>
      <c r="AN243" s="85" t="n"/>
      <c r="AO243" s="85" t="n"/>
      <c r="AP243" s="85" t="n"/>
      <c r="AQ243" s="85" t="n"/>
      <c r="AR243" s="85" t="n"/>
      <c r="AS243" s="85" t="n"/>
      <c r="AT243" s="85" t="n"/>
      <c r="AU243" s="85" t="n"/>
      <c r="AV243" s="85" t="n"/>
      <c r="AW243" s="44" t="n"/>
      <c r="AX243" s="85" t="n"/>
      <c r="AY243" s="88" t="n"/>
      <c r="AZ243" s="86" t="n"/>
      <c r="BA243" s="44" t="n"/>
      <c r="BB243" s="44" t="n"/>
      <c r="BC243" s="87" t="n"/>
      <c r="BD243" s="44" t="n"/>
      <c r="BE243" s="87" t="n"/>
      <c r="BF243" s="85" t="n"/>
      <c r="BG243" s="44" t="n"/>
      <c r="BH243" s="44" t="n"/>
      <c r="BI243" s="85" t="n"/>
      <c r="BJ243" s="44" t="n"/>
      <c r="BK243" s="45" t="n"/>
      <c r="BL243" s="44" t="n"/>
      <c r="BM243" s="85" t="n"/>
      <c r="BN243" s="44" t="n"/>
      <c r="BO243" s="85" t="n"/>
      <c r="BP243" s="86" t="n"/>
      <c r="BQ243" s="44" t="n"/>
      <c r="BR243" s="50" t="n"/>
      <c r="BS243" s="89" t="n"/>
      <c r="BT243" s="50">
        <f>IF(OR(K243="",L243="",M243=""),"",IF(ABS(ROUND(((ROUND(N(K243)*100,0))-(0))*(100+N(M243))/100,0)-(ROUND(N(L243)*100,0)))&lt;=0+IF(((ROUND(N(K243)*100,0))-(0))*(100+N(M243))/100&lt;&gt;ROUND(((ROUND(N(K243)*100,0))-(0))*(100+N(M243))/100,0),1,0),"OK","ABWEICHUNG"))</f>
        <v/>
      </c>
    </row>
    <row r="244">
      <c r="A244" s="50" t="n"/>
      <c r="B244" s="44" t="n"/>
      <c r="C244" s="44" t="n"/>
      <c r="D244" s="44" t="n"/>
      <c r="E244" s="44" t="n"/>
      <c r="F244" s="44" t="n"/>
      <c r="G244" s="44" t="n"/>
      <c r="H244" s="44" t="n"/>
      <c r="I244" s="45" t="n"/>
      <c r="J244" s="45" t="n"/>
      <c r="K244" s="85" t="n"/>
      <c r="L244" s="85" t="n"/>
      <c r="M244" s="88" t="n"/>
      <c r="N244" s="88" t="n"/>
      <c r="O244" s="44" t="n"/>
      <c r="P244" s="45" t="n"/>
      <c r="Q244" s="45" t="n"/>
      <c r="R244" s="44" t="n"/>
      <c r="S244" s="45" t="n"/>
      <c r="T244" s="45" t="n"/>
      <c r="U244" s="85" t="n"/>
      <c r="V244" s="44" t="n"/>
      <c r="W244" s="45" t="n"/>
      <c r="X244" s="45" t="n"/>
      <c r="Y244" s="44" t="n"/>
      <c r="Z244" s="85" t="n"/>
      <c r="AA244" s="44" t="n"/>
      <c r="AB244" s="44" t="n"/>
      <c r="AC244" s="44" t="n"/>
      <c r="AD244" s="44" t="n"/>
      <c r="AE244" s="44" t="n"/>
      <c r="AF244" s="88" t="n"/>
      <c r="AG244" s="85" t="n"/>
      <c r="AH244" s="85" t="n"/>
      <c r="AI244" s="85" t="n"/>
      <c r="AJ244" s="85" t="n"/>
      <c r="AK244" s="85" t="n"/>
      <c r="AL244" s="85" t="n"/>
      <c r="AM244" s="85" t="n"/>
      <c r="AN244" s="85" t="n"/>
      <c r="AO244" s="85" t="n"/>
      <c r="AP244" s="85" t="n"/>
      <c r="AQ244" s="85" t="n"/>
      <c r="AR244" s="85" t="n"/>
      <c r="AS244" s="85" t="n"/>
      <c r="AT244" s="85" t="n"/>
      <c r="AU244" s="85" t="n"/>
      <c r="AV244" s="85" t="n"/>
      <c r="AW244" s="44" t="n"/>
      <c r="AX244" s="85" t="n"/>
      <c r="AY244" s="88" t="n"/>
      <c r="AZ244" s="86" t="n"/>
      <c r="BA244" s="44" t="n"/>
      <c r="BB244" s="44" t="n"/>
      <c r="BC244" s="87" t="n"/>
      <c r="BD244" s="44" t="n"/>
      <c r="BE244" s="87" t="n"/>
      <c r="BF244" s="85" t="n"/>
      <c r="BG244" s="44" t="n"/>
      <c r="BH244" s="44" t="n"/>
      <c r="BI244" s="85" t="n"/>
      <c r="BJ244" s="44" t="n"/>
      <c r="BK244" s="45" t="n"/>
      <c r="BL244" s="44" t="n"/>
      <c r="BM244" s="85" t="n"/>
      <c r="BN244" s="44" t="n"/>
      <c r="BO244" s="85" t="n"/>
      <c r="BP244" s="86" t="n"/>
      <c r="BQ244" s="44" t="n"/>
      <c r="BR244" s="50" t="n"/>
      <c r="BS244" s="89" t="n"/>
      <c r="BT244" s="50">
        <f>IF(OR(K244="",L244="",M244=""),"",IF(ABS(ROUND(((ROUND(N(K244)*100,0))-(0))*(100+N(M244))/100,0)-(ROUND(N(L244)*100,0)))&lt;=0+IF(((ROUND(N(K244)*100,0))-(0))*(100+N(M244))/100&lt;&gt;ROUND(((ROUND(N(K244)*100,0))-(0))*(100+N(M244))/100,0),1,0),"OK","ABWEICHUNG"))</f>
        <v/>
      </c>
    </row>
    <row r="245">
      <c r="A245" s="50" t="n"/>
      <c r="B245" s="44" t="n"/>
      <c r="C245" s="44" t="n"/>
      <c r="D245" s="44" t="n"/>
      <c r="E245" s="44" t="n"/>
      <c r="F245" s="44" t="n"/>
      <c r="G245" s="44" t="n"/>
      <c r="H245" s="44" t="n"/>
      <c r="I245" s="45" t="n"/>
      <c r="J245" s="45" t="n"/>
      <c r="K245" s="85" t="n"/>
      <c r="L245" s="85" t="n"/>
      <c r="M245" s="88" t="n"/>
      <c r="N245" s="88" t="n"/>
      <c r="O245" s="44" t="n"/>
      <c r="P245" s="45" t="n"/>
      <c r="Q245" s="45" t="n"/>
      <c r="R245" s="44" t="n"/>
      <c r="S245" s="45" t="n"/>
      <c r="T245" s="45" t="n"/>
      <c r="U245" s="85" t="n"/>
      <c r="V245" s="44" t="n"/>
      <c r="W245" s="45" t="n"/>
      <c r="X245" s="45" t="n"/>
      <c r="Y245" s="44" t="n"/>
      <c r="Z245" s="85" t="n"/>
      <c r="AA245" s="44" t="n"/>
      <c r="AB245" s="44" t="n"/>
      <c r="AC245" s="44" t="n"/>
      <c r="AD245" s="44" t="n"/>
      <c r="AE245" s="44" t="n"/>
      <c r="AF245" s="88" t="n"/>
      <c r="AG245" s="85" t="n"/>
      <c r="AH245" s="85" t="n"/>
      <c r="AI245" s="85" t="n"/>
      <c r="AJ245" s="85" t="n"/>
      <c r="AK245" s="85" t="n"/>
      <c r="AL245" s="85" t="n"/>
      <c r="AM245" s="85" t="n"/>
      <c r="AN245" s="85" t="n"/>
      <c r="AO245" s="85" t="n"/>
      <c r="AP245" s="85" t="n"/>
      <c r="AQ245" s="85" t="n"/>
      <c r="AR245" s="85" t="n"/>
      <c r="AS245" s="85" t="n"/>
      <c r="AT245" s="85" t="n"/>
      <c r="AU245" s="85" t="n"/>
      <c r="AV245" s="85" t="n"/>
      <c r="AW245" s="44" t="n"/>
      <c r="AX245" s="85" t="n"/>
      <c r="AY245" s="88" t="n"/>
      <c r="AZ245" s="86" t="n"/>
      <c r="BA245" s="44" t="n"/>
      <c r="BB245" s="44" t="n"/>
      <c r="BC245" s="87" t="n"/>
      <c r="BD245" s="44" t="n"/>
      <c r="BE245" s="87" t="n"/>
      <c r="BF245" s="85" t="n"/>
      <c r="BG245" s="44" t="n"/>
      <c r="BH245" s="44" t="n"/>
      <c r="BI245" s="85" t="n"/>
      <c r="BJ245" s="44" t="n"/>
      <c r="BK245" s="45" t="n"/>
      <c r="BL245" s="44" t="n"/>
      <c r="BM245" s="85" t="n"/>
      <c r="BN245" s="44" t="n"/>
      <c r="BO245" s="85" t="n"/>
      <c r="BP245" s="86" t="n"/>
      <c r="BQ245" s="44" t="n"/>
      <c r="BR245" s="50" t="n"/>
      <c r="BS245" s="89" t="n"/>
      <c r="BT245" s="50">
        <f>IF(OR(K245="",L245="",M245=""),"",IF(ABS(ROUND(((ROUND(N(K245)*100,0))-(0))*(100+N(M245))/100,0)-(ROUND(N(L245)*100,0)))&lt;=0+IF(((ROUND(N(K245)*100,0))-(0))*(100+N(M245))/100&lt;&gt;ROUND(((ROUND(N(K245)*100,0))-(0))*(100+N(M245))/100,0),1,0),"OK","ABWEICHUNG"))</f>
        <v/>
      </c>
    </row>
    <row r="246">
      <c r="A246" s="50" t="n"/>
      <c r="B246" s="44" t="n"/>
      <c r="C246" s="44" t="n"/>
      <c r="D246" s="44" t="n"/>
      <c r="E246" s="44" t="n"/>
      <c r="F246" s="44" t="n"/>
      <c r="G246" s="44" t="n"/>
      <c r="H246" s="44" t="n"/>
      <c r="I246" s="45" t="n"/>
      <c r="J246" s="45" t="n"/>
      <c r="K246" s="85" t="n"/>
      <c r="L246" s="85" t="n"/>
      <c r="M246" s="88" t="n"/>
      <c r="N246" s="88" t="n"/>
      <c r="O246" s="44" t="n"/>
      <c r="P246" s="45" t="n"/>
      <c r="Q246" s="45" t="n"/>
      <c r="R246" s="44" t="n"/>
      <c r="S246" s="45" t="n"/>
      <c r="T246" s="45" t="n"/>
      <c r="U246" s="85" t="n"/>
      <c r="V246" s="44" t="n"/>
      <c r="W246" s="45" t="n"/>
      <c r="X246" s="45" t="n"/>
      <c r="Y246" s="44" t="n"/>
      <c r="Z246" s="85" t="n"/>
      <c r="AA246" s="44" t="n"/>
      <c r="AB246" s="44" t="n"/>
      <c r="AC246" s="44" t="n"/>
      <c r="AD246" s="44" t="n"/>
      <c r="AE246" s="44" t="n"/>
      <c r="AF246" s="88" t="n"/>
      <c r="AG246" s="85" t="n"/>
      <c r="AH246" s="85" t="n"/>
      <c r="AI246" s="85" t="n"/>
      <c r="AJ246" s="85" t="n"/>
      <c r="AK246" s="85" t="n"/>
      <c r="AL246" s="85" t="n"/>
      <c r="AM246" s="85" t="n"/>
      <c r="AN246" s="85" t="n"/>
      <c r="AO246" s="85" t="n"/>
      <c r="AP246" s="85" t="n"/>
      <c r="AQ246" s="85" t="n"/>
      <c r="AR246" s="85" t="n"/>
      <c r="AS246" s="85" t="n"/>
      <c r="AT246" s="85" t="n"/>
      <c r="AU246" s="85" t="n"/>
      <c r="AV246" s="85" t="n"/>
      <c r="AW246" s="44" t="n"/>
      <c r="AX246" s="85" t="n"/>
      <c r="AY246" s="88" t="n"/>
      <c r="AZ246" s="86" t="n"/>
      <c r="BA246" s="44" t="n"/>
      <c r="BB246" s="44" t="n"/>
      <c r="BC246" s="87" t="n"/>
      <c r="BD246" s="44" t="n"/>
      <c r="BE246" s="87" t="n"/>
      <c r="BF246" s="85" t="n"/>
      <c r="BG246" s="44" t="n"/>
      <c r="BH246" s="44" t="n"/>
      <c r="BI246" s="85" t="n"/>
      <c r="BJ246" s="44" t="n"/>
      <c r="BK246" s="45" t="n"/>
      <c r="BL246" s="44" t="n"/>
      <c r="BM246" s="85" t="n"/>
      <c r="BN246" s="44" t="n"/>
      <c r="BO246" s="85" t="n"/>
      <c r="BP246" s="86" t="n"/>
      <c r="BQ246" s="44" t="n"/>
      <c r="BR246" s="50" t="n"/>
      <c r="BS246" s="89" t="n"/>
      <c r="BT246" s="50">
        <f>IF(OR(K246="",L246="",M246=""),"",IF(ABS(ROUND(((ROUND(N(K246)*100,0))-(0))*(100+N(M246))/100,0)-(ROUND(N(L246)*100,0)))&lt;=0+IF(((ROUND(N(K246)*100,0))-(0))*(100+N(M246))/100&lt;&gt;ROUND(((ROUND(N(K246)*100,0))-(0))*(100+N(M246))/100,0),1,0),"OK","ABWEICHUNG"))</f>
        <v/>
      </c>
    </row>
    <row r="247">
      <c r="A247" s="50" t="n"/>
      <c r="B247" s="44" t="n"/>
      <c r="C247" s="44" t="n"/>
      <c r="D247" s="44" t="n"/>
      <c r="E247" s="44" t="n"/>
      <c r="F247" s="44" t="n"/>
      <c r="G247" s="44" t="n"/>
      <c r="H247" s="44" t="n"/>
      <c r="I247" s="45" t="n"/>
      <c r="J247" s="45" t="n"/>
      <c r="K247" s="85" t="n"/>
      <c r="L247" s="85" t="n"/>
      <c r="M247" s="88" t="n"/>
      <c r="N247" s="88" t="n"/>
      <c r="O247" s="44" t="n"/>
      <c r="P247" s="45" t="n"/>
      <c r="Q247" s="45" t="n"/>
      <c r="R247" s="44" t="n"/>
      <c r="S247" s="45" t="n"/>
      <c r="T247" s="45" t="n"/>
      <c r="U247" s="85" t="n"/>
      <c r="V247" s="44" t="n"/>
      <c r="W247" s="45" t="n"/>
      <c r="X247" s="45" t="n"/>
      <c r="Y247" s="44" t="n"/>
      <c r="Z247" s="85" t="n"/>
      <c r="AA247" s="44" t="n"/>
      <c r="AB247" s="44" t="n"/>
      <c r="AC247" s="44" t="n"/>
      <c r="AD247" s="44" t="n"/>
      <c r="AE247" s="44" t="n"/>
      <c r="AF247" s="88" t="n"/>
      <c r="AG247" s="85" t="n"/>
      <c r="AH247" s="85" t="n"/>
      <c r="AI247" s="85" t="n"/>
      <c r="AJ247" s="85" t="n"/>
      <c r="AK247" s="85" t="n"/>
      <c r="AL247" s="85" t="n"/>
      <c r="AM247" s="85" t="n"/>
      <c r="AN247" s="85" t="n"/>
      <c r="AO247" s="85" t="n"/>
      <c r="AP247" s="85" t="n"/>
      <c r="AQ247" s="85" t="n"/>
      <c r="AR247" s="85" t="n"/>
      <c r="AS247" s="85" t="n"/>
      <c r="AT247" s="85" t="n"/>
      <c r="AU247" s="85" t="n"/>
      <c r="AV247" s="85" t="n"/>
      <c r="AW247" s="44" t="n"/>
      <c r="AX247" s="85" t="n"/>
      <c r="AY247" s="88" t="n"/>
      <c r="AZ247" s="86" t="n"/>
      <c r="BA247" s="44" t="n"/>
      <c r="BB247" s="44" t="n"/>
      <c r="BC247" s="87" t="n"/>
      <c r="BD247" s="44" t="n"/>
      <c r="BE247" s="87" t="n"/>
      <c r="BF247" s="85" t="n"/>
      <c r="BG247" s="44" t="n"/>
      <c r="BH247" s="44" t="n"/>
      <c r="BI247" s="85" t="n"/>
      <c r="BJ247" s="44" t="n"/>
      <c r="BK247" s="45" t="n"/>
      <c r="BL247" s="44" t="n"/>
      <c r="BM247" s="85" t="n"/>
      <c r="BN247" s="44" t="n"/>
      <c r="BO247" s="85" t="n"/>
      <c r="BP247" s="86" t="n"/>
      <c r="BQ247" s="44" t="n"/>
      <c r="BR247" s="50" t="n"/>
      <c r="BS247" s="89" t="n"/>
      <c r="BT247" s="50">
        <f>IF(OR(K247="",L247="",M247=""),"",IF(ABS(ROUND(((ROUND(N(K247)*100,0))-(0))*(100+N(M247))/100,0)-(ROUND(N(L247)*100,0)))&lt;=0+IF(((ROUND(N(K247)*100,0))-(0))*(100+N(M247))/100&lt;&gt;ROUND(((ROUND(N(K247)*100,0))-(0))*(100+N(M247))/100,0),1,0),"OK","ABWEICHUNG"))</f>
        <v/>
      </c>
    </row>
    <row r="248">
      <c r="A248" s="50" t="n"/>
      <c r="B248" s="44" t="n"/>
      <c r="C248" s="44" t="n"/>
      <c r="D248" s="44" t="n"/>
      <c r="E248" s="44" t="n"/>
      <c r="F248" s="44" t="n"/>
      <c r="G248" s="44" t="n"/>
      <c r="H248" s="44" t="n"/>
      <c r="I248" s="45" t="n"/>
      <c r="J248" s="45" t="n"/>
      <c r="K248" s="85" t="n"/>
      <c r="L248" s="85" t="n"/>
      <c r="M248" s="88" t="n"/>
      <c r="N248" s="88" t="n"/>
      <c r="O248" s="44" t="n"/>
      <c r="P248" s="45" t="n"/>
      <c r="Q248" s="45" t="n"/>
      <c r="R248" s="44" t="n"/>
      <c r="S248" s="45" t="n"/>
      <c r="T248" s="45" t="n"/>
      <c r="U248" s="85" t="n"/>
      <c r="V248" s="44" t="n"/>
      <c r="W248" s="45" t="n"/>
      <c r="X248" s="45" t="n"/>
      <c r="Y248" s="44" t="n"/>
      <c r="Z248" s="85" t="n"/>
      <c r="AA248" s="44" t="n"/>
      <c r="AB248" s="44" t="n"/>
      <c r="AC248" s="44" t="n"/>
      <c r="AD248" s="44" t="n"/>
      <c r="AE248" s="44" t="n"/>
      <c r="AF248" s="88" t="n"/>
      <c r="AG248" s="85" t="n"/>
      <c r="AH248" s="85" t="n"/>
      <c r="AI248" s="85" t="n"/>
      <c r="AJ248" s="85" t="n"/>
      <c r="AK248" s="85" t="n"/>
      <c r="AL248" s="85" t="n"/>
      <c r="AM248" s="85" t="n"/>
      <c r="AN248" s="85" t="n"/>
      <c r="AO248" s="85" t="n"/>
      <c r="AP248" s="85" t="n"/>
      <c r="AQ248" s="85" t="n"/>
      <c r="AR248" s="85" t="n"/>
      <c r="AS248" s="85" t="n"/>
      <c r="AT248" s="85" t="n"/>
      <c r="AU248" s="85" t="n"/>
      <c r="AV248" s="85" t="n"/>
      <c r="AW248" s="44" t="n"/>
      <c r="AX248" s="85" t="n"/>
      <c r="AY248" s="88" t="n"/>
      <c r="AZ248" s="86" t="n"/>
      <c r="BA248" s="44" t="n"/>
      <c r="BB248" s="44" t="n"/>
      <c r="BC248" s="87" t="n"/>
      <c r="BD248" s="44" t="n"/>
      <c r="BE248" s="87" t="n"/>
      <c r="BF248" s="85" t="n"/>
      <c r="BG248" s="44" t="n"/>
      <c r="BH248" s="44" t="n"/>
      <c r="BI248" s="85" t="n"/>
      <c r="BJ248" s="44" t="n"/>
      <c r="BK248" s="45" t="n"/>
      <c r="BL248" s="44" t="n"/>
      <c r="BM248" s="85" t="n"/>
      <c r="BN248" s="44" t="n"/>
      <c r="BO248" s="85" t="n"/>
      <c r="BP248" s="86" t="n"/>
      <c r="BQ248" s="44" t="n"/>
      <c r="BR248" s="50" t="n"/>
      <c r="BS248" s="89" t="n"/>
      <c r="BT248" s="50">
        <f>IF(OR(K248="",L248="",M248=""),"",IF(ABS(ROUND(((ROUND(N(K248)*100,0))-(0))*(100+N(M248))/100,0)-(ROUND(N(L248)*100,0)))&lt;=0+IF(((ROUND(N(K248)*100,0))-(0))*(100+N(M248))/100&lt;&gt;ROUND(((ROUND(N(K248)*100,0))-(0))*(100+N(M248))/100,0),1,0),"OK","ABWEICHUNG"))</f>
        <v/>
      </c>
    </row>
    <row r="249">
      <c r="A249" s="50" t="n"/>
      <c r="B249" s="44" t="n"/>
      <c r="C249" s="44" t="n"/>
      <c r="D249" s="44" t="n"/>
      <c r="E249" s="44" t="n"/>
      <c r="F249" s="44" t="n"/>
      <c r="G249" s="44" t="n"/>
      <c r="H249" s="44" t="n"/>
      <c r="I249" s="45" t="n"/>
      <c r="J249" s="45" t="n"/>
      <c r="K249" s="85" t="n"/>
      <c r="L249" s="85" t="n"/>
      <c r="M249" s="88" t="n"/>
      <c r="N249" s="88" t="n"/>
      <c r="O249" s="44" t="n"/>
      <c r="P249" s="45" t="n"/>
      <c r="Q249" s="45" t="n"/>
      <c r="R249" s="44" t="n"/>
      <c r="S249" s="45" t="n"/>
      <c r="T249" s="45" t="n"/>
      <c r="U249" s="85" t="n"/>
      <c r="V249" s="44" t="n"/>
      <c r="W249" s="45" t="n"/>
      <c r="X249" s="45" t="n"/>
      <c r="Y249" s="44" t="n"/>
      <c r="Z249" s="85" t="n"/>
      <c r="AA249" s="44" t="n"/>
      <c r="AB249" s="44" t="n"/>
      <c r="AC249" s="44" t="n"/>
      <c r="AD249" s="44" t="n"/>
      <c r="AE249" s="44" t="n"/>
      <c r="AF249" s="88" t="n"/>
      <c r="AG249" s="85" t="n"/>
      <c r="AH249" s="85" t="n"/>
      <c r="AI249" s="85" t="n"/>
      <c r="AJ249" s="85" t="n"/>
      <c r="AK249" s="85" t="n"/>
      <c r="AL249" s="85" t="n"/>
      <c r="AM249" s="85" t="n"/>
      <c r="AN249" s="85" t="n"/>
      <c r="AO249" s="85" t="n"/>
      <c r="AP249" s="85" t="n"/>
      <c r="AQ249" s="85" t="n"/>
      <c r="AR249" s="85" t="n"/>
      <c r="AS249" s="85" t="n"/>
      <c r="AT249" s="85" t="n"/>
      <c r="AU249" s="85" t="n"/>
      <c r="AV249" s="85" t="n"/>
      <c r="AW249" s="44" t="n"/>
      <c r="AX249" s="85" t="n"/>
      <c r="AY249" s="88" t="n"/>
      <c r="AZ249" s="86" t="n"/>
      <c r="BA249" s="44" t="n"/>
      <c r="BB249" s="44" t="n"/>
      <c r="BC249" s="87" t="n"/>
      <c r="BD249" s="44" t="n"/>
      <c r="BE249" s="87" t="n"/>
      <c r="BF249" s="85" t="n"/>
      <c r="BG249" s="44" t="n"/>
      <c r="BH249" s="44" t="n"/>
      <c r="BI249" s="85" t="n"/>
      <c r="BJ249" s="44" t="n"/>
      <c r="BK249" s="45" t="n"/>
      <c r="BL249" s="44" t="n"/>
      <c r="BM249" s="85" t="n"/>
      <c r="BN249" s="44" t="n"/>
      <c r="BO249" s="85" t="n"/>
      <c r="BP249" s="86" t="n"/>
      <c r="BQ249" s="44" t="n"/>
      <c r="BR249" s="50" t="n"/>
      <c r="BS249" s="89" t="n"/>
      <c r="BT249" s="50">
        <f>IF(OR(K249="",L249="",M249=""),"",IF(ABS(ROUND(((ROUND(N(K249)*100,0))-(0))*(100+N(M249))/100,0)-(ROUND(N(L249)*100,0)))&lt;=0+IF(((ROUND(N(K249)*100,0))-(0))*(100+N(M249))/100&lt;&gt;ROUND(((ROUND(N(K249)*100,0))-(0))*(100+N(M249))/100,0),1,0),"OK","ABWEICHUNG"))</f>
        <v/>
      </c>
    </row>
    <row r="250">
      <c r="A250" s="50" t="n"/>
      <c r="B250" s="44" t="n"/>
      <c r="C250" s="44" t="n"/>
      <c r="D250" s="44" t="n"/>
      <c r="E250" s="44" t="n"/>
      <c r="F250" s="44" t="n"/>
      <c r="G250" s="44" t="n"/>
      <c r="H250" s="44" t="n"/>
      <c r="I250" s="45" t="n"/>
      <c r="J250" s="45" t="n"/>
      <c r="K250" s="85" t="n"/>
      <c r="L250" s="85" t="n"/>
      <c r="M250" s="88" t="n"/>
      <c r="N250" s="88" t="n"/>
      <c r="O250" s="44" t="n"/>
      <c r="P250" s="45" t="n"/>
      <c r="Q250" s="45" t="n"/>
      <c r="R250" s="44" t="n"/>
      <c r="S250" s="45" t="n"/>
      <c r="T250" s="45" t="n"/>
      <c r="U250" s="85" t="n"/>
      <c r="V250" s="44" t="n"/>
      <c r="W250" s="45" t="n"/>
      <c r="X250" s="45" t="n"/>
      <c r="Y250" s="44" t="n"/>
      <c r="Z250" s="85" t="n"/>
      <c r="AA250" s="44" t="n"/>
      <c r="AB250" s="44" t="n"/>
      <c r="AC250" s="44" t="n"/>
      <c r="AD250" s="44" t="n"/>
      <c r="AE250" s="44" t="n"/>
      <c r="AF250" s="88" t="n"/>
      <c r="AG250" s="85" t="n"/>
      <c r="AH250" s="85" t="n"/>
      <c r="AI250" s="85" t="n"/>
      <c r="AJ250" s="85" t="n"/>
      <c r="AK250" s="85" t="n"/>
      <c r="AL250" s="85" t="n"/>
      <c r="AM250" s="85" t="n"/>
      <c r="AN250" s="85" t="n"/>
      <c r="AO250" s="85" t="n"/>
      <c r="AP250" s="85" t="n"/>
      <c r="AQ250" s="85" t="n"/>
      <c r="AR250" s="85" t="n"/>
      <c r="AS250" s="85" t="n"/>
      <c r="AT250" s="85" t="n"/>
      <c r="AU250" s="85" t="n"/>
      <c r="AV250" s="85" t="n"/>
      <c r="AW250" s="44" t="n"/>
      <c r="AX250" s="85" t="n"/>
      <c r="AY250" s="88" t="n"/>
      <c r="AZ250" s="86" t="n"/>
      <c r="BA250" s="44" t="n"/>
      <c r="BB250" s="44" t="n"/>
      <c r="BC250" s="87" t="n"/>
      <c r="BD250" s="44" t="n"/>
      <c r="BE250" s="87" t="n"/>
      <c r="BF250" s="85" t="n"/>
      <c r="BG250" s="44" t="n"/>
      <c r="BH250" s="44" t="n"/>
      <c r="BI250" s="85" t="n"/>
      <c r="BJ250" s="44" t="n"/>
      <c r="BK250" s="45" t="n"/>
      <c r="BL250" s="44" t="n"/>
      <c r="BM250" s="85" t="n"/>
      <c r="BN250" s="44" t="n"/>
      <c r="BO250" s="85" t="n"/>
      <c r="BP250" s="86" t="n"/>
      <c r="BQ250" s="44" t="n"/>
      <c r="BR250" s="50" t="n"/>
      <c r="BS250" s="89" t="n"/>
      <c r="BT250" s="50">
        <f>IF(OR(K250="",L250="",M250=""),"",IF(ABS(ROUND(((ROUND(N(K250)*100,0))-(0))*(100+N(M250))/100,0)-(ROUND(N(L250)*100,0)))&lt;=0+IF(((ROUND(N(K250)*100,0))-(0))*(100+N(M250))/100&lt;&gt;ROUND(((ROUND(N(K250)*100,0))-(0))*(100+N(M250))/100,0),1,0),"OK","ABWEICHUNG"))</f>
        <v/>
      </c>
    </row>
    <row r="251">
      <c r="A251" s="50" t="n"/>
      <c r="B251" s="44" t="n"/>
      <c r="C251" s="44" t="n"/>
      <c r="D251" s="44" t="n"/>
      <c r="E251" s="44" t="n"/>
      <c r="F251" s="44" t="n"/>
      <c r="G251" s="44" t="n"/>
      <c r="H251" s="44" t="n"/>
      <c r="I251" s="45" t="n"/>
      <c r="J251" s="45" t="n"/>
      <c r="K251" s="85" t="n"/>
      <c r="L251" s="85" t="n"/>
      <c r="M251" s="88" t="n"/>
      <c r="N251" s="88" t="n"/>
      <c r="O251" s="44" t="n"/>
      <c r="P251" s="45" t="n"/>
      <c r="Q251" s="45" t="n"/>
      <c r="R251" s="44" t="n"/>
      <c r="S251" s="45" t="n"/>
      <c r="T251" s="45" t="n"/>
      <c r="U251" s="85" t="n"/>
      <c r="V251" s="44" t="n"/>
      <c r="W251" s="45" t="n"/>
      <c r="X251" s="45" t="n"/>
      <c r="Y251" s="44" t="n"/>
      <c r="Z251" s="85" t="n"/>
      <c r="AA251" s="44" t="n"/>
      <c r="AB251" s="44" t="n"/>
      <c r="AC251" s="44" t="n"/>
      <c r="AD251" s="44" t="n"/>
      <c r="AE251" s="44" t="n"/>
      <c r="AF251" s="88" t="n"/>
      <c r="AG251" s="85" t="n"/>
      <c r="AH251" s="85" t="n"/>
      <c r="AI251" s="85" t="n"/>
      <c r="AJ251" s="85" t="n"/>
      <c r="AK251" s="85" t="n"/>
      <c r="AL251" s="85" t="n"/>
      <c r="AM251" s="85" t="n"/>
      <c r="AN251" s="85" t="n"/>
      <c r="AO251" s="85" t="n"/>
      <c r="AP251" s="85" t="n"/>
      <c r="AQ251" s="85" t="n"/>
      <c r="AR251" s="85" t="n"/>
      <c r="AS251" s="85" t="n"/>
      <c r="AT251" s="85" t="n"/>
      <c r="AU251" s="85" t="n"/>
      <c r="AV251" s="85" t="n"/>
      <c r="AW251" s="44" t="n"/>
      <c r="AX251" s="85" t="n"/>
      <c r="AY251" s="88" t="n"/>
      <c r="AZ251" s="86" t="n"/>
      <c r="BA251" s="44" t="n"/>
      <c r="BB251" s="44" t="n"/>
      <c r="BC251" s="87" t="n"/>
      <c r="BD251" s="44" t="n"/>
      <c r="BE251" s="87" t="n"/>
      <c r="BF251" s="85" t="n"/>
      <c r="BG251" s="44" t="n"/>
      <c r="BH251" s="44" t="n"/>
      <c r="BI251" s="85" t="n"/>
      <c r="BJ251" s="44" t="n"/>
      <c r="BK251" s="45" t="n"/>
      <c r="BL251" s="44" t="n"/>
      <c r="BM251" s="85" t="n"/>
      <c r="BN251" s="44" t="n"/>
      <c r="BO251" s="85" t="n"/>
      <c r="BP251" s="86" t="n"/>
      <c r="BQ251" s="44" t="n"/>
      <c r="BR251" s="50" t="n"/>
      <c r="BS251" s="89" t="n"/>
      <c r="BT251" s="50">
        <f>IF(OR(K251="",L251="",M251=""),"",IF(ABS(ROUND(((ROUND(N(K251)*100,0))-(0))*(100+N(M251))/100,0)-(ROUND(N(L251)*100,0)))&lt;=0+IF(((ROUND(N(K251)*100,0))-(0))*(100+N(M251))/100&lt;&gt;ROUND(((ROUND(N(K251)*100,0))-(0))*(100+N(M251))/100,0),1,0),"OK","ABWEICHUNG"))</f>
        <v/>
      </c>
    </row>
    <row r="252">
      <c r="A252" s="50" t="n"/>
      <c r="B252" s="44" t="n"/>
      <c r="C252" s="44" t="n"/>
      <c r="D252" s="44" t="n"/>
      <c r="E252" s="44" t="n"/>
      <c r="F252" s="44" t="n"/>
      <c r="G252" s="44" t="n"/>
      <c r="H252" s="44" t="n"/>
      <c r="I252" s="45" t="n"/>
      <c r="J252" s="45" t="n"/>
      <c r="K252" s="85" t="n"/>
      <c r="L252" s="85" t="n"/>
      <c r="M252" s="88" t="n"/>
      <c r="N252" s="88" t="n"/>
      <c r="O252" s="44" t="n"/>
      <c r="P252" s="45" t="n"/>
      <c r="Q252" s="45" t="n"/>
      <c r="R252" s="44" t="n"/>
      <c r="S252" s="45" t="n"/>
      <c r="T252" s="45" t="n"/>
      <c r="U252" s="85" t="n"/>
      <c r="V252" s="44" t="n"/>
      <c r="W252" s="45" t="n"/>
      <c r="X252" s="45" t="n"/>
      <c r="Y252" s="44" t="n"/>
      <c r="Z252" s="85" t="n"/>
      <c r="AA252" s="44" t="n"/>
      <c r="AB252" s="44" t="n"/>
      <c r="AC252" s="44" t="n"/>
      <c r="AD252" s="44" t="n"/>
      <c r="AE252" s="44" t="n"/>
      <c r="AF252" s="88" t="n"/>
      <c r="AG252" s="85" t="n"/>
      <c r="AH252" s="85" t="n"/>
      <c r="AI252" s="85" t="n"/>
      <c r="AJ252" s="85" t="n"/>
      <c r="AK252" s="85" t="n"/>
      <c r="AL252" s="85" t="n"/>
      <c r="AM252" s="85" t="n"/>
      <c r="AN252" s="85" t="n"/>
      <c r="AO252" s="85" t="n"/>
      <c r="AP252" s="85" t="n"/>
      <c r="AQ252" s="85" t="n"/>
      <c r="AR252" s="85" t="n"/>
      <c r="AS252" s="85" t="n"/>
      <c r="AT252" s="85" t="n"/>
      <c r="AU252" s="85" t="n"/>
      <c r="AV252" s="85" t="n"/>
      <c r="AW252" s="44" t="n"/>
      <c r="AX252" s="85" t="n"/>
      <c r="AY252" s="88" t="n"/>
      <c r="AZ252" s="86" t="n"/>
      <c r="BA252" s="44" t="n"/>
      <c r="BB252" s="44" t="n"/>
      <c r="BC252" s="87" t="n"/>
      <c r="BD252" s="44" t="n"/>
      <c r="BE252" s="87" t="n"/>
      <c r="BF252" s="85" t="n"/>
      <c r="BG252" s="44" t="n"/>
      <c r="BH252" s="44" t="n"/>
      <c r="BI252" s="85" t="n"/>
      <c r="BJ252" s="44" t="n"/>
      <c r="BK252" s="45" t="n"/>
      <c r="BL252" s="44" t="n"/>
      <c r="BM252" s="85" t="n"/>
      <c r="BN252" s="44" t="n"/>
      <c r="BO252" s="85" t="n"/>
      <c r="BP252" s="86" t="n"/>
      <c r="BQ252" s="44" t="n"/>
      <c r="BR252" s="50" t="n"/>
      <c r="BS252" s="89" t="n"/>
      <c r="BT252" s="50">
        <f>IF(OR(K252="",L252="",M252=""),"",IF(ABS(ROUND(((ROUND(N(K252)*100,0))-(0))*(100+N(M252))/100,0)-(ROUND(N(L252)*100,0)))&lt;=0+IF(((ROUND(N(K252)*100,0))-(0))*(100+N(M252))/100&lt;&gt;ROUND(((ROUND(N(K252)*100,0))-(0))*(100+N(M252))/100,0),1,0),"OK","ABWEICHUNG"))</f>
        <v/>
      </c>
    </row>
    <row r="253">
      <c r="A253" s="50" t="n"/>
      <c r="B253" s="44" t="n"/>
      <c r="C253" s="44" t="n"/>
      <c r="D253" s="44" t="n"/>
      <c r="E253" s="44" t="n"/>
      <c r="F253" s="44" t="n"/>
      <c r="G253" s="44" t="n"/>
      <c r="H253" s="44" t="n"/>
      <c r="I253" s="45" t="n"/>
      <c r="J253" s="45" t="n"/>
      <c r="K253" s="85" t="n"/>
      <c r="L253" s="85" t="n"/>
      <c r="M253" s="88" t="n"/>
      <c r="N253" s="88" t="n"/>
      <c r="O253" s="44" t="n"/>
      <c r="P253" s="45" t="n"/>
      <c r="Q253" s="45" t="n"/>
      <c r="R253" s="44" t="n"/>
      <c r="S253" s="45" t="n"/>
      <c r="T253" s="45" t="n"/>
      <c r="U253" s="85" t="n"/>
      <c r="V253" s="44" t="n"/>
      <c r="W253" s="45" t="n"/>
      <c r="X253" s="45" t="n"/>
      <c r="Y253" s="44" t="n"/>
      <c r="Z253" s="85" t="n"/>
      <c r="AA253" s="44" t="n"/>
      <c r="AB253" s="44" t="n"/>
      <c r="AC253" s="44" t="n"/>
      <c r="AD253" s="44" t="n"/>
      <c r="AE253" s="44" t="n"/>
      <c r="AF253" s="88" t="n"/>
      <c r="AG253" s="85" t="n"/>
      <c r="AH253" s="85" t="n"/>
      <c r="AI253" s="85" t="n"/>
      <c r="AJ253" s="85" t="n"/>
      <c r="AK253" s="85" t="n"/>
      <c r="AL253" s="85" t="n"/>
      <c r="AM253" s="85" t="n"/>
      <c r="AN253" s="85" t="n"/>
      <c r="AO253" s="85" t="n"/>
      <c r="AP253" s="85" t="n"/>
      <c r="AQ253" s="85" t="n"/>
      <c r="AR253" s="85" t="n"/>
      <c r="AS253" s="85" t="n"/>
      <c r="AT253" s="85" t="n"/>
      <c r="AU253" s="85" t="n"/>
      <c r="AV253" s="85" t="n"/>
      <c r="AW253" s="44" t="n"/>
      <c r="AX253" s="85" t="n"/>
      <c r="AY253" s="88" t="n"/>
      <c r="AZ253" s="86" t="n"/>
      <c r="BA253" s="44" t="n"/>
      <c r="BB253" s="44" t="n"/>
      <c r="BC253" s="87" t="n"/>
      <c r="BD253" s="44" t="n"/>
      <c r="BE253" s="87" t="n"/>
      <c r="BF253" s="85" t="n"/>
      <c r="BG253" s="44" t="n"/>
      <c r="BH253" s="44" t="n"/>
      <c r="BI253" s="85" t="n"/>
      <c r="BJ253" s="44" t="n"/>
      <c r="BK253" s="45" t="n"/>
      <c r="BL253" s="44" t="n"/>
      <c r="BM253" s="85" t="n"/>
      <c r="BN253" s="44" t="n"/>
      <c r="BO253" s="85" t="n"/>
      <c r="BP253" s="86" t="n"/>
      <c r="BQ253" s="44" t="n"/>
      <c r="BR253" s="50" t="n"/>
      <c r="BS253" s="89" t="n"/>
      <c r="BT253" s="50">
        <f>IF(OR(K253="",L253="",M253=""),"",IF(ABS(ROUND(((ROUND(N(K253)*100,0))-(0))*(100+N(M253))/100,0)-(ROUND(N(L253)*100,0)))&lt;=0+IF(((ROUND(N(K253)*100,0))-(0))*(100+N(M253))/100&lt;&gt;ROUND(((ROUND(N(K253)*100,0))-(0))*(100+N(M253))/100,0),1,0),"OK","ABWEICHUNG"))</f>
        <v/>
      </c>
    </row>
    <row r="254">
      <c r="A254" s="50" t="n"/>
      <c r="B254" s="44" t="n"/>
      <c r="C254" s="44" t="n"/>
      <c r="D254" s="44" t="n"/>
      <c r="E254" s="44" t="n"/>
      <c r="F254" s="44" t="n"/>
      <c r="G254" s="44" t="n"/>
      <c r="H254" s="44" t="n"/>
      <c r="I254" s="45" t="n"/>
      <c r="J254" s="45" t="n"/>
      <c r="K254" s="85" t="n"/>
      <c r="L254" s="85" t="n"/>
      <c r="M254" s="88" t="n"/>
      <c r="N254" s="88" t="n"/>
      <c r="O254" s="44" t="n"/>
      <c r="P254" s="45" t="n"/>
      <c r="Q254" s="45" t="n"/>
      <c r="R254" s="44" t="n"/>
      <c r="S254" s="45" t="n"/>
      <c r="T254" s="45" t="n"/>
      <c r="U254" s="85" t="n"/>
      <c r="V254" s="44" t="n"/>
      <c r="W254" s="45" t="n"/>
      <c r="X254" s="45" t="n"/>
      <c r="Y254" s="44" t="n"/>
      <c r="Z254" s="85" t="n"/>
      <c r="AA254" s="44" t="n"/>
      <c r="AB254" s="44" t="n"/>
      <c r="AC254" s="44" t="n"/>
      <c r="AD254" s="44" t="n"/>
      <c r="AE254" s="44" t="n"/>
      <c r="AF254" s="88" t="n"/>
      <c r="AG254" s="85" t="n"/>
      <c r="AH254" s="85" t="n"/>
      <c r="AI254" s="85" t="n"/>
      <c r="AJ254" s="85" t="n"/>
      <c r="AK254" s="85" t="n"/>
      <c r="AL254" s="85" t="n"/>
      <c r="AM254" s="85" t="n"/>
      <c r="AN254" s="85" t="n"/>
      <c r="AO254" s="85" t="n"/>
      <c r="AP254" s="85" t="n"/>
      <c r="AQ254" s="85" t="n"/>
      <c r="AR254" s="85" t="n"/>
      <c r="AS254" s="85" t="n"/>
      <c r="AT254" s="85" t="n"/>
      <c r="AU254" s="85" t="n"/>
      <c r="AV254" s="85" t="n"/>
      <c r="AW254" s="44" t="n"/>
      <c r="AX254" s="85" t="n"/>
      <c r="AY254" s="88" t="n"/>
      <c r="AZ254" s="86" t="n"/>
      <c r="BA254" s="44" t="n"/>
      <c r="BB254" s="44" t="n"/>
      <c r="BC254" s="87" t="n"/>
      <c r="BD254" s="44" t="n"/>
      <c r="BE254" s="87" t="n"/>
      <c r="BF254" s="85" t="n"/>
      <c r="BG254" s="44" t="n"/>
      <c r="BH254" s="44" t="n"/>
      <c r="BI254" s="85" t="n"/>
      <c r="BJ254" s="44" t="n"/>
      <c r="BK254" s="45" t="n"/>
      <c r="BL254" s="44" t="n"/>
      <c r="BM254" s="85" t="n"/>
      <c r="BN254" s="44" t="n"/>
      <c r="BO254" s="85" t="n"/>
      <c r="BP254" s="86" t="n"/>
      <c r="BQ254" s="44" t="n"/>
      <c r="BR254" s="50" t="n"/>
      <c r="BS254" s="89" t="n"/>
      <c r="BT254" s="50">
        <f>IF(OR(K254="",L254="",M254=""),"",IF(ABS(ROUND(((ROUND(N(K254)*100,0))-(0))*(100+N(M254))/100,0)-(ROUND(N(L254)*100,0)))&lt;=0+IF(((ROUND(N(K254)*100,0))-(0))*(100+N(M254))/100&lt;&gt;ROUND(((ROUND(N(K254)*100,0))-(0))*(100+N(M254))/100,0),1,0),"OK","ABWEICHUNG"))</f>
        <v/>
      </c>
    </row>
    <row r="255">
      <c r="A255" s="50" t="n"/>
      <c r="B255" s="44" t="n"/>
      <c r="C255" s="44" t="n"/>
      <c r="D255" s="44" t="n"/>
      <c r="E255" s="44" t="n"/>
      <c r="F255" s="44" t="n"/>
      <c r="G255" s="44" t="n"/>
      <c r="H255" s="44" t="n"/>
      <c r="I255" s="45" t="n"/>
      <c r="J255" s="45" t="n"/>
      <c r="K255" s="85" t="n"/>
      <c r="L255" s="85" t="n"/>
      <c r="M255" s="88" t="n"/>
      <c r="N255" s="88" t="n"/>
      <c r="O255" s="44" t="n"/>
      <c r="P255" s="45" t="n"/>
      <c r="Q255" s="45" t="n"/>
      <c r="R255" s="44" t="n"/>
      <c r="S255" s="45" t="n"/>
      <c r="T255" s="45" t="n"/>
      <c r="U255" s="85" t="n"/>
      <c r="V255" s="44" t="n"/>
      <c r="W255" s="45" t="n"/>
      <c r="X255" s="45" t="n"/>
      <c r="Y255" s="44" t="n"/>
      <c r="Z255" s="85" t="n"/>
      <c r="AA255" s="44" t="n"/>
      <c r="AB255" s="44" t="n"/>
      <c r="AC255" s="44" t="n"/>
      <c r="AD255" s="44" t="n"/>
      <c r="AE255" s="44" t="n"/>
      <c r="AF255" s="88" t="n"/>
      <c r="AG255" s="85" t="n"/>
      <c r="AH255" s="85" t="n"/>
      <c r="AI255" s="85" t="n"/>
      <c r="AJ255" s="85" t="n"/>
      <c r="AK255" s="85" t="n"/>
      <c r="AL255" s="85" t="n"/>
      <c r="AM255" s="85" t="n"/>
      <c r="AN255" s="85" t="n"/>
      <c r="AO255" s="85" t="n"/>
      <c r="AP255" s="85" t="n"/>
      <c r="AQ255" s="85" t="n"/>
      <c r="AR255" s="85" t="n"/>
      <c r="AS255" s="85" t="n"/>
      <c r="AT255" s="85" t="n"/>
      <c r="AU255" s="85" t="n"/>
      <c r="AV255" s="85" t="n"/>
      <c r="AW255" s="44" t="n"/>
      <c r="AX255" s="85" t="n"/>
      <c r="AY255" s="88" t="n"/>
      <c r="AZ255" s="86" t="n"/>
      <c r="BA255" s="44" t="n"/>
      <c r="BB255" s="44" t="n"/>
      <c r="BC255" s="87" t="n"/>
      <c r="BD255" s="44" t="n"/>
      <c r="BE255" s="87" t="n"/>
      <c r="BF255" s="85" t="n"/>
      <c r="BG255" s="44" t="n"/>
      <c r="BH255" s="44" t="n"/>
      <c r="BI255" s="85" t="n"/>
      <c r="BJ255" s="44" t="n"/>
      <c r="BK255" s="45" t="n"/>
      <c r="BL255" s="44" t="n"/>
      <c r="BM255" s="85" t="n"/>
      <c r="BN255" s="44" t="n"/>
      <c r="BO255" s="85" t="n"/>
      <c r="BP255" s="86" t="n"/>
      <c r="BQ255" s="44" t="n"/>
      <c r="BR255" s="50" t="n"/>
      <c r="BS255" s="89" t="n"/>
      <c r="BT255" s="50">
        <f>IF(OR(K255="",L255="",M255=""),"",IF(ABS(ROUND(((ROUND(N(K255)*100,0))-(0))*(100+N(M255))/100,0)-(ROUND(N(L255)*100,0)))&lt;=0+IF(((ROUND(N(K255)*100,0))-(0))*(100+N(M255))/100&lt;&gt;ROUND(((ROUND(N(K255)*100,0))-(0))*(100+N(M255))/100,0),1,0),"OK","ABWEICHUNG"))</f>
        <v/>
      </c>
    </row>
    <row r="256">
      <c r="A256" s="50" t="n"/>
      <c r="B256" s="44" t="n"/>
      <c r="C256" s="44" t="n"/>
      <c r="D256" s="44" t="n"/>
      <c r="E256" s="44" t="n"/>
      <c r="F256" s="44" t="n"/>
      <c r="G256" s="44" t="n"/>
      <c r="H256" s="44" t="n"/>
      <c r="I256" s="45" t="n"/>
      <c r="J256" s="45" t="n"/>
      <c r="K256" s="85" t="n"/>
      <c r="L256" s="85" t="n"/>
      <c r="M256" s="88" t="n"/>
      <c r="N256" s="88" t="n"/>
      <c r="O256" s="44" t="n"/>
      <c r="P256" s="45" t="n"/>
      <c r="Q256" s="45" t="n"/>
      <c r="R256" s="44" t="n"/>
      <c r="S256" s="45" t="n"/>
      <c r="T256" s="45" t="n"/>
      <c r="U256" s="85" t="n"/>
      <c r="V256" s="44" t="n"/>
      <c r="W256" s="45" t="n"/>
      <c r="X256" s="45" t="n"/>
      <c r="Y256" s="44" t="n"/>
      <c r="Z256" s="85" t="n"/>
      <c r="AA256" s="44" t="n"/>
      <c r="AB256" s="44" t="n"/>
      <c r="AC256" s="44" t="n"/>
      <c r="AD256" s="44" t="n"/>
      <c r="AE256" s="44" t="n"/>
      <c r="AF256" s="88" t="n"/>
      <c r="AG256" s="85" t="n"/>
      <c r="AH256" s="85" t="n"/>
      <c r="AI256" s="85" t="n"/>
      <c r="AJ256" s="85" t="n"/>
      <c r="AK256" s="85" t="n"/>
      <c r="AL256" s="85" t="n"/>
      <c r="AM256" s="85" t="n"/>
      <c r="AN256" s="85" t="n"/>
      <c r="AO256" s="85" t="n"/>
      <c r="AP256" s="85" t="n"/>
      <c r="AQ256" s="85" t="n"/>
      <c r="AR256" s="85" t="n"/>
      <c r="AS256" s="85" t="n"/>
      <c r="AT256" s="85" t="n"/>
      <c r="AU256" s="85" t="n"/>
      <c r="AV256" s="85" t="n"/>
      <c r="AW256" s="44" t="n"/>
      <c r="AX256" s="85" t="n"/>
      <c r="AY256" s="88" t="n"/>
      <c r="AZ256" s="86" t="n"/>
      <c r="BA256" s="44" t="n"/>
      <c r="BB256" s="44" t="n"/>
      <c r="BC256" s="87" t="n"/>
      <c r="BD256" s="44" t="n"/>
      <c r="BE256" s="87" t="n"/>
      <c r="BF256" s="85" t="n"/>
      <c r="BG256" s="44" t="n"/>
      <c r="BH256" s="44" t="n"/>
      <c r="BI256" s="85" t="n"/>
      <c r="BJ256" s="44" t="n"/>
      <c r="BK256" s="45" t="n"/>
      <c r="BL256" s="44" t="n"/>
      <c r="BM256" s="85" t="n"/>
      <c r="BN256" s="44" t="n"/>
      <c r="BO256" s="85" t="n"/>
      <c r="BP256" s="86" t="n"/>
      <c r="BQ256" s="44" t="n"/>
      <c r="BR256" s="50" t="n"/>
      <c r="BS256" s="89" t="n"/>
      <c r="BT256" s="50">
        <f>IF(OR(K256="",L256="",M256=""),"",IF(ABS(ROUND(((ROUND(N(K256)*100,0))-(0))*(100+N(M256))/100,0)-(ROUND(N(L256)*100,0)))&lt;=0+IF(((ROUND(N(K256)*100,0))-(0))*(100+N(M256))/100&lt;&gt;ROUND(((ROUND(N(K256)*100,0))-(0))*(100+N(M256))/100,0),1,0),"OK","ABWEICHUNG"))</f>
        <v/>
      </c>
    </row>
    <row r="257">
      <c r="A257" s="50" t="n"/>
      <c r="B257" s="44" t="n"/>
      <c r="C257" s="44" t="n"/>
      <c r="D257" s="44" t="n"/>
      <c r="E257" s="44" t="n"/>
      <c r="F257" s="44" t="n"/>
      <c r="G257" s="44" t="n"/>
      <c r="H257" s="44" t="n"/>
      <c r="I257" s="45" t="n"/>
      <c r="J257" s="45" t="n"/>
      <c r="K257" s="85" t="n"/>
      <c r="L257" s="85" t="n"/>
      <c r="M257" s="88" t="n"/>
      <c r="N257" s="88" t="n"/>
      <c r="O257" s="44" t="n"/>
      <c r="P257" s="45" t="n"/>
      <c r="Q257" s="45" t="n"/>
      <c r="R257" s="44" t="n"/>
      <c r="S257" s="45" t="n"/>
      <c r="T257" s="45" t="n"/>
      <c r="U257" s="85" t="n"/>
      <c r="V257" s="44" t="n"/>
      <c r="W257" s="45" t="n"/>
      <c r="X257" s="45" t="n"/>
      <c r="Y257" s="44" t="n"/>
      <c r="Z257" s="85" t="n"/>
      <c r="AA257" s="44" t="n"/>
      <c r="AB257" s="44" t="n"/>
      <c r="AC257" s="44" t="n"/>
      <c r="AD257" s="44" t="n"/>
      <c r="AE257" s="44" t="n"/>
      <c r="AF257" s="88" t="n"/>
      <c r="AG257" s="85" t="n"/>
      <c r="AH257" s="85" t="n"/>
      <c r="AI257" s="85" t="n"/>
      <c r="AJ257" s="85" t="n"/>
      <c r="AK257" s="85" t="n"/>
      <c r="AL257" s="85" t="n"/>
      <c r="AM257" s="85" t="n"/>
      <c r="AN257" s="85" t="n"/>
      <c r="AO257" s="85" t="n"/>
      <c r="AP257" s="85" t="n"/>
      <c r="AQ257" s="85" t="n"/>
      <c r="AR257" s="85" t="n"/>
      <c r="AS257" s="85" t="n"/>
      <c r="AT257" s="85" t="n"/>
      <c r="AU257" s="85" t="n"/>
      <c r="AV257" s="85" t="n"/>
      <c r="AW257" s="44" t="n"/>
      <c r="AX257" s="85" t="n"/>
      <c r="AY257" s="88" t="n"/>
      <c r="AZ257" s="86" t="n"/>
      <c r="BA257" s="44" t="n"/>
      <c r="BB257" s="44" t="n"/>
      <c r="BC257" s="87" t="n"/>
      <c r="BD257" s="44" t="n"/>
      <c r="BE257" s="87" t="n"/>
      <c r="BF257" s="85" t="n"/>
      <c r="BG257" s="44" t="n"/>
      <c r="BH257" s="44" t="n"/>
      <c r="BI257" s="85" t="n"/>
      <c r="BJ257" s="44" t="n"/>
      <c r="BK257" s="45" t="n"/>
      <c r="BL257" s="44" t="n"/>
      <c r="BM257" s="85" t="n"/>
      <c r="BN257" s="44" t="n"/>
      <c r="BO257" s="85" t="n"/>
      <c r="BP257" s="86" t="n"/>
      <c r="BQ257" s="44" t="n"/>
      <c r="BR257" s="50" t="n"/>
      <c r="BS257" s="89" t="n"/>
      <c r="BT257" s="50">
        <f>IF(OR(K257="",L257="",M257=""),"",IF(ABS(ROUND(((ROUND(N(K257)*100,0))-(0))*(100+N(M257))/100,0)-(ROUND(N(L257)*100,0)))&lt;=0+IF(((ROUND(N(K257)*100,0))-(0))*(100+N(M257))/100&lt;&gt;ROUND(((ROUND(N(K257)*100,0))-(0))*(100+N(M257))/100,0),1,0),"OK","ABWEICHUNG"))</f>
        <v/>
      </c>
    </row>
    <row r="258">
      <c r="A258" s="50" t="n"/>
      <c r="B258" s="44" t="n"/>
      <c r="C258" s="44" t="n"/>
      <c r="D258" s="44" t="n"/>
      <c r="E258" s="44" t="n"/>
      <c r="F258" s="44" t="n"/>
      <c r="G258" s="44" t="n"/>
      <c r="H258" s="44" t="n"/>
      <c r="I258" s="45" t="n"/>
      <c r="J258" s="45" t="n"/>
      <c r="K258" s="85" t="n"/>
      <c r="L258" s="85" t="n"/>
      <c r="M258" s="88" t="n"/>
      <c r="N258" s="88" t="n"/>
      <c r="O258" s="44" t="n"/>
      <c r="P258" s="45" t="n"/>
      <c r="Q258" s="45" t="n"/>
      <c r="R258" s="44" t="n"/>
      <c r="S258" s="45" t="n"/>
      <c r="T258" s="45" t="n"/>
      <c r="U258" s="85" t="n"/>
      <c r="V258" s="44" t="n"/>
      <c r="W258" s="45" t="n"/>
      <c r="X258" s="45" t="n"/>
      <c r="Y258" s="44" t="n"/>
      <c r="Z258" s="85" t="n"/>
      <c r="AA258" s="44" t="n"/>
      <c r="AB258" s="44" t="n"/>
      <c r="AC258" s="44" t="n"/>
      <c r="AD258" s="44" t="n"/>
      <c r="AE258" s="44" t="n"/>
      <c r="AF258" s="88" t="n"/>
      <c r="AG258" s="85" t="n"/>
      <c r="AH258" s="85" t="n"/>
      <c r="AI258" s="85" t="n"/>
      <c r="AJ258" s="85" t="n"/>
      <c r="AK258" s="85" t="n"/>
      <c r="AL258" s="85" t="n"/>
      <c r="AM258" s="85" t="n"/>
      <c r="AN258" s="85" t="n"/>
      <c r="AO258" s="85" t="n"/>
      <c r="AP258" s="85" t="n"/>
      <c r="AQ258" s="85" t="n"/>
      <c r="AR258" s="85" t="n"/>
      <c r="AS258" s="85" t="n"/>
      <c r="AT258" s="85" t="n"/>
      <c r="AU258" s="85" t="n"/>
      <c r="AV258" s="85" t="n"/>
      <c r="AW258" s="44" t="n"/>
      <c r="AX258" s="85" t="n"/>
      <c r="AY258" s="88" t="n"/>
      <c r="AZ258" s="86" t="n"/>
      <c r="BA258" s="44" t="n"/>
      <c r="BB258" s="44" t="n"/>
      <c r="BC258" s="87" t="n"/>
      <c r="BD258" s="44" t="n"/>
      <c r="BE258" s="87" t="n"/>
      <c r="BF258" s="85" t="n"/>
      <c r="BG258" s="44" t="n"/>
      <c r="BH258" s="44" t="n"/>
      <c r="BI258" s="85" t="n"/>
      <c r="BJ258" s="44" t="n"/>
      <c r="BK258" s="45" t="n"/>
      <c r="BL258" s="44" t="n"/>
      <c r="BM258" s="85" t="n"/>
      <c r="BN258" s="44" t="n"/>
      <c r="BO258" s="85" t="n"/>
      <c r="BP258" s="86" t="n"/>
      <c r="BQ258" s="44" t="n"/>
      <c r="BR258" s="50" t="n"/>
      <c r="BS258" s="89" t="n"/>
      <c r="BT258" s="50">
        <f>IF(OR(K258="",L258="",M258=""),"",IF(ABS(ROUND(((ROUND(N(K258)*100,0))-(0))*(100+N(M258))/100,0)-(ROUND(N(L258)*100,0)))&lt;=0+IF(((ROUND(N(K258)*100,0))-(0))*(100+N(M258))/100&lt;&gt;ROUND(((ROUND(N(K258)*100,0))-(0))*(100+N(M258))/100,0),1,0),"OK","ABWEICHUNG"))</f>
        <v/>
      </c>
    </row>
    <row r="259">
      <c r="A259" s="50" t="n"/>
      <c r="B259" s="44" t="n"/>
      <c r="C259" s="44" t="n"/>
      <c r="D259" s="44" t="n"/>
      <c r="E259" s="44" t="n"/>
      <c r="F259" s="44" t="n"/>
      <c r="G259" s="44" t="n"/>
      <c r="H259" s="44" t="n"/>
      <c r="I259" s="45" t="n"/>
      <c r="J259" s="45" t="n"/>
      <c r="K259" s="85" t="n"/>
      <c r="L259" s="85" t="n"/>
      <c r="M259" s="88" t="n"/>
      <c r="N259" s="88" t="n"/>
      <c r="O259" s="44" t="n"/>
      <c r="P259" s="45" t="n"/>
      <c r="Q259" s="45" t="n"/>
      <c r="R259" s="44" t="n"/>
      <c r="S259" s="45" t="n"/>
      <c r="T259" s="45" t="n"/>
      <c r="U259" s="85" t="n"/>
      <c r="V259" s="44" t="n"/>
      <c r="W259" s="45" t="n"/>
      <c r="X259" s="45" t="n"/>
      <c r="Y259" s="44" t="n"/>
      <c r="Z259" s="85" t="n"/>
      <c r="AA259" s="44" t="n"/>
      <c r="AB259" s="44" t="n"/>
      <c r="AC259" s="44" t="n"/>
      <c r="AD259" s="44" t="n"/>
      <c r="AE259" s="44" t="n"/>
      <c r="AF259" s="88" t="n"/>
      <c r="AG259" s="85" t="n"/>
      <c r="AH259" s="85" t="n"/>
      <c r="AI259" s="85" t="n"/>
      <c r="AJ259" s="85" t="n"/>
      <c r="AK259" s="85" t="n"/>
      <c r="AL259" s="85" t="n"/>
      <c r="AM259" s="85" t="n"/>
      <c r="AN259" s="85" t="n"/>
      <c r="AO259" s="85" t="n"/>
      <c r="AP259" s="85" t="n"/>
      <c r="AQ259" s="85" t="n"/>
      <c r="AR259" s="85" t="n"/>
      <c r="AS259" s="85" t="n"/>
      <c r="AT259" s="85" t="n"/>
      <c r="AU259" s="85" t="n"/>
      <c r="AV259" s="85" t="n"/>
      <c r="AW259" s="44" t="n"/>
      <c r="AX259" s="85" t="n"/>
      <c r="AY259" s="88" t="n"/>
      <c r="AZ259" s="86" t="n"/>
      <c r="BA259" s="44" t="n"/>
      <c r="BB259" s="44" t="n"/>
      <c r="BC259" s="87" t="n"/>
      <c r="BD259" s="44" t="n"/>
      <c r="BE259" s="87" t="n"/>
      <c r="BF259" s="85" t="n"/>
      <c r="BG259" s="44" t="n"/>
      <c r="BH259" s="44" t="n"/>
      <c r="BI259" s="85" t="n"/>
      <c r="BJ259" s="44" t="n"/>
      <c r="BK259" s="45" t="n"/>
      <c r="BL259" s="44" t="n"/>
      <c r="BM259" s="85" t="n"/>
      <c r="BN259" s="44" t="n"/>
      <c r="BO259" s="85" t="n"/>
      <c r="BP259" s="86" t="n"/>
      <c r="BQ259" s="44" t="n"/>
      <c r="BR259" s="50" t="n"/>
      <c r="BS259" s="89" t="n"/>
      <c r="BT259" s="50">
        <f>IF(OR(K259="",L259="",M259=""),"",IF(ABS(ROUND(((ROUND(N(K259)*100,0))-(0))*(100+N(M259))/100,0)-(ROUND(N(L259)*100,0)))&lt;=0+IF(((ROUND(N(K259)*100,0))-(0))*(100+N(M259))/100&lt;&gt;ROUND(((ROUND(N(K259)*100,0))-(0))*(100+N(M259))/100,0),1,0),"OK","ABWEICHUNG"))</f>
        <v/>
      </c>
    </row>
    <row r="260">
      <c r="A260" s="50" t="n"/>
      <c r="B260" s="44" t="n"/>
      <c r="C260" s="44" t="n"/>
      <c r="D260" s="44" t="n"/>
      <c r="E260" s="44" t="n"/>
      <c r="F260" s="44" t="n"/>
      <c r="G260" s="44" t="n"/>
      <c r="H260" s="44" t="n"/>
      <c r="I260" s="45" t="n"/>
      <c r="J260" s="45" t="n"/>
      <c r="K260" s="85" t="n"/>
      <c r="L260" s="85" t="n"/>
      <c r="M260" s="88" t="n"/>
      <c r="N260" s="88" t="n"/>
      <c r="O260" s="44" t="n"/>
      <c r="P260" s="45" t="n"/>
      <c r="Q260" s="45" t="n"/>
      <c r="R260" s="44" t="n"/>
      <c r="S260" s="45" t="n"/>
      <c r="T260" s="45" t="n"/>
      <c r="U260" s="85" t="n"/>
      <c r="V260" s="44" t="n"/>
      <c r="W260" s="45" t="n"/>
      <c r="X260" s="45" t="n"/>
      <c r="Y260" s="44" t="n"/>
      <c r="Z260" s="85" t="n"/>
      <c r="AA260" s="44" t="n"/>
      <c r="AB260" s="44" t="n"/>
      <c r="AC260" s="44" t="n"/>
      <c r="AD260" s="44" t="n"/>
      <c r="AE260" s="44" t="n"/>
      <c r="AF260" s="88" t="n"/>
      <c r="AG260" s="85" t="n"/>
      <c r="AH260" s="85" t="n"/>
      <c r="AI260" s="85" t="n"/>
      <c r="AJ260" s="85" t="n"/>
      <c r="AK260" s="85" t="n"/>
      <c r="AL260" s="85" t="n"/>
      <c r="AM260" s="85" t="n"/>
      <c r="AN260" s="85" t="n"/>
      <c r="AO260" s="85" t="n"/>
      <c r="AP260" s="85" t="n"/>
      <c r="AQ260" s="85" t="n"/>
      <c r="AR260" s="85" t="n"/>
      <c r="AS260" s="85" t="n"/>
      <c r="AT260" s="85" t="n"/>
      <c r="AU260" s="85" t="n"/>
      <c r="AV260" s="85" t="n"/>
      <c r="AW260" s="44" t="n"/>
      <c r="AX260" s="85" t="n"/>
      <c r="AY260" s="88" t="n"/>
      <c r="AZ260" s="86" t="n"/>
      <c r="BA260" s="44" t="n"/>
      <c r="BB260" s="44" t="n"/>
      <c r="BC260" s="87" t="n"/>
      <c r="BD260" s="44" t="n"/>
      <c r="BE260" s="87" t="n"/>
      <c r="BF260" s="85" t="n"/>
      <c r="BG260" s="44" t="n"/>
      <c r="BH260" s="44" t="n"/>
      <c r="BI260" s="85" t="n"/>
      <c r="BJ260" s="44" t="n"/>
      <c r="BK260" s="45" t="n"/>
      <c r="BL260" s="44" t="n"/>
      <c r="BM260" s="85" t="n"/>
      <c r="BN260" s="44" t="n"/>
      <c r="BO260" s="85" t="n"/>
      <c r="BP260" s="86" t="n"/>
      <c r="BQ260" s="44" t="n"/>
      <c r="BR260" s="50" t="n"/>
      <c r="BS260" s="89" t="n"/>
      <c r="BT260" s="50">
        <f>IF(OR(K260="",L260="",M260=""),"",IF(ABS(ROUND(((ROUND(N(K260)*100,0))-(0))*(100+N(M260))/100,0)-(ROUND(N(L260)*100,0)))&lt;=0+IF(((ROUND(N(K260)*100,0))-(0))*(100+N(M260))/100&lt;&gt;ROUND(((ROUND(N(K260)*100,0))-(0))*(100+N(M260))/100,0),1,0),"OK","ABWEICHUNG"))</f>
        <v/>
      </c>
    </row>
    <row r="261">
      <c r="A261" s="50" t="n"/>
      <c r="B261" s="44" t="n"/>
      <c r="C261" s="44" t="n"/>
      <c r="D261" s="44" t="n"/>
      <c r="E261" s="44" t="n"/>
      <c r="F261" s="44" t="n"/>
      <c r="G261" s="44" t="n"/>
      <c r="H261" s="44" t="n"/>
      <c r="I261" s="45" t="n"/>
      <c r="J261" s="45" t="n"/>
      <c r="K261" s="85" t="n"/>
      <c r="L261" s="85" t="n"/>
      <c r="M261" s="88" t="n"/>
      <c r="N261" s="88" t="n"/>
      <c r="O261" s="44" t="n"/>
      <c r="P261" s="45" t="n"/>
      <c r="Q261" s="45" t="n"/>
      <c r="R261" s="44" t="n"/>
      <c r="S261" s="45" t="n"/>
      <c r="T261" s="45" t="n"/>
      <c r="U261" s="85" t="n"/>
      <c r="V261" s="44" t="n"/>
      <c r="W261" s="45" t="n"/>
      <c r="X261" s="45" t="n"/>
      <c r="Y261" s="44" t="n"/>
      <c r="Z261" s="85" t="n"/>
      <c r="AA261" s="44" t="n"/>
      <c r="AB261" s="44" t="n"/>
      <c r="AC261" s="44" t="n"/>
      <c r="AD261" s="44" t="n"/>
      <c r="AE261" s="44" t="n"/>
      <c r="AF261" s="88" t="n"/>
      <c r="AG261" s="85" t="n"/>
      <c r="AH261" s="85" t="n"/>
      <c r="AI261" s="85" t="n"/>
      <c r="AJ261" s="85" t="n"/>
      <c r="AK261" s="85" t="n"/>
      <c r="AL261" s="85" t="n"/>
      <c r="AM261" s="85" t="n"/>
      <c r="AN261" s="85" t="n"/>
      <c r="AO261" s="85" t="n"/>
      <c r="AP261" s="85" t="n"/>
      <c r="AQ261" s="85" t="n"/>
      <c r="AR261" s="85" t="n"/>
      <c r="AS261" s="85" t="n"/>
      <c r="AT261" s="85" t="n"/>
      <c r="AU261" s="85" t="n"/>
      <c r="AV261" s="85" t="n"/>
      <c r="AW261" s="44" t="n"/>
      <c r="AX261" s="85" t="n"/>
      <c r="AY261" s="88" t="n"/>
      <c r="AZ261" s="86" t="n"/>
      <c r="BA261" s="44" t="n"/>
      <c r="BB261" s="44" t="n"/>
      <c r="BC261" s="87" t="n"/>
      <c r="BD261" s="44" t="n"/>
      <c r="BE261" s="87" t="n"/>
      <c r="BF261" s="85" t="n"/>
      <c r="BG261" s="44" t="n"/>
      <c r="BH261" s="44" t="n"/>
      <c r="BI261" s="85" t="n"/>
      <c r="BJ261" s="44" t="n"/>
      <c r="BK261" s="45" t="n"/>
      <c r="BL261" s="44" t="n"/>
      <c r="BM261" s="85" t="n"/>
      <c r="BN261" s="44" t="n"/>
      <c r="BO261" s="85" t="n"/>
      <c r="BP261" s="86" t="n"/>
      <c r="BQ261" s="44" t="n"/>
      <c r="BR261" s="50" t="n"/>
      <c r="BS261" s="89" t="n"/>
      <c r="BT261" s="50">
        <f>IF(OR(K261="",L261="",M261=""),"",IF(ABS(ROUND(((ROUND(N(K261)*100,0))-(0))*(100+N(M261))/100,0)-(ROUND(N(L261)*100,0)))&lt;=0+IF(((ROUND(N(K261)*100,0))-(0))*(100+N(M261))/100&lt;&gt;ROUND(((ROUND(N(K261)*100,0))-(0))*(100+N(M261))/100,0),1,0),"OK","ABWEICHUNG"))</f>
        <v/>
      </c>
    </row>
    <row r="262">
      <c r="A262" s="50" t="n"/>
      <c r="B262" s="44" t="n"/>
      <c r="C262" s="44" t="n"/>
      <c r="D262" s="44" t="n"/>
      <c r="E262" s="44" t="n"/>
      <c r="F262" s="44" t="n"/>
      <c r="G262" s="44" t="n"/>
      <c r="H262" s="44" t="n"/>
      <c r="I262" s="45" t="n"/>
      <c r="J262" s="45" t="n"/>
      <c r="K262" s="85" t="n"/>
      <c r="L262" s="85" t="n"/>
      <c r="M262" s="88" t="n"/>
      <c r="N262" s="88" t="n"/>
      <c r="O262" s="44" t="n"/>
      <c r="P262" s="45" t="n"/>
      <c r="Q262" s="45" t="n"/>
      <c r="R262" s="44" t="n"/>
      <c r="S262" s="45" t="n"/>
      <c r="T262" s="45" t="n"/>
      <c r="U262" s="85" t="n"/>
      <c r="V262" s="44" t="n"/>
      <c r="W262" s="45" t="n"/>
      <c r="X262" s="45" t="n"/>
      <c r="Y262" s="44" t="n"/>
      <c r="Z262" s="85" t="n"/>
      <c r="AA262" s="44" t="n"/>
      <c r="AB262" s="44" t="n"/>
      <c r="AC262" s="44" t="n"/>
      <c r="AD262" s="44" t="n"/>
      <c r="AE262" s="44" t="n"/>
      <c r="AF262" s="88" t="n"/>
      <c r="AG262" s="85" t="n"/>
      <c r="AH262" s="85" t="n"/>
      <c r="AI262" s="85" t="n"/>
      <c r="AJ262" s="85" t="n"/>
      <c r="AK262" s="85" t="n"/>
      <c r="AL262" s="85" t="n"/>
      <c r="AM262" s="85" t="n"/>
      <c r="AN262" s="85" t="n"/>
      <c r="AO262" s="85" t="n"/>
      <c r="AP262" s="85" t="n"/>
      <c r="AQ262" s="85" t="n"/>
      <c r="AR262" s="85" t="n"/>
      <c r="AS262" s="85" t="n"/>
      <c r="AT262" s="85" t="n"/>
      <c r="AU262" s="85" t="n"/>
      <c r="AV262" s="85" t="n"/>
      <c r="AW262" s="44" t="n"/>
      <c r="AX262" s="85" t="n"/>
      <c r="AY262" s="88" t="n"/>
      <c r="AZ262" s="86" t="n"/>
      <c r="BA262" s="44" t="n"/>
      <c r="BB262" s="44" t="n"/>
      <c r="BC262" s="87" t="n"/>
      <c r="BD262" s="44" t="n"/>
      <c r="BE262" s="87" t="n"/>
      <c r="BF262" s="85" t="n"/>
      <c r="BG262" s="44" t="n"/>
      <c r="BH262" s="44" t="n"/>
      <c r="BI262" s="85" t="n"/>
      <c r="BJ262" s="44" t="n"/>
      <c r="BK262" s="45" t="n"/>
      <c r="BL262" s="44" t="n"/>
      <c r="BM262" s="85" t="n"/>
      <c r="BN262" s="44" t="n"/>
      <c r="BO262" s="85" t="n"/>
      <c r="BP262" s="86" t="n"/>
      <c r="BQ262" s="44" t="n"/>
      <c r="BR262" s="50" t="n"/>
      <c r="BS262" s="89" t="n"/>
      <c r="BT262" s="50">
        <f>IF(OR(K262="",L262="",M262=""),"",IF(ABS(ROUND(((ROUND(N(K262)*100,0))-(0))*(100+N(M262))/100,0)-(ROUND(N(L262)*100,0)))&lt;=0+IF(((ROUND(N(K262)*100,0))-(0))*(100+N(M262))/100&lt;&gt;ROUND(((ROUND(N(K262)*100,0))-(0))*(100+N(M262))/100,0),1,0),"OK","ABWEICHUNG"))</f>
        <v/>
      </c>
    </row>
    <row r="263">
      <c r="A263" s="50" t="n"/>
      <c r="B263" s="44" t="n"/>
      <c r="C263" s="44" t="n"/>
      <c r="D263" s="44" t="n"/>
      <c r="E263" s="44" t="n"/>
      <c r="F263" s="44" t="n"/>
      <c r="G263" s="44" t="n"/>
      <c r="H263" s="44" t="n"/>
      <c r="I263" s="45" t="n"/>
      <c r="J263" s="45" t="n"/>
      <c r="K263" s="85" t="n"/>
      <c r="L263" s="85" t="n"/>
      <c r="M263" s="88" t="n"/>
      <c r="N263" s="88" t="n"/>
      <c r="O263" s="44" t="n"/>
      <c r="P263" s="45" t="n"/>
      <c r="Q263" s="45" t="n"/>
      <c r="R263" s="44" t="n"/>
      <c r="S263" s="45" t="n"/>
      <c r="T263" s="45" t="n"/>
      <c r="U263" s="85" t="n"/>
      <c r="V263" s="44" t="n"/>
      <c r="W263" s="45" t="n"/>
      <c r="X263" s="45" t="n"/>
      <c r="Y263" s="44" t="n"/>
      <c r="Z263" s="85" t="n"/>
      <c r="AA263" s="44" t="n"/>
      <c r="AB263" s="44" t="n"/>
      <c r="AC263" s="44" t="n"/>
      <c r="AD263" s="44" t="n"/>
      <c r="AE263" s="44" t="n"/>
      <c r="AF263" s="88" t="n"/>
      <c r="AG263" s="85" t="n"/>
      <c r="AH263" s="85" t="n"/>
      <c r="AI263" s="85" t="n"/>
      <c r="AJ263" s="85" t="n"/>
      <c r="AK263" s="85" t="n"/>
      <c r="AL263" s="85" t="n"/>
      <c r="AM263" s="85" t="n"/>
      <c r="AN263" s="85" t="n"/>
      <c r="AO263" s="85" t="n"/>
      <c r="AP263" s="85" t="n"/>
      <c r="AQ263" s="85" t="n"/>
      <c r="AR263" s="85" t="n"/>
      <c r="AS263" s="85" t="n"/>
      <c r="AT263" s="85" t="n"/>
      <c r="AU263" s="85" t="n"/>
      <c r="AV263" s="85" t="n"/>
      <c r="AW263" s="44" t="n"/>
      <c r="AX263" s="85" t="n"/>
      <c r="AY263" s="88" t="n"/>
      <c r="AZ263" s="86" t="n"/>
      <c r="BA263" s="44" t="n"/>
      <c r="BB263" s="44" t="n"/>
      <c r="BC263" s="87" t="n"/>
      <c r="BD263" s="44" t="n"/>
      <c r="BE263" s="87" t="n"/>
      <c r="BF263" s="85" t="n"/>
      <c r="BG263" s="44" t="n"/>
      <c r="BH263" s="44" t="n"/>
      <c r="BI263" s="85" t="n"/>
      <c r="BJ263" s="44" t="n"/>
      <c r="BK263" s="45" t="n"/>
      <c r="BL263" s="44" t="n"/>
      <c r="BM263" s="85" t="n"/>
      <c r="BN263" s="44" t="n"/>
      <c r="BO263" s="85" t="n"/>
      <c r="BP263" s="86" t="n"/>
      <c r="BQ263" s="44" t="n"/>
      <c r="BR263" s="50" t="n"/>
      <c r="BS263" s="89" t="n"/>
      <c r="BT263" s="50">
        <f>IF(OR(K263="",L263="",M263=""),"",IF(ABS(ROUND(((ROUND(N(K263)*100,0))-(0))*(100+N(M263))/100,0)-(ROUND(N(L263)*100,0)))&lt;=0+IF(((ROUND(N(K263)*100,0))-(0))*(100+N(M263))/100&lt;&gt;ROUND(((ROUND(N(K263)*100,0))-(0))*(100+N(M263))/100,0),1,0),"OK","ABWEICHUNG"))</f>
        <v/>
      </c>
    </row>
    <row r="264">
      <c r="A264" s="50" t="n"/>
      <c r="B264" s="44" t="n"/>
      <c r="C264" s="44" t="n"/>
      <c r="D264" s="44" t="n"/>
      <c r="E264" s="44" t="n"/>
      <c r="F264" s="44" t="n"/>
      <c r="G264" s="44" t="n"/>
      <c r="H264" s="44" t="n"/>
      <c r="I264" s="45" t="n"/>
      <c r="J264" s="45" t="n"/>
      <c r="K264" s="85" t="n"/>
      <c r="L264" s="85" t="n"/>
      <c r="M264" s="88" t="n"/>
      <c r="N264" s="88" t="n"/>
      <c r="O264" s="44" t="n"/>
      <c r="P264" s="45" t="n"/>
      <c r="Q264" s="45" t="n"/>
      <c r="R264" s="44" t="n"/>
      <c r="S264" s="45" t="n"/>
      <c r="T264" s="45" t="n"/>
      <c r="U264" s="85" t="n"/>
      <c r="V264" s="44" t="n"/>
      <c r="W264" s="45" t="n"/>
      <c r="X264" s="45" t="n"/>
      <c r="Y264" s="44" t="n"/>
      <c r="Z264" s="85" t="n"/>
      <c r="AA264" s="44" t="n"/>
      <c r="AB264" s="44" t="n"/>
      <c r="AC264" s="44" t="n"/>
      <c r="AD264" s="44" t="n"/>
      <c r="AE264" s="44" t="n"/>
      <c r="AF264" s="88" t="n"/>
      <c r="AG264" s="85" t="n"/>
      <c r="AH264" s="85" t="n"/>
      <c r="AI264" s="85" t="n"/>
      <c r="AJ264" s="85" t="n"/>
      <c r="AK264" s="85" t="n"/>
      <c r="AL264" s="85" t="n"/>
      <c r="AM264" s="85" t="n"/>
      <c r="AN264" s="85" t="n"/>
      <c r="AO264" s="85" t="n"/>
      <c r="AP264" s="85" t="n"/>
      <c r="AQ264" s="85" t="n"/>
      <c r="AR264" s="85" t="n"/>
      <c r="AS264" s="85" t="n"/>
      <c r="AT264" s="85" t="n"/>
      <c r="AU264" s="85" t="n"/>
      <c r="AV264" s="85" t="n"/>
      <c r="AW264" s="44" t="n"/>
      <c r="AX264" s="85" t="n"/>
      <c r="AY264" s="88" t="n"/>
      <c r="AZ264" s="86" t="n"/>
      <c r="BA264" s="44" t="n"/>
      <c r="BB264" s="44" t="n"/>
      <c r="BC264" s="87" t="n"/>
      <c r="BD264" s="44" t="n"/>
      <c r="BE264" s="87" t="n"/>
      <c r="BF264" s="85" t="n"/>
      <c r="BG264" s="44" t="n"/>
      <c r="BH264" s="44" t="n"/>
      <c r="BI264" s="85" t="n"/>
      <c r="BJ264" s="44" t="n"/>
      <c r="BK264" s="45" t="n"/>
      <c r="BL264" s="44" t="n"/>
      <c r="BM264" s="85" t="n"/>
      <c r="BN264" s="44" t="n"/>
      <c r="BO264" s="85" t="n"/>
      <c r="BP264" s="86" t="n"/>
      <c r="BQ264" s="44" t="n"/>
      <c r="BR264" s="50" t="n"/>
      <c r="BS264" s="89" t="n"/>
      <c r="BT264" s="50">
        <f>IF(OR(K264="",L264="",M264=""),"",IF(ABS(ROUND(((ROUND(N(K264)*100,0))-(0))*(100+N(M264))/100,0)-(ROUND(N(L264)*100,0)))&lt;=0+IF(((ROUND(N(K264)*100,0))-(0))*(100+N(M264))/100&lt;&gt;ROUND(((ROUND(N(K264)*100,0))-(0))*(100+N(M264))/100,0),1,0),"OK","ABWEICHUNG"))</f>
        <v/>
      </c>
    </row>
    <row r="265">
      <c r="A265" s="50" t="n"/>
      <c r="B265" s="44" t="n"/>
      <c r="C265" s="44" t="n"/>
      <c r="D265" s="44" t="n"/>
      <c r="E265" s="44" t="n"/>
      <c r="F265" s="44" t="n"/>
      <c r="G265" s="44" t="n"/>
      <c r="H265" s="44" t="n"/>
      <c r="I265" s="45" t="n"/>
      <c r="J265" s="45" t="n"/>
      <c r="K265" s="85" t="n"/>
      <c r="L265" s="85" t="n"/>
      <c r="M265" s="88" t="n"/>
      <c r="N265" s="88" t="n"/>
      <c r="O265" s="44" t="n"/>
      <c r="P265" s="45" t="n"/>
      <c r="Q265" s="45" t="n"/>
      <c r="R265" s="44" t="n"/>
      <c r="S265" s="45" t="n"/>
      <c r="T265" s="45" t="n"/>
      <c r="U265" s="85" t="n"/>
      <c r="V265" s="44" t="n"/>
      <c r="W265" s="45" t="n"/>
      <c r="X265" s="45" t="n"/>
      <c r="Y265" s="44" t="n"/>
      <c r="Z265" s="85" t="n"/>
      <c r="AA265" s="44" t="n"/>
      <c r="AB265" s="44" t="n"/>
      <c r="AC265" s="44" t="n"/>
      <c r="AD265" s="44" t="n"/>
      <c r="AE265" s="44" t="n"/>
      <c r="AF265" s="88" t="n"/>
      <c r="AG265" s="85" t="n"/>
      <c r="AH265" s="85" t="n"/>
      <c r="AI265" s="85" t="n"/>
      <c r="AJ265" s="85" t="n"/>
      <c r="AK265" s="85" t="n"/>
      <c r="AL265" s="85" t="n"/>
      <c r="AM265" s="85" t="n"/>
      <c r="AN265" s="85" t="n"/>
      <c r="AO265" s="85" t="n"/>
      <c r="AP265" s="85" t="n"/>
      <c r="AQ265" s="85" t="n"/>
      <c r="AR265" s="85" t="n"/>
      <c r="AS265" s="85" t="n"/>
      <c r="AT265" s="85" t="n"/>
      <c r="AU265" s="85" t="n"/>
      <c r="AV265" s="85" t="n"/>
      <c r="AW265" s="44" t="n"/>
      <c r="AX265" s="85" t="n"/>
      <c r="AY265" s="88" t="n"/>
      <c r="AZ265" s="86" t="n"/>
      <c r="BA265" s="44" t="n"/>
      <c r="BB265" s="44" t="n"/>
      <c r="BC265" s="87" t="n"/>
      <c r="BD265" s="44" t="n"/>
      <c r="BE265" s="87" t="n"/>
      <c r="BF265" s="85" t="n"/>
      <c r="BG265" s="44" t="n"/>
      <c r="BH265" s="44" t="n"/>
      <c r="BI265" s="85" t="n"/>
      <c r="BJ265" s="44" t="n"/>
      <c r="BK265" s="45" t="n"/>
      <c r="BL265" s="44" t="n"/>
      <c r="BM265" s="85" t="n"/>
      <c r="BN265" s="44" t="n"/>
      <c r="BO265" s="85" t="n"/>
      <c r="BP265" s="86" t="n"/>
      <c r="BQ265" s="44" t="n"/>
      <c r="BR265" s="50" t="n"/>
      <c r="BS265" s="89" t="n"/>
      <c r="BT265" s="50">
        <f>IF(OR(K265="",L265="",M265=""),"",IF(ABS(ROUND(((ROUND(N(K265)*100,0))-(0))*(100+N(M265))/100,0)-(ROUND(N(L265)*100,0)))&lt;=0+IF(((ROUND(N(K265)*100,0))-(0))*(100+N(M265))/100&lt;&gt;ROUND(((ROUND(N(K265)*100,0))-(0))*(100+N(M265))/100,0),1,0),"OK","ABWEICHUNG"))</f>
        <v/>
      </c>
    </row>
    <row r="266">
      <c r="A266" s="50" t="n"/>
      <c r="B266" s="44" t="n"/>
      <c r="C266" s="44" t="n"/>
      <c r="D266" s="44" t="n"/>
      <c r="E266" s="44" t="n"/>
      <c r="F266" s="44" t="n"/>
      <c r="G266" s="44" t="n"/>
      <c r="H266" s="44" t="n"/>
      <c r="I266" s="45" t="n"/>
      <c r="J266" s="45" t="n"/>
      <c r="K266" s="85" t="n"/>
      <c r="L266" s="85" t="n"/>
      <c r="M266" s="88" t="n"/>
      <c r="N266" s="88" t="n"/>
      <c r="O266" s="44" t="n"/>
      <c r="P266" s="45" t="n"/>
      <c r="Q266" s="45" t="n"/>
      <c r="R266" s="44" t="n"/>
      <c r="S266" s="45" t="n"/>
      <c r="T266" s="45" t="n"/>
      <c r="U266" s="85" t="n"/>
      <c r="V266" s="44" t="n"/>
      <c r="W266" s="45" t="n"/>
      <c r="X266" s="45" t="n"/>
      <c r="Y266" s="44" t="n"/>
      <c r="Z266" s="85" t="n"/>
      <c r="AA266" s="44" t="n"/>
      <c r="AB266" s="44" t="n"/>
      <c r="AC266" s="44" t="n"/>
      <c r="AD266" s="44" t="n"/>
      <c r="AE266" s="44" t="n"/>
      <c r="AF266" s="88" t="n"/>
      <c r="AG266" s="85" t="n"/>
      <c r="AH266" s="85" t="n"/>
      <c r="AI266" s="85" t="n"/>
      <c r="AJ266" s="85" t="n"/>
      <c r="AK266" s="85" t="n"/>
      <c r="AL266" s="85" t="n"/>
      <c r="AM266" s="85" t="n"/>
      <c r="AN266" s="85" t="n"/>
      <c r="AO266" s="85" t="n"/>
      <c r="AP266" s="85" t="n"/>
      <c r="AQ266" s="85" t="n"/>
      <c r="AR266" s="85" t="n"/>
      <c r="AS266" s="85" t="n"/>
      <c r="AT266" s="85" t="n"/>
      <c r="AU266" s="85" t="n"/>
      <c r="AV266" s="85" t="n"/>
      <c r="AW266" s="44" t="n"/>
      <c r="AX266" s="85" t="n"/>
      <c r="AY266" s="88" t="n"/>
      <c r="AZ266" s="86" t="n"/>
      <c r="BA266" s="44" t="n"/>
      <c r="BB266" s="44" t="n"/>
      <c r="BC266" s="87" t="n"/>
      <c r="BD266" s="44" t="n"/>
      <c r="BE266" s="87" t="n"/>
      <c r="BF266" s="85" t="n"/>
      <c r="BG266" s="44" t="n"/>
      <c r="BH266" s="44" t="n"/>
      <c r="BI266" s="85" t="n"/>
      <c r="BJ266" s="44" t="n"/>
      <c r="BK266" s="45" t="n"/>
      <c r="BL266" s="44" t="n"/>
      <c r="BM266" s="85" t="n"/>
      <c r="BN266" s="44" t="n"/>
      <c r="BO266" s="85" t="n"/>
      <c r="BP266" s="86" t="n"/>
      <c r="BQ266" s="44" t="n"/>
      <c r="BR266" s="50" t="n"/>
      <c r="BS266" s="89" t="n"/>
      <c r="BT266" s="50">
        <f>IF(OR(K266="",L266="",M266=""),"",IF(ABS(ROUND(((ROUND(N(K266)*100,0))-(0))*(100+N(M266))/100,0)-(ROUND(N(L266)*100,0)))&lt;=0+IF(((ROUND(N(K266)*100,0))-(0))*(100+N(M266))/100&lt;&gt;ROUND(((ROUND(N(K266)*100,0))-(0))*(100+N(M266))/100,0),1,0),"OK","ABWEICHUNG"))</f>
        <v/>
      </c>
    </row>
    <row r="267">
      <c r="A267" s="50" t="n"/>
      <c r="B267" s="44" t="n"/>
      <c r="C267" s="44" t="n"/>
      <c r="D267" s="44" t="n"/>
      <c r="E267" s="44" t="n"/>
      <c r="F267" s="44" t="n"/>
      <c r="G267" s="44" t="n"/>
      <c r="H267" s="44" t="n"/>
      <c r="I267" s="45" t="n"/>
      <c r="J267" s="45" t="n"/>
      <c r="K267" s="85" t="n"/>
      <c r="L267" s="85" t="n"/>
      <c r="M267" s="88" t="n"/>
      <c r="N267" s="88" t="n"/>
      <c r="O267" s="44" t="n"/>
      <c r="P267" s="45" t="n"/>
      <c r="Q267" s="45" t="n"/>
      <c r="R267" s="44" t="n"/>
      <c r="S267" s="45" t="n"/>
      <c r="T267" s="45" t="n"/>
      <c r="U267" s="85" t="n"/>
      <c r="V267" s="44" t="n"/>
      <c r="W267" s="45" t="n"/>
      <c r="X267" s="45" t="n"/>
      <c r="Y267" s="44" t="n"/>
      <c r="Z267" s="85" t="n"/>
      <c r="AA267" s="44" t="n"/>
      <c r="AB267" s="44" t="n"/>
      <c r="AC267" s="44" t="n"/>
      <c r="AD267" s="44" t="n"/>
      <c r="AE267" s="44" t="n"/>
      <c r="AF267" s="88" t="n"/>
      <c r="AG267" s="85" t="n"/>
      <c r="AH267" s="85" t="n"/>
      <c r="AI267" s="85" t="n"/>
      <c r="AJ267" s="85" t="n"/>
      <c r="AK267" s="85" t="n"/>
      <c r="AL267" s="85" t="n"/>
      <c r="AM267" s="85" t="n"/>
      <c r="AN267" s="85" t="n"/>
      <c r="AO267" s="85" t="n"/>
      <c r="AP267" s="85" t="n"/>
      <c r="AQ267" s="85" t="n"/>
      <c r="AR267" s="85" t="n"/>
      <c r="AS267" s="85" t="n"/>
      <c r="AT267" s="85" t="n"/>
      <c r="AU267" s="85" t="n"/>
      <c r="AV267" s="85" t="n"/>
      <c r="AW267" s="44" t="n"/>
      <c r="AX267" s="85" t="n"/>
      <c r="AY267" s="88" t="n"/>
      <c r="AZ267" s="86" t="n"/>
      <c r="BA267" s="44" t="n"/>
      <c r="BB267" s="44" t="n"/>
      <c r="BC267" s="87" t="n"/>
      <c r="BD267" s="44" t="n"/>
      <c r="BE267" s="87" t="n"/>
      <c r="BF267" s="85" t="n"/>
      <c r="BG267" s="44" t="n"/>
      <c r="BH267" s="44" t="n"/>
      <c r="BI267" s="85" t="n"/>
      <c r="BJ267" s="44" t="n"/>
      <c r="BK267" s="45" t="n"/>
      <c r="BL267" s="44" t="n"/>
      <c r="BM267" s="85" t="n"/>
      <c r="BN267" s="44" t="n"/>
      <c r="BO267" s="85" t="n"/>
      <c r="BP267" s="86" t="n"/>
      <c r="BQ267" s="44" t="n"/>
      <c r="BR267" s="50" t="n"/>
      <c r="BS267" s="89" t="n"/>
      <c r="BT267" s="50">
        <f>IF(OR(K267="",L267="",M267=""),"",IF(ABS(ROUND(((ROUND(N(K267)*100,0))-(0))*(100+N(M267))/100,0)-(ROUND(N(L267)*100,0)))&lt;=0+IF(((ROUND(N(K267)*100,0))-(0))*(100+N(M267))/100&lt;&gt;ROUND(((ROUND(N(K267)*100,0))-(0))*(100+N(M267))/100,0),1,0),"OK","ABWEICHUNG"))</f>
        <v/>
      </c>
    </row>
    <row r="268">
      <c r="A268" s="50" t="n"/>
      <c r="B268" s="44" t="n"/>
      <c r="C268" s="44" t="n"/>
      <c r="D268" s="44" t="n"/>
      <c r="E268" s="44" t="n"/>
      <c r="F268" s="44" t="n"/>
      <c r="G268" s="44" t="n"/>
      <c r="H268" s="44" t="n"/>
      <c r="I268" s="45" t="n"/>
      <c r="J268" s="45" t="n"/>
      <c r="K268" s="85" t="n"/>
      <c r="L268" s="85" t="n"/>
      <c r="M268" s="88" t="n"/>
      <c r="N268" s="88" t="n"/>
      <c r="O268" s="44" t="n"/>
      <c r="P268" s="45" t="n"/>
      <c r="Q268" s="45" t="n"/>
      <c r="R268" s="44" t="n"/>
      <c r="S268" s="45" t="n"/>
      <c r="T268" s="45" t="n"/>
      <c r="U268" s="85" t="n"/>
      <c r="V268" s="44" t="n"/>
      <c r="W268" s="45" t="n"/>
      <c r="X268" s="45" t="n"/>
      <c r="Y268" s="44" t="n"/>
      <c r="Z268" s="85" t="n"/>
      <c r="AA268" s="44" t="n"/>
      <c r="AB268" s="44" t="n"/>
      <c r="AC268" s="44" t="n"/>
      <c r="AD268" s="44" t="n"/>
      <c r="AE268" s="44" t="n"/>
      <c r="AF268" s="88" t="n"/>
      <c r="AG268" s="85" t="n"/>
      <c r="AH268" s="85" t="n"/>
      <c r="AI268" s="85" t="n"/>
      <c r="AJ268" s="85" t="n"/>
      <c r="AK268" s="85" t="n"/>
      <c r="AL268" s="85" t="n"/>
      <c r="AM268" s="85" t="n"/>
      <c r="AN268" s="85" t="n"/>
      <c r="AO268" s="85" t="n"/>
      <c r="AP268" s="85" t="n"/>
      <c r="AQ268" s="85" t="n"/>
      <c r="AR268" s="85" t="n"/>
      <c r="AS268" s="85" t="n"/>
      <c r="AT268" s="85" t="n"/>
      <c r="AU268" s="85" t="n"/>
      <c r="AV268" s="85" t="n"/>
      <c r="AW268" s="44" t="n"/>
      <c r="AX268" s="85" t="n"/>
      <c r="AY268" s="88" t="n"/>
      <c r="AZ268" s="86" t="n"/>
      <c r="BA268" s="44" t="n"/>
      <c r="BB268" s="44" t="n"/>
      <c r="BC268" s="87" t="n"/>
      <c r="BD268" s="44" t="n"/>
      <c r="BE268" s="87" t="n"/>
      <c r="BF268" s="85" t="n"/>
      <c r="BG268" s="44" t="n"/>
      <c r="BH268" s="44" t="n"/>
      <c r="BI268" s="85" t="n"/>
      <c r="BJ268" s="44" t="n"/>
      <c r="BK268" s="45" t="n"/>
      <c r="BL268" s="44" t="n"/>
      <c r="BM268" s="85" t="n"/>
      <c r="BN268" s="44" t="n"/>
      <c r="BO268" s="85" t="n"/>
      <c r="BP268" s="86" t="n"/>
      <c r="BQ268" s="44" t="n"/>
      <c r="BR268" s="50" t="n"/>
      <c r="BS268" s="89" t="n"/>
      <c r="BT268" s="50">
        <f>IF(OR(K268="",L268="",M268=""),"",IF(ABS(ROUND(((ROUND(N(K268)*100,0))-(0))*(100+N(M268))/100,0)-(ROUND(N(L268)*100,0)))&lt;=0+IF(((ROUND(N(K268)*100,0))-(0))*(100+N(M268))/100&lt;&gt;ROUND(((ROUND(N(K268)*100,0))-(0))*(100+N(M268))/100,0),1,0),"OK","ABWEICHUNG"))</f>
        <v/>
      </c>
    </row>
    <row r="269">
      <c r="A269" s="50" t="n"/>
      <c r="B269" s="44" t="n"/>
      <c r="C269" s="44" t="n"/>
      <c r="D269" s="44" t="n"/>
      <c r="E269" s="44" t="n"/>
      <c r="F269" s="44" t="n"/>
      <c r="G269" s="44" t="n"/>
      <c r="H269" s="44" t="n"/>
      <c r="I269" s="45" t="n"/>
      <c r="J269" s="45" t="n"/>
      <c r="K269" s="85" t="n"/>
      <c r="L269" s="85" t="n"/>
      <c r="M269" s="88" t="n"/>
      <c r="N269" s="88" t="n"/>
      <c r="O269" s="44" t="n"/>
      <c r="P269" s="45" t="n"/>
      <c r="Q269" s="45" t="n"/>
      <c r="R269" s="44" t="n"/>
      <c r="S269" s="45" t="n"/>
      <c r="T269" s="45" t="n"/>
      <c r="U269" s="85" t="n"/>
      <c r="V269" s="44" t="n"/>
      <c r="W269" s="45" t="n"/>
      <c r="X269" s="45" t="n"/>
      <c r="Y269" s="44" t="n"/>
      <c r="Z269" s="85" t="n"/>
      <c r="AA269" s="44" t="n"/>
      <c r="AB269" s="44" t="n"/>
      <c r="AC269" s="44" t="n"/>
      <c r="AD269" s="44" t="n"/>
      <c r="AE269" s="44" t="n"/>
      <c r="AF269" s="88" t="n"/>
      <c r="AG269" s="85" t="n"/>
      <c r="AH269" s="85" t="n"/>
      <c r="AI269" s="85" t="n"/>
      <c r="AJ269" s="85" t="n"/>
      <c r="AK269" s="85" t="n"/>
      <c r="AL269" s="85" t="n"/>
      <c r="AM269" s="85" t="n"/>
      <c r="AN269" s="85" t="n"/>
      <c r="AO269" s="85" t="n"/>
      <c r="AP269" s="85" t="n"/>
      <c r="AQ269" s="85" t="n"/>
      <c r="AR269" s="85" t="n"/>
      <c r="AS269" s="85" t="n"/>
      <c r="AT269" s="85" t="n"/>
      <c r="AU269" s="85" t="n"/>
      <c r="AV269" s="85" t="n"/>
      <c r="AW269" s="44" t="n"/>
      <c r="AX269" s="85" t="n"/>
      <c r="AY269" s="88" t="n"/>
      <c r="AZ269" s="86" t="n"/>
      <c r="BA269" s="44" t="n"/>
      <c r="BB269" s="44" t="n"/>
      <c r="BC269" s="87" t="n"/>
      <c r="BD269" s="44" t="n"/>
      <c r="BE269" s="87" t="n"/>
      <c r="BF269" s="85" t="n"/>
      <c r="BG269" s="44" t="n"/>
      <c r="BH269" s="44" t="n"/>
      <c r="BI269" s="85" t="n"/>
      <c r="BJ269" s="44" t="n"/>
      <c r="BK269" s="45" t="n"/>
      <c r="BL269" s="44" t="n"/>
      <c r="BM269" s="85" t="n"/>
      <c r="BN269" s="44" t="n"/>
      <c r="BO269" s="85" t="n"/>
      <c r="BP269" s="86" t="n"/>
      <c r="BQ269" s="44" t="n"/>
      <c r="BR269" s="50" t="n"/>
      <c r="BS269" s="89" t="n"/>
      <c r="BT269" s="50">
        <f>IF(OR(K269="",L269="",M269=""),"",IF(ABS(ROUND(((ROUND(N(K269)*100,0))-(0))*(100+N(M269))/100,0)-(ROUND(N(L269)*100,0)))&lt;=0+IF(((ROUND(N(K269)*100,0))-(0))*(100+N(M269))/100&lt;&gt;ROUND(((ROUND(N(K269)*100,0))-(0))*(100+N(M269))/100,0),1,0),"OK","ABWEICHUNG"))</f>
        <v/>
      </c>
    </row>
    <row r="270">
      <c r="A270" s="50" t="n"/>
      <c r="B270" s="44" t="n"/>
      <c r="C270" s="44" t="n"/>
      <c r="D270" s="44" t="n"/>
      <c r="E270" s="44" t="n"/>
      <c r="F270" s="44" t="n"/>
      <c r="G270" s="44" t="n"/>
      <c r="H270" s="44" t="n"/>
      <c r="I270" s="45" t="n"/>
      <c r="J270" s="45" t="n"/>
      <c r="K270" s="85" t="n"/>
      <c r="L270" s="85" t="n"/>
      <c r="M270" s="88" t="n"/>
      <c r="N270" s="88" t="n"/>
      <c r="O270" s="44" t="n"/>
      <c r="P270" s="45" t="n"/>
      <c r="Q270" s="45" t="n"/>
      <c r="R270" s="44" t="n"/>
      <c r="S270" s="45" t="n"/>
      <c r="T270" s="45" t="n"/>
      <c r="U270" s="85" t="n"/>
      <c r="V270" s="44" t="n"/>
      <c r="W270" s="45" t="n"/>
      <c r="X270" s="45" t="n"/>
      <c r="Y270" s="44" t="n"/>
      <c r="Z270" s="85" t="n"/>
      <c r="AA270" s="44" t="n"/>
      <c r="AB270" s="44" t="n"/>
      <c r="AC270" s="44" t="n"/>
      <c r="AD270" s="44" t="n"/>
      <c r="AE270" s="44" t="n"/>
      <c r="AF270" s="88" t="n"/>
      <c r="AG270" s="85" t="n"/>
      <c r="AH270" s="85" t="n"/>
      <c r="AI270" s="85" t="n"/>
      <c r="AJ270" s="85" t="n"/>
      <c r="AK270" s="85" t="n"/>
      <c r="AL270" s="85" t="n"/>
      <c r="AM270" s="85" t="n"/>
      <c r="AN270" s="85" t="n"/>
      <c r="AO270" s="85" t="n"/>
      <c r="AP270" s="85" t="n"/>
      <c r="AQ270" s="85" t="n"/>
      <c r="AR270" s="85" t="n"/>
      <c r="AS270" s="85" t="n"/>
      <c r="AT270" s="85" t="n"/>
      <c r="AU270" s="85" t="n"/>
      <c r="AV270" s="85" t="n"/>
      <c r="AW270" s="44" t="n"/>
      <c r="AX270" s="85" t="n"/>
      <c r="AY270" s="88" t="n"/>
      <c r="AZ270" s="86" t="n"/>
      <c r="BA270" s="44" t="n"/>
      <c r="BB270" s="44" t="n"/>
      <c r="BC270" s="87" t="n"/>
      <c r="BD270" s="44" t="n"/>
      <c r="BE270" s="87" t="n"/>
      <c r="BF270" s="85" t="n"/>
      <c r="BG270" s="44" t="n"/>
      <c r="BH270" s="44" t="n"/>
      <c r="BI270" s="85" t="n"/>
      <c r="BJ270" s="44" t="n"/>
      <c r="BK270" s="45" t="n"/>
      <c r="BL270" s="44" t="n"/>
      <c r="BM270" s="85" t="n"/>
      <c r="BN270" s="44" t="n"/>
      <c r="BO270" s="85" t="n"/>
      <c r="BP270" s="86" t="n"/>
      <c r="BQ270" s="44" t="n"/>
      <c r="BR270" s="50" t="n"/>
      <c r="BS270" s="89" t="n"/>
      <c r="BT270" s="50">
        <f>IF(OR(K270="",L270="",M270=""),"",IF(ABS(ROUND(((ROUND(N(K270)*100,0))-(0))*(100+N(M270))/100,0)-(ROUND(N(L270)*100,0)))&lt;=0+IF(((ROUND(N(K270)*100,0))-(0))*(100+N(M270))/100&lt;&gt;ROUND(((ROUND(N(K270)*100,0))-(0))*(100+N(M270))/100,0),1,0),"OK","ABWEICHUNG"))</f>
        <v/>
      </c>
    </row>
    <row r="271">
      <c r="A271" s="50" t="n"/>
      <c r="B271" s="44" t="n"/>
      <c r="C271" s="44" t="n"/>
      <c r="D271" s="44" t="n"/>
      <c r="E271" s="44" t="n"/>
      <c r="F271" s="44" t="n"/>
      <c r="G271" s="44" t="n"/>
      <c r="H271" s="44" t="n"/>
      <c r="I271" s="45" t="n"/>
      <c r="J271" s="45" t="n"/>
      <c r="K271" s="85" t="n"/>
      <c r="L271" s="85" t="n"/>
      <c r="M271" s="88" t="n"/>
      <c r="N271" s="88" t="n"/>
      <c r="O271" s="44" t="n"/>
      <c r="P271" s="45" t="n"/>
      <c r="Q271" s="45" t="n"/>
      <c r="R271" s="44" t="n"/>
      <c r="S271" s="45" t="n"/>
      <c r="T271" s="45" t="n"/>
      <c r="U271" s="85" t="n"/>
      <c r="V271" s="44" t="n"/>
      <c r="W271" s="45" t="n"/>
      <c r="X271" s="45" t="n"/>
      <c r="Y271" s="44" t="n"/>
      <c r="Z271" s="85" t="n"/>
      <c r="AA271" s="44" t="n"/>
      <c r="AB271" s="44" t="n"/>
      <c r="AC271" s="44" t="n"/>
      <c r="AD271" s="44" t="n"/>
      <c r="AE271" s="44" t="n"/>
      <c r="AF271" s="88" t="n"/>
      <c r="AG271" s="85" t="n"/>
      <c r="AH271" s="85" t="n"/>
      <c r="AI271" s="85" t="n"/>
      <c r="AJ271" s="85" t="n"/>
      <c r="AK271" s="85" t="n"/>
      <c r="AL271" s="85" t="n"/>
      <c r="AM271" s="85" t="n"/>
      <c r="AN271" s="85" t="n"/>
      <c r="AO271" s="85" t="n"/>
      <c r="AP271" s="85" t="n"/>
      <c r="AQ271" s="85" t="n"/>
      <c r="AR271" s="85" t="n"/>
      <c r="AS271" s="85" t="n"/>
      <c r="AT271" s="85" t="n"/>
      <c r="AU271" s="85" t="n"/>
      <c r="AV271" s="85" t="n"/>
      <c r="AW271" s="44" t="n"/>
      <c r="AX271" s="85" t="n"/>
      <c r="AY271" s="88" t="n"/>
      <c r="AZ271" s="86" t="n"/>
      <c r="BA271" s="44" t="n"/>
      <c r="BB271" s="44" t="n"/>
      <c r="BC271" s="87" t="n"/>
      <c r="BD271" s="44" t="n"/>
      <c r="BE271" s="87" t="n"/>
      <c r="BF271" s="85" t="n"/>
      <c r="BG271" s="44" t="n"/>
      <c r="BH271" s="44" t="n"/>
      <c r="BI271" s="85" t="n"/>
      <c r="BJ271" s="44" t="n"/>
      <c r="BK271" s="45" t="n"/>
      <c r="BL271" s="44" t="n"/>
      <c r="BM271" s="85" t="n"/>
      <c r="BN271" s="44" t="n"/>
      <c r="BO271" s="85" t="n"/>
      <c r="BP271" s="86" t="n"/>
      <c r="BQ271" s="44" t="n"/>
      <c r="BR271" s="50" t="n"/>
      <c r="BS271" s="89" t="n"/>
      <c r="BT271" s="50">
        <f>IF(OR(K271="",L271="",M271=""),"",IF(ABS(ROUND(((ROUND(N(K271)*100,0))-(0))*(100+N(M271))/100,0)-(ROUND(N(L271)*100,0)))&lt;=0+IF(((ROUND(N(K271)*100,0))-(0))*(100+N(M271))/100&lt;&gt;ROUND(((ROUND(N(K271)*100,0))-(0))*(100+N(M271))/100,0),1,0),"OK","ABWEICHUNG"))</f>
        <v/>
      </c>
    </row>
    <row r="272">
      <c r="A272" s="50" t="n"/>
      <c r="B272" s="44" t="n"/>
      <c r="C272" s="44" t="n"/>
      <c r="D272" s="44" t="n"/>
      <c r="E272" s="44" t="n"/>
      <c r="F272" s="44" t="n"/>
      <c r="G272" s="44" t="n"/>
      <c r="H272" s="44" t="n"/>
      <c r="I272" s="45" t="n"/>
      <c r="J272" s="45" t="n"/>
      <c r="K272" s="85" t="n"/>
      <c r="L272" s="85" t="n"/>
      <c r="M272" s="88" t="n"/>
      <c r="N272" s="88" t="n"/>
      <c r="O272" s="44" t="n"/>
      <c r="P272" s="45" t="n"/>
      <c r="Q272" s="45" t="n"/>
      <c r="R272" s="44" t="n"/>
      <c r="S272" s="45" t="n"/>
      <c r="T272" s="45" t="n"/>
      <c r="U272" s="85" t="n"/>
      <c r="V272" s="44" t="n"/>
      <c r="W272" s="45" t="n"/>
      <c r="X272" s="45" t="n"/>
      <c r="Y272" s="44" t="n"/>
      <c r="Z272" s="85" t="n"/>
      <c r="AA272" s="44" t="n"/>
      <c r="AB272" s="44" t="n"/>
      <c r="AC272" s="44" t="n"/>
      <c r="AD272" s="44" t="n"/>
      <c r="AE272" s="44" t="n"/>
      <c r="AF272" s="88" t="n"/>
      <c r="AG272" s="85" t="n"/>
      <c r="AH272" s="85" t="n"/>
      <c r="AI272" s="85" t="n"/>
      <c r="AJ272" s="85" t="n"/>
      <c r="AK272" s="85" t="n"/>
      <c r="AL272" s="85" t="n"/>
      <c r="AM272" s="85" t="n"/>
      <c r="AN272" s="85" t="n"/>
      <c r="AO272" s="85" t="n"/>
      <c r="AP272" s="85" t="n"/>
      <c r="AQ272" s="85" t="n"/>
      <c r="AR272" s="85" t="n"/>
      <c r="AS272" s="85" t="n"/>
      <c r="AT272" s="85" t="n"/>
      <c r="AU272" s="85" t="n"/>
      <c r="AV272" s="85" t="n"/>
      <c r="AW272" s="44" t="n"/>
      <c r="AX272" s="85" t="n"/>
      <c r="AY272" s="88" t="n"/>
      <c r="AZ272" s="86" t="n"/>
      <c r="BA272" s="44" t="n"/>
      <c r="BB272" s="44" t="n"/>
      <c r="BC272" s="87" t="n"/>
      <c r="BD272" s="44" t="n"/>
      <c r="BE272" s="87" t="n"/>
      <c r="BF272" s="85" t="n"/>
      <c r="BG272" s="44" t="n"/>
      <c r="BH272" s="44" t="n"/>
      <c r="BI272" s="85" t="n"/>
      <c r="BJ272" s="44" t="n"/>
      <c r="BK272" s="45" t="n"/>
      <c r="BL272" s="44" t="n"/>
      <c r="BM272" s="85" t="n"/>
      <c r="BN272" s="44" t="n"/>
      <c r="BO272" s="85" t="n"/>
      <c r="BP272" s="86" t="n"/>
      <c r="BQ272" s="44" t="n"/>
      <c r="BR272" s="50" t="n"/>
      <c r="BS272" s="89" t="n"/>
      <c r="BT272" s="50">
        <f>IF(OR(K272="",L272="",M272=""),"",IF(ABS(ROUND(((ROUND(N(K272)*100,0))-(0))*(100+N(M272))/100,0)-(ROUND(N(L272)*100,0)))&lt;=0+IF(((ROUND(N(K272)*100,0))-(0))*(100+N(M272))/100&lt;&gt;ROUND(((ROUND(N(K272)*100,0))-(0))*(100+N(M272))/100,0),1,0),"OK","ABWEICHUNG"))</f>
        <v/>
      </c>
    </row>
    <row r="273">
      <c r="A273" s="50" t="n"/>
      <c r="B273" s="44" t="n"/>
      <c r="C273" s="44" t="n"/>
      <c r="D273" s="44" t="n"/>
      <c r="E273" s="44" t="n"/>
      <c r="F273" s="44" t="n"/>
      <c r="G273" s="44" t="n"/>
      <c r="H273" s="44" t="n"/>
      <c r="I273" s="45" t="n"/>
      <c r="J273" s="45" t="n"/>
      <c r="K273" s="85" t="n"/>
      <c r="L273" s="85" t="n"/>
      <c r="M273" s="88" t="n"/>
      <c r="N273" s="88" t="n"/>
      <c r="O273" s="44" t="n"/>
      <c r="P273" s="45" t="n"/>
      <c r="Q273" s="45" t="n"/>
      <c r="R273" s="44" t="n"/>
      <c r="S273" s="45" t="n"/>
      <c r="T273" s="45" t="n"/>
      <c r="U273" s="85" t="n"/>
      <c r="V273" s="44" t="n"/>
      <c r="W273" s="45" t="n"/>
      <c r="X273" s="45" t="n"/>
      <c r="Y273" s="44" t="n"/>
      <c r="Z273" s="85" t="n"/>
      <c r="AA273" s="44" t="n"/>
      <c r="AB273" s="44" t="n"/>
      <c r="AC273" s="44" t="n"/>
      <c r="AD273" s="44" t="n"/>
      <c r="AE273" s="44" t="n"/>
      <c r="AF273" s="88" t="n"/>
      <c r="AG273" s="85" t="n"/>
      <c r="AH273" s="85" t="n"/>
      <c r="AI273" s="85" t="n"/>
      <c r="AJ273" s="85" t="n"/>
      <c r="AK273" s="85" t="n"/>
      <c r="AL273" s="85" t="n"/>
      <c r="AM273" s="85" t="n"/>
      <c r="AN273" s="85" t="n"/>
      <c r="AO273" s="85" t="n"/>
      <c r="AP273" s="85" t="n"/>
      <c r="AQ273" s="85" t="n"/>
      <c r="AR273" s="85" t="n"/>
      <c r="AS273" s="85" t="n"/>
      <c r="AT273" s="85" t="n"/>
      <c r="AU273" s="85" t="n"/>
      <c r="AV273" s="85" t="n"/>
      <c r="AW273" s="44" t="n"/>
      <c r="AX273" s="85" t="n"/>
      <c r="AY273" s="88" t="n"/>
      <c r="AZ273" s="86" t="n"/>
      <c r="BA273" s="44" t="n"/>
      <c r="BB273" s="44" t="n"/>
      <c r="BC273" s="87" t="n"/>
      <c r="BD273" s="44" t="n"/>
      <c r="BE273" s="87" t="n"/>
      <c r="BF273" s="85" t="n"/>
      <c r="BG273" s="44" t="n"/>
      <c r="BH273" s="44" t="n"/>
      <c r="BI273" s="85" t="n"/>
      <c r="BJ273" s="44" t="n"/>
      <c r="BK273" s="45" t="n"/>
      <c r="BL273" s="44" t="n"/>
      <c r="BM273" s="85" t="n"/>
      <c r="BN273" s="44" t="n"/>
      <c r="BO273" s="85" t="n"/>
      <c r="BP273" s="86" t="n"/>
      <c r="BQ273" s="44" t="n"/>
      <c r="BR273" s="50" t="n"/>
      <c r="BS273" s="89" t="n"/>
      <c r="BT273" s="50">
        <f>IF(OR(K273="",L273="",M273=""),"",IF(ABS(ROUND(((ROUND(N(K273)*100,0))-(0))*(100+N(M273))/100,0)-(ROUND(N(L273)*100,0)))&lt;=0+IF(((ROUND(N(K273)*100,0))-(0))*(100+N(M273))/100&lt;&gt;ROUND(((ROUND(N(K273)*100,0))-(0))*(100+N(M273))/100,0),1,0),"OK","ABWEICHUNG"))</f>
        <v/>
      </c>
    </row>
    <row r="274">
      <c r="A274" s="50" t="n"/>
      <c r="B274" s="44" t="n"/>
      <c r="C274" s="44" t="n"/>
      <c r="D274" s="44" t="n"/>
      <c r="E274" s="44" t="n"/>
      <c r="F274" s="44" t="n"/>
      <c r="G274" s="44" t="n"/>
      <c r="H274" s="44" t="n"/>
      <c r="I274" s="45" t="n"/>
      <c r="J274" s="45" t="n"/>
      <c r="K274" s="85" t="n"/>
      <c r="L274" s="85" t="n"/>
      <c r="M274" s="88" t="n"/>
      <c r="N274" s="88" t="n"/>
      <c r="O274" s="44" t="n"/>
      <c r="P274" s="45" t="n"/>
      <c r="Q274" s="45" t="n"/>
      <c r="R274" s="44" t="n"/>
      <c r="S274" s="45" t="n"/>
      <c r="T274" s="45" t="n"/>
      <c r="U274" s="85" t="n"/>
      <c r="V274" s="44" t="n"/>
      <c r="W274" s="45" t="n"/>
      <c r="X274" s="45" t="n"/>
      <c r="Y274" s="44" t="n"/>
      <c r="Z274" s="85" t="n"/>
      <c r="AA274" s="44" t="n"/>
      <c r="AB274" s="44" t="n"/>
      <c r="AC274" s="44" t="n"/>
      <c r="AD274" s="44" t="n"/>
      <c r="AE274" s="44" t="n"/>
      <c r="AF274" s="88" t="n"/>
      <c r="AG274" s="85" t="n"/>
      <c r="AH274" s="85" t="n"/>
      <c r="AI274" s="85" t="n"/>
      <c r="AJ274" s="85" t="n"/>
      <c r="AK274" s="85" t="n"/>
      <c r="AL274" s="85" t="n"/>
      <c r="AM274" s="85" t="n"/>
      <c r="AN274" s="85" t="n"/>
      <c r="AO274" s="85" t="n"/>
      <c r="AP274" s="85" t="n"/>
      <c r="AQ274" s="85" t="n"/>
      <c r="AR274" s="85" t="n"/>
      <c r="AS274" s="85" t="n"/>
      <c r="AT274" s="85" t="n"/>
      <c r="AU274" s="85" t="n"/>
      <c r="AV274" s="85" t="n"/>
      <c r="AW274" s="44" t="n"/>
      <c r="AX274" s="85" t="n"/>
      <c r="AY274" s="88" t="n"/>
      <c r="AZ274" s="86" t="n"/>
      <c r="BA274" s="44" t="n"/>
      <c r="BB274" s="44" t="n"/>
      <c r="BC274" s="87" t="n"/>
      <c r="BD274" s="44" t="n"/>
      <c r="BE274" s="87" t="n"/>
      <c r="BF274" s="85" t="n"/>
      <c r="BG274" s="44" t="n"/>
      <c r="BH274" s="44" t="n"/>
      <c r="BI274" s="85" t="n"/>
      <c r="BJ274" s="44" t="n"/>
      <c r="BK274" s="45" t="n"/>
      <c r="BL274" s="44" t="n"/>
      <c r="BM274" s="85" t="n"/>
      <c r="BN274" s="44" t="n"/>
      <c r="BO274" s="85" t="n"/>
      <c r="BP274" s="86" t="n"/>
      <c r="BQ274" s="44" t="n"/>
      <c r="BR274" s="50" t="n"/>
      <c r="BS274" s="89" t="n"/>
      <c r="BT274" s="50">
        <f>IF(OR(K274="",L274="",M274=""),"",IF(ABS(ROUND(((ROUND(N(K274)*100,0))-(0))*(100+N(M274))/100,0)-(ROUND(N(L274)*100,0)))&lt;=0+IF(((ROUND(N(K274)*100,0))-(0))*(100+N(M274))/100&lt;&gt;ROUND(((ROUND(N(K274)*100,0))-(0))*(100+N(M274))/100,0),1,0),"OK","ABWEICHUNG"))</f>
        <v/>
      </c>
    </row>
    <row r="275">
      <c r="A275" s="50" t="n"/>
      <c r="B275" s="44" t="n"/>
      <c r="C275" s="44" t="n"/>
      <c r="D275" s="44" t="n"/>
      <c r="E275" s="44" t="n"/>
      <c r="F275" s="44" t="n"/>
      <c r="G275" s="44" t="n"/>
      <c r="H275" s="44" t="n"/>
      <c r="I275" s="45" t="n"/>
      <c r="J275" s="45" t="n"/>
      <c r="K275" s="85" t="n"/>
      <c r="L275" s="85" t="n"/>
      <c r="M275" s="88" t="n"/>
      <c r="N275" s="88" t="n"/>
      <c r="O275" s="44" t="n"/>
      <c r="P275" s="45" t="n"/>
      <c r="Q275" s="45" t="n"/>
      <c r="R275" s="44" t="n"/>
      <c r="S275" s="45" t="n"/>
      <c r="T275" s="45" t="n"/>
      <c r="U275" s="85" t="n"/>
      <c r="V275" s="44" t="n"/>
      <c r="W275" s="45" t="n"/>
      <c r="X275" s="45" t="n"/>
      <c r="Y275" s="44" t="n"/>
      <c r="Z275" s="85" t="n"/>
      <c r="AA275" s="44" t="n"/>
      <c r="AB275" s="44" t="n"/>
      <c r="AC275" s="44" t="n"/>
      <c r="AD275" s="44" t="n"/>
      <c r="AE275" s="44" t="n"/>
      <c r="AF275" s="88" t="n"/>
      <c r="AG275" s="85" t="n"/>
      <c r="AH275" s="85" t="n"/>
      <c r="AI275" s="85" t="n"/>
      <c r="AJ275" s="85" t="n"/>
      <c r="AK275" s="85" t="n"/>
      <c r="AL275" s="85" t="n"/>
      <c r="AM275" s="85" t="n"/>
      <c r="AN275" s="85" t="n"/>
      <c r="AO275" s="85" t="n"/>
      <c r="AP275" s="85" t="n"/>
      <c r="AQ275" s="85" t="n"/>
      <c r="AR275" s="85" t="n"/>
      <c r="AS275" s="85" t="n"/>
      <c r="AT275" s="85" t="n"/>
      <c r="AU275" s="85" t="n"/>
      <c r="AV275" s="85" t="n"/>
      <c r="AW275" s="44" t="n"/>
      <c r="AX275" s="85" t="n"/>
      <c r="AY275" s="88" t="n"/>
      <c r="AZ275" s="86" t="n"/>
      <c r="BA275" s="44" t="n"/>
      <c r="BB275" s="44" t="n"/>
      <c r="BC275" s="87" t="n"/>
      <c r="BD275" s="44" t="n"/>
      <c r="BE275" s="87" t="n"/>
      <c r="BF275" s="85" t="n"/>
      <c r="BG275" s="44" t="n"/>
      <c r="BH275" s="44" t="n"/>
      <c r="BI275" s="85" t="n"/>
      <c r="BJ275" s="44" t="n"/>
      <c r="BK275" s="45" t="n"/>
      <c r="BL275" s="44" t="n"/>
      <c r="BM275" s="85" t="n"/>
      <c r="BN275" s="44" t="n"/>
      <c r="BO275" s="85" t="n"/>
      <c r="BP275" s="86" t="n"/>
      <c r="BQ275" s="44" t="n"/>
      <c r="BR275" s="50" t="n"/>
      <c r="BS275" s="89" t="n"/>
      <c r="BT275" s="50">
        <f>IF(OR(K275="",L275="",M275=""),"",IF(ABS(ROUND(((ROUND(N(K275)*100,0))-(0))*(100+N(M275))/100,0)-(ROUND(N(L275)*100,0)))&lt;=0+IF(((ROUND(N(K275)*100,0))-(0))*(100+N(M275))/100&lt;&gt;ROUND(((ROUND(N(K275)*100,0))-(0))*(100+N(M275))/100,0),1,0),"OK","ABWEICHUNG"))</f>
        <v/>
      </c>
    </row>
    <row r="276">
      <c r="A276" s="50" t="n"/>
      <c r="B276" s="44" t="n"/>
      <c r="C276" s="44" t="n"/>
      <c r="D276" s="44" t="n"/>
      <c r="E276" s="44" t="n"/>
      <c r="F276" s="44" t="n"/>
      <c r="G276" s="44" t="n"/>
      <c r="H276" s="44" t="n"/>
      <c r="I276" s="45" t="n"/>
      <c r="J276" s="45" t="n"/>
      <c r="K276" s="85" t="n"/>
      <c r="L276" s="85" t="n"/>
      <c r="M276" s="88" t="n"/>
      <c r="N276" s="88" t="n"/>
      <c r="O276" s="44" t="n"/>
      <c r="P276" s="45" t="n"/>
      <c r="Q276" s="45" t="n"/>
      <c r="R276" s="44" t="n"/>
      <c r="S276" s="45" t="n"/>
      <c r="T276" s="45" t="n"/>
      <c r="U276" s="85" t="n"/>
      <c r="V276" s="44" t="n"/>
      <c r="W276" s="45" t="n"/>
      <c r="X276" s="45" t="n"/>
      <c r="Y276" s="44" t="n"/>
      <c r="Z276" s="85" t="n"/>
      <c r="AA276" s="44" t="n"/>
      <c r="AB276" s="44" t="n"/>
      <c r="AC276" s="44" t="n"/>
      <c r="AD276" s="44" t="n"/>
      <c r="AE276" s="44" t="n"/>
      <c r="AF276" s="88" t="n"/>
      <c r="AG276" s="85" t="n"/>
      <c r="AH276" s="85" t="n"/>
      <c r="AI276" s="85" t="n"/>
      <c r="AJ276" s="85" t="n"/>
      <c r="AK276" s="85" t="n"/>
      <c r="AL276" s="85" t="n"/>
      <c r="AM276" s="85" t="n"/>
      <c r="AN276" s="85" t="n"/>
      <c r="AO276" s="85" t="n"/>
      <c r="AP276" s="85" t="n"/>
      <c r="AQ276" s="85" t="n"/>
      <c r="AR276" s="85" t="n"/>
      <c r="AS276" s="85" t="n"/>
      <c r="AT276" s="85" t="n"/>
      <c r="AU276" s="85" t="n"/>
      <c r="AV276" s="85" t="n"/>
      <c r="AW276" s="44" t="n"/>
      <c r="AX276" s="85" t="n"/>
      <c r="AY276" s="88" t="n"/>
      <c r="AZ276" s="86" t="n"/>
      <c r="BA276" s="44" t="n"/>
      <c r="BB276" s="44" t="n"/>
      <c r="BC276" s="87" t="n"/>
      <c r="BD276" s="44" t="n"/>
      <c r="BE276" s="87" t="n"/>
      <c r="BF276" s="85" t="n"/>
      <c r="BG276" s="44" t="n"/>
      <c r="BH276" s="44" t="n"/>
      <c r="BI276" s="85" t="n"/>
      <c r="BJ276" s="44" t="n"/>
      <c r="BK276" s="45" t="n"/>
      <c r="BL276" s="44" t="n"/>
      <c r="BM276" s="85" t="n"/>
      <c r="BN276" s="44" t="n"/>
      <c r="BO276" s="85" t="n"/>
      <c r="BP276" s="86" t="n"/>
      <c r="BQ276" s="44" t="n"/>
      <c r="BR276" s="50" t="n"/>
      <c r="BS276" s="89" t="n"/>
      <c r="BT276" s="50">
        <f>IF(OR(K276="",L276="",M276=""),"",IF(ABS(ROUND(((ROUND(N(K276)*100,0))-(0))*(100+N(M276))/100,0)-(ROUND(N(L276)*100,0)))&lt;=0+IF(((ROUND(N(K276)*100,0))-(0))*(100+N(M276))/100&lt;&gt;ROUND(((ROUND(N(K276)*100,0))-(0))*(100+N(M276))/100,0),1,0),"OK","ABWEICHUNG"))</f>
        <v/>
      </c>
    </row>
    <row r="277">
      <c r="A277" s="50" t="n"/>
      <c r="B277" s="44" t="n"/>
      <c r="C277" s="44" t="n"/>
      <c r="D277" s="44" t="n"/>
      <c r="E277" s="44" t="n"/>
      <c r="F277" s="44" t="n"/>
      <c r="G277" s="44" t="n"/>
      <c r="H277" s="44" t="n"/>
      <c r="I277" s="45" t="n"/>
      <c r="J277" s="45" t="n"/>
      <c r="K277" s="85" t="n"/>
      <c r="L277" s="85" t="n"/>
      <c r="M277" s="88" t="n"/>
      <c r="N277" s="88" t="n"/>
      <c r="O277" s="44" t="n"/>
      <c r="P277" s="45" t="n"/>
      <c r="Q277" s="45" t="n"/>
      <c r="R277" s="44" t="n"/>
      <c r="S277" s="45" t="n"/>
      <c r="T277" s="45" t="n"/>
      <c r="U277" s="85" t="n"/>
      <c r="V277" s="44" t="n"/>
      <c r="W277" s="45" t="n"/>
      <c r="X277" s="45" t="n"/>
      <c r="Y277" s="44" t="n"/>
      <c r="Z277" s="85" t="n"/>
      <c r="AA277" s="44" t="n"/>
      <c r="AB277" s="44" t="n"/>
      <c r="AC277" s="44" t="n"/>
      <c r="AD277" s="44" t="n"/>
      <c r="AE277" s="44" t="n"/>
      <c r="AF277" s="88" t="n"/>
      <c r="AG277" s="85" t="n"/>
      <c r="AH277" s="85" t="n"/>
      <c r="AI277" s="85" t="n"/>
      <c r="AJ277" s="85" t="n"/>
      <c r="AK277" s="85" t="n"/>
      <c r="AL277" s="85" t="n"/>
      <c r="AM277" s="85" t="n"/>
      <c r="AN277" s="85" t="n"/>
      <c r="AO277" s="85" t="n"/>
      <c r="AP277" s="85" t="n"/>
      <c r="AQ277" s="85" t="n"/>
      <c r="AR277" s="85" t="n"/>
      <c r="AS277" s="85" t="n"/>
      <c r="AT277" s="85" t="n"/>
      <c r="AU277" s="85" t="n"/>
      <c r="AV277" s="85" t="n"/>
      <c r="AW277" s="44" t="n"/>
      <c r="AX277" s="85" t="n"/>
      <c r="AY277" s="88" t="n"/>
      <c r="AZ277" s="86" t="n"/>
      <c r="BA277" s="44" t="n"/>
      <c r="BB277" s="44" t="n"/>
      <c r="BC277" s="87" t="n"/>
      <c r="BD277" s="44" t="n"/>
      <c r="BE277" s="87" t="n"/>
      <c r="BF277" s="85" t="n"/>
      <c r="BG277" s="44" t="n"/>
      <c r="BH277" s="44" t="n"/>
      <c r="BI277" s="85" t="n"/>
      <c r="BJ277" s="44" t="n"/>
      <c r="BK277" s="45" t="n"/>
      <c r="BL277" s="44" t="n"/>
      <c r="BM277" s="85" t="n"/>
      <c r="BN277" s="44" t="n"/>
      <c r="BO277" s="85" t="n"/>
      <c r="BP277" s="86" t="n"/>
      <c r="BQ277" s="44" t="n"/>
      <c r="BR277" s="50" t="n"/>
      <c r="BS277" s="89" t="n"/>
      <c r="BT277" s="50">
        <f>IF(OR(K277="",L277="",M277=""),"",IF(ABS(ROUND(((ROUND(N(K277)*100,0))-(0))*(100+N(M277))/100,0)-(ROUND(N(L277)*100,0)))&lt;=0+IF(((ROUND(N(K277)*100,0))-(0))*(100+N(M277))/100&lt;&gt;ROUND(((ROUND(N(K277)*100,0))-(0))*(100+N(M277))/100,0),1,0),"OK","ABWEICHUNG"))</f>
        <v/>
      </c>
    </row>
    <row r="278">
      <c r="A278" s="50" t="n"/>
      <c r="B278" s="44" t="n"/>
      <c r="C278" s="44" t="n"/>
      <c r="D278" s="44" t="n"/>
      <c r="E278" s="44" t="n"/>
      <c r="F278" s="44" t="n"/>
      <c r="G278" s="44" t="n"/>
      <c r="H278" s="44" t="n"/>
      <c r="I278" s="45" t="n"/>
      <c r="J278" s="45" t="n"/>
      <c r="K278" s="85" t="n"/>
      <c r="L278" s="85" t="n"/>
      <c r="M278" s="88" t="n"/>
      <c r="N278" s="88" t="n"/>
      <c r="O278" s="44" t="n"/>
      <c r="P278" s="45" t="n"/>
      <c r="Q278" s="45" t="n"/>
      <c r="R278" s="44" t="n"/>
      <c r="S278" s="45" t="n"/>
      <c r="T278" s="45" t="n"/>
      <c r="U278" s="85" t="n"/>
      <c r="V278" s="44" t="n"/>
      <c r="W278" s="45" t="n"/>
      <c r="X278" s="45" t="n"/>
      <c r="Y278" s="44" t="n"/>
      <c r="Z278" s="85" t="n"/>
      <c r="AA278" s="44" t="n"/>
      <c r="AB278" s="44" t="n"/>
      <c r="AC278" s="44" t="n"/>
      <c r="AD278" s="44" t="n"/>
      <c r="AE278" s="44" t="n"/>
      <c r="AF278" s="88" t="n"/>
      <c r="AG278" s="85" t="n"/>
      <c r="AH278" s="85" t="n"/>
      <c r="AI278" s="85" t="n"/>
      <c r="AJ278" s="85" t="n"/>
      <c r="AK278" s="85" t="n"/>
      <c r="AL278" s="85" t="n"/>
      <c r="AM278" s="85" t="n"/>
      <c r="AN278" s="85" t="n"/>
      <c r="AO278" s="85" t="n"/>
      <c r="AP278" s="85" t="n"/>
      <c r="AQ278" s="85" t="n"/>
      <c r="AR278" s="85" t="n"/>
      <c r="AS278" s="85" t="n"/>
      <c r="AT278" s="85" t="n"/>
      <c r="AU278" s="85" t="n"/>
      <c r="AV278" s="85" t="n"/>
      <c r="AW278" s="44" t="n"/>
      <c r="AX278" s="85" t="n"/>
      <c r="AY278" s="88" t="n"/>
      <c r="AZ278" s="86" t="n"/>
      <c r="BA278" s="44" t="n"/>
      <c r="BB278" s="44" t="n"/>
      <c r="BC278" s="87" t="n"/>
      <c r="BD278" s="44" t="n"/>
      <c r="BE278" s="87" t="n"/>
      <c r="BF278" s="85" t="n"/>
      <c r="BG278" s="44" t="n"/>
      <c r="BH278" s="44" t="n"/>
      <c r="BI278" s="85" t="n"/>
      <c r="BJ278" s="44" t="n"/>
      <c r="BK278" s="45" t="n"/>
      <c r="BL278" s="44" t="n"/>
      <c r="BM278" s="85" t="n"/>
      <c r="BN278" s="44" t="n"/>
      <c r="BO278" s="85" t="n"/>
      <c r="BP278" s="86" t="n"/>
      <c r="BQ278" s="44" t="n"/>
      <c r="BR278" s="50" t="n"/>
      <c r="BS278" s="89" t="n"/>
      <c r="BT278" s="50">
        <f>IF(OR(K278="",L278="",M278=""),"",IF(ABS(ROUND(((ROUND(N(K278)*100,0))-(0))*(100+N(M278))/100,0)-(ROUND(N(L278)*100,0)))&lt;=0+IF(((ROUND(N(K278)*100,0))-(0))*(100+N(M278))/100&lt;&gt;ROUND(((ROUND(N(K278)*100,0))-(0))*(100+N(M278))/100,0),1,0),"OK","ABWEICHUNG"))</f>
        <v/>
      </c>
    </row>
    <row r="279">
      <c r="A279" s="50" t="n"/>
      <c r="B279" s="44" t="n"/>
      <c r="C279" s="44" t="n"/>
      <c r="D279" s="44" t="n"/>
      <c r="E279" s="44" t="n"/>
      <c r="F279" s="44" t="n"/>
      <c r="G279" s="44" t="n"/>
      <c r="H279" s="44" t="n"/>
      <c r="I279" s="45" t="n"/>
      <c r="J279" s="45" t="n"/>
      <c r="K279" s="85" t="n"/>
      <c r="L279" s="85" t="n"/>
      <c r="M279" s="88" t="n"/>
      <c r="N279" s="88" t="n"/>
      <c r="O279" s="44" t="n"/>
      <c r="P279" s="45" t="n"/>
      <c r="Q279" s="45" t="n"/>
      <c r="R279" s="44" t="n"/>
      <c r="S279" s="45" t="n"/>
      <c r="T279" s="45" t="n"/>
      <c r="U279" s="85" t="n"/>
      <c r="V279" s="44" t="n"/>
      <c r="W279" s="45" t="n"/>
      <c r="X279" s="45" t="n"/>
      <c r="Y279" s="44" t="n"/>
      <c r="Z279" s="85" t="n"/>
      <c r="AA279" s="44" t="n"/>
      <c r="AB279" s="44" t="n"/>
      <c r="AC279" s="44" t="n"/>
      <c r="AD279" s="44" t="n"/>
      <c r="AE279" s="44" t="n"/>
      <c r="AF279" s="88" t="n"/>
      <c r="AG279" s="85" t="n"/>
      <c r="AH279" s="85" t="n"/>
      <c r="AI279" s="85" t="n"/>
      <c r="AJ279" s="85" t="n"/>
      <c r="AK279" s="85" t="n"/>
      <c r="AL279" s="85" t="n"/>
      <c r="AM279" s="85" t="n"/>
      <c r="AN279" s="85" t="n"/>
      <c r="AO279" s="85" t="n"/>
      <c r="AP279" s="85" t="n"/>
      <c r="AQ279" s="85" t="n"/>
      <c r="AR279" s="85" t="n"/>
      <c r="AS279" s="85" t="n"/>
      <c r="AT279" s="85" t="n"/>
      <c r="AU279" s="85" t="n"/>
      <c r="AV279" s="85" t="n"/>
      <c r="AW279" s="44" t="n"/>
      <c r="AX279" s="85" t="n"/>
      <c r="AY279" s="88" t="n"/>
      <c r="AZ279" s="86" t="n"/>
      <c r="BA279" s="44" t="n"/>
      <c r="BB279" s="44" t="n"/>
      <c r="BC279" s="87" t="n"/>
      <c r="BD279" s="44" t="n"/>
      <c r="BE279" s="87" t="n"/>
      <c r="BF279" s="85" t="n"/>
      <c r="BG279" s="44" t="n"/>
      <c r="BH279" s="44" t="n"/>
      <c r="BI279" s="85" t="n"/>
      <c r="BJ279" s="44" t="n"/>
      <c r="BK279" s="45" t="n"/>
      <c r="BL279" s="44" t="n"/>
      <c r="BM279" s="85" t="n"/>
      <c r="BN279" s="44" t="n"/>
      <c r="BO279" s="85" t="n"/>
      <c r="BP279" s="86" t="n"/>
      <c r="BQ279" s="44" t="n"/>
      <c r="BR279" s="50" t="n"/>
      <c r="BS279" s="89" t="n"/>
      <c r="BT279" s="50">
        <f>IF(OR(K279="",L279="",M279=""),"",IF(ABS(ROUND(((ROUND(N(K279)*100,0))-(0))*(100+N(M279))/100,0)-(ROUND(N(L279)*100,0)))&lt;=0+IF(((ROUND(N(K279)*100,0))-(0))*(100+N(M279))/100&lt;&gt;ROUND(((ROUND(N(K279)*100,0))-(0))*(100+N(M279))/100,0),1,0),"OK","ABWEICHUNG"))</f>
        <v/>
      </c>
    </row>
    <row r="280">
      <c r="A280" s="50" t="n"/>
      <c r="B280" s="44" t="n"/>
      <c r="C280" s="44" t="n"/>
      <c r="D280" s="44" t="n"/>
      <c r="E280" s="44" t="n"/>
      <c r="F280" s="44" t="n"/>
      <c r="G280" s="44" t="n"/>
      <c r="H280" s="44" t="n"/>
      <c r="I280" s="45" t="n"/>
      <c r="J280" s="45" t="n"/>
      <c r="K280" s="85" t="n"/>
      <c r="L280" s="85" t="n"/>
      <c r="M280" s="88" t="n"/>
      <c r="N280" s="88" t="n"/>
      <c r="O280" s="44" t="n"/>
      <c r="P280" s="45" t="n"/>
      <c r="Q280" s="45" t="n"/>
      <c r="R280" s="44" t="n"/>
      <c r="S280" s="45" t="n"/>
      <c r="T280" s="45" t="n"/>
      <c r="U280" s="85" t="n"/>
      <c r="V280" s="44" t="n"/>
      <c r="W280" s="45" t="n"/>
      <c r="X280" s="45" t="n"/>
      <c r="Y280" s="44" t="n"/>
      <c r="Z280" s="85" t="n"/>
      <c r="AA280" s="44" t="n"/>
      <c r="AB280" s="44" t="n"/>
      <c r="AC280" s="44" t="n"/>
      <c r="AD280" s="44" t="n"/>
      <c r="AE280" s="44" t="n"/>
      <c r="AF280" s="88" t="n"/>
      <c r="AG280" s="85" t="n"/>
      <c r="AH280" s="85" t="n"/>
      <c r="AI280" s="85" t="n"/>
      <c r="AJ280" s="85" t="n"/>
      <c r="AK280" s="85" t="n"/>
      <c r="AL280" s="85" t="n"/>
      <c r="AM280" s="85" t="n"/>
      <c r="AN280" s="85" t="n"/>
      <c r="AO280" s="85" t="n"/>
      <c r="AP280" s="85" t="n"/>
      <c r="AQ280" s="85" t="n"/>
      <c r="AR280" s="85" t="n"/>
      <c r="AS280" s="85" t="n"/>
      <c r="AT280" s="85" t="n"/>
      <c r="AU280" s="85" t="n"/>
      <c r="AV280" s="85" t="n"/>
      <c r="AW280" s="44" t="n"/>
      <c r="AX280" s="85" t="n"/>
      <c r="AY280" s="88" t="n"/>
      <c r="AZ280" s="86" t="n"/>
      <c r="BA280" s="44" t="n"/>
      <c r="BB280" s="44" t="n"/>
      <c r="BC280" s="87" t="n"/>
      <c r="BD280" s="44" t="n"/>
      <c r="BE280" s="87" t="n"/>
      <c r="BF280" s="85" t="n"/>
      <c r="BG280" s="44" t="n"/>
      <c r="BH280" s="44" t="n"/>
      <c r="BI280" s="85" t="n"/>
      <c r="BJ280" s="44" t="n"/>
      <c r="BK280" s="45" t="n"/>
      <c r="BL280" s="44" t="n"/>
      <c r="BM280" s="85" t="n"/>
      <c r="BN280" s="44" t="n"/>
      <c r="BO280" s="85" t="n"/>
      <c r="BP280" s="86" t="n"/>
      <c r="BQ280" s="44" t="n"/>
      <c r="BR280" s="50" t="n"/>
      <c r="BS280" s="89" t="n"/>
      <c r="BT280" s="50">
        <f>IF(OR(K280="",L280="",M280=""),"",IF(ABS(ROUND(((ROUND(N(K280)*100,0))-(0))*(100+N(M280))/100,0)-(ROUND(N(L280)*100,0)))&lt;=0+IF(((ROUND(N(K280)*100,0))-(0))*(100+N(M280))/100&lt;&gt;ROUND(((ROUND(N(K280)*100,0))-(0))*(100+N(M280))/100,0),1,0),"OK","ABWEICHUNG"))</f>
        <v/>
      </c>
    </row>
    <row r="281">
      <c r="A281" s="50" t="n"/>
      <c r="B281" s="44" t="n"/>
      <c r="C281" s="44" t="n"/>
      <c r="D281" s="44" t="n"/>
      <c r="E281" s="44" t="n"/>
      <c r="F281" s="44" t="n"/>
      <c r="G281" s="44" t="n"/>
      <c r="H281" s="44" t="n"/>
      <c r="I281" s="45" t="n"/>
      <c r="J281" s="45" t="n"/>
      <c r="K281" s="85" t="n"/>
      <c r="L281" s="85" t="n"/>
      <c r="M281" s="88" t="n"/>
      <c r="N281" s="88" t="n"/>
      <c r="O281" s="44" t="n"/>
      <c r="P281" s="45" t="n"/>
      <c r="Q281" s="45" t="n"/>
      <c r="R281" s="44" t="n"/>
      <c r="S281" s="45" t="n"/>
      <c r="T281" s="45" t="n"/>
      <c r="U281" s="85" t="n"/>
      <c r="V281" s="44" t="n"/>
      <c r="W281" s="45" t="n"/>
      <c r="X281" s="45" t="n"/>
      <c r="Y281" s="44" t="n"/>
      <c r="Z281" s="85" t="n"/>
      <c r="AA281" s="44" t="n"/>
      <c r="AB281" s="44" t="n"/>
      <c r="AC281" s="44" t="n"/>
      <c r="AD281" s="44" t="n"/>
      <c r="AE281" s="44" t="n"/>
      <c r="AF281" s="88" t="n"/>
      <c r="AG281" s="85" t="n"/>
      <c r="AH281" s="85" t="n"/>
      <c r="AI281" s="85" t="n"/>
      <c r="AJ281" s="85" t="n"/>
      <c r="AK281" s="85" t="n"/>
      <c r="AL281" s="85" t="n"/>
      <c r="AM281" s="85" t="n"/>
      <c r="AN281" s="85" t="n"/>
      <c r="AO281" s="85" t="n"/>
      <c r="AP281" s="85" t="n"/>
      <c r="AQ281" s="85" t="n"/>
      <c r="AR281" s="85" t="n"/>
      <c r="AS281" s="85" t="n"/>
      <c r="AT281" s="85" t="n"/>
      <c r="AU281" s="85" t="n"/>
      <c r="AV281" s="85" t="n"/>
      <c r="AW281" s="44" t="n"/>
      <c r="AX281" s="85" t="n"/>
      <c r="AY281" s="88" t="n"/>
      <c r="AZ281" s="86" t="n"/>
      <c r="BA281" s="44" t="n"/>
      <c r="BB281" s="44" t="n"/>
      <c r="BC281" s="87" t="n"/>
      <c r="BD281" s="44" t="n"/>
      <c r="BE281" s="87" t="n"/>
      <c r="BF281" s="85" t="n"/>
      <c r="BG281" s="44" t="n"/>
      <c r="BH281" s="44" t="n"/>
      <c r="BI281" s="85" t="n"/>
      <c r="BJ281" s="44" t="n"/>
      <c r="BK281" s="45" t="n"/>
      <c r="BL281" s="44" t="n"/>
      <c r="BM281" s="85" t="n"/>
      <c r="BN281" s="44" t="n"/>
      <c r="BO281" s="85" t="n"/>
      <c r="BP281" s="86" t="n"/>
      <c r="BQ281" s="44" t="n"/>
      <c r="BR281" s="50" t="n"/>
      <c r="BS281" s="89" t="n"/>
      <c r="BT281" s="50">
        <f>IF(OR(K281="",L281="",M281=""),"",IF(ABS(ROUND(((ROUND(N(K281)*100,0))-(0))*(100+N(M281))/100,0)-(ROUND(N(L281)*100,0)))&lt;=0+IF(((ROUND(N(K281)*100,0))-(0))*(100+N(M281))/100&lt;&gt;ROUND(((ROUND(N(K281)*100,0))-(0))*(100+N(M281))/100,0),1,0),"OK","ABWEICHUNG"))</f>
        <v/>
      </c>
    </row>
    <row r="282">
      <c r="A282" s="50" t="n"/>
      <c r="B282" s="44" t="n"/>
      <c r="C282" s="44" t="n"/>
      <c r="D282" s="44" t="n"/>
      <c r="E282" s="44" t="n"/>
      <c r="F282" s="44" t="n"/>
      <c r="G282" s="44" t="n"/>
      <c r="H282" s="44" t="n"/>
      <c r="I282" s="45" t="n"/>
      <c r="J282" s="45" t="n"/>
      <c r="K282" s="85" t="n"/>
      <c r="L282" s="85" t="n"/>
      <c r="M282" s="88" t="n"/>
      <c r="N282" s="88" t="n"/>
      <c r="O282" s="44" t="n"/>
      <c r="P282" s="45" t="n"/>
      <c r="Q282" s="45" t="n"/>
      <c r="R282" s="44" t="n"/>
      <c r="S282" s="45" t="n"/>
      <c r="T282" s="45" t="n"/>
      <c r="U282" s="85" t="n"/>
      <c r="V282" s="44" t="n"/>
      <c r="W282" s="45" t="n"/>
      <c r="X282" s="45" t="n"/>
      <c r="Y282" s="44" t="n"/>
      <c r="Z282" s="85" t="n"/>
      <c r="AA282" s="44" t="n"/>
      <c r="AB282" s="44" t="n"/>
      <c r="AC282" s="44" t="n"/>
      <c r="AD282" s="44" t="n"/>
      <c r="AE282" s="44" t="n"/>
      <c r="AF282" s="88" t="n"/>
      <c r="AG282" s="85" t="n"/>
      <c r="AH282" s="85" t="n"/>
      <c r="AI282" s="85" t="n"/>
      <c r="AJ282" s="85" t="n"/>
      <c r="AK282" s="85" t="n"/>
      <c r="AL282" s="85" t="n"/>
      <c r="AM282" s="85" t="n"/>
      <c r="AN282" s="85" t="n"/>
      <c r="AO282" s="85" t="n"/>
      <c r="AP282" s="85" t="n"/>
      <c r="AQ282" s="85" t="n"/>
      <c r="AR282" s="85" t="n"/>
      <c r="AS282" s="85" t="n"/>
      <c r="AT282" s="85" t="n"/>
      <c r="AU282" s="85" t="n"/>
      <c r="AV282" s="85" t="n"/>
      <c r="AW282" s="44" t="n"/>
      <c r="AX282" s="85" t="n"/>
      <c r="AY282" s="88" t="n"/>
      <c r="AZ282" s="86" t="n"/>
      <c r="BA282" s="44" t="n"/>
      <c r="BB282" s="44" t="n"/>
      <c r="BC282" s="87" t="n"/>
      <c r="BD282" s="44" t="n"/>
      <c r="BE282" s="87" t="n"/>
      <c r="BF282" s="85" t="n"/>
      <c r="BG282" s="44" t="n"/>
      <c r="BH282" s="44" t="n"/>
      <c r="BI282" s="85" t="n"/>
      <c r="BJ282" s="44" t="n"/>
      <c r="BK282" s="45" t="n"/>
      <c r="BL282" s="44" t="n"/>
      <c r="BM282" s="85" t="n"/>
      <c r="BN282" s="44" t="n"/>
      <c r="BO282" s="85" t="n"/>
      <c r="BP282" s="86" t="n"/>
      <c r="BQ282" s="44" t="n"/>
      <c r="BR282" s="50" t="n"/>
      <c r="BS282" s="89" t="n"/>
      <c r="BT282" s="50">
        <f>IF(OR(K282="",L282="",M282=""),"",IF(ABS(ROUND(((ROUND(N(K282)*100,0))-(0))*(100+N(M282))/100,0)-(ROUND(N(L282)*100,0)))&lt;=0+IF(((ROUND(N(K282)*100,0))-(0))*(100+N(M282))/100&lt;&gt;ROUND(((ROUND(N(K282)*100,0))-(0))*(100+N(M282))/100,0),1,0),"OK","ABWEICHUNG"))</f>
        <v/>
      </c>
    </row>
    <row r="283">
      <c r="A283" s="50" t="n"/>
      <c r="B283" s="44" t="n"/>
      <c r="C283" s="44" t="n"/>
      <c r="D283" s="44" t="n"/>
      <c r="E283" s="44" t="n"/>
      <c r="F283" s="44" t="n"/>
      <c r="G283" s="44" t="n"/>
      <c r="H283" s="44" t="n"/>
      <c r="I283" s="45" t="n"/>
      <c r="J283" s="45" t="n"/>
      <c r="K283" s="85" t="n"/>
      <c r="L283" s="85" t="n"/>
      <c r="M283" s="88" t="n"/>
      <c r="N283" s="88" t="n"/>
      <c r="O283" s="44" t="n"/>
      <c r="P283" s="45" t="n"/>
      <c r="Q283" s="45" t="n"/>
      <c r="R283" s="44" t="n"/>
      <c r="S283" s="45" t="n"/>
      <c r="T283" s="45" t="n"/>
      <c r="U283" s="85" t="n"/>
      <c r="V283" s="44" t="n"/>
      <c r="W283" s="45" t="n"/>
      <c r="X283" s="45" t="n"/>
      <c r="Y283" s="44" t="n"/>
      <c r="Z283" s="85" t="n"/>
      <c r="AA283" s="44" t="n"/>
      <c r="AB283" s="44" t="n"/>
      <c r="AC283" s="44" t="n"/>
      <c r="AD283" s="44" t="n"/>
      <c r="AE283" s="44" t="n"/>
      <c r="AF283" s="88" t="n"/>
      <c r="AG283" s="85" t="n"/>
      <c r="AH283" s="85" t="n"/>
      <c r="AI283" s="85" t="n"/>
      <c r="AJ283" s="85" t="n"/>
      <c r="AK283" s="85" t="n"/>
      <c r="AL283" s="85" t="n"/>
      <c r="AM283" s="85" t="n"/>
      <c r="AN283" s="85" t="n"/>
      <c r="AO283" s="85" t="n"/>
      <c r="AP283" s="85" t="n"/>
      <c r="AQ283" s="85" t="n"/>
      <c r="AR283" s="85" t="n"/>
      <c r="AS283" s="85" t="n"/>
      <c r="AT283" s="85" t="n"/>
      <c r="AU283" s="85" t="n"/>
      <c r="AV283" s="85" t="n"/>
      <c r="AW283" s="44" t="n"/>
      <c r="AX283" s="85" t="n"/>
      <c r="AY283" s="88" t="n"/>
      <c r="AZ283" s="86" t="n"/>
      <c r="BA283" s="44" t="n"/>
      <c r="BB283" s="44" t="n"/>
      <c r="BC283" s="87" t="n"/>
      <c r="BD283" s="44" t="n"/>
      <c r="BE283" s="87" t="n"/>
      <c r="BF283" s="85" t="n"/>
      <c r="BG283" s="44" t="n"/>
      <c r="BH283" s="44" t="n"/>
      <c r="BI283" s="85" t="n"/>
      <c r="BJ283" s="44" t="n"/>
      <c r="BK283" s="45" t="n"/>
      <c r="BL283" s="44" t="n"/>
      <c r="BM283" s="85" t="n"/>
      <c r="BN283" s="44" t="n"/>
      <c r="BO283" s="85" t="n"/>
      <c r="BP283" s="86" t="n"/>
      <c r="BQ283" s="44" t="n"/>
      <c r="BR283" s="50" t="n"/>
      <c r="BS283" s="89" t="n"/>
      <c r="BT283" s="50">
        <f>IF(OR(K283="",L283="",M283=""),"",IF(ABS(ROUND(((ROUND(N(K283)*100,0))-(0))*(100+N(M283))/100,0)-(ROUND(N(L283)*100,0)))&lt;=0+IF(((ROUND(N(K283)*100,0))-(0))*(100+N(M283))/100&lt;&gt;ROUND(((ROUND(N(K283)*100,0))-(0))*(100+N(M283))/100,0),1,0),"OK","ABWEICHUNG"))</f>
        <v/>
      </c>
    </row>
    <row r="284">
      <c r="A284" s="50" t="n"/>
      <c r="B284" s="44" t="n"/>
      <c r="C284" s="44" t="n"/>
      <c r="D284" s="44" t="n"/>
      <c r="E284" s="44" t="n"/>
      <c r="F284" s="44" t="n"/>
      <c r="G284" s="44" t="n"/>
      <c r="H284" s="44" t="n"/>
      <c r="I284" s="45" t="n"/>
      <c r="J284" s="45" t="n"/>
      <c r="K284" s="85" t="n"/>
      <c r="L284" s="85" t="n"/>
      <c r="M284" s="88" t="n"/>
      <c r="N284" s="88" t="n"/>
      <c r="O284" s="44" t="n"/>
      <c r="P284" s="45" t="n"/>
      <c r="Q284" s="45" t="n"/>
      <c r="R284" s="44" t="n"/>
      <c r="S284" s="45" t="n"/>
      <c r="T284" s="45" t="n"/>
      <c r="U284" s="85" t="n"/>
      <c r="V284" s="44" t="n"/>
      <c r="W284" s="45" t="n"/>
      <c r="X284" s="45" t="n"/>
      <c r="Y284" s="44" t="n"/>
      <c r="Z284" s="85" t="n"/>
      <c r="AA284" s="44" t="n"/>
      <c r="AB284" s="44" t="n"/>
      <c r="AC284" s="44" t="n"/>
      <c r="AD284" s="44" t="n"/>
      <c r="AE284" s="44" t="n"/>
      <c r="AF284" s="88" t="n"/>
      <c r="AG284" s="85" t="n"/>
      <c r="AH284" s="85" t="n"/>
      <c r="AI284" s="85" t="n"/>
      <c r="AJ284" s="85" t="n"/>
      <c r="AK284" s="85" t="n"/>
      <c r="AL284" s="85" t="n"/>
      <c r="AM284" s="85" t="n"/>
      <c r="AN284" s="85" t="n"/>
      <c r="AO284" s="85" t="n"/>
      <c r="AP284" s="85" t="n"/>
      <c r="AQ284" s="85" t="n"/>
      <c r="AR284" s="85" t="n"/>
      <c r="AS284" s="85" t="n"/>
      <c r="AT284" s="85" t="n"/>
      <c r="AU284" s="85" t="n"/>
      <c r="AV284" s="85" t="n"/>
      <c r="AW284" s="44" t="n"/>
      <c r="AX284" s="85" t="n"/>
      <c r="AY284" s="88" t="n"/>
      <c r="AZ284" s="86" t="n"/>
      <c r="BA284" s="44" t="n"/>
      <c r="BB284" s="44" t="n"/>
      <c r="BC284" s="87" t="n"/>
      <c r="BD284" s="44" t="n"/>
      <c r="BE284" s="87" t="n"/>
      <c r="BF284" s="85" t="n"/>
      <c r="BG284" s="44" t="n"/>
      <c r="BH284" s="44" t="n"/>
      <c r="BI284" s="85" t="n"/>
      <c r="BJ284" s="44" t="n"/>
      <c r="BK284" s="45" t="n"/>
      <c r="BL284" s="44" t="n"/>
      <c r="BM284" s="85" t="n"/>
      <c r="BN284" s="44" t="n"/>
      <c r="BO284" s="85" t="n"/>
      <c r="BP284" s="86" t="n"/>
      <c r="BQ284" s="44" t="n"/>
      <c r="BR284" s="50" t="n"/>
      <c r="BS284" s="89" t="n"/>
      <c r="BT284" s="50">
        <f>IF(OR(K284="",L284="",M284=""),"",IF(ABS(ROUND(((ROUND(N(K284)*100,0))-(0))*(100+N(M284))/100,0)-(ROUND(N(L284)*100,0)))&lt;=0+IF(((ROUND(N(K284)*100,0))-(0))*(100+N(M284))/100&lt;&gt;ROUND(((ROUND(N(K284)*100,0))-(0))*(100+N(M284))/100,0),1,0),"OK","ABWEICHUNG"))</f>
        <v/>
      </c>
    </row>
    <row r="285">
      <c r="A285" s="50" t="n"/>
      <c r="B285" s="44" t="n"/>
      <c r="C285" s="44" t="n"/>
      <c r="D285" s="44" t="n"/>
      <c r="E285" s="44" t="n"/>
      <c r="F285" s="44" t="n"/>
      <c r="G285" s="44" t="n"/>
      <c r="H285" s="44" t="n"/>
      <c r="I285" s="45" t="n"/>
      <c r="J285" s="45" t="n"/>
      <c r="K285" s="85" t="n"/>
      <c r="L285" s="85" t="n"/>
      <c r="M285" s="88" t="n"/>
      <c r="N285" s="88" t="n"/>
      <c r="O285" s="44" t="n"/>
      <c r="P285" s="45" t="n"/>
      <c r="Q285" s="45" t="n"/>
      <c r="R285" s="44" t="n"/>
      <c r="S285" s="45" t="n"/>
      <c r="T285" s="45" t="n"/>
      <c r="U285" s="85" t="n"/>
      <c r="V285" s="44" t="n"/>
      <c r="W285" s="45" t="n"/>
      <c r="X285" s="45" t="n"/>
      <c r="Y285" s="44" t="n"/>
      <c r="Z285" s="85" t="n"/>
      <c r="AA285" s="44" t="n"/>
      <c r="AB285" s="44" t="n"/>
      <c r="AC285" s="44" t="n"/>
      <c r="AD285" s="44" t="n"/>
      <c r="AE285" s="44" t="n"/>
      <c r="AF285" s="88" t="n"/>
      <c r="AG285" s="85" t="n"/>
      <c r="AH285" s="85" t="n"/>
      <c r="AI285" s="85" t="n"/>
      <c r="AJ285" s="85" t="n"/>
      <c r="AK285" s="85" t="n"/>
      <c r="AL285" s="85" t="n"/>
      <c r="AM285" s="85" t="n"/>
      <c r="AN285" s="85" t="n"/>
      <c r="AO285" s="85" t="n"/>
      <c r="AP285" s="85" t="n"/>
      <c r="AQ285" s="85" t="n"/>
      <c r="AR285" s="85" t="n"/>
      <c r="AS285" s="85" t="n"/>
      <c r="AT285" s="85" t="n"/>
      <c r="AU285" s="85" t="n"/>
      <c r="AV285" s="85" t="n"/>
      <c r="AW285" s="44" t="n"/>
      <c r="AX285" s="85" t="n"/>
      <c r="AY285" s="88" t="n"/>
      <c r="AZ285" s="86" t="n"/>
      <c r="BA285" s="44" t="n"/>
      <c r="BB285" s="44" t="n"/>
      <c r="BC285" s="87" t="n"/>
      <c r="BD285" s="44" t="n"/>
      <c r="BE285" s="87" t="n"/>
      <c r="BF285" s="85" t="n"/>
      <c r="BG285" s="44" t="n"/>
      <c r="BH285" s="44" t="n"/>
      <c r="BI285" s="85" t="n"/>
      <c r="BJ285" s="44" t="n"/>
      <c r="BK285" s="45" t="n"/>
      <c r="BL285" s="44" t="n"/>
      <c r="BM285" s="85" t="n"/>
      <c r="BN285" s="44" t="n"/>
      <c r="BO285" s="85" t="n"/>
      <c r="BP285" s="86" t="n"/>
      <c r="BQ285" s="44" t="n"/>
      <c r="BR285" s="50" t="n"/>
      <c r="BS285" s="89" t="n"/>
      <c r="BT285" s="50">
        <f>IF(OR(K285="",L285="",M285=""),"",IF(ABS(ROUND(((ROUND(N(K285)*100,0))-(0))*(100+N(M285))/100,0)-(ROUND(N(L285)*100,0)))&lt;=0+IF(((ROUND(N(K285)*100,0))-(0))*(100+N(M285))/100&lt;&gt;ROUND(((ROUND(N(K285)*100,0))-(0))*(100+N(M285))/100,0),1,0),"OK","ABWEICHUNG"))</f>
        <v/>
      </c>
    </row>
    <row r="286">
      <c r="A286" s="50" t="n"/>
      <c r="B286" s="44" t="n"/>
      <c r="C286" s="44" t="n"/>
      <c r="D286" s="44" t="n"/>
      <c r="E286" s="44" t="n"/>
      <c r="F286" s="44" t="n"/>
      <c r="G286" s="44" t="n"/>
      <c r="H286" s="44" t="n"/>
      <c r="I286" s="45" t="n"/>
      <c r="J286" s="45" t="n"/>
      <c r="K286" s="85" t="n"/>
      <c r="L286" s="85" t="n"/>
      <c r="M286" s="88" t="n"/>
      <c r="N286" s="88" t="n"/>
      <c r="O286" s="44" t="n"/>
      <c r="P286" s="45" t="n"/>
      <c r="Q286" s="45" t="n"/>
      <c r="R286" s="44" t="n"/>
      <c r="S286" s="45" t="n"/>
      <c r="T286" s="45" t="n"/>
      <c r="U286" s="85" t="n"/>
      <c r="V286" s="44" t="n"/>
      <c r="W286" s="45" t="n"/>
      <c r="X286" s="45" t="n"/>
      <c r="Y286" s="44" t="n"/>
      <c r="Z286" s="85" t="n"/>
      <c r="AA286" s="44" t="n"/>
      <c r="AB286" s="44" t="n"/>
      <c r="AC286" s="44" t="n"/>
      <c r="AD286" s="44" t="n"/>
      <c r="AE286" s="44" t="n"/>
      <c r="AF286" s="88" t="n"/>
      <c r="AG286" s="85" t="n"/>
      <c r="AH286" s="85" t="n"/>
      <c r="AI286" s="85" t="n"/>
      <c r="AJ286" s="85" t="n"/>
      <c r="AK286" s="85" t="n"/>
      <c r="AL286" s="85" t="n"/>
      <c r="AM286" s="85" t="n"/>
      <c r="AN286" s="85" t="n"/>
      <c r="AO286" s="85" t="n"/>
      <c r="AP286" s="85" t="n"/>
      <c r="AQ286" s="85" t="n"/>
      <c r="AR286" s="85" t="n"/>
      <c r="AS286" s="85" t="n"/>
      <c r="AT286" s="85" t="n"/>
      <c r="AU286" s="85" t="n"/>
      <c r="AV286" s="85" t="n"/>
      <c r="AW286" s="44" t="n"/>
      <c r="AX286" s="85" t="n"/>
      <c r="AY286" s="88" t="n"/>
      <c r="AZ286" s="86" t="n"/>
      <c r="BA286" s="44" t="n"/>
      <c r="BB286" s="44" t="n"/>
      <c r="BC286" s="87" t="n"/>
      <c r="BD286" s="44" t="n"/>
      <c r="BE286" s="87" t="n"/>
      <c r="BF286" s="85" t="n"/>
      <c r="BG286" s="44" t="n"/>
      <c r="BH286" s="44" t="n"/>
      <c r="BI286" s="85" t="n"/>
      <c r="BJ286" s="44" t="n"/>
      <c r="BK286" s="45" t="n"/>
      <c r="BL286" s="44" t="n"/>
      <c r="BM286" s="85" t="n"/>
      <c r="BN286" s="44" t="n"/>
      <c r="BO286" s="85" t="n"/>
      <c r="BP286" s="86" t="n"/>
      <c r="BQ286" s="44" t="n"/>
      <c r="BR286" s="50" t="n"/>
      <c r="BS286" s="89" t="n"/>
      <c r="BT286" s="50">
        <f>IF(OR(K286="",L286="",M286=""),"",IF(ABS(ROUND(((ROUND(N(K286)*100,0))-(0))*(100+N(M286))/100,0)-(ROUND(N(L286)*100,0)))&lt;=0+IF(((ROUND(N(K286)*100,0))-(0))*(100+N(M286))/100&lt;&gt;ROUND(((ROUND(N(K286)*100,0))-(0))*(100+N(M286))/100,0),1,0),"OK","ABWEICHUNG"))</f>
        <v/>
      </c>
    </row>
    <row r="287">
      <c r="A287" s="50" t="n"/>
      <c r="B287" s="44" t="n"/>
      <c r="C287" s="44" t="n"/>
      <c r="D287" s="44" t="n"/>
      <c r="E287" s="44" t="n"/>
      <c r="F287" s="44" t="n"/>
      <c r="G287" s="44" t="n"/>
      <c r="H287" s="44" t="n"/>
      <c r="I287" s="45" t="n"/>
      <c r="J287" s="45" t="n"/>
      <c r="K287" s="85" t="n"/>
      <c r="L287" s="85" t="n"/>
      <c r="M287" s="88" t="n"/>
      <c r="N287" s="88" t="n"/>
      <c r="O287" s="44" t="n"/>
      <c r="P287" s="45" t="n"/>
      <c r="Q287" s="45" t="n"/>
      <c r="R287" s="44" t="n"/>
      <c r="S287" s="45" t="n"/>
      <c r="T287" s="45" t="n"/>
      <c r="U287" s="85" t="n"/>
      <c r="V287" s="44" t="n"/>
      <c r="W287" s="45" t="n"/>
      <c r="X287" s="45" t="n"/>
      <c r="Y287" s="44" t="n"/>
      <c r="Z287" s="85" t="n"/>
      <c r="AA287" s="44" t="n"/>
      <c r="AB287" s="44" t="n"/>
      <c r="AC287" s="44" t="n"/>
      <c r="AD287" s="44" t="n"/>
      <c r="AE287" s="44" t="n"/>
      <c r="AF287" s="88" t="n"/>
      <c r="AG287" s="85" t="n"/>
      <c r="AH287" s="85" t="n"/>
      <c r="AI287" s="85" t="n"/>
      <c r="AJ287" s="85" t="n"/>
      <c r="AK287" s="85" t="n"/>
      <c r="AL287" s="85" t="n"/>
      <c r="AM287" s="85" t="n"/>
      <c r="AN287" s="85" t="n"/>
      <c r="AO287" s="85" t="n"/>
      <c r="AP287" s="85" t="n"/>
      <c r="AQ287" s="85" t="n"/>
      <c r="AR287" s="85" t="n"/>
      <c r="AS287" s="85" t="n"/>
      <c r="AT287" s="85" t="n"/>
      <c r="AU287" s="85" t="n"/>
      <c r="AV287" s="85" t="n"/>
      <c r="AW287" s="44" t="n"/>
      <c r="AX287" s="85" t="n"/>
      <c r="AY287" s="88" t="n"/>
      <c r="AZ287" s="86" t="n"/>
      <c r="BA287" s="44" t="n"/>
      <c r="BB287" s="44" t="n"/>
      <c r="BC287" s="87" t="n"/>
      <c r="BD287" s="44" t="n"/>
      <c r="BE287" s="87" t="n"/>
      <c r="BF287" s="85" t="n"/>
      <c r="BG287" s="44" t="n"/>
      <c r="BH287" s="44" t="n"/>
      <c r="BI287" s="85" t="n"/>
      <c r="BJ287" s="44" t="n"/>
      <c r="BK287" s="45" t="n"/>
      <c r="BL287" s="44" t="n"/>
      <c r="BM287" s="85" t="n"/>
      <c r="BN287" s="44" t="n"/>
      <c r="BO287" s="85" t="n"/>
      <c r="BP287" s="86" t="n"/>
      <c r="BQ287" s="44" t="n"/>
      <c r="BR287" s="50" t="n"/>
      <c r="BS287" s="89" t="n"/>
      <c r="BT287" s="50">
        <f>IF(OR(K287="",L287="",M287=""),"",IF(ABS(ROUND(((ROUND(N(K287)*100,0))-(0))*(100+N(M287))/100,0)-(ROUND(N(L287)*100,0)))&lt;=0+IF(((ROUND(N(K287)*100,0))-(0))*(100+N(M287))/100&lt;&gt;ROUND(((ROUND(N(K287)*100,0))-(0))*(100+N(M287))/100,0),1,0),"OK","ABWEICHUNG"))</f>
        <v/>
      </c>
    </row>
    <row r="288">
      <c r="A288" s="50" t="n"/>
      <c r="B288" s="44" t="n"/>
      <c r="C288" s="44" t="n"/>
      <c r="D288" s="44" t="n"/>
      <c r="E288" s="44" t="n"/>
      <c r="F288" s="44" t="n"/>
      <c r="G288" s="44" t="n"/>
      <c r="H288" s="44" t="n"/>
      <c r="I288" s="45" t="n"/>
      <c r="J288" s="45" t="n"/>
      <c r="K288" s="85" t="n"/>
      <c r="L288" s="85" t="n"/>
      <c r="M288" s="88" t="n"/>
      <c r="N288" s="88" t="n"/>
      <c r="O288" s="44" t="n"/>
      <c r="P288" s="45" t="n"/>
      <c r="Q288" s="45" t="n"/>
      <c r="R288" s="44" t="n"/>
      <c r="S288" s="45" t="n"/>
      <c r="T288" s="45" t="n"/>
      <c r="U288" s="85" t="n"/>
      <c r="V288" s="44" t="n"/>
      <c r="W288" s="45" t="n"/>
      <c r="X288" s="45" t="n"/>
      <c r="Y288" s="44" t="n"/>
      <c r="Z288" s="85" t="n"/>
      <c r="AA288" s="44" t="n"/>
      <c r="AB288" s="44" t="n"/>
      <c r="AC288" s="44" t="n"/>
      <c r="AD288" s="44" t="n"/>
      <c r="AE288" s="44" t="n"/>
      <c r="AF288" s="88" t="n"/>
      <c r="AG288" s="85" t="n"/>
      <c r="AH288" s="85" t="n"/>
      <c r="AI288" s="85" t="n"/>
      <c r="AJ288" s="85" t="n"/>
      <c r="AK288" s="85" t="n"/>
      <c r="AL288" s="85" t="n"/>
      <c r="AM288" s="85" t="n"/>
      <c r="AN288" s="85" t="n"/>
      <c r="AO288" s="85" t="n"/>
      <c r="AP288" s="85" t="n"/>
      <c r="AQ288" s="85" t="n"/>
      <c r="AR288" s="85" t="n"/>
      <c r="AS288" s="85" t="n"/>
      <c r="AT288" s="85" t="n"/>
      <c r="AU288" s="85" t="n"/>
      <c r="AV288" s="85" t="n"/>
      <c r="AW288" s="44" t="n"/>
      <c r="AX288" s="85" t="n"/>
      <c r="AY288" s="88" t="n"/>
      <c r="AZ288" s="86" t="n"/>
      <c r="BA288" s="44" t="n"/>
      <c r="BB288" s="44" t="n"/>
      <c r="BC288" s="87" t="n"/>
      <c r="BD288" s="44" t="n"/>
      <c r="BE288" s="87" t="n"/>
      <c r="BF288" s="85" t="n"/>
      <c r="BG288" s="44" t="n"/>
      <c r="BH288" s="44" t="n"/>
      <c r="BI288" s="85" t="n"/>
      <c r="BJ288" s="44" t="n"/>
      <c r="BK288" s="45" t="n"/>
      <c r="BL288" s="44" t="n"/>
      <c r="BM288" s="85" t="n"/>
      <c r="BN288" s="44" t="n"/>
      <c r="BO288" s="85" t="n"/>
      <c r="BP288" s="86" t="n"/>
      <c r="BQ288" s="44" t="n"/>
      <c r="BR288" s="50" t="n"/>
      <c r="BS288" s="89" t="n"/>
      <c r="BT288" s="50">
        <f>IF(OR(K288="",L288="",M288=""),"",IF(ABS(ROUND(((ROUND(N(K288)*100,0))-(0))*(100+N(M288))/100,0)-(ROUND(N(L288)*100,0)))&lt;=0+IF(((ROUND(N(K288)*100,0))-(0))*(100+N(M288))/100&lt;&gt;ROUND(((ROUND(N(K288)*100,0))-(0))*(100+N(M288))/100,0),1,0),"OK","ABWEICHUNG"))</f>
        <v/>
      </c>
    </row>
    <row r="289">
      <c r="A289" s="50" t="n"/>
      <c r="B289" s="44" t="n"/>
      <c r="C289" s="44" t="n"/>
      <c r="D289" s="44" t="n"/>
      <c r="E289" s="44" t="n"/>
      <c r="F289" s="44" t="n"/>
      <c r="G289" s="44" t="n"/>
      <c r="H289" s="44" t="n"/>
      <c r="I289" s="45" t="n"/>
      <c r="J289" s="45" t="n"/>
      <c r="K289" s="85" t="n"/>
      <c r="L289" s="85" t="n"/>
      <c r="M289" s="88" t="n"/>
      <c r="N289" s="88" t="n"/>
      <c r="O289" s="44" t="n"/>
      <c r="P289" s="45" t="n"/>
      <c r="Q289" s="45" t="n"/>
      <c r="R289" s="44" t="n"/>
      <c r="S289" s="45" t="n"/>
      <c r="T289" s="45" t="n"/>
      <c r="U289" s="85" t="n"/>
      <c r="V289" s="44" t="n"/>
      <c r="W289" s="45" t="n"/>
      <c r="X289" s="45" t="n"/>
      <c r="Y289" s="44" t="n"/>
      <c r="Z289" s="85" t="n"/>
      <c r="AA289" s="44" t="n"/>
      <c r="AB289" s="44" t="n"/>
      <c r="AC289" s="44" t="n"/>
      <c r="AD289" s="44" t="n"/>
      <c r="AE289" s="44" t="n"/>
      <c r="AF289" s="88" t="n"/>
      <c r="AG289" s="85" t="n"/>
      <c r="AH289" s="85" t="n"/>
      <c r="AI289" s="85" t="n"/>
      <c r="AJ289" s="85" t="n"/>
      <c r="AK289" s="85" t="n"/>
      <c r="AL289" s="85" t="n"/>
      <c r="AM289" s="85" t="n"/>
      <c r="AN289" s="85" t="n"/>
      <c r="AO289" s="85" t="n"/>
      <c r="AP289" s="85" t="n"/>
      <c r="AQ289" s="85" t="n"/>
      <c r="AR289" s="85" t="n"/>
      <c r="AS289" s="85" t="n"/>
      <c r="AT289" s="85" t="n"/>
      <c r="AU289" s="85" t="n"/>
      <c r="AV289" s="85" t="n"/>
      <c r="AW289" s="44" t="n"/>
      <c r="AX289" s="85" t="n"/>
      <c r="AY289" s="88" t="n"/>
      <c r="AZ289" s="86" t="n"/>
      <c r="BA289" s="44" t="n"/>
      <c r="BB289" s="44" t="n"/>
      <c r="BC289" s="87" t="n"/>
      <c r="BD289" s="44" t="n"/>
      <c r="BE289" s="87" t="n"/>
      <c r="BF289" s="85" t="n"/>
      <c r="BG289" s="44" t="n"/>
      <c r="BH289" s="44" t="n"/>
      <c r="BI289" s="85" t="n"/>
      <c r="BJ289" s="44" t="n"/>
      <c r="BK289" s="45" t="n"/>
      <c r="BL289" s="44" t="n"/>
      <c r="BM289" s="85" t="n"/>
      <c r="BN289" s="44" t="n"/>
      <c r="BO289" s="85" t="n"/>
      <c r="BP289" s="86" t="n"/>
      <c r="BQ289" s="44" t="n"/>
      <c r="BR289" s="50" t="n"/>
      <c r="BS289" s="89" t="n"/>
      <c r="BT289" s="50">
        <f>IF(OR(K289="",L289="",M289=""),"",IF(ABS(ROUND(((ROUND(N(K289)*100,0))-(0))*(100+N(M289))/100,0)-(ROUND(N(L289)*100,0)))&lt;=0+IF(((ROUND(N(K289)*100,0))-(0))*(100+N(M289))/100&lt;&gt;ROUND(((ROUND(N(K289)*100,0))-(0))*(100+N(M289))/100,0),1,0),"OK","ABWEICHUNG"))</f>
        <v/>
      </c>
    </row>
    <row r="290">
      <c r="A290" s="50" t="n"/>
      <c r="B290" s="44" t="n"/>
      <c r="C290" s="44" t="n"/>
      <c r="D290" s="44" t="n"/>
      <c r="E290" s="44" t="n"/>
      <c r="F290" s="44" t="n"/>
      <c r="G290" s="44" t="n"/>
      <c r="H290" s="44" t="n"/>
      <c r="I290" s="45" t="n"/>
      <c r="J290" s="45" t="n"/>
      <c r="K290" s="85" t="n"/>
      <c r="L290" s="85" t="n"/>
      <c r="M290" s="88" t="n"/>
      <c r="N290" s="88" t="n"/>
      <c r="O290" s="44" t="n"/>
      <c r="P290" s="45" t="n"/>
      <c r="Q290" s="45" t="n"/>
      <c r="R290" s="44" t="n"/>
      <c r="S290" s="45" t="n"/>
      <c r="T290" s="45" t="n"/>
      <c r="U290" s="85" t="n"/>
      <c r="V290" s="44" t="n"/>
      <c r="W290" s="45" t="n"/>
      <c r="X290" s="45" t="n"/>
      <c r="Y290" s="44" t="n"/>
      <c r="Z290" s="85" t="n"/>
      <c r="AA290" s="44" t="n"/>
      <c r="AB290" s="44" t="n"/>
      <c r="AC290" s="44" t="n"/>
      <c r="AD290" s="44" t="n"/>
      <c r="AE290" s="44" t="n"/>
      <c r="AF290" s="88" t="n"/>
      <c r="AG290" s="85" t="n"/>
      <c r="AH290" s="85" t="n"/>
      <c r="AI290" s="85" t="n"/>
      <c r="AJ290" s="85" t="n"/>
      <c r="AK290" s="85" t="n"/>
      <c r="AL290" s="85" t="n"/>
      <c r="AM290" s="85" t="n"/>
      <c r="AN290" s="85" t="n"/>
      <c r="AO290" s="85" t="n"/>
      <c r="AP290" s="85" t="n"/>
      <c r="AQ290" s="85" t="n"/>
      <c r="AR290" s="85" t="n"/>
      <c r="AS290" s="85" t="n"/>
      <c r="AT290" s="85" t="n"/>
      <c r="AU290" s="85" t="n"/>
      <c r="AV290" s="85" t="n"/>
      <c r="AW290" s="44" t="n"/>
      <c r="AX290" s="85" t="n"/>
      <c r="AY290" s="88" t="n"/>
      <c r="AZ290" s="86" t="n"/>
      <c r="BA290" s="44" t="n"/>
      <c r="BB290" s="44" t="n"/>
      <c r="BC290" s="87" t="n"/>
      <c r="BD290" s="44" t="n"/>
      <c r="BE290" s="87" t="n"/>
      <c r="BF290" s="85" t="n"/>
      <c r="BG290" s="44" t="n"/>
      <c r="BH290" s="44" t="n"/>
      <c r="BI290" s="85" t="n"/>
      <c r="BJ290" s="44" t="n"/>
      <c r="BK290" s="45" t="n"/>
      <c r="BL290" s="44" t="n"/>
      <c r="BM290" s="85" t="n"/>
      <c r="BN290" s="44" t="n"/>
      <c r="BO290" s="85" t="n"/>
      <c r="BP290" s="86" t="n"/>
      <c r="BQ290" s="44" t="n"/>
      <c r="BR290" s="50" t="n"/>
      <c r="BS290" s="89" t="n"/>
      <c r="BT290" s="50">
        <f>IF(OR(K290="",L290="",M290=""),"",IF(ABS(ROUND(((ROUND(N(K290)*100,0))-(0))*(100+N(M290))/100,0)-(ROUND(N(L290)*100,0)))&lt;=0+IF(((ROUND(N(K290)*100,0))-(0))*(100+N(M290))/100&lt;&gt;ROUND(((ROUND(N(K290)*100,0))-(0))*(100+N(M290))/100,0),1,0),"OK","ABWEICHUNG"))</f>
        <v/>
      </c>
    </row>
    <row r="291">
      <c r="A291" s="50" t="n"/>
      <c r="B291" s="44" t="n"/>
      <c r="C291" s="44" t="n"/>
      <c r="D291" s="44" t="n"/>
      <c r="E291" s="44" t="n"/>
      <c r="F291" s="44" t="n"/>
      <c r="G291" s="44" t="n"/>
      <c r="H291" s="44" t="n"/>
      <c r="I291" s="45" t="n"/>
      <c r="J291" s="45" t="n"/>
      <c r="K291" s="85" t="n"/>
      <c r="L291" s="85" t="n"/>
      <c r="M291" s="88" t="n"/>
      <c r="N291" s="88" t="n"/>
      <c r="O291" s="44" t="n"/>
      <c r="P291" s="45" t="n"/>
      <c r="Q291" s="45" t="n"/>
      <c r="R291" s="44" t="n"/>
      <c r="S291" s="45" t="n"/>
      <c r="T291" s="45" t="n"/>
      <c r="U291" s="85" t="n"/>
      <c r="V291" s="44" t="n"/>
      <c r="W291" s="45" t="n"/>
      <c r="X291" s="45" t="n"/>
      <c r="Y291" s="44" t="n"/>
      <c r="Z291" s="85" t="n"/>
      <c r="AA291" s="44" t="n"/>
      <c r="AB291" s="44" t="n"/>
      <c r="AC291" s="44" t="n"/>
      <c r="AD291" s="44" t="n"/>
      <c r="AE291" s="44" t="n"/>
      <c r="AF291" s="88" t="n"/>
      <c r="AG291" s="85" t="n"/>
      <c r="AH291" s="85" t="n"/>
      <c r="AI291" s="85" t="n"/>
      <c r="AJ291" s="85" t="n"/>
      <c r="AK291" s="85" t="n"/>
      <c r="AL291" s="85" t="n"/>
      <c r="AM291" s="85" t="n"/>
      <c r="AN291" s="85" t="n"/>
      <c r="AO291" s="85" t="n"/>
      <c r="AP291" s="85" t="n"/>
      <c r="AQ291" s="85" t="n"/>
      <c r="AR291" s="85" t="n"/>
      <c r="AS291" s="85" t="n"/>
      <c r="AT291" s="85" t="n"/>
      <c r="AU291" s="85" t="n"/>
      <c r="AV291" s="85" t="n"/>
      <c r="AW291" s="44" t="n"/>
      <c r="AX291" s="85" t="n"/>
      <c r="AY291" s="88" t="n"/>
      <c r="AZ291" s="86" t="n"/>
      <c r="BA291" s="44" t="n"/>
      <c r="BB291" s="44" t="n"/>
      <c r="BC291" s="87" t="n"/>
      <c r="BD291" s="44" t="n"/>
      <c r="BE291" s="87" t="n"/>
      <c r="BF291" s="85" t="n"/>
      <c r="BG291" s="44" t="n"/>
      <c r="BH291" s="44" t="n"/>
      <c r="BI291" s="85" t="n"/>
      <c r="BJ291" s="44" t="n"/>
      <c r="BK291" s="45" t="n"/>
      <c r="BL291" s="44" t="n"/>
      <c r="BM291" s="85" t="n"/>
      <c r="BN291" s="44" t="n"/>
      <c r="BO291" s="85" t="n"/>
      <c r="BP291" s="86" t="n"/>
      <c r="BQ291" s="44" t="n"/>
      <c r="BR291" s="50" t="n"/>
      <c r="BS291" s="89" t="n"/>
      <c r="BT291" s="50">
        <f>IF(OR(K291="",L291="",M291=""),"",IF(ABS(ROUND(((ROUND(N(K291)*100,0))-(0))*(100+N(M291))/100,0)-(ROUND(N(L291)*100,0)))&lt;=0+IF(((ROUND(N(K291)*100,0))-(0))*(100+N(M291))/100&lt;&gt;ROUND(((ROUND(N(K291)*100,0))-(0))*(100+N(M291))/100,0),1,0),"OK","ABWEICHUNG"))</f>
        <v/>
      </c>
    </row>
    <row r="292">
      <c r="A292" s="50" t="n"/>
      <c r="B292" s="44" t="n"/>
      <c r="C292" s="44" t="n"/>
      <c r="D292" s="44" t="n"/>
      <c r="E292" s="44" t="n"/>
      <c r="F292" s="44" t="n"/>
      <c r="G292" s="44" t="n"/>
      <c r="H292" s="44" t="n"/>
      <c r="I292" s="45" t="n"/>
      <c r="J292" s="45" t="n"/>
      <c r="K292" s="85" t="n"/>
      <c r="L292" s="85" t="n"/>
      <c r="M292" s="88" t="n"/>
      <c r="N292" s="88" t="n"/>
      <c r="O292" s="44" t="n"/>
      <c r="P292" s="45" t="n"/>
      <c r="Q292" s="45" t="n"/>
      <c r="R292" s="44" t="n"/>
      <c r="S292" s="45" t="n"/>
      <c r="T292" s="45" t="n"/>
      <c r="U292" s="85" t="n"/>
      <c r="V292" s="44" t="n"/>
      <c r="W292" s="45" t="n"/>
      <c r="X292" s="45" t="n"/>
      <c r="Y292" s="44" t="n"/>
      <c r="Z292" s="85" t="n"/>
      <c r="AA292" s="44" t="n"/>
      <c r="AB292" s="44" t="n"/>
      <c r="AC292" s="44" t="n"/>
      <c r="AD292" s="44" t="n"/>
      <c r="AE292" s="44" t="n"/>
      <c r="AF292" s="88" t="n"/>
      <c r="AG292" s="85" t="n"/>
      <c r="AH292" s="85" t="n"/>
      <c r="AI292" s="85" t="n"/>
      <c r="AJ292" s="85" t="n"/>
      <c r="AK292" s="85" t="n"/>
      <c r="AL292" s="85" t="n"/>
      <c r="AM292" s="85" t="n"/>
      <c r="AN292" s="85" t="n"/>
      <c r="AO292" s="85" t="n"/>
      <c r="AP292" s="85" t="n"/>
      <c r="AQ292" s="85" t="n"/>
      <c r="AR292" s="85" t="n"/>
      <c r="AS292" s="85" t="n"/>
      <c r="AT292" s="85" t="n"/>
      <c r="AU292" s="85" t="n"/>
      <c r="AV292" s="85" t="n"/>
      <c r="AW292" s="44" t="n"/>
      <c r="AX292" s="85" t="n"/>
      <c r="AY292" s="88" t="n"/>
      <c r="AZ292" s="86" t="n"/>
      <c r="BA292" s="44" t="n"/>
      <c r="BB292" s="44" t="n"/>
      <c r="BC292" s="87" t="n"/>
      <c r="BD292" s="44" t="n"/>
      <c r="BE292" s="87" t="n"/>
      <c r="BF292" s="85" t="n"/>
      <c r="BG292" s="44" t="n"/>
      <c r="BH292" s="44" t="n"/>
      <c r="BI292" s="85" t="n"/>
      <c r="BJ292" s="44" t="n"/>
      <c r="BK292" s="45" t="n"/>
      <c r="BL292" s="44" t="n"/>
      <c r="BM292" s="85" t="n"/>
      <c r="BN292" s="44" t="n"/>
      <c r="BO292" s="85" t="n"/>
      <c r="BP292" s="86" t="n"/>
      <c r="BQ292" s="44" t="n"/>
      <c r="BR292" s="50" t="n"/>
      <c r="BS292" s="89" t="n"/>
      <c r="BT292" s="50">
        <f>IF(OR(K292="",L292="",M292=""),"",IF(ABS(ROUND(((ROUND(N(K292)*100,0))-(0))*(100+N(M292))/100,0)-(ROUND(N(L292)*100,0)))&lt;=0+IF(((ROUND(N(K292)*100,0))-(0))*(100+N(M292))/100&lt;&gt;ROUND(((ROUND(N(K292)*100,0))-(0))*(100+N(M292))/100,0),1,0),"OK","ABWEICHUNG"))</f>
        <v/>
      </c>
    </row>
    <row r="293">
      <c r="A293" s="50" t="n"/>
      <c r="B293" s="44" t="n"/>
      <c r="C293" s="44" t="n"/>
      <c r="D293" s="44" t="n"/>
      <c r="E293" s="44" t="n"/>
      <c r="F293" s="44" t="n"/>
      <c r="G293" s="44" t="n"/>
      <c r="H293" s="44" t="n"/>
      <c r="I293" s="45" t="n"/>
      <c r="J293" s="45" t="n"/>
      <c r="K293" s="85" t="n"/>
      <c r="L293" s="85" t="n"/>
      <c r="M293" s="88" t="n"/>
      <c r="N293" s="88" t="n"/>
      <c r="O293" s="44" t="n"/>
      <c r="P293" s="45" t="n"/>
      <c r="Q293" s="45" t="n"/>
      <c r="R293" s="44" t="n"/>
      <c r="S293" s="45" t="n"/>
      <c r="T293" s="45" t="n"/>
      <c r="U293" s="85" t="n"/>
      <c r="V293" s="44" t="n"/>
      <c r="W293" s="45" t="n"/>
      <c r="X293" s="45" t="n"/>
      <c r="Y293" s="44" t="n"/>
      <c r="Z293" s="85" t="n"/>
      <c r="AA293" s="44" t="n"/>
      <c r="AB293" s="44" t="n"/>
      <c r="AC293" s="44" t="n"/>
      <c r="AD293" s="44" t="n"/>
      <c r="AE293" s="44" t="n"/>
      <c r="AF293" s="88" t="n"/>
      <c r="AG293" s="85" t="n"/>
      <c r="AH293" s="85" t="n"/>
      <c r="AI293" s="85" t="n"/>
      <c r="AJ293" s="85" t="n"/>
      <c r="AK293" s="85" t="n"/>
      <c r="AL293" s="85" t="n"/>
      <c r="AM293" s="85" t="n"/>
      <c r="AN293" s="85" t="n"/>
      <c r="AO293" s="85" t="n"/>
      <c r="AP293" s="85" t="n"/>
      <c r="AQ293" s="85" t="n"/>
      <c r="AR293" s="85" t="n"/>
      <c r="AS293" s="85" t="n"/>
      <c r="AT293" s="85" t="n"/>
      <c r="AU293" s="85" t="n"/>
      <c r="AV293" s="85" t="n"/>
      <c r="AW293" s="44" t="n"/>
      <c r="AX293" s="85" t="n"/>
      <c r="AY293" s="88" t="n"/>
      <c r="AZ293" s="86" t="n"/>
      <c r="BA293" s="44" t="n"/>
      <c r="BB293" s="44" t="n"/>
      <c r="BC293" s="87" t="n"/>
      <c r="BD293" s="44" t="n"/>
      <c r="BE293" s="87" t="n"/>
      <c r="BF293" s="85" t="n"/>
      <c r="BG293" s="44" t="n"/>
      <c r="BH293" s="44" t="n"/>
      <c r="BI293" s="85" t="n"/>
      <c r="BJ293" s="44" t="n"/>
      <c r="BK293" s="45" t="n"/>
      <c r="BL293" s="44" t="n"/>
      <c r="BM293" s="85" t="n"/>
      <c r="BN293" s="44" t="n"/>
      <c r="BO293" s="85" t="n"/>
      <c r="BP293" s="86" t="n"/>
      <c r="BQ293" s="44" t="n"/>
      <c r="BR293" s="50" t="n"/>
      <c r="BS293" s="89" t="n"/>
      <c r="BT293" s="50">
        <f>IF(OR(K293="",L293="",M293=""),"",IF(ABS(ROUND(((ROUND(N(K293)*100,0))-(0))*(100+N(M293))/100,0)-(ROUND(N(L293)*100,0)))&lt;=0+IF(((ROUND(N(K293)*100,0))-(0))*(100+N(M293))/100&lt;&gt;ROUND(((ROUND(N(K293)*100,0))-(0))*(100+N(M293))/100,0),1,0),"OK","ABWEICHUNG"))</f>
        <v/>
      </c>
    </row>
    <row r="294">
      <c r="A294" s="50" t="n"/>
      <c r="B294" s="44" t="n"/>
      <c r="C294" s="44" t="n"/>
      <c r="D294" s="44" t="n"/>
      <c r="E294" s="44" t="n"/>
      <c r="F294" s="44" t="n"/>
      <c r="G294" s="44" t="n"/>
      <c r="H294" s="44" t="n"/>
      <c r="I294" s="45" t="n"/>
      <c r="J294" s="45" t="n"/>
      <c r="K294" s="85" t="n"/>
      <c r="L294" s="85" t="n"/>
      <c r="M294" s="88" t="n"/>
      <c r="N294" s="88" t="n"/>
      <c r="O294" s="44" t="n"/>
      <c r="P294" s="45" t="n"/>
      <c r="Q294" s="45" t="n"/>
      <c r="R294" s="44" t="n"/>
      <c r="S294" s="45" t="n"/>
      <c r="T294" s="45" t="n"/>
      <c r="U294" s="85" t="n"/>
      <c r="V294" s="44" t="n"/>
      <c r="W294" s="45" t="n"/>
      <c r="X294" s="45" t="n"/>
      <c r="Y294" s="44" t="n"/>
      <c r="Z294" s="85" t="n"/>
      <c r="AA294" s="44" t="n"/>
      <c r="AB294" s="44" t="n"/>
      <c r="AC294" s="44" t="n"/>
      <c r="AD294" s="44" t="n"/>
      <c r="AE294" s="44" t="n"/>
      <c r="AF294" s="88" t="n"/>
      <c r="AG294" s="85" t="n"/>
      <c r="AH294" s="85" t="n"/>
      <c r="AI294" s="85" t="n"/>
      <c r="AJ294" s="85" t="n"/>
      <c r="AK294" s="85" t="n"/>
      <c r="AL294" s="85" t="n"/>
      <c r="AM294" s="85" t="n"/>
      <c r="AN294" s="85" t="n"/>
      <c r="AO294" s="85" t="n"/>
      <c r="AP294" s="85" t="n"/>
      <c r="AQ294" s="85" t="n"/>
      <c r="AR294" s="85" t="n"/>
      <c r="AS294" s="85" t="n"/>
      <c r="AT294" s="85" t="n"/>
      <c r="AU294" s="85" t="n"/>
      <c r="AV294" s="85" t="n"/>
      <c r="AW294" s="44" t="n"/>
      <c r="AX294" s="85" t="n"/>
      <c r="AY294" s="88" t="n"/>
      <c r="AZ294" s="86" t="n"/>
      <c r="BA294" s="44" t="n"/>
      <c r="BB294" s="44" t="n"/>
      <c r="BC294" s="87" t="n"/>
      <c r="BD294" s="44" t="n"/>
      <c r="BE294" s="87" t="n"/>
      <c r="BF294" s="85" t="n"/>
      <c r="BG294" s="44" t="n"/>
      <c r="BH294" s="44" t="n"/>
      <c r="BI294" s="85" t="n"/>
      <c r="BJ294" s="44" t="n"/>
      <c r="BK294" s="45" t="n"/>
      <c r="BL294" s="44" t="n"/>
      <c r="BM294" s="85" t="n"/>
      <c r="BN294" s="44" t="n"/>
      <c r="BO294" s="85" t="n"/>
      <c r="BP294" s="86" t="n"/>
      <c r="BQ294" s="44" t="n"/>
      <c r="BR294" s="50" t="n"/>
      <c r="BS294" s="89" t="n"/>
      <c r="BT294" s="50">
        <f>IF(OR(K294="",L294="",M294=""),"",IF(ABS(ROUND(((ROUND(N(K294)*100,0))-(0))*(100+N(M294))/100,0)-(ROUND(N(L294)*100,0)))&lt;=0+IF(((ROUND(N(K294)*100,0))-(0))*(100+N(M294))/100&lt;&gt;ROUND(((ROUND(N(K294)*100,0))-(0))*(100+N(M294))/100,0),1,0),"OK","ABWEICHUNG"))</f>
        <v/>
      </c>
    </row>
    <row r="295">
      <c r="A295" s="50" t="n"/>
      <c r="B295" s="44" t="n"/>
      <c r="C295" s="44" t="n"/>
      <c r="D295" s="44" t="n"/>
      <c r="E295" s="44" t="n"/>
      <c r="F295" s="44" t="n"/>
      <c r="G295" s="44" t="n"/>
      <c r="H295" s="44" t="n"/>
      <c r="I295" s="45" t="n"/>
      <c r="J295" s="45" t="n"/>
      <c r="K295" s="85" t="n"/>
      <c r="L295" s="85" t="n"/>
      <c r="M295" s="88" t="n"/>
      <c r="N295" s="88" t="n"/>
      <c r="O295" s="44" t="n"/>
      <c r="P295" s="45" t="n"/>
      <c r="Q295" s="45" t="n"/>
      <c r="R295" s="44" t="n"/>
      <c r="S295" s="45" t="n"/>
      <c r="T295" s="45" t="n"/>
      <c r="U295" s="85" t="n"/>
      <c r="V295" s="44" t="n"/>
      <c r="W295" s="45" t="n"/>
      <c r="X295" s="45" t="n"/>
      <c r="Y295" s="44" t="n"/>
      <c r="Z295" s="85" t="n"/>
      <c r="AA295" s="44" t="n"/>
      <c r="AB295" s="44" t="n"/>
      <c r="AC295" s="44" t="n"/>
      <c r="AD295" s="44" t="n"/>
      <c r="AE295" s="44" t="n"/>
      <c r="AF295" s="88" t="n"/>
      <c r="AG295" s="85" t="n"/>
      <c r="AH295" s="85" t="n"/>
      <c r="AI295" s="85" t="n"/>
      <c r="AJ295" s="85" t="n"/>
      <c r="AK295" s="85" t="n"/>
      <c r="AL295" s="85" t="n"/>
      <c r="AM295" s="85" t="n"/>
      <c r="AN295" s="85" t="n"/>
      <c r="AO295" s="85" t="n"/>
      <c r="AP295" s="85" t="n"/>
      <c r="AQ295" s="85" t="n"/>
      <c r="AR295" s="85" t="n"/>
      <c r="AS295" s="85" t="n"/>
      <c r="AT295" s="85" t="n"/>
      <c r="AU295" s="85" t="n"/>
      <c r="AV295" s="85" t="n"/>
      <c r="AW295" s="44" t="n"/>
      <c r="AX295" s="85" t="n"/>
      <c r="AY295" s="88" t="n"/>
      <c r="AZ295" s="86" t="n"/>
      <c r="BA295" s="44" t="n"/>
      <c r="BB295" s="44" t="n"/>
      <c r="BC295" s="87" t="n"/>
      <c r="BD295" s="44" t="n"/>
      <c r="BE295" s="87" t="n"/>
      <c r="BF295" s="85" t="n"/>
      <c r="BG295" s="44" t="n"/>
      <c r="BH295" s="44" t="n"/>
      <c r="BI295" s="85" t="n"/>
      <c r="BJ295" s="44" t="n"/>
      <c r="BK295" s="45" t="n"/>
      <c r="BL295" s="44" t="n"/>
      <c r="BM295" s="85" t="n"/>
      <c r="BN295" s="44" t="n"/>
      <c r="BO295" s="85" t="n"/>
      <c r="BP295" s="86" t="n"/>
      <c r="BQ295" s="44" t="n"/>
      <c r="BR295" s="50" t="n"/>
      <c r="BS295" s="89" t="n"/>
      <c r="BT295" s="50">
        <f>IF(OR(K295="",L295="",M295=""),"",IF(ABS(ROUND(((ROUND(N(K295)*100,0))-(0))*(100+N(M295))/100,0)-(ROUND(N(L295)*100,0)))&lt;=0+IF(((ROUND(N(K295)*100,0))-(0))*(100+N(M295))/100&lt;&gt;ROUND(((ROUND(N(K295)*100,0))-(0))*(100+N(M295))/100,0),1,0),"OK","ABWEICHUNG"))</f>
        <v/>
      </c>
    </row>
    <row r="296">
      <c r="A296" s="50" t="n"/>
      <c r="B296" s="44" t="n"/>
      <c r="C296" s="44" t="n"/>
      <c r="D296" s="44" t="n"/>
      <c r="E296" s="44" t="n"/>
      <c r="F296" s="44" t="n"/>
      <c r="G296" s="44" t="n"/>
      <c r="H296" s="44" t="n"/>
      <c r="I296" s="45" t="n"/>
      <c r="J296" s="45" t="n"/>
      <c r="K296" s="85" t="n"/>
      <c r="L296" s="85" t="n"/>
      <c r="M296" s="88" t="n"/>
      <c r="N296" s="88" t="n"/>
      <c r="O296" s="44" t="n"/>
      <c r="P296" s="45" t="n"/>
      <c r="Q296" s="45" t="n"/>
      <c r="R296" s="44" t="n"/>
      <c r="S296" s="45" t="n"/>
      <c r="T296" s="45" t="n"/>
      <c r="U296" s="85" t="n"/>
      <c r="V296" s="44" t="n"/>
      <c r="W296" s="45" t="n"/>
      <c r="X296" s="45" t="n"/>
      <c r="Y296" s="44" t="n"/>
      <c r="Z296" s="85" t="n"/>
      <c r="AA296" s="44" t="n"/>
      <c r="AB296" s="44" t="n"/>
      <c r="AC296" s="44" t="n"/>
      <c r="AD296" s="44" t="n"/>
      <c r="AE296" s="44" t="n"/>
      <c r="AF296" s="88" t="n"/>
      <c r="AG296" s="85" t="n"/>
      <c r="AH296" s="85" t="n"/>
      <c r="AI296" s="85" t="n"/>
      <c r="AJ296" s="85" t="n"/>
      <c r="AK296" s="85" t="n"/>
      <c r="AL296" s="85" t="n"/>
      <c r="AM296" s="85" t="n"/>
      <c r="AN296" s="85" t="n"/>
      <c r="AO296" s="85" t="n"/>
      <c r="AP296" s="85" t="n"/>
      <c r="AQ296" s="85" t="n"/>
      <c r="AR296" s="85" t="n"/>
      <c r="AS296" s="85" t="n"/>
      <c r="AT296" s="85" t="n"/>
      <c r="AU296" s="85" t="n"/>
      <c r="AV296" s="85" t="n"/>
      <c r="AW296" s="44" t="n"/>
      <c r="AX296" s="85" t="n"/>
      <c r="AY296" s="88" t="n"/>
      <c r="AZ296" s="86" t="n"/>
      <c r="BA296" s="44" t="n"/>
      <c r="BB296" s="44" t="n"/>
      <c r="BC296" s="87" t="n"/>
      <c r="BD296" s="44" t="n"/>
      <c r="BE296" s="87" t="n"/>
      <c r="BF296" s="85" t="n"/>
      <c r="BG296" s="44" t="n"/>
      <c r="BH296" s="44" t="n"/>
      <c r="BI296" s="85" t="n"/>
      <c r="BJ296" s="44" t="n"/>
      <c r="BK296" s="45" t="n"/>
      <c r="BL296" s="44" t="n"/>
      <c r="BM296" s="85" t="n"/>
      <c r="BN296" s="44" t="n"/>
      <c r="BO296" s="85" t="n"/>
      <c r="BP296" s="86" t="n"/>
      <c r="BQ296" s="44" t="n"/>
      <c r="BR296" s="50" t="n"/>
      <c r="BS296" s="89" t="n"/>
      <c r="BT296" s="50">
        <f>IF(OR(K296="",L296="",M296=""),"",IF(ABS(ROUND(((ROUND(N(K296)*100,0))-(0))*(100+N(M296))/100,0)-(ROUND(N(L296)*100,0)))&lt;=0+IF(((ROUND(N(K296)*100,0))-(0))*(100+N(M296))/100&lt;&gt;ROUND(((ROUND(N(K296)*100,0))-(0))*(100+N(M296))/100,0),1,0),"OK","ABWEICHUNG"))</f>
        <v/>
      </c>
    </row>
    <row r="297">
      <c r="A297" s="50" t="n"/>
      <c r="B297" s="44" t="n"/>
      <c r="C297" s="44" t="n"/>
      <c r="D297" s="44" t="n"/>
      <c r="E297" s="44" t="n"/>
      <c r="F297" s="44" t="n"/>
      <c r="G297" s="44" t="n"/>
      <c r="H297" s="44" t="n"/>
      <c r="I297" s="45" t="n"/>
      <c r="J297" s="45" t="n"/>
      <c r="K297" s="85" t="n"/>
      <c r="L297" s="85" t="n"/>
      <c r="M297" s="88" t="n"/>
      <c r="N297" s="88" t="n"/>
      <c r="O297" s="44" t="n"/>
      <c r="P297" s="45" t="n"/>
      <c r="Q297" s="45" t="n"/>
      <c r="R297" s="44" t="n"/>
      <c r="S297" s="45" t="n"/>
      <c r="T297" s="45" t="n"/>
      <c r="U297" s="85" t="n"/>
      <c r="V297" s="44" t="n"/>
      <c r="W297" s="45" t="n"/>
      <c r="X297" s="45" t="n"/>
      <c r="Y297" s="44" t="n"/>
      <c r="Z297" s="85" t="n"/>
      <c r="AA297" s="44" t="n"/>
      <c r="AB297" s="44" t="n"/>
      <c r="AC297" s="44" t="n"/>
      <c r="AD297" s="44" t="n"/>
      <c r="AE297" s="44" t="n"/>
      <c r="AF297" s="88" t="n"/>
      <c r="AG297" s="85" t="n"/>
      <c r="AH297" s="85" t="n"/>
      <c r="AI297" s="85" t="n"/>
      <c r="AJ297" s="85" t="n"/>
      <c r="AK297" s="85" t="n"/>
      <c r="AL297" s="85" t="n"/>
      <c r="AM297" s="85" t="n"/>
      <c r="AN297" s="85" t="n"/>
      <c r="AO297" s="85" t="n"/>
      <c r="AP297" s="85" t="n"/>
      <c r="AQ297" s="85" t="n"/>
      <c r="AR297" s="85" t="n"/>
      <c r="AS297" s="85" t="n"/>
      <c r="AT297" s="85" t="n"/>
      <c r="AU297" s="85" t="n"/>
      <c r="AV297" s="85" t="n"/>
      <c r="AW297" s="44" t="n"/>
      <c r="AX297" s="85" t="n"/>
      <c r="AY297" s="88" t="n"/>
      <c r="AZ297" s="86" t="n"/>
      <c r="BA297" s="44" t="n"/>
      <c r="BB297" s="44" t="n"/>
      <c r="BC297" s="87" t="n"/>
      <c r="BD297" s="44" t="n"/>
      <c r="BE297" s="87" t="n"/>
      <c r="BF297" s="85" t="n"/>
      <c r="BG297" s="44" t="n"/>
      <c r="BH297" s="44" t="n"/>
      <c r="BI297" s="85" t="n"/>
      <c r="BJ297" s="44" t="n"/>
      <c r="BK297" s="45" t="n"/>
      <c r="BL297" s="44" t="n"/>
      <c r="BM297" s="85" t="n"/>
      <c r="BN297" s="44" t="n"/>
      <c r="BO297" s="85" t="n"/>
      <c r="BP297" s="86" t="n"/>
      <c r="BQ297" s="44" t="n"/>
      <c r="BR297" s="50" t="n"/>
      <c r="BS297" s="89" t="n"/>
      <c r="BT297" s="50">
        <f>IF(OR(K297="",L297="",M297=""),"",IF(ABS(ROUND(((ROUND(N(K297)*100,0))-(0))*(100+N(M297))/100,0)-(ROUND(N(L297)*100,0)))&lt;=0+IF(((ROUND(N(K297)*100,0))-(0))*(100+N(M297))/100&lt;&gt;ROUND(((ROUND(N(K297)*100,0))-(0))*(100+N(M297))/100,0),1,0),"OK","ABWEICHUNG"))</f>
        <v/>
      </c>
    </row>
    <row r="298">
      <c r="A298" s="50" t="n"/>
      <c r="B298" s="44" t="n"/>
      <c r="C298" s="44" t="n"/>
      <c r="D298" s="44" t="n"/>
      <c r="E298" s="44" t="n"/>
      <c r="F298" s="44" t="n"/>
      <c r="G298" s="44" t="n"/>
      <c r="H298" s="44" t="n"/>
      <c r="I298" s="45" t="n"/>
      <c r="J298" s="45" t="n"/>
      <c r="K298" s="85" t="n"/>
      <c r="L298" s="85" t="n"/>
      <c r="M298" s="88" t="n"/>
      <c r="N298" s="88" t="n"/>
      <c r="O298" s="44" t="n"/>
      <c r="P298" s="45" t="n"/>
      <c r="Q298" s="45" t="n"/>
      <c r="R298" s="44" t="n"/>
      <c r="S298" s="45" t="n"/>
      <c r="T298" s="45" t="n"/>
      <c r="U298" s="85" t="n"/>
      <c r="V298" s="44" t="n"/>
      <c r="W298" s="45" t="n"/>
      <c r="X298" s="45" t="n"/>
      <c r="Y298" s="44" t="n"/>
      <c r="Z298" s="85" t="n"/>
      <c r="AA298" s="44" t="n"/>
      <c r="AB298" s="44" t="n"/>
      <c r="AC298" s="44" t="n"/>
      <c r="AD298" s="44" t="n"/>
      <c r="AE298" s="44" t="n"/>
      <c r="AF298" s="88" t="n"/>
      <c r="AG298" s="85" t="n"/>
      <c r="AH298" s="85" t="n"/>
      <c r="AI298" s="85" t="n"/>
      <c r="AJ298" s="85" t="n"/>
      <c r="AK298" s="85" t="n"/>
      <c r="AL298" s="85" t="n"/>
      <c r="AM298" s="85" t="n"/>
      <c r="AN298" s="85" t="n"/>
      <c r="AO298" s="85" t="n"/>
      <c r="AP298" s="85" t="n"/>
      <c r="AQ298" s="85" t="n"/>
      <c r="AR298" s="85" t="n"/>
      <c r="AS298" s="85" t="n"/>
      <c r="AT298" s="85" t="n"/>
      <c r="AU298" s="85" t="n"/>
      <c r="AV298" s="85" t="n"/>
      <c r="AW298" s="44" t="n"/>
      <c r="AX298" s="85" t="n"/>
      <c r="AY298" s="88" t="n"/>
      <c r="AZ298" s="86" t="n"/>
      <c r="BA298" s="44" t="n"/>
      <c r="BB298" s="44" t="n"/>
      <c r="BC298" s="87" t="n"/>
      <c r="BD298" s="44" t="n"/>
      <c r="BE298" s="87" t="n"/>
      <c r="BF298" s="85" t="n"/>
      <c r="BG298" s="44" t="n"/>
      <c r="BH298" s="44" t="n"/>
      <c r="BI298" s="85" t="n"/>
      <c r="BJ298" s="44" t="n"/>
      <c r="BK298" s="45" t="n"/>
      <c r="BL298" s="44" t="n"/>
      <c r="BM298" s="85" t="n"/>
      <c r="BN298" s="44" t="n"/>
      <c r="BO298" s="85" t="n"/>
      <c r="BP298" s="86" t="n"/>
      <c r="BQ298" s="44" t="n"/>
      <c r="BR298" s="50" t="n"/>
      <c r="BS298" s="89" t="n"/>
      <c r="BT298" s="50">
        <f>IF(OR(K298="",L298="",M298=""),"",IF(ABS(ROUND(((ROUND(N(K298)*100,0))-(0))*(100+N(M298))/100,0)-(ROUND(N(L298)*100,0)))&lt;=0+IF(((ROUND(N(K298)*100,0))-(0))*(100+N(M298))/100&lt;&gt;ROUND(((ROUND(N(K298)*100,0))-(0))*(100+N(M298))/100,0),1,0),"OK","ABWEICHUNG"))</f>
        <v/>
      </c>
    </row>
    <row r="299">
      <c r="A299" s="50" t="n"/>
      <c r="B299" s="44" t="n"/>
      <c r="C299" s="44" t="n"/>
      <c r="D299" s="44" t="n"/>
      <c r="E299" s="44" t="n"/>
      <c r="F299" s="44" t="n"/>
      <c r="G299" s="44" t="n"/>
      <c r="H299" s="44" t="n"/>
      <c r="I299" s="45" t="n"/>
      <c r="J299" s="45" t="n"/>
      <c r="K299" s="85" t="n"/>
      <c r="L299" s="85" t="n"/>
      <c r="M299" s="88" t="n"/>
      <c r="N299" s="88" t="n"/>
      <c r="O299" s="44" t="n"/>
      <c r="P299" s="45" t="n"/>
      <c r="Q299" s="45" t="n"/>
      <c r="R299" s="44" t="n"/>
      <c r="S299" s="45" t="n"/>
      <c r="T299" s="45" t="n"/>
      <c r="U299" s="85" t="n"/>
      <c r="V299" s="44" t="n"/>
      <c r="W299" s="45" t="n"/>
      <c r="X299" s="45" t="n"/>
      <c r="Y299" s="44" t="n"/>
      <c r="Z299" s="85" t="n"/>
      <c r="AA299" s="44" t="n"/>
      <c r="AB299" s="44" t="n"/>
      <c r="AC299" s="44" t="n"/>
      <c r="AD299" s="44" t="n"/>
      <c r="AE299" s="44" t="n"/>
      <c r="AF299" s="88" t="n"/>
      <c r="AG299" s="85" t="n"/>
      <c r="AH299" s="85" t="n"/>
      <c r="AI299" s="85" t="n"/>
      <c r="AJ299" s="85" t="n"/>
      <c r="AK299" s="85" t="n"/>
      <c r="AL299" s="85" t="n"/>
      <c r="AM299" s="85" t="n"/>
      <c r="AN299" s="85" t="n"/>
      <c r="AO299" s="85" t="n"/>
      <c r="AP299" s="85" t="n"/>
      <c r="AQ299" s="85" t="n"/>
      <c r="AR299" s="85" t="n"/>
      <c r="AS299" s="85" t="n"/>
      <c r="AT299" s="85" t="n"/>
      <c r="AU299" s="85" t="n"/>
      <c r="AV299" s="85" t="n"/>
      <c r="AW299" s="44" t="n"/>
      <c r="AX299" s="85" t="n"/>
      <c r="AY299" s="88" t="n"/>
      <c r="AZ299" s="86" t="n"/>
      <c r="BA299" s="44" t="n"/>
      <c r="BB299" s="44" t="n"/>
      <c r="BC299" s="87" t="n"/>
      <c r="BD299" s="44" t="n"/>
      <c r="BE299" s="87" t="n"/>
      <c r="BF299" s="85" t="n"/>
      <c r="BG299" s="44" t="n"/>
      <c r="BH299" s="44" t="n"/>
      <c r="BI299" s="85" t="n"/>
      <c r="BJ299" s="44" t="n"/>
      <c r="BK299" s="45" t="n"/>
      <c r="BL299" s="44" t="n"/>
      <c r="BM299" s="85" t="n"/>
      <c r="BN299" s="44" t="n"/>
      <c r="BO299" s="85" t="n"/>
      <c r="BP299" s="86" t="n"/>
      <c r="BQ299" s="44" t="n"/>
      <c r="BR299" s="50" t="n"/>
      <c r="BS299" s="89" t="n"/>
      <c r="BT299" s="50">
        <f>IF(OR(K299="",L299="",M299=""),"",IF(ABS(ROUND(((ROUND(N(K299)*100,0))-(0))*(100+N(M299))/100,0)-(ROUND(N(L299)*100,0)))&lt;=0+IF(((ROUND(N(K299)*100,0))-(0))*(100+N(M299))/100&lt;&gt;ROUND(((ROUND(N(K299)*100,0))-(0))*(100+N(M299))/100,0),1,0),"OK","ABWEICHUNG"))</f>
        <v/>
      </c>
    </row>
    <row r="300">
      <c r="A300" s="50" t="n"/>
      <c r="B300" s="44" t="n"/>
      <c r="C300" s="44" t="n"/>
      <c r="D300" s="44" t="n"/>
      <c r="E300" s="44" t="n"/>
      <c r="F300" s="44" t="n"/>
      <c r="G300" s="44" t="n"/>
      <c r="H300" s="44" t="n"/>
      <c r="I300" s="45" t="n"/>
      <c r="J300" s="45" t="n"/>
      <c r="K300" s="85" t="n"/>
      <c r="L300" s="85" t="n"/>
      <c r="M300" s="88" t="n"/>
      <c r="N300" s="88" t="n"/>
      <c r="O300" s="44" t="n"/>
      <c r="P300" s="45" t="n"/>
      <c r="Q300" s="45" t="n"/>
      <c r="R300" s="44" t="n"/>
      <c r="S300" s="45" t="n"/>
      <c r="T300" s="45" t="n"/>
      <c r="U300" s="85" t="n"/>
      <c r="V300" s="44" t="n"/>
      <c r="W300" s="45" t="n"/>
      <c r="X300" s="45" t="n"/>
      <c r="Y300" s="44" t="n"/>
      <c r="Z300" s="85" t="n"/>
      <c r="AA300" s="44" t="n"/>
      <c r="AB300" s="44" t="n"/>
      <c r="AC300" s="44" t="n"/>
      <c r="AD300" s="44" t="n"/>
      <c r="AE300" s="44" t="n"/>
      <c r="AF300" s="88" t="n"/>
      <c r="AG300" s="85" t="n"/>
      <c r="AH300" s="85" t="n"/>
      <c r="AI300" s="85" t="n"/>
      <c r="AJ300" s="85" t="n"/>
      <c r="AK300" s="85" t="n"/>
      <c r="AL300" s="85" t="n"/>
      <c r="AM300" s="85" t="n"/>
      <c r="AN300" s="85" t="n"/>
      <c r="AO300" s="85" t="n"/>
      <c r="AP300" s="85" t="n"/>
      <c r="AQ300" s="85" t="n"/>
      <c r="AR300" s="85" t="n"/>
      <c r="AS300" s="85" t="n"/>
      <c r="AT300" s="85" t="n"/>
      <c r="AU300" s="85" t="n"/>
      <c r="AV300" s="85" t="n"/>
      <c r="AW300" s="44" t="n"/>
      <c r="AX300" s="85" t="n"/>
      <c r="AY300" s="88" t="n"/>
      <c r="AZ300" s="86" t="n"/>
      <c r="BA300" s="44" t="n"/>
      <c r="BB300" s="44" t="n"/>
      <c r="BC300" s="87" t="n"/>
      <c r="BD300" s="44" t="n"/>
      <c r="BE300" s="87" t="n"/>
      <c r="BF300" s="85" t="n"/>
      <c r="BG300" s="44" t="n"/>
      <c r="BH300" s="44" t="n"/>
      <c r="BI300" s="85" t="n"/>
      <c r="BJ300" s="44" t="n"/>
      <c r="BK300" s="45" t="n"/>
      <c r="BL300" s="44" t="n"/>
      <c r="BM300" s="85" t="n"/>
      <c r="BN300" s="44" t="n"/>
      <c r="BO300" s="85" t="n"/>
      <c r="BP300" s="86" t="n"/>
      <c r="BQ300" s="44" t="n"/>
      <c r="BR300" s="50" t="n"/>
      <c r="BS300" s="89" t="n"/>
      <c r="BT300" s="50">
        <f>IF(OR(K300="",L300="",M300=""),"",IF(ABS(ROUND(((ROUND(N(K300)*100,0))-(0))*(100+N(M300))/100,0)-(ROUND(N(L300)*100,0)))&lt;=0+IF(((ROUND(N(K300)*100,0))-(0))*(100+N(M300))/100&lt;&gt;ROUND(((ROUND(N(K300)*100,0))-(0))*(100+N(M300))/100,0),1,0),"OK","ABWEICHUNG"))</f>
        <v/>
      </c>
    </row>
    <row r="301">
      <c r="A301" s="50" t="n"/>
      <c r="B301" s="44" t="n"/>
      <c r="C301" s="44" t="n"/>
      <c r="D301" s="44" t="n"/>
      <c r="E301" s="44" t="n"/>
      <c r="F301" s="44" t="n"/>
      <c r="G301" s="44" t="n"/>
      <c r="H301" s="44" t="n"/>
      <c r="I301" s="45" t="n"/>
      <c r="J301" s="45" t="n"/>
      <c r="K301" s="85" t="n"/>
      <c r="L301" s="85" t="n"/>
      <c r="M301" s="88" t="n"/>
      <c r="N301" s="88" t="n"/>
      <c r="O301" s="44" t="n"/>
      <c r="P301" s="45" t="n"/>
      <c r="Q301" s="45" t="n"/>
      <c r="R301" s="44" t="n"/>
      <c r="S301" s="45" t="n"/>
      <c r="T301" s="45" t="n"/>
      <c r="U301" s="85" t="n"/>
      <c r="V301" s="44" t="n"/>
      <c r="W301" s="45" t="n"/>
      <c r="X301" s="45" t="n"/>
      <c r="Y301" s="44" t="n"/>
      <c r="Z301" s="85" t="n"/>
      <c r="AA301" s="44" t="n"/>
      <c r="AB301" s="44" t="n"/>
      <c r="AC301" s="44" t="n"/>
      <c r="AD301" s="44" t="n"/>
      <c r="AE301" s="44" t="n"/>
      <c r="AF301" s="88" t="n"/>
      <c r="AG301" s="85" t="n"/>
      <c r="AH301" s="85" t="n"/>
      <c r="AI301" s="85" t="n"/>
      <c r="AJ301" s="85" t="n"/>
      <c r="AK301" s="85" t="n"/>
      <c r="AL301" s="85" t="n"/>
      <c r="AM301" s="85" t="n"/>
      <c r="AN301" s="85" t="n"/>
      <c r="AO301" s="85" t="n"/>
      <c r="AP301" s="85" t="n"/>
      <c r="AQ301" s="85" t="n"/>
      <c r="AR301" s="85" t="n"/>
      <c r="AS301" s="85" t="n"/>
      <c r="AT301" s="85" t="n"/>
      <c r="AU301" s="85" t="n"/>
      <c r="AV301" s="85" t="n"/>
      <c r="AW301" s="44" t="n"/>
      <c r="AX301" s="85" t="n"/>
      <c r="AY301" s="88" t="n"/>
      <c r="AZ301" s="86" t="n"/>
      <c r="BA301" s="44" t="n"/>
      <c r="BB301" s="44" t="n"/>
      <c r="BC301" s="87" t="n"/>
      <c r="BD301" s="44" t="n"/>
      <c r="BE301" s="87" t="n"/>
      <c r="BF301" s="85" t="n"/>
      <c r="BG301" s="44" t="n"/>
      <c r="BH301" s="44" t="n"/>
      <c r="BI301" s="85" t="n"/>
      <c r="BJ301" s="44" t="n"/>
      <c r="BK301" s="45" t="n"/>
      <c r="BL301" s="44" t="n"/>
      <c r="BM301" s="85" t="n"/>
      <c r="BN301" s="44" t="n"/>
      <c r="BO301" s="85" t="n"/>
      <c r="BP301" s="86" t="n"/>
      <c r="BQ301" s="44" t="n"/>
      <c r="BR301" s="50" t="n"/>
      <c r="BS301" s="89" t="n"/>
      <c r="BT301" s="50">
        <f>IF(OR(K301="",L301="",M301=""),"",IF(ABS(ROUND(((ROUND(N(K301)*100,0))-(0))*(100+N(M301))/100,0)-(ROUND(N(L301)*100,0)))&lt;=0+IF(((ROUND(N(K301)*100,0))-(0))*(100+N(M301))/100&lt;&gt;ROUND(((ROUND(N(K301)*100,0))-(0))*(100+N(M301))/100,0),1,0),"OK","ABWEICHUNG"))</f>
        <v/>
      </c>
    </row>
    <row r="302">
      <c r="A302" s="50" t="n"/>
      <c r="B302" s="44" t="n"/>
      <c r="C302" s="44" t="n"/>
      <c r="D302" s="44" t="n"/>
      <c r="E302" s="44" t="n"/>
      <c r="F302" s="44" t="n"/>
      <c r="G302" s="44" t="n"/>
      <c r="H302" s="44" t="n"/>
      <c r="I302" s="45" t="n"/>
      <c r="J302" s="45" t="n"/>
      <c r="K302" s="85" t="n"/>
      <c r="L302" s="85" t="n"/>
      <c r="M302" s="88" t="n"/>
      <c r="N302" s="88" t="n"/>
      <c r="O302" s="44" t="n"/>
      <c r="P302" s="45" t="n"/>
      <c r="Q302" s="45" t="n"/>
      <c r="R302" s="44" t="n"/>
      <c r="S302" s="45" t="n"/>
      <c r="T302" s="45" t="n"/>
      <c r="U302" s="85" t="n"/>
      <c r="V302" s="44" t="n"/>
      <c r="W302" s="45" t="n"/>
      <c r="X302" s="45" t="n"/>
      <c r="Y302" s="44" t="n"/>
      <c r="Z302" s="85" t="n"/>
      <c r="AA302" s="44" t="n"/>
      <c r="AB302" s="44" t="n"/>
      <c r="AC302" s="44" t="n"/>
      <c r="AD302" s="44" t="n"/>
      <c r="AE302" s="44" t="n"/>
      <c r="AF302" s="88" t="n"/>
      <c r="AG302" s="85" t="n"/>
      <c r="AH302" s="85" t="n"/>
      <c r="AI302" s="85" t="n"/>
      <c r="AJ302" s="85" t="n"/>
      <c r="AK302" s="85" t="n"/>
      <c r="AL302" s="85" t="n"/>
      <c r="AM302" s="85" t="n"/>
      <c r="AN302" s="85" t="n"/>
      <c r="AO302" s="85" t="n"/>
      <c r="AP302" s="85" t="n"/>
      <c r="AQ302" s="85" t="n"/>
      <c r="AR302" s="85" t="n"/>
      <c r="AS302" s="85" t="n"/>
      <c r="AT302" s="85" t="n"/>
      <c r="AU302" s="85" t="n"/>
      <c r="AV302" s="85" t="n"/>
      <c r="AW302" s="44" t="n"/>
      <c r="AX302" s="85" t="n"/>
      <c r="AY302" s="88" t="n"/>
      <c r="AZ302" s="86" t="n"/>
      <c r="BA302" s="44" t="n"/>
      <c r="BB302" s="44" t="n"/>
      <c r="BC302" s="87" t="n"/>
      <c r="BD302" s="44" t="n"/>
      <c r="BE302" s="87" t="n"/>
      <c r="BF302" s="85" t="n"/>
      <c r="BG302" s="44" t="n"/>
      <c r="BH302" s="44" t="n"/>
      <c r="BI302" s="85" t="n"/>
      <c r="BJ302" s="44" t="n"/>
      <c r="BK302" s="45" t="n"/>
      <c r="BL302" s="44" t="n"/>
      <c r="BM302" s="85" t="n"/>
      <c r="BN302" s="44" t="n"/>
      <c r="BO302" s="85" t="n"/>
      <c r="BP302" s="86" t="n"/>
      <c r="BQ302" s="44" t="n"/>
      <c r="BR302" s="50" t="n"/>
      <c r="BS302" s="89" t="n"/>
      <c r="BT302" s="50">
        <f>IF(OR(K302="",L302="",M302=""),"",IF(ABS(ROUND(((ROUND(N(K302)*100,0))-(0))*(100+N(M302))/100,0)-(ROUND(N(L302)*100,0)))&lt;=0+IF(((ROUND(N(K302)*100,0))-(0))*(100+N(M302))/100&lt;&gt;ROUND(((ROUND(N(K302)*100,0))-(0))*(100+N(M302))/100,0),1,0),"OK","ABWEICHUNG"))</f>
        <v/>
      </c>
    </row>
    <row r="303">
      <c r="A303" s="50" t="n"/>
      <c r="B303" s="44" t="n"/>
      <c r="C303" s="44" t="n"/>
      <c r="D303" s="44" t="n"/>
      <c r="E303" s="44" t="n"/>
      <c r="F303" s="44" t="n"/>
      <c r="G303" s="44" t="n"/>
      <c r="H303" s="44" t="n"/>
      <c r="I303" s="45" t="n"/>
      <c r="J303" s="45" t="n"/>
      <c r="K303" s="85" t="n"/>
      <c r="L303" s="85" t="n"/>
      <c r="M303" s="88" t="n"/>
      <c r="N303" s="88" t="n"/>
      <c r="O303" s="44" t="n"/>
      <c r="P303" s="45" t="n"/>
      <c r="Q303" s="45" t="n"/>
      <c r="R303" s="44" t="n"/>
      <c r="S303" s="45" t="n"/>
      <c r="T303" s="45" t="n"/>
      <c r="U303" s="85" t="n"/>
      <c r="V303" s="44" t="n"/>
      <c r="W303" s="45" t="n"/>
      <c r="X303" s="45" t="n"/>
      <c r="Y303" s="44" t="n"/>
      <c r="Z303" s="85" t="n"/>
      <c r="AA303" s="44" t="n"/>
      <c r="AB303" s="44" t="n"/>
      <c r="AC303" s="44" t="n"/>
      <c r="AD303" s="44" t="n"/>
      <c r="AE303" s="44" t="n"/>
      <c r="AF303" s="88" t="n"/>
      <c r="AG303" s="85" t="n"/>
      <c r="AH303" s="85" t="n"/>
      <c r="AI303" s="85" t="n"/>
      <c r="AJ303" s="85" t="n"/>
      <c r="AK303" s="85" t="n"/>
      <c r="AL303" s="85" t="n"/>
      <c r="AM303" s="85" t="n"/>
      <c r="AN303" s="85" t="n"/>
      <c r="AO303" s="85" t="n"/>
      <c r="AP303" s="85" t="n"/>
      <c r="AQ303" s="85" t="n"/>
      <c r="AR303" s="85" t="n"/>
      <c r="AS303" s="85" t="n"/>
      <c r="AT303" s="85" t="n"/>
      <c r="AU303" s="85" t="n"/>
      <c r="AV303" s="85" t="n"/>
      <c r="AW303" s="44" t="n"/>
      <c r="AX303" s="85" t="n"/>
      <c r="AY303" s="88" t="n"/>
      <c r="AZ303" s="86" t="n"/>
      <c r="BA303" s="44" t="n"/>
      <c r="BB303" s="44" t="n"/>
      <c r="BC303" s="87" t="n"/>
      <c r="BD303" s="44" t="n"/>
      <c r="BE303" s="87" t="n"/>
      <c r="BF303" s="85" t="n"/>
      <c r="BG303" s="44" t="n"/>
      <c r="BH303" s="44" t="n"/>
      <c r="BI303" s="85" t="n"/>
      <c r="BJ303" s="44" t="n"/>
      <c r="BK303" s="45" t="n"/>
      <c r="BL303" s="44" t="n"/>
      <c r="BM303" s="85" t="n"/>
      <c r="BN303" s="44" t="n"/>
      <c r="BO303" s="85" t="n"/>
      <c r="BP303" s="86" t="n"/>
      <c r="BQ303" s="44" t="n"/>
      <c r="BR303" s="50" t="n"/>
      <c r="BS303" s="89" t="n"/>
      <c r="BT303" s="50">
        <f>IF(OR(K303="",L303="",M303=""),"",IF(ABS(ROUND(((ROUND(N(K303)*100,0))-(0))*(100+N(M303))/100,0)-(ROUND(N(L303)*100,0)))&lt;=0+IF(((ROUND(N(K303)*100,0))-(0))*(100+N(M303))/100&lt;&gt;ROUND(((ROUND(N(K303)*100,0))-(0))*(100+N(M303))/100,0),1,0),"OK","ABWEICHUNG"))</f>
        <v/>
      </c>
    </row>
    <row r="304">
      <c r="A304" s="50" t="n"/>
      <c r="B304" s="44" t="n"/>
      <c r="C304" s="44" t="n"/>
      <c r="D304" s="44" t="n"/>
      <c r="E304" s="44" t="n"/>
      <c r="F304" s="44" t="n"/>
      <c r="G304" s="44" t="n"/>
      <c r="H304" s="44" t="n"/>
      <c r="I304" s="45" t="n"/>
      <c r="J304" s="45" t="n"/>
      <c r="K304" s="85" t="n"/>
      <c r="L304" s="85" t="n"/>
      <c r="M304" s="88" t="n"/>
      <c r="N304" s="88" t="n"/>
      <c r="O304" s="44" t="n"/>
      <c r="P304" s="45" t="n"/>
      <c r="Q304" s="45" t="n"/>
      <c r="R304" s="44" t="n"/>
      <c r="S304" s="45" t="n"/>
      <c r="T304" s="45" t="n"/>
      <c r="U304" s="85" t="n"/>
      <c r="V304" s="44" t="n"/>
      <c r="W304" s="45" t="n"/>
      <c r="X304" s="45" t="n"/>
      <c r="Y304" s="44" t="n"/>
      <c r="Z304" s="85" t="n"/>
      <c r="AA304" s="44" t="n"/>
      <c r="AB304" s="44" t="n"/>
      <c r="AC304" s="44" t="n"/>
      <c r="AD304" s="44" t="n"/>
      <c r="AE304" s="44" t="n"/>
      <c r="AF304" s="88" t="n"/>
      <c r="AG304" s="85" t="n"/>
      <c r="AH304" s="85" t="n"/>
      <c r="AI304" s="85" t="n"/>
      <c r="AJ304" s="85" t="n"/>
      <c r="AK304" s="85" t="n"/>
      <c r="AL304" s="85" t="n"/>
      <c r="AM304" s="85" t="n"/>
      <c r="AN304" s="85" t="n"/>
      <c r="AO304" s="85" t="n"/>
      <c r="AP304" s="85" t="n"/>
      <c r="AQ304" s="85" t="n"/>
      <c r="AR304" s="85" t="n"/>
      <c r="AS304" s="85" t="n"/>
      <c r="AT304" s="85" t="n"/>
      <c r="AU304" s="85" t="n"/>
      <c r="AV304" s="85" t="n"/>
      <c r="AW304" s="44" t="n"/>
      <c r="AX304" s="85" t="n"/>
      <c r="AY304" s="88" t="n"/>
      <c r="AZ304" s="86" t="n"/>
      <c r="BA304" s="44" t="n"/>
      <c r="BB304" s="44" t="n"/>
      <c r="BC304" s="87" t="n"/>
      <c r="BD304" s="44" t="n"/>
      <c r="BE304" s="87" t="n"/>
      <c r="BF304" s="85" t="n"/>
      <c r="BG304" s="44" t="n"/>
      <c r="BH304" s="44" t="n"/>
      <c r="BI304" s="85" t="n"/>
      <c r="BJ304" s="44" t="n"/>
      <c r="BK304" s="45" t="n"/>
      <c r="BL304" s="44" t="n"/>
      <c r="BM304" s="85" t="n"/>
      <c r="BN304" s="44" t="n"/>
      <c r="BO304" s="85" t="n"/>
      <c r="BP304" s="86" t="n"/>
      <c r="BQ304" s="44" t="n"/>
      <c r="BR304" s="50" t="n"/>
      <c r="BS304" s="89" t="n"/>
      <c r="BT304" s="50">
        <f>IF(OR(K304="",L304="",M304=""),"",IF(ABS(ROUND(((ROUND(N(K304)*100,0))-(0))*(100+N(M304))/100,0)-(ROUND(N(L304)*100,0)))&lt;=0+IF(((ROUND(N(K304)*100,0))-(0))*(100+N(M304))/100&lt;&gt;ROUND(((ROUND(N(K304)*100,0))-(0))*(100+N(M304))/100,0),1,0),"OK","ABWEICHUNG"))</f>
        <v/>
      </c>
    </row>
    <row r="305">
      <c r="A305" s="50" t="n"/>
      <c r="B305" s="44" t="n"/>
      <c r="C305" s="44" t="n"/>
      <c r="D305" s="44" t="n"/>
      <c r="E305" s="44" t="n"/>
      <c r="F305" s="44" t="n"/>
      <c r="G305" s="44" t="n"/>
      <c r="H305" s="44" t="n"/>
      <c r="I305" s="45" t="n"/>
      <c r="J305" s="45" t="n"/>
      <c r="K305" s="85" t="n"/>
      <c r="L305" s="85" t="n"/>
      <c r="M305" s="88" t="n"/>
      <c r="N305" s="88" t="n"/>
      <c r="O305" s="44" t="n"/>
      <c r="P305" s="45" t="n"/>
      <c r="Q305" s="45" t="n"/>
      <c r="R305" s="44" t="n"/>
      <c r="S305" s="45" t="n"/>
      <c r="T305" s="45" t="n"/>
      <c r="U305" s="85" t="n"/>
      <c r="V305" s="44" t="n"/>
      <c r="W305" s="45" t="n"/>
      <c r="X305" s="45" t="n"/>
      <c r="Y305" s="44" t="n"/>
      <c r="Z305" s="85" t="n"/>
      <c r="AA305" s="44" t="n"/>
      <c r="AB305" s="44" t="n"/>
      <c r="AC305" s="44" t="n"/>
      <c r="AD305" s="44" t="n"/>
      <c r="AE305" s="44" t="n"/>
      <c r="AF305" s="88" t="n"/>
      <c r="AG305" s="85" t="n"/>
      <c r="AH305" s="85" t="n"/>
      <c r="AI305" s="85" t="n"/>
      <c r="AJ305" s="85" t="n"/>
      <c r="AK305" s="85" t="n"/>
      <c r="AL305" s="85" t="n"/>
      <c r="AM305" s="85" t="n"/>
      <c r="AN305" s="85" t="n"/>
      <c r="AO305" s="85" t="n"/>
      <c r="AP305" s="85" t="n"/>
      <c r="AQ305" s="85" t="n"/>
      <c r="AR305" s="85" t="n"/>
      <c r="AS305" s="85" t="n"/>
      <c r="AT305" s="85" t="n"/>
      <c r="AU305" s="85" t="n"/>
      <c r="AV305" s="85" t="n"/>
      <c r="AW305" s="44" t="n"/>
      <c r="AX305" s="85" t="n"/>
      <c r="AY305" s="88" t="n"/>
      <c r="AZ305" s="86" t="n"/>
      <c r="BA305" s="44" t="n"/>
      <c r="BB305" s="44" t="n"/>
      <c r="BC305" s="87" t="n"/>
      <c r="BD305" s="44" t="n"/>
      <c r="BE305" s="87" t="n"/>
      <c r="BF305" s="85" t="n"/>
      <c r="BG305" s="44" t="n"/>
      <c r="BH305" s="44" t="n"/>
      <c r="BI305" s="85" t="n"/>
      <c r="BJ305" s="44" t="n"/>
      <c r="BK305" s="45" t="n"/>
      <c r="BL305" s="44" t="n"/>
      <c r="BM305" s="85" t="n"/>
      <c r="BN305" s="44" t="n"/>
      <c r="BO305" s="85" t="n"/>
      <c r="BP305" s="86" t="n"/>
      <c r="BQ305" s="44" t="n"/>
      <c r="BR305" s="50" t="n"/>
      <c r="BS305" s="89" t="n"/>
      <c r="BT305" s="50">
        <f>IF(OR(K305="",L305="",M305=""),"",IF(ABS(ROUND(((ROUND(N(K305)*100,0))-(0))*(100+N(M305))/100,0)-(ROUND(N(L305)*100,0)))&lt;=0+IF(((ROUND(N(K305)*100,0))-(0))*(100+N(M305))/100&lt;&gt;ROUND(((ROUND(N(K305)*100,0))-(0))*(100+N(M305))/100,0),1,0),"OK","ABWEICHUNG"))</f>
        <v/>
      </c>
    </row>
    <row r="306">
      <c r="A306" s="50" t="n"/>
      <c r="B306" s="44" t="n"/>
      <c r="C306" s="44" t="n"/>
      <c r="D306" s="44" t="n"/>
      <c r="E306" s="44" t="n"/>
      <c r="F306" s="44" t="n"/>
      <c r="G306" s="44" t="n"/>
      <c r="H306" s="44" t="n"/>
      <c r="I306" s="45" t="n"/>
      <c r="J306" s="45" t="n"/>
      <c r="K306" s="85" t="n"/>
      <c r="L306" s="85" t="n"/>
      <c r="M306" s="88" t="n"/>
      <c r="N306" s="88" t="n"/>
      <c r="O306" s="44" t="n"/>
      <c r="P306" s="45" t="n"/>
      <c r="Q306" s="45" t="n"/>
      <c r="R306" s="44" t="n"/>
      <c r="S306" s="45" t="n"/>
      <c r="T306" s="45" t="n"/>
      <c r="U306" s="85" t="n"/>
      <c r="V306" s="44" t="n"/>
      <c r="W306" s="45" t="n"/>
      <c r="X306" s="45" t="n"/>
      <c r="Y306" s="44" t="n"/>
      <c r="Z306" s="85" t="n"/>
      <c r="AA306" s="44" t="n"/>
      <c r="AB306" s="44" t="n"/>
      <c r="AC306" s="44" t="n"/>
      <c r="AD306" s="44" t="n"/>
      <c r="AE306" s="44" t="n"/>
      <c r="AF306" s="88" t="n"/>
      <c r="AG306" s="85" t="n"/>
      <c r="AH306" s="85" t="n"/>
      <c r="AI306" s="85" t="n"/>
      <c r="AJ306" s="85" t="n"/>
      <c r="AK306" s="85" t="n"/>
      <c r="AL306" s="85" t="n"/>
      <c r="AM306" s="85" t="n"/>
      <c r="AN306" s="85" t="n"/>
      <c r="AO306" s="85" t="n"/>
      <c r="AP306" s="85" t="n"/>
      <c r="AQ306" s="85" t="n"/>
      <c r="AR306" s="85" t="n"/>
      <c r="AS306" s="85" t="n"/>
      <c r="AT306" s="85" t="n"/>
      <c r="AU306" s="85" t="n"/>
      <c r="AV306" s="85" t="n"/>
      <c r="AW306" s="44" t="n"/>
      <c r="AX306" s="85" t="n"/>
      <c r="AY306" s="88" t="n"/>
      <c r="AZ306" s="86" t="n"/>
      <c r="BA306" s="44" t="n"/>
      <c r="BB306" s="44" t="n"/>
      <c r="BC306" s="87" t="n"/>
      <c r="BD306" s="44" t="n"/>
      <c r="BE306" s="87" t="n"/>
      <c r="BF306" s="85" t="n"/>
      <c r="BG306" s="44" t="n"/>
      <c r="BH306" s="44" t="n"/>
      <c r="BI306" s="85" t="n"/>
      <c r="BJ306" s="44" t="n"/>
      <c r="BK306" s="45" t="n"/>
      <c r="BL306" s="44" t="n"/>
      <c r="BM306" s="85" t="n"/>
      <c r="BN306" s="44" t="n"/>
      <c r="BO306" s="85" t="n"/>
      <c r="BP306" s="86" t="n"/>
      <c r="BQ306" s="44" t="n"/>
      <c r="BR306" s="50" t="n"/>
      <c r="BS306" s="89" t="n"/>
      <c r="BT306" s="50">
        <f>IF(OR(K306="",L306="",M306=""),"",IF(ABS(ROUND(((ROUND(N(K306)*100,0))-(0))*(100+N(M306))/100,0)-(ROUND(N(L306)*100,0)))&lt;=0+IF(((ROUND(N(K306)*100,0))-(0))*(100+N(M306))/100&lt;&gt;ROUND(((ROUND(N(K306)*100,0))-(0))*(100+N(M306))/100,0),1,0),"OK","ABWEICHUNG"))</f>
        <v/>
      </c>
    </row>
    <row r="307">
      <c r="A307" s="50" t="n"/>
      <c r="B307" s="44" t="n"/>
      <c r="C307" s="44" t="n"/>
      <c r="D307" s="44" t="n"/>
      <c r="E307" s="44" t="n"/>
      <c r="F307" s="44" t="n"/>
      <c r="G307" s="44" t="n"/>
      <c r="H307" s="44" t="n"/>
      <c r="I307" s="45" t="n"/>
      <c r="J307" s="45" t="n"/>
      <c r="K307" s="85" t="n"/>
      <c r="L307" s="85" t="n"/>
      <c r="M307" s="88" t="n"/>
      <c r="N307" s="88" t="n"/>
      <c r="O307" s="44" t="n"/>
      <c r="P307" s="45" t="n"/>
      <c r="Q307" s="45" t="n"/>
      <c r="R307" s="44" t="n"/>
      <c r="S307" s="45" t="n"/>
      <c r="T307" s="45" t="n"/>
      <c r="U307" s="85" t="n"/>
      <c r="V307" s="44" t="n"/>
      <c r="W307" s="45" t="n"/>
      <c r="X307" s="45" t="n"/>
      <c r="Y307" s="44" t="n"/>
      <c r="Z307" s="85" t="n"/>
      <c r="AA307" s="44" t="n"/>
      <c r="AB307" s="44" t="n"/>
      <c r="AC307" s="44" t="n"/>
      <c r="AD307" s="44" t="n"/>
      <c r="AE307" s="44" t="n"/>
      <c r="AF307" s="88" t="n"/>
      <c r="AG307" s="85" t="n"/>
      <c r="AH307" s="85" t="n"/>
      <c r="AI307" s="85" t="n"/>
      <c r="AJ307" s="85" t="n"/>
      <c r="AK307" s="85" t="n"/>
      <c r="AL307" s="85" t="n"/>
      <c r="AM307" s="85" t="n"/>
      <c r="AN307" s="85" t="n"/>
      <c r="AO307" s="85" t="n"/>
      <c r="AP307" s="85" t="n"/>
      <c r="AQ307" s="85" t="n"/>
      <c r="AR307" s="85" t="n"/>
      <c r="AS307" s="85" t="n"/>
      <c r="AT307" s="85" t="n"/>
      <c r="AU307" s="85" t="n"/>
      <c r="AV307" s="85" t="n"/>
      <c r="AW307" s="44" t="n"/>
      <c r="AX307" s="85" t="n"/>
      <c r="AY307" s="88" t="n"/>
      <c r="AZ307" s="86" t="n"/>
      <c r="BA307" s="44" t="n"/>
      <c r="BB307" s="44" t="n"/>
      <c r="BC307" s="87" t="n"/>
      <c r="BD307" s="44" t="n"/>
      <c r="BE307" s="87" t="n"/>
      <c r="BF307" s="85" t="n"/>
      <c r="BG307" s="44" t="n"/>
      <c r="BH307" s="44" t="n"/>
      <c r="BI307" s="85" t="n"/>
      <c r="BJ307" s="44" t="n"/>
      <c r="BK307" s="45" t="n"/>
      <c r="BL307" s="44" t="n"/>
      <c r="BM307" s="85" t="n"/>
      <c r="BN307" s="44" t="n"/>
      <c r="BO307" s="85" t="n"/>
      <c r="BP307" s="86" t="n"/>
      <c r="BQ307" s="44" t="n"/>
      <c r="BR307" s="50" t="n"/>
      <c r="BS307" s="89" t="n"/>
      <c r="BT307" s="50">
        <f>IF(OR(K307="",L307="",M307=""),"",IF(ABS(ROUND(((ROUND(N(K307)*100,0))-(0))*(100+N(M307))/100,0)-(ROUND(N(L307)*100,0)))&lt;=0+IF(((ROUND(N(K307)*100,0))-(0))*(100+N(M307))/100&lt;&gt;ROUND(((ROUND(N(K307)*100,0))-(0))*(100+N(M307))/100,0),1,0),"OK","ABWEICHUNG"))</f>
        <v/>
      </c>
    </row>
    <row r="308">
      <c r="A308" s="50" t="n"/>
      <c r="B308" s="44" t="n"/>
      <c r="C308" s="44" t="n"/>
      <c r="D308" s="44" t="n"/>
      <c r="E308" s="44" t="n"/>
      <c r="F308" s="44" t="n"/>
      <c r="G308" s="44" t="n"/>
      <c r="H308" s="44" t="n"/>
      <c r="I308" s="45" t="n"/>
      <c r="J308" s="45" t="n"/>
      <c r="K308" s="85" t="n"/>
      <c r="L308" s="85" t="n"/>
      <c r="M308" s="88" t="n"/>
      <c r="N308" s="88" t="n"/>
      <c r="O308" s="44" t="n"/>
      <c r="P308" s="45" t="n"/>
      <c r="Q308" s="45" t="n"/>
      <c r="R308" s="44" t="n"/>
      <c r="S308" s="45" t="n"/>
      <c r="T308" s="45" t="n"/>
      <c r="U308" s="85" t="n"/>
      <c r="V308" s="44" t="n"/>
      <c r="W308" s="45" t="n"/>
      <c r="X308" s="45" t="n"/>
      <c r="Y308" s="44" t="n"/>
      <c r="Z308" s="85" t="n"/>
      <c r="AA308" s="44" t="n"/>
      <c r="AB308" s="44" t="n"/>
      <c r="AC308" s="44" t="n"/>
      <c r="AD308" s="44" t="n"/>
      <c r="AE308" s="44" t="n"/>
      <c r="AF308" s="88" t="n"/>
      <c r="AG308" s="85" t="n"/>
      <c r="AH308" s="85" t="n"/>
      <c r="AI308" s="85" t="n"/>
      <c r="AJ308" s="85" t="n"/>
      <c r="AK308" s="85" t="n"/>
      <c r="AL308" s="85" t="n"/>
      <c r="AM308" s="85" t="n"/>
      <c r="AN308" s="85" t="n"/>
      <c r="AO308" s="85" t="n"/>
      <c r="AP308" s="85" t="n"/>
      <c r="AQ308" s="85" t="n"/>
      <c r="AR308" s="85" t="n"/>
      <c r="AS308" s="85" t="n"/>
      <c r="AT308" s="85" t="n"/>
      <c r="AU308" s="85" t="n"/>
      <c r="AV308" s="85" t="n"/>
      <c r="AW308" s="44" t="n"/>
      <c r="AX308" s="85" t="n"/>
      <c r="AY308" s="88" t="n"/>
      <c r="AZ308" s="86" t="n"/>
      <c r="BA308" s="44" t="n"/>
      <c r="BB308" s="44" t="n"/>
      <c r="BC308" s="87" t="n"/>
      <c r="BD308" s="44" t="n"/>
      <c r="BE308" s="87" t="n"/>
      <c r="BF308" s="85" t="n"/>
      <c r="BG308" s="44" t="n"/>
      <c r="BH308" s="44" t="n"/>
      <c r="BI308" s="85" t="n"/>
      <c r="BJ308" s="44" t="n"/>
      <c r="BK308" s="45" t="n"/>
      <c r="BL308" s="44" t="n"/>
      <c r="BM308" s="85" t="n"/>
      <c r="BN308" s="44" t="n"/>
      <c r="BO308" s="85" t="n"/>
      <c r="BP308" s="86" t="n"/>
      <c r="BQ308" s="44" t="n"/>
      <c r="BR308" s="50" t="n"/>
      <c r="BS308" s="89" t="n"/>
      <c r="BT308" s="50">
        <f>IF(OR(K308="",L308="",M308=""),"",IF(ABS(ROUND(((ROUND(N(K308)*100,0))-(0))*(100+N(M308))/100,0)-(ROUND(N(L308)*100,0)))&lt;=0+IF(((ROUND(N(K308)*100,0))-(0))*(100+N(M308))/100&lt;&gt;ROUND(((ROUND(N(K308)*100,0))-(0))*(100+N(M308))/100,0),1,0),"OK","ABWEICHUNG"))</f>
        <v/>
      </c>
    </row>
    <row r="309">
      <c r="A309" s="50" t="n"/>
      <c r="B309" s="44" t="n"/>
      <c r="C309" s="44" t="n"/>
      <c r="D309" s="44" t="n"/>
      <c r="E309" s="44" t="n"/>
      <c r="F309" s="44" t="n"/>
      <c r="G309" s="44" t="n"/>
      <c r="H309" s="44" t="n"/>
      <c r="I309" s="45" t="n"/>
      <c r="J309" s="45" t="n"/>
      <c r="K309" s="85" t="n"/>
      <c r="L309" s="85" t="n"/>
      <c r="M309" s="88" t="n"/>
      <c r="N309" s="88" t="n"/>
      <c r="O309" s="44" t="n"/>
      <c r="P309" s="45" t="n"/>
      <c r="Q309" s="45" t="n"/>
      <c r="R309" s="44" t="n"/>
      <c r="S309" s="45" t="n"/>
      <c r="T309" s="45" t="n"/>
      <c r="U309" s="85" t="n"/>
      <c r="V309" s="44" t="n"/>
      <c r="W309" s="45" t="n"/>
      <c r="X309" s="45" t="n"/>
      <c r="Y309" s="44" t="n"/>
      <c r="Z309" s="85" t="n"/>
      <c r="AA309" s="44" t="n"/>
      <c r="AB309" s="44" t="n"/>
      <c r="AC309" s="44" t="n"/>
      <c r="AD309" s="44" t="n"/>
      <c r="AE309" s="44" t="n"/>
      <c r="AF309" s="88" t="n"/>
      <c r="AG309" s="85" t="n"/>
      <c r="AH309" s="85" t="n"/>
      <c r="AI309" s="85" t="n"/>
      <c r="AJ309" s="85" t="n"/>
      <c r="AK309" s="85" t="n"/>
      <c r="AL309" s="85" t="n"/>
      <c r="AM309" s="85" t="n"/>
      <c r="AN309" s="85" t="n"/>
      <c r="AO309" s="85" t="n"/>
      <c r="AP309" s="85" t="n"/>
      <c r="AQ309" s="85" t="n"/>
      <c r="AR309" s="85" t="n"/>
      <c r="AS309" s="85" t="n"/>
      <c r="AT309" s="85" t="n"/>
      <c r="AU309" s="85" t="n"/>
      <c r="AV309" s="85" t="n"/>
      <c r="AW309" s="44" t="n"/>
      <c r="AX309" s="85" t="n"/>
      <c r="AY309" s="88" t="n"/>
      <c r="AZ309" s="86" t="n"/>
      <c r="BA309" s="44" t="n"/>
      <c r="BB309" s="44" t="n"/>
      <c r="BC309" s="87" t="n"/>
      <c r="BD309" s="44" t="n"/>
      <c r="BE309" s="87" t="n"/>
      <c r="BF309" s="85" t="n"/>
      <c r="BG309" s="44" t="n"/>
      <c r="BH309" s="44" t="n"/>
      <c r="BI309" s="85" t="n"/>
      <c r="BJ309" s="44" t="n"/>
      <c r="BK309" s="45" t="n"/>
      <c r="BL309" s="44" t="n"/>
      <c r="BM309" s="85" t="n"/>
      <c r="BN309" s="44" t="n"/>
      <c r="BO309" s="85" t="n"/>
      <c r="BP309" s="86" t="n"/>
      <c r="BQ309" s="44" t="n"/>
      <c r="BR309" s="50" t="n"/>
      <c r="BS309" s="89" t="n"/>
      <c r="BT309" s="50">
        <f>IF(OR(K309="",L309="",M309=""),"",IF(ABS(ROUND(((ROUND(N(K309)*100,0))-(0))*(100+N(M309))/100,0)-(ROUND(N(L309)*100,0)))&lt;=0+IF(((ROUND(N(K309)*100,0))-(0))*(100+N(M309))/100&lt;&gt;ROUND(((ROUND(N(K309)*100,0))-(0))*(100+N(M309))/100,0),1,0),"OK","ABWEICHUNG"))</f>
        <v/>
      </c>
    </row>
    <row r="310">
      <c r="A310" s="50" t="n"/>
      <c r="B310" s="44" t="n"/>
      <c r="C310" s="44" t="n"/>
      <c r="D310" s="44" t="n"/>
      <c r="E310" s="44" t="n"/>
      <c r="F310" s="44" t="n"/>
      <c r="G310" s="44" t="n"/>
      <c r="H310" s="44" t="n"/>
      <c r="I310" s="45" t="n"/>
      <c r="J310" s="45" t="n"/>
      <c r="K310" s="85" t="n"/>
      <c r="L310" s="85" t="n"/>
      <c r="M310" s="88" t="n"/>
      <c r="N310" s="88" t="n"/>
      <c r="O310" s="44" t="n"/>
      <c r="P310" s="45" t="n"/>
      <c r="Q310" s="45" t="n"/>
      <c r="R310" s="44" t="n"/>
      <c r="S310" s="45" t="n"/>
      <c r="T310" s="45" t="n"/>
      <c r="U310" s="85" t="n"/>
      <c r="V310" s="44" t="n"/>
      <c r="W310" s="45" t="n"/>
      <c r="X310" s="45" t="n"/>
      <c r="Y310" s="44" t="n"/>
      <c r="Z310" s="85" t="n"/>
      <c r="AA310" s="44" t="n"/>
      <c r="AB310" s="44" t="n"/>
      <c r="AC310" s="44" t="n"/>
      <c r="AD310" s="44" t="n"/>
      <c r="AE310" s="44" t="n"/>
      <c r="AF310" s="88" t="n"/>
      <c r="AG310" s="85" t="n"/>
      <c r="AH310" s="85" t="n"/>
      <c r="AI310" s="85" t="n"/>
      <c r="AJ310" s="85" t="n"/>
      <c r="AK310" s="85" t="n"/>
      <c r="AL310" s="85" t="n"/>
      <c r="AM310" s="85" t="n"/>
      <c r="AN310" s="85" t="n"/>
      <c r="AO310" s="85" t="n"/>
      <c r="AP310" s="85" t="n"/>
      <c r="AQ310" s="85" t="n"/>
      <c r="AR310" s="85" t="n"/>
      <c r="AS310" s="85" t="n"/>
      <c r="AT310" s="85" t="n"/>
      <c r="AU310" s="85" t="n"/>
      <c r="AV310" s="85" t="n"/>
      <c r="AW310" s="44" t="n"/>
      <c r="AX310" s="85" t="n"/>
      <c r="AY310" s="88" t="n"/>
      <c r="AZ310" s="86" t="n"/>
      <c r="BA310" s="44" t="n"/>
      <c r="BB310" s="44" t="n"/>
      <c r="BC310" s="87" t="n"/>
      <c r="BD310" s="44" t="n"/>
      <c r="BE310" s="87" t="n"/>
      <c r="BF310" s="85" t="n"/>
      <c r="BG310" s="44" t="n"/>
      <c r="BH310" s="44" t="n"/>
      <c r="BI310" s="85" t="n"/>
      <c r="BJ310" s="44" t="n"/>
      <c r="BK310" s="45" t="n"/>
      <c r="BL310" s="44" t="n"/>
      <c r="BM310" s="85" t="n"/>
      <c r="BN310" s="44" t="n"/>
      <c r="BO310" s="85" t="n"/>
      <c r="BP310" s="86" t="n"/>
      <c r="BQ310" s="44" t="n"/>
      <c r="BR310" s="50" t="n"/>
      <c r="BS310" s="89" t="n"/>
      <c r="BT310" s="50">
        <f>IF(OR(K310="",L310="",M310=""),"",IF(ABS(ROUND(((ROUND(N(K310)*100,0))-(0))*(100+N(M310))/100,0)-(ROUND(N(L310)*100,0)))&lt;=0+IF(((ROUND(N(K310)*100,0))-(0))*(100+N(M310))/100&lt;&gt;ROUND(((ROUND(N(K310)*100,0))-(0))*(100+N(M310))/100,0),1,0),"OK","ABWEICHUNG"))</f>
        <v/>
      </c>
    </row>
    <row r="311">
      <c r="A311" s="50" t="n"/>
      <c r="B311" s="44" t="n"/>
      <c r="C311" s="44" t="n"/>
      <c r="D311" s="44" t="n"/>
      <c r="E311" s="44" t="n"/>
      <c r="F311" s="44" t="n"/>
      <c r="G311" s="44" t="n"/>
      <c r="H311" s="44" t="n"/>
      <c r="I311" s="45" t="n"/>
      <c r="J311" s="45" t="n"/>
      <c r="K311" s="85" t="n"/>
      <c r="L311" s="85" t="n"/>
      <c r="M311" s="88" t="n"/>
      <c r="N311" s="88" t="n"/>
      <c r="O311" s="44" t="n"/>
      <c r="P311" s="45" t="n"/>
      <c r="Q311" s="45" t="n"/>
      <c r="R311" s="44" t="n"/>
      <c r="S311" s="45" t="n"/>
      <c r="T311" s="45" t="n"/>
      <c r="U311" s="85" t="n"/>
      <c r="V311" s="44" t="n"/>
      <c r="W311" s="45" t="n"/>
      <c r="X311" s="45" t="n"/>
      <c r="Y311" s="44" t="n"/>
      <c r="Z311" s="85" t="n"/>
      <c r="AA311" s="44" t="n"/>
      <c r="AB311" s="44" t="n"/>
      <c r="AC311" s="44" t="n"/>
      <c r="AD311" s="44" t="n"/>
      <c r="AE311" s="44" t="n"/>
      <c r="AF311" s="88" t="n"/>
      <c r="AG311" s="85" t="n"/>
      <c r="AH311" s="85" t="n"/>
      <c r="AI311" s="85" t="n"/>
      <c r="AJ311" s="85" t="n"/>
      <c r="AK311" s="85" t="n"/>
      <c r="AL311" s="85" t="n"/>
      <c r="AM311" s="85" t="n"/>
      <c r="AN311" s="85" t="n"/>
      <c r="AO311" s="85" t="n"/>
      <c r="AP311" s="85" t="n"/>
      <c r="AQ311" s="85" t="n"/>
      <c r="AR311" s="85" t="n"/>
      <c r="AS311" s="85" t="n"/>
      <c r="AT311" s="85" t="n"/>
      <c r="AU311" s="85" t="n"/>
      <c r="AV311" s="85" t="n"/>
      <c r="AW311" s="44" t="n"/>
      <c r="AX311" s="85" t="n"/>
      <c r="AY311" s="88" t="n"/>
      <c r="AZ311" s="86" t="n"/>
      <c r="BA311" s="44" t="n"/>
      <c r="BB311" s="44" t="n"/>
      <c r="BC311" s="87" t="n"/>
      <c r="BD311" s="44" t="n"/>
      <c r="BE311" s="87" t="n"/>
      <c r="BF311" s="85" t="n"/>
      <c r="BG311" s="44" t="n"/>
      <c r="BH311" s="44" t="n"/>
      <c r="BI311" s="85" t="n"/>
      <c r="BJ311" s="44" t="n"/>
      <c r="BK311" s="45" t="n"/>
      <c r="BL311" s="44" t="n"/>
      <c r="BM311" s="85" t="n"/>
      <c r="BN311" s="44" t="n"/>
      <c r="BO311" s="85" t="n"/>
      <c r="BP311" s="86" t="n"/>
      <c r="BQ311" s="44" t="n"/>
      <c r="BR311" s="50" t="n"/>
      <c r="BS311" s="89" t="n"/>
      <c r="BT311" s="50">
        <f>IF(OR(K311="",L311="",M311=""),"",IF(ABS(ROUND(((ROUND(N(K311)*100,0))-(0))*(100+N(M311))/100,0)-(ROUND(N(L311)*100,0)))&lt;=0+IF(((ROUND(N(K311)*100,0))-(0))*(100+N(M311))/100&lt;&gt;ROUND(((ROUND(N(K311)*100,0))-(0))*(100+N(M311))/100,0),1,0),"OK","ABWEICHUNG"))</f>
        <v/>
      </c>
    </row>
    <row r="312">
      <c r="A312" s="50" t="n"/>
      <c r="B312" s="44" t="n"/>
      <c r="C312" s="44" t="n"/>
      <c r="D312" s="44" t="n"/>
      <c r="E312" s="44" t="n"/>
      <c r="F312" s="44" t="n"/>
      <c r="G312" s="44" t="n"/>
      <c r="H312" s="44" t="n"/>
      <c r="I312" s="45" t="n"/>
      <c r="J312" s="45" t="n"/>
      <c r="K312" s="85" t="n"/>
      <c r="L312" s="85" t="n"/>
      <c r="M312" s="88" t="n"/>
      <c r="N312" s="88" t="n"/>
      <c r="O312" s="44" t="n"/>
      <c r="P312" s="45" t="n"/>
      <c r="Q312" s="45" t="n"/>
      <c r="R312" s="44" t="n"/>
      <c r="S312" s="45" t="n"/>
      <c r="T312" s="45" t="n"/>
      <c r="U312" s="85" t="n"/>
      <c r="V312" s="44" t="n"/>
      <c r="W312" s="45" t="n"/>
      <c r="X312" s="45" t="n"/>
      <c r="Y312" s="44" t="n"/>
      <c r="Z312" s="85" t="n"/>
      <c r="AA312" s="44" t="n"/>
      <c r="AB312" s="44" t="n"/>
      <c r="AC312" s="44" t="n"/>
      <c r="AD312" s="44" t="n"/>
      <c r="AE312" s="44" t="n"/>
      <c r="AF312" s="88" t="n"/>
      <c r="AG312" s="85" t="n"/>
      <c r="AH312" s="85" t="n"/>
      <c r="AI312" s="85" t="n"/>
      <c r="AJ312" s="85" t="n"/>
      <c r="AK312" s="85" t="n"/>
      <c r="AL312" s="85" t="n"/>
      <c r="AM312" s="85" t="n"/>
      <c r="AN312" s="85" t="n"/>
      <c r="AO312" s="85" t="n"/>
      <c r="AP312" s="85" t="n"/>
      <c r="AQ312" s="85" t="n"/>
      <c r="AR312" s="85" t="n"/>
      <c r="AS312" s="85" t="n"/>
      <c r="AT312" s="85" t="n"/>
      <c r="AU312" s="85" t="n"/>
      <c r="AV312" s="85" t="n"/>
      <c r="AW312" s="44" t="n"/>
      <c r="AX312" s="85" t="n"/>
      <c r="AY312" s="88" t="n"/>
      <c r="AZ312" s="86" t="n"/>
      <c r="BA312" s="44" t="n"/>
      <c r="BB312" s="44" t="n"/>
      <c r="BC312" s="87" t="n"/>
      <c r="BD312" s="44" t="n"/>
      <c r="BE312" s="87" t="n"/>
      <c r="BF312" s="85" t="n"/>
      <c r="BG312" s="44" t="n"/>
      <c r="BH312" s="44" t="n"/>
      <c r="BI312" s="85" t="n"/>
      <c r="BJ312" s="44" t="n"/>
      <c r="BK312" s="45" t="n"/>
      <c r="BL312" s="44" t="n"/>
      <c r="BM312" s="85" t="n"/>
      <c r="BN312" s="44" t="n"/>
      <c r="BO312" s="85" t="n"/>
      <c r="BP312" s="86" t="n"/>
      <c r="BQ312" s="44" t="n"/>
      <c r="BR312" s="50" t="n"/>
      <c r="BS312" s="89" t="n"/>
      <c r="BT312" s="50">
        <f>IF(OR(K312="",L312="",M312=""),"",IF(ABS(ROUND(((ROUND(N(K312)*100,0))-(0))*(100+N(M312))/100,0)-(ROUND(N(L312)*100,0)))&lt;=0+IF(((ROUND(N(K312)*100,0))-(0))*(100+N(M312))/100&lt;&gt;ROUND(((ROUND(N(K312)*100,0))-(0))*(100+N(M312))/100,0),1,0),"OK","ABWEICHUNG"))</f>
        <v/>
      </c>
    </row>
    <row r="313">
      <c r="A313" s="50" t="n"/>
      <c r="B313" s="44" t="n"/>
      <c r="C313" s="44" t="n"/>
      <c r="D313" s="44" t="n"/>
      <c r="E313" s="44" t="n"/>
      <c r="F313" s="44" t="n"/>
      <c r="G313" s="44" t="n"/>
      <c r="H313" s="44" t="n"/>
      <c r="I313" s="45" t="n"/>
      <c r="J313" s="45" t="n"/>
      <c r="K313" s="85" t="n"/>
      <c r="L313" s="85" t="n"/>
      <c r="M313" s="88" t="n"/>
      <c r="N313" s="88" t="n"/>
      <c r="O313" s="44" t="n"/>
      <c r="P313" s="45" t="n"/>
      <c r="Q313" s="45" t="n"/>
      <c r="R313" s="44" t="n"/>
      <c r="S313" s="45" t="n"/>
      <c r="T313" s="45" t="n"/>
      <c r="U313" s="85" t="n"/>
      <c r="V313" s="44" t="n"/>
      <c r="W313" s="45" t="n"/>
      <c r="X313" s="45" t="n"/>
      <c r="Y313" s="44" t="n"/>
      <c r="Z313" s="85" t="n"/>
      <c r="AA313" s="44" t="n"/>
      <c r="AB313" s="44" t="n"/>
      <c r="AC313" s="44" t="n"/>
      <c r="AD313" s="44" t="n"/>
      <c r="AE313" s="44" t="n"/>
      <c r="AF313" s="88" t="n"/>
      <c r="AG313" s="85" t="n"/>
      <c r="AH313" s="85" t="n"/>
      <c r="AI313" s="85" t="n"/>
      <c r="AJ313" s="85" t="n"/>
      <c r="AK313" s="85" t="n"/>
      <c r="AL313" s="85" t="n"/>
      <c r="AM313" s="85" t="n"/>
      <c r="AN313" s="85" t="n"/>
      <c r="AO313" s="85" t="n"/>
      <c r="AP313" s="85" t="n"/>
      <c r="AQ313" s="85" t="n"/>
      <c r="AR313" s="85" t="n"/>
      <c r="AS313" s="85" t="n"/>
      <c r="AT313" s="85" t="n"/>
      <c r="AU313" s="85" t="n"/>
      <c r="AV313" s="85" t="n"/>
      <c r="AW313" s="44" t="n"/>
      <c r="AX313" s="85" t="n"/>
      <c r="AY313" s="88" t="n"/>
      <c r="AZ313" s="86" t="n"/>
      <c r="BA313" s="44" t="n"/>
      <c r="BB313" s="44" t="n"/>
      <c r="BC313" s="87" t="n"/>
      <c r="BD313" s="44" t="n"/>
      <c r="BE313" s="87" t="n"/>
      <c r="BF313" s="85" t="n"/>
      <c r="BG313" s="44" t="n"/>
      <c r="BH313" s="44" t="n"/>
      <c r="BI313" s="85" t="n"/>
      <c r="BJ313" s="44" t="n"/>
      <c r="BK313" s="45" t="n"/>
      <c r="BL313" s="44" t="n"/>
      <c r="BM313" s="85" t="n"/>
      <c r="BN313" s="44" t="n"/>
      <c r="BO313" s="85" t="n"/>
      <c r="BP313" s="86" t="n"/>
      <c r="BQ313" s="44" t="n"/>
      <c r="BR313" s="50" t="n"/>
      <c r="BS313" s="89" t="n"/>
      <c r="BT313" s="50">
        <f>IF(OR(K313="",L313="",M313=""),"",IF(ABS(ROUND(((ROUND(N(K313)*100,0))-(0))*(100+N(M313))/100,0)-(ROUND(N(L313)*100,0)))&lt;=0+IF(((ROUND(N(K313)*100,0))-(0))*(100+N(M313))/100&lt;&gt;ROUND(((ROUND(N(K313)*100,0))-(0))*(100+N(M313))/100,0),1,0),"OK","ABWEICHUNG"))</f>
        <v/>
      </c>
    </row>
    <row r="314">
      <c r="A314" s="50" t="n"/>
      <c r="B314" s="44" t="n"/>
      <c r="C314" s="44" t="n"/>
      <c r="D314" s="44" t="n"/>
      <c r="E314" s="44" t="n"/>
      <c r="F314" s="44" t="n"/>
      <c r="G314" s="44" t="n"/>
      <c r="H314" s="44" t="n"/>
      <c r="I314" s="45" t="n"/>
      <c r="J314" s="45" t="n"/>
      <c r="K314" s="85" t="n"/>
      <c r="L314" s="85" t="n"/>
      <c r="M314" s="88" t="n"/>
      <c r="N314" s="88" t="n"/>
      <c r="O314" s="44" t="n"/>
      <c r="P314" s="45" t="n"/>
      <c r="Q314" s="45" t="n"/>
      <c r="R314" s="44" t="n"/>
      <c r="S314" s="45" t="n"/>
      <c r="T314" s="45" t="n"/>
      <c r="U314" s="85" t="n"/>
      <c r="V314" s="44" t="n"/>
      <c r="W314" s="45" t="n"/>
      <c r="X314" s="45" t="n"/>
      <c r="Y314" s="44" t="n"/>
      <c r="Z314" s="85" t="n"/>
      <c r="AA314" s="44" t="n"/>
      <c r="AB314" s="44" t="n"/>
      <c r="AC314" s="44" t="n"/>
      <c r="AD314" s="44" t="n"/>
      <c r="AE314" s="44" t="n"/>
      <c r="AF314" s="88" t="n"/>
      <c r="AG314" s="85" t="n"/>
      <c r="AH314" s="85" t="n"/>
      <c r="AI314" s="85" t="n"/>
      <c r="AJ314" s="85" t="n"/>
      <c r="AK314" s="85" t="n"/>
      <c r="AL314" s="85" t="n"/>
      <c r="AM314" s="85" t="n"/>
      <c r="AN314" s="85" t="n"/>
      <c r="AO314" s="85" t="n"/>
      <c r="AP314" s="85" t="n"/>
      <c r="AQ314" s="85" t="n"/>
      <c r="AR314" s="85" t="n"/>
      <c r="AS314" s="85" t="n"/>
      <c r="AT314" s="85" t="n"/>
      <c r="AU314" s="85" t="n"/>
      <c r="AV314" s="85" t="n"/>
      <c r="AW314" s="44" t="n"/>
      <c r="AX314" s="85" t="n"/>
      <c r="AY314" s="88" t="n"/>
      <c r="AZ314" s="86" t="n"/>
      <c r="BA314" s="44" t="n"/>
      <c r="BB314" s="44" t="n"/>
      <c r="BC314" s="87" t="n"/>
      <c r="BD314" s="44" t="n"/>
      <c r="BE314" s="87" t="n"/>
      <c r="BF314" s="85" t="n"/>
      <c r="BG314" s="44" t="n"/>
      <c r="BH314" s="44" t="n"/>
      <c r="BI314" s="85" t="n"/>
      <c r="BJ314" s="44" t="n"/>
      <c r="BK314" s="45" t="n"/>
      <c r="BL314" s="44" t="n"/>
      <c r="BM314" s="85" t="n"/>
      <c r="BN314" s="44" t="n"/>
      <c r="BO314" s="85" t="n"/>
      <c r="BP314" s="86" t="n"/>
      <c r="BQ314" s="44" t="n"/>
      <c r="BR314" s="50" t="n"/>
      <c r="BS314" s="89" t="n"/>
      <c r="BT314" s="50">
        <f>IF(OR(K314="",L314="",M314=""),"",IF(ABS(ROUND(((ROUND(N(K314)*100,0))-(0))*(100+N(M314))/100,0)-(ROUND(N(L314)*100,0)))&lt;=0+IF(((ROUND(N(K314)*100,0))-(0))*(100+N(M314))/100&lt;&gt;ROUND(((ROUND(N(K314)*100,0))-(0))*(100+N(M314))/100,0),1,0),"OK","ABWEICHUNG"))</f>
        <v/>
      </c>
    </row>
    <row r="315">
      <c r="A315" s="50" t="n"/>
      <c r="B315" s="44" t="n"/>
      <c r="C315" s="44" t="n"/>
      <c r="D315" s="44" t="n"/>
      <c r="E315" s="44" t="n"/>
      <c r="F315" s="44" t="n"/>
      <c r="G315" s="44" t="n"/>
      <c r="H315" s="44" t="n"/>
      <c r="I315" s="45" t="n"/>
      <c r="J315" s="45" t="n"/>
      <c r="K315" s="85" t="n"/>
      <c r="L315" s="85" t="n"/>
      <c r="M315" s="88" t="n"/>
      <c r="N315" s="88" t="n"/>
      <c r="O315" s="44" t="n"/>
      <c r="P315" s="45" t="n"/>
      <c r="Q315" s="45" t="n"/>
      <c r="R315" s="44" t="n"/>
      <c r="S315" s="45" t="n"/>
      <c r="T315" s="45" t="n"/>
      <c r="U315" s="85" t="n"/>
      <c r="V315" s="44" t="n"/>
      <c r="W315" s="45" t="n"/>
      <c r="X315" s="45" t="n"/>
      <c r="Y315" s="44" t="n"/>
      <c r="Z315" s="85" t="n"/>
      <c r="AA315" s="44" t="n"/>
      <c r="AB315" s="44" t="n"/>
      <c r="AC315" s="44" t="n"/>
      <c r="AD315" s="44" t="n"/>
      <c r="AE315" s="44" t="n"/>
      <c r="AF315" s="88" t="n"/>
      <c r="AG315" s="85" t="n"/>
      <c r="AH315" s="85" t="n"/>
      <c r="AI315" s="85" t="n"/>
      <c r="AJ315" s="85" t="n"/>
      <c r="AK315" s="85" t="n"/>
      <c r="AL315" s="85" t="n"/>
      <c r="AM315" s="85" t="n"/>
      <c r="AN315" s="85" t="n"/>
      <c r="AO315" s="85" t="n"/>
      <c r="AP315" s="85" t="n"/>
      <c r="AQ315" s="85" t="n"/>
      <c r="AR315" s="85" t="n"/>
      <c r="AS315" s="85" t="n"/>
      <c r="AT315" s="85" t="n"/>
      <c r="AU315" s="85" t="n"/>
      <c r="AV315" s="85" t="n"/>
      <c r="AW315" s="44" t="n"/>
      <c r="AX315" s="85" t="n"/>
      <c r="AY315" s="88" t="n"/>
      <c r="AZ315" s="86" t="n"/>
      <c r="BA315" s="44" t="n"/>
      <c r="BB315" s="44" t="n"/>
      <c r="BC315" s="87" t="n"/>
      <c r="BD315" s="44" t="n"/>
      <c r="BE315" s="87" t="n"/>
      <c r="BF315" s="85" t="n"/>
      <c r="BG315" s="44" t="n"/>
      <c r="BH315" s="44" t="n"/>
      <c r="BI315" s="85" t="n"/>
      <c r="BJ315" s="44" t="n"/>
      <c r="BK315" s="45" t="n"/>
      <c r="BL315" s="44" t="n"/>
      <c r="BM315" s="85" t="n"/>
      <c r="BN315" s="44" t="n"/>
      <c r="BO315" s="85" t="n"/>
      <c r="BP315" s="86" t="n"/>
      <c r="BQ315" s="44" t="n"/>
      <c r="BR315" s="50" t="n"/>
      <c r="BS315" s="89" t="n"/>
      <c r="BT315" s="50">
        <f>IF(OR(K315="",L315="",M315=""),"",IF(ABS(ROUND(((ROUND(N(K315)*100,0))-(0))*(100+N(M315))/100,0)-(ROUND(N(L315)*100,0)))&lt;=0+IF(((ROUND(N(K315)*100,0))-(0))*(100+N(M315))/100&lt;&gt;ROUND(((ROUND(N(K315)*100,0))-(0))*(100+N(M315))/100,0),1,0),"OK","ABWEICHUNG"))</f>
        <v/>
      </c>
    </row>
    <row r="316">
      <c r="A316" s="50" t="n"/>
      <c r="B316" s="44" t="n"/>
      <c r="C316" s="44" t="n"/>
      <c r="D316" s="44" t="n"/>
      <c r="E316" s="44" t="n"/>
      <c r="F316" s="44" t="n"/>
      <c r="G316" s="44" t="n"/>
      <c r="H316" s="44" t="n"/>
      <c r="I316" s="45" t="n"/>
      <c r="J316" s="45" t="n"/>
      <c r="K316" s="85" t="n"/>
      <c r="L316" s="85" t="n"/>
      <c r="M316" s="88" t="n"/>
      <c r="N316" s="88" t="n"/>
      <c r="O316" s="44" t="n"/>
      <c r="P316" s="45" t="n"/>
      <c r="Q316" s="45" t="n"/>
      <c r="R316" s="44" t="n"/>
      <c r="S316" s="45" t="n"/>
      <c r="T316" s="45" t="n"/>
      <c r="U316" s="85" t="n"/>
      <c r="V316" s="44" t="n"/>
      <c r="W316" s="45" t="n"/>
      <c r="X316" s="45" t="n"/>
      <c r="Y316" s="44" t="n"/>
      <c r="Z316" s="85" t="n"/>
      <c r="AA316" s="44" t="n"/>
      <c r="AB316" s="44" t="n"/>
      <c r="AC316" s="44" t="n"/>
      <c r="AD316" s="44" t="n"/>
      <c r="AE316" s="44" t="n"/>
      <c r="AF316" s="88" t="n"/>
      <c r="AG316" s="85" t="n"/>
      <c r="AH316" s="85" t="n"/>
      <c r="AI316" s="85" t="n"/>
      <c r="AJ316" s="85" t="n"/>
      <c r="AK316" s="85" t="n"/>
      <c r="AL316" s="85" t="n"/>
      <c r="AM316" s="85" t="n"/>
      <c r="AN316" s="85" t="n"/>
      <c r="AO316" s="85" t="n"/>
      <c r="AP316" s="85" t="n"/>
      <c r="AQ316" s="85" t="n"/>
      <c r="AR316" s="85" t="n"/>
      <c r="AS316" s="85" t="n"/>
      <c r="AT316" s="85" t="n"/>
      <c r="AU316" s="85" t="n"/>
      <c r="AV316" s="85" t="n"/>
      <c r="AW316" s="44" t="n"/>
      <c r="AX316" s="85" t="n"/>
      <c r="AY316" s="88" t="n"/>
      <c r="AZ316" s="86" t="n"/>
      <c r="BA316" s="44" t="n"/>
      <c r="BB316" s="44" t="n"/>
      <c r="BC316" s="87" t="n"/>
      <c r="BD316" s="44" t="n"/>
      <c r="BE316" s="87" t="n"/>
      <c r="BF316" s="85" t="n"/>
      <c r="BG316" s="44" t="n"/>
      <c r="BH316" s="44" t="n"/>
      <c r="BI316" s="85" t="n"/>
      <c r="BJ316" s="44" t="n"/>
      <c r="BK316" s="45" t="n"/>
      <c r="BL316" s="44" t="n"/>
      <c r="BM316" s="85" t="n"/>
      <c r="BN316" s="44" t="n"/>
      <c r="BO316" s="85" t="n"/>
      <c r="BP316" s="86" t="n"/>
      <c r="BQ316" s="44" t="n"/>
      <c r="BR316" s="50" t="n"/>
      <c r="BS316" s="89" t="n"/>
      <c r="BT316" s="50">
        <f>IF(OR(K316="",L316="",M316=""),"",IF(ABS(ROUND(((ROUND(N(K316)*100,0))-(0))*(100+N(M316))/100,0)-(ROUND(N(L316)*100,0)))&lt;=0+IF(((ROUND(N(K316)*100,0))-(0))*(100+N(M316))/100&lt;&gt;ROUND(((ROUND(N(K316)*100,0))-(0))*(100+N(M316))/100,0),1,0),"OK","ABWEICHUNG"))</f>
        <v/>
      </c>
    </row>
    <row r="317">
      <c r="A317" s="50" t="n"/>
      <c r="B317" s="44" t="n"/>
      <c r="C317" s="44" t="n"/>
      <c r="D317" s="44" t="n"/>
      <c r="E317" s="44" t="n"/>
      <c r="F317" s="44" t="n"/>
      <c r="G317" s="44" t="n"/>
      <c r="H317" s="44" t="n"/>
      <c r="I317" s="45" t="n"/>
      <c r="J317" s="45" t="n"/>
      <c r="K317" s="85" t="n"/>
      <c r="L317" s="85" t="n"/>
      <c r="M317" s="88" t="n"/>
      <c r="N317" s="88" t="n"/>
      <c r="O317" s="44" t="n"/>
      <c r="P317" s="45" t="n"/>
      <c r="Q317" s="45" t="n"/>
      <c r="R317" s="44" t="n"/>
      <c r="S317" s="45" t="n"/>
      <c r="T317" s="45" t="n"/>
      <c r="U317" s="85" t="n"/>
      <c r="V317" s="44" t="n"/>
      <c r="W317" s="45" t="n"/>
      <c r="X317" s="45" t="n"/>
      <c r="Y317" s="44" t="n"/>
      <c r="Z317" s="85" t="n"/>
      <c r="AA317" s="44" t="n"/>
      <c r="AB317" s="44" t="n"/>
      <c r="AC317" s="44" t="n"/>
      <c r="AD317" s="44" t="n"/>
      <c r="AE317" s="44" t="n"/>
      <c r="AF317" s="88" t="n"/>
      <c r="AG317" s="85" t="n"/>
      <c r="AH317" s="85" t="n"/>
      <c r="AI317" s="85" t="n"/>
      <c r="AJ317" s="85" t="n"/>
      <c r="AK317" s="85" t="n"/>
      <c r="AL317" s="85" t="n"/>
      <c r="AM317" s="85" t="n"/>
      <c r="AN317" s="85" t="n"/>
      <c r="AO317" s="85" t="n"/>
      <c r="AP317" s="85" t="n"/>
      <c r="AQ317" s="85" t="n"/>
      <c r="AR317" s="85" t="n"/>
      <c r="AS317" s="85" t="n"/>
      <c r="AT317" s="85" t="n"/>
      <c r="AU317" s="85" t="n"/>
      <c r="AV317" s="85" t="n"/>
      <c r="AW317" s="44" t="n"/>
      <c r="AX317" s="85" t="n"/>
      <c r="AY317" s="88" t="n"/>
      <c r="AZ317" s="86" t="n"/>
      <c r="BA317" s="44" t="n"/>
      <c r="BB317" s="44" t="n"/>
      <c r="BC317" s="87" t="n"/>
      <c r="BD317" s="44" t="n"/>
      <c r="BE317" s="87" t="n"/>
      <c r="BF317" s="85" t="n"/>
      <c r="BG317" s="44" t="n"/>
      <c r="BH317" s="44" t="n"/>
      <c r="BI317" s="85" t="n"/>
      <c r="BJ317" s="44" t="n"/>
      <c r="BK317" s="45" t="n"/>
      <c r="BL317" s="44" t="n"/>
      <c r="BM317" s="85" t="n"/>
      <c r="BN317" s="44" t="n"/>
      <c r="BO317" s="85" t="n"/>
      <c r="BP317" s="86" t="n"/>
      <c r="BQ317" s="44" t="n"/>
      <c r="BR317" s="50" t="n"/>
      <c r="BS317" s="89" t="n"/>
      <c r="BT317" s="50">
        <f>IF(OR(K317="",L317="",M317=""),"",IF(ABS(ROUND(((ROUND(N(K317)*100,0))-(0))*(100+N(M317))/100,0)-(ROUND(N(L317)*100,0)))&lt;=0+IF(((ROUND(N(K317)*100,0))-(0))*(100+N(M317))/100&lt;&gt;ROUND(((ROUND(N(K317)*100,0))-(0))*(100+N(M317))/100,0),1,0),"OK","ABWEICHUNG"))</f>
        <v/>
      </c>
    </row>
    <row r="318">
      <c r="A318" s="50" t="n"/>
      <c r="B318" s="44" t="n"/>
      <c r="C318" s="44" t="n"/>
      <c r="D318" s="44" t="n"/>
      <c r="E318" s="44" t="n"/>
      <c r="F318" s="44" t="n"/>
      <c r="G318" s="44" t="n"/>
      <c r="H318" s="44" t="n"/>
      <c r="I318" s="45" t="n"/>
      <c r="J318" s="45" t="n"/>
      <c r="K318" s="85" t="n"/>
      <c r="L318" s="85" t="n"/>
      <c r="M318" s="88" t="n"/>
      <c r="N318" s="88" t="n"/>
      <c r="O318" s="44" t="n"/>
      <c r="P318" s="45" t="n"/>
      <c r="Q318" s="45" t="n"/>
      <c r="R318" s="44" t="n"/>
      <c r="S318" s="45" t="n"/>
      <c r="T318" s="45" t="n"/>
      <c r="U318" s="85" t="n"/>
      <c r="V318" s="44" t="n"/>
      <c r="W318" s="45" t="n"/>
      <c r="X318" s="45" t="n"/>
      <c r="Y318" s="44" t="n"/>
      <c r="Z318" s="85" t="n"/>
      <c r="AA318" s="44" t="n"/>
      <c r="AB318" s="44" t="n"/>
      <c r="AC318" s="44" t="n"/>
      <c r="AD318" s="44" t="n"/>
      <c r="AE318" s="44" t="n"/>
      <c r="AF318" s="88" t="n"/>
      <c r="AG318" s="85" t="n"/>
      <c r="AH318" s="85" t="n"/>
      <c r="AI318" s="85" t="n"/>
      <c r="AJ318" s="85" t="n"/>
      <c r="AK318" s="85" t="n"/>
      <c r="AL318" s="85" t="n"/>
      <c r="AM318" s="85" t="n"/>
      <c r="AN318" s="85" t="n"/>
      <c r="AO318" s="85" t="n"/>
      <c r="AP318" s="85" t="n"/>
      <c r="AQ318" s="85" t="n"/>
      <c r="AR318" s="85" t="n"/>
      <c r="AS318" s="85" t="n"/>
      <c r="AT318" s="85" t="n"/>
      <c r="AU318" s="85" t="n"/>
      <c r="AV318" s="85" t="n"/>
      <c r="AW318" s="44" t="n"/>
      <c r="AX318" s="85" t="n"/>
      <c r="AY318" s="88" t="n"/>
      <c r="AZ318" s="86" t="n"/>
      <c r="BA318" s="44" t="n"/>
      <c r="BB318" s="44" t="n"/>
      <c r="BC318" s="87" t="n"/>
      <c r="BD318" s="44" t="n"/>
      <c r="BE318" s="87" t="n"/>
      <c r="BF318" s="85" t="n"/>
      <c r="BG318" s="44" t="n"/>
      <c r="BH318" s="44" t="n"/>
      <c r="BI318" s="85" t="n"/>
      <c r="BJ318" s="44" t="n"/>
      <c r="BK318" s="45" t="n"/>
      <c r="BL318" s="44" t="n"/>
      <c r="BM318" s="85" t="n"/>
      <c r="BN318" s="44" t="n"/>
      <c r="BO318" s="85" t="n"/>
      <c r="BP318" s="86" t="n"/>
      <c r="BQ318" s="44" t="n"/>
      <c r="BR318" s="50" t="n"/>
      <c r="BS318" s="89" t="n"/>
      <c r="BT318" s="50">
        <f>IF(OR(K318="",L318="",M318=""),"",IF(ABS(ROUND(((ROUND(N(K318)*100,0))-(0))*(100+N(M318))/100,0)-(ROUND(N(L318)*100,0)))&lt;=0+IF(((ROUND(N(K318)*100,0))-(0))*(100+N(M318))/100&lt;&gt;ROUND(((ROUND(N(K318)*100,0))-(0))*(100+N(M318))/100,0),1,0),"OK","ABWEICHUNG"))</f>
        <v/>
      </c>
    </row>
    <row r="319">
      <c r="A319" s="50" t="n"/>
      <c r="B319" s="44" t="n"/>
      <c r="C319" s="44" t="n"/>
      <c r="D319" s="44" t="n"/>
      <c r="E319" s="44" t="n"/>
      <c r="F319" s="44" t="n"/>
      <c r="G319" s="44" t="n"/>
      <c r="H319" s="44" t="n"/>
      <c r="I319" s="45" t="n"/>
      <c r="J319" s="45" t="n"/>
      <c r="K319" s="85" t="n"/>
      <c r="L319" s="85" t="n"/>
      <c r="M319" s="88" t="n"/>
      <c r="N319" s="88" t="n"/>
      <c r="O319" s="44" t="n"/>
      <c r="P319" s="45" t="n"/>
      <c r="Q319" s="45" t="n"/>
      <c r="R319" s="44" t="n"/>
      <c r="S319" s="45" t="n"/>
      <c r="T319" s="45" t="n"/>
      <c r="U319" s="85" t="n"/>
      <c r="V319" s="44" t="n"/>
      <c r="W319" s="45" t="n"/>
      <c r="X319" s="45" t="n"/>
      <c r="Y319" s="44" t="n"/>
      <c r="Z319" s="85" t="n"/>
      <c r="AA319" s="44" t="n"/>
      <c r="AB319" s="44" t="n"/>
      <c r="AC319" s="44" t="n"/>
      <c r="AD319" s="44" t="n"/>
      <c r="AE319" s="44" t="n"/>
      <c r="AF319" s="88" t="n"/>
      <c r="AG319" s="85" t="n"/>
      <c r="AH319" s="85" t="n"/>
      <c r="AI319" s="85" t="n"/>
      <c r="AJ319" s="85" t="n"/>
      <c r="AK319" s="85" t="n"/>
      <c r="AL319" s="85" t="n"/>
      <c r="AM319" s="85" t="n"/>
      <c r="AN319" s="85" t="n"/>
      <c r="AO319" s="85" t="n"/>
      <c r="AP319" s="85" t="n"/>
      <c r="AQ319" s="85" t="n"/>
      <c r="AR319" s="85" t="n"/>
      <c r="AS319" s="85" t="n"/>
      <c r="AT319" s="85" t="n"/>
      <c r="AU319" s="85" t="n"/>
      <c r="AV319" s="85" t="n"/>
      <c r="AW319" s="44" t="n"/>
      <c r="AX319" s="85" t="n"/>
      <c r="AY319" s="88" t="n"/>
      <c r="AZ319" s="86" t="n"/>
      <c r="BA319" s="44" t="n"/>
      <c r="BB319" s="44" t="n"/>
      <c r="BC319" s="87" t="n"/>
      <c r="BD319" s="44" t="n"/>
      <c r="BE319" s="87" t="n"/>
      <c r="BF319" s="85" t="n"/>
      <c r="BG319" s="44" t="n"/>
      <c r="BH319" s="44" t="n"/>
      <c r="BI319" s="85" t="n"/>
      <c r="BJ319" s="44" t="n"/>
      <c r="BK319" s="45" t="n"/>
      <c r="BL319" s="44" t="n"/>
      <c r="BM319" s="85" t="n"/>
      <c r="BN319" s="44" t="n"/>
      <c r="BO319" s="85" t="n"/>
      <c r="BP319" s="86" t="n"/>
      <c r="BQ319" s="44" t="n"/>
      <c r="BR319" s="50" t="n"/>
      <c r="BS319" s="89" t="n"/>
      <c r="BT319" s="50">
        <f>IF(OR(K319="",L319="",M319=""),"",IF(ABS(ROUND(((ROUND(N(K319)*100,0))-(0))*(100+N(M319))/100,0)-(ROUND(N(L319)*100,0)))&lt;=0+IF(((ROUND(N(K319)*100,0))-(0))*(100+N(M319))/100&lt;&gt;ROUND(((ROUND(N(K319)*100,0))-(0))*(100+N(M319))/100,0),1,0),"OK","ABWEICHUNG"))</f>
        <v/>
      </c>
    </row>
    <row r="320">
      <c r="A320" s="50" t="n"/>
      <c r="B320" s="44" t="n"/>
      <c r="C320" s="44" t="n"/>
      <c r="D320" s="44" t="n"/>
      <c r="E320" s="44" t="n"/>
      <c r="F320" s="44" t="n"/>
      <c r="G320" s="44" t="n"/>
      <c r="H320" s="44" t="n"/>
      <c r="I320" s="45" t="n"/>
      <c r="J320" s="45" t="n"/>
      <c r="K320" s="85" t="n"/>
      <c r="L320" s="85" t="n"/>
      <c r="M320" s="88" t="n"/>
      <c r="N320" s="88" t="n"/>
      <c r="O320" s="44" t="n"/>
      <c r="P320" s="45" t="n"/>
      <c r="Q320" s="45" t="n"/>
      <c r="R320" s="44" t="n"/>
      <c r="S320" s="45" t="n"/>
      <c r="T320" s="45" t="n"/>
      <c r="U320" s="85" t="n"/>
      <c r="V320" s="44" t="n"/>
      <c r="W320" s="45" t="n"/>
      <c r="X320" s="45" t="n"/>
      <c r="Y320" s="44" t="n"/>
      <c r="Z320" s="85" t="n"/>
      <c r="AA320" s="44" t="n"/>
      <c r="AB320" s="44" t="n"/>
      <c r="AC320" s="44" t="n"/>
      <c r="AD320" s="44" t="n"/>
      <c r="AE320" s="44" t="n"/>
      <c r="AF320" s="88" t="n"/>
      <c r="AG320" s="85" t="n"/>
      <c r="AH320" s="85" t="n"/>
      <c r="AI320" s="85" t="n"/>
      <c r="AJ320" s="85" t="n"/>
      <c r="AK320" s="85" t="n"/>
      <c r="AL320" s="85" t="n"/>
      <c r="AM320" s="85" t="n"/>
      <c r="AN320" s="85" t="n"/>
      <c r="AO320" s="85" t="n"/>
      <c r="AP320" s="85" t="n"/>
      <c r="AQ320" s="85" t="n"/>
      <c r="AR320" s="85" t="n"/>
      <c r="AS320" s="85" t="n"/>
      <c r="AT320" s="85" t="n"/>
      <c r="AU320" s="85" t="n"/>
      <c r="AV320" s="85" t="n"/>
      <c r="AW320" s="44" t="n"/>
      <c r="AX320" s="85" t="n"/>
      <c r="AY320" s="88" t="n"/>
      <c r="AZ320" s="86" t="n"/>
      <c r="BA320" s="44" t="n"/>
      <c r="BB320" s="44" t="n"/>
      <c r="BC320" s="87" t="n"/>
      <c r="BD320" s="44" t="n"/>
      <c r="BE320" s="87" t="n"/>
      <c r="BF320" s="85" t="n"/>
      <c r="BG320" s="44" t="n"/>
      <c r="BH320" s="44" t="n"/>
      <c r="BI320" s="85" t="n"/>
      <c r="BJ320" s="44" t="n"/>
      <c r="BK320" s="45" t="n"/>
      <c r="BL320" s="44" t="n"/>
      <c r="BM320" s="85" t="n"/>
      <c r="BN320" s="44" t="n"/>
      <c r="BO320" s="85" t="n"/>
      <c r="BP320" s="86" t="n"/>
      <c r="BQ320" s="44" t="n"/>
      <c r="BR320" s="50" t="n"/>
      <c r="BS320" s="89" t="n"/>
      <c r="BT320" s="50">
        <f>IF(OR(K320="",L320="",M320=""),"",IF(ABS(ROUND(((ROUND(N(K320)*100,0))-(0))*(100+N(M320))/100,0)-(ROUND(N(L320)*100,0)))&lt;=0+IF(((ROUND(N(K320)*100,0))-(0))*(100+N(M320))/100&lt;&gt;ROUND(((ROUND(N(K320)*100,0))-(0))*(100+N(M320))/100,0),1,0),"OK","ABWEICHUNG"))</f>
        <v/>
      </c>
    </row>
    <row r="321">
      <c r="A321" s="50" t="n"/>
      <c r="B321" s="44" t="n"/>
      <c r="C321" s="44" t="n"/>
      <c r="D321" s="44" t="n"/>
      <c r="E321" s="44" t="n"/>
      <c r="F321" s="44" t="n"/>
      <c r="G321" s="44" t="n"/>
      <c r="H321" s="44" t="n"/>
      <c r="I321" s="45" t="n"/>
      <c r="J321" s="45" t="n"/>
      <c r="K321" s="85" t="n"/>
      <c r="L321" s="85" t="n"/>
      <c r="M321" s="88" t="n"/>
      <c r="N321" s="88" t="n"/>
      <c r="O321" s="44" t="n"/>
      <c r="P321" s="45" t="n"/>
      <c r="Q321" s="45" t="n"/>
      <c r="R321" s="44" t="n"/>
      <c r="S321" s="45" t="n"/>
      <c r="T321" s="45" t="n"/>
      <c r="U321" s="85" t="n"/>
      <c r="V321" s="44" t="n"/>
      <c r="W321" s="45" t="n"/>
      <c r="X321" s="45" t="n"/>
      <c r="Y321" s="44" t="n"/>
      <c r="Z321" s="85" t="n"/>
      <c r="AA321" s="44" t="n"/>
      <c r="AB321" s="44" t="n"/>
      <c r="AC321" s="44" t="n"/>
      <c r="AD321" s="44" t="n"/>
      <c r="AE321" s="44" t="n"/>
      <c r="AF321" s="88" t="n"/>
      <c r="AG321" s="85" t="n"/>
      <c r="AH321" s="85" t="n"/>
      <c r="AI321" s="85" t="n"/>
      <c r="AJ321" s="85" t="n"/>
      <c r="AK321" s="85" t="n"/>
      <c r="AL321" s="85" t="n"/>
      <c r="AM321" s="85" t="n"/>
      <c r="AN321" s="85" t="n"/>
      <c r="AO321" s="85" t="n"/>
      <c r="AP321" s="85" t="n"/>
      <c r="AQ321" s="85" t="n"/>
      <c r="AR321" s="85" t="n"/>
      <c r="AS321" s="85" t="n"/>
      <c r="AT321" s="85" t="n"/>
      <c r="AU321" s="85" t="n"/>
      <c r="AV321" s="85" t="n"/>
      <c r="AW321" s="44" t="n"/>
      <c r="AX321" s="85" t="n"/>
      <c r="AY321" s="88" t="n"/>
      <c r="AZ321" s="86" t="n"/>
      <c r="BA321" s="44" t="n"/>
      <c r="BB321" s="44" t="n"/>
      <c r="BC321" s="87" t="n"/>
      <c r="BD321" s="44" t="n"/>
      <c r="BE321" s="87" t="n"/>
      <c r="BF321" s="85" t="n"/>
      <c r="BG321" s="44" t="n"/>
      <c r="BH321" s="44" t="n"/>
      <c r="BI321" s="85" t="n"/>
      <c r="BJ321" s="44" t="n"/>
      <c r="BK321" s="45" t="n"/>
      <c r="BL321" s="44" t="n"/>
      <c r="BM321" s="85" t="n"/>
      <c r="BN321" s="44" t="n"/>
      <c r="BO321" s="85" t="n"/>
      <c r="BP321" s="86" t="n"/>
      <c r="BQ321" s="44" t="n"/>
      <c r="BR321" s="50" t="n"/>
      <c r="BS321" s="89" t="n"/>
      <c r="BT321" s="50">
        <f>IF(OR(K321="",L321="",M321=""),"",IF(ABS(ROUND(((ROUND(N(K321)*100,0))-(0))*(100+N(M321))/100,0)-(ROUND(N(L321)*100,0)))&lt;=0+IF(((ROUND(N(K321)*100,0))-(0))*(100+N(M321))/100&lt;&gt;ROUND(((ROUND(N(K321)*100,0))-(0))*(100+N(M321))/100,0),1,0),"OK","ABWEICHUNG"))</f>
        <v/>
      </c>
    </row>
    <row r="322">
      <c r="A322" s="50" t="n"/>
      <c r="B322" s="44" t="n"/>
      <c r="C322" s="44" t="n"/>
      <c r="D322" s="44" t="n"/>
      <c r="E322" s="44" t="n"/>
      <c r="F322" s="44" t="n"/>
      <c r="G322" s="44" t="n"/>
      <c r="H322" s="44" t="n"/>
      <c r="I322" s="45" t="n"/>
      <c r="J322" s="45" t="n"/>
      <c r="K322" s="85" t="n"/>
      <c r="L322" s="85" t="n"/>
      <c r="M322" s="88" t="n"/>
      <c r="N322" s="88" t="n"/>
      <c r="O322" s="44" t="n"/>
      <c r="P322" s="45" t="n"/>
      <c r="Q322" s="45" t="n"/>
      <c r="R322" s="44" t="n"/>
      <c r="S322" s="45" t="n"/>
      <c r="T322" s="45" t="n"/>
      <c r="U322" s="85" t="n"/>
      <c r="V322" s="44" t="n"/>
      <c r="W322" s="45" t="n"/>
      <c r="X322" s="45" t="n"/>
      <c r="Y322" s="44" t="n"/>
      <c r="Z322" s="85" t="n"/>
      <c r="AA322" s="44" t="n"/>
      <c r="AB322" s="44" t="n"/>
      <c r="AC322" s="44" t="n"/>
      <c r="AD322" s="44" t="n"/>
      <c r="AE322" s="44" t="n"/>
      <c r="AF322" s="88" t="n"/>
      <c r="AG322" s="85" t="n"/>
      <c r="AH322" s="85" t="n"/>
      <c r="AI322" s="85" t="n"/>
      <c r="AJ322" s="85" t="n"/>
      <c r="AK322" s="85" t="n"/>
      <c r="AL322" s="85" t="n"/>
      <c r="AM322" s="85" t="n"/>
      <c r="AN322" s="85" t="n"/>
      <c r="AO322" s="85" t="n"/>
      <c r="AP322" s="85" t="n"/>
      <c r="AQ322" s="85" t="n"/>
      <c r="AR322" s="85" t="n"/>
      <c r="AS322" s="85" t="n"/>
      <c r="AT322" s="85" t="n"/>
      <c r="AU322" s="85" t="n"/>
      <c r="AV322" s="85" t="n"/>
      <c r="AW322" s="44" t="n"/>
      <c r="AX322" s="85" t="n"/>
      <c r="AY322" s="88" t="n"/>
      <c r="AZ322" s="86" t="n"/>
      <c r="BA322" s="44" t="n"/>
      <c r="BB322" s="44" t="n"/>
      <c r="BC322" s="87" t="n"/>
      <c r="BD322" s="44" t="n"/>
      <c r="BE322" s="87" t="n"/>
      <c r="BF322" s="85" t="n"/>
      <c r="BG322" s="44" t="n"/>
      <c r="BH322" s="44" t="n"/>
      <c r="BI322" s="85" t="n"/>
      <c r="BJ322" s="44" t="n"/>
      <c r="BK322" s="45" t="n"/>
      <c r="BL322" s="44" t="n"/>
      <c r="BM322" s="85" t="n"/>
      <c r="BN322" s="44" t="n"/>
      <c r="BO322" s="85" t="n"/>
      <c r="BP322" s="86" t="n"/>
      <c r="BQ322" s="44" t="n"/>
      <c r="BR322" s="50" t="n"/>
      <c r="BS322" s="89" t="n"/>
      <c r="BT322" s="50">
        <f>IF(OR(K322="",L322="",M322=""),"",IF(ABS(ROUND(((ROUND(N(K322)*100,0))-(0))*(100+N(M322))/100,0)-(ROUND(N(L322)*100,0)))&lt;=0+IF(((ROUND(N(K322)*100,0))-(0))*(100+N(M322))/100&lt;&gt;ROUND(((ROUND(N(K322)*100,0))-(0))*(100+N(M322))/100,0),1,0),"OK","ABWEICHUNG"))</f>
        <v/>
      </c>
    </row>
    <row r="323">
      <c r="A323" s="50" t="n"/>
      <c r="B323" s="44" t="n"/>
      <c r="C323" s="44" t="n"/>
      <c r="D323" s="44" t="n"/>
      <c r="E323" s="44" t="n"/>
      <c r="F323" s="44" t="n"/>
      <c r="G323" s="44" t="n"/>
      <c r="H323" s="44" t="n"/>
      <c r="I323" s="45" t="n"/>
      <c r="J323" s="45" t="n"/>
      <c r="K323" s="85" t="n"/>
      <c r="L323" s="85" t="n"/>
      <c r="M323" s="88" t="n"/>
      <c r="N323" s="88" t="n"/>
      <c r="O323" s="44" t="n"/>
      <c r="P323" s="45" t="n"/>
      <c r="Q323" s="45" t="n"/>
      <c r="R323" s="44" t="n"/>
      <c r="S323" s="45" t="n"/>
      <c r="T323" s="45" t="n"/>
      <c r="U323" s="85" t="n"/>
      <c r="V323" s="44" t="n"/>
      <c r="W323" s="45" t="n"/>
      <c r="X323" s="45" t="n"/>
      <c r="Y323" s="44" t="n"/>
      <c r="Z323" s="85" t="n"/>
      <c r="AA323" s="44" t="n"/>
      <c r="AB323" s="44" t="n"/>
      <c r="AC323" s="44" t="n"/>
      <c r="AD323" s="44" t="n"/>
      <c r="AE323" s="44" t="n"/>
      <c r="AF323" s="88" t="n"/>
      <c r="AG323" s="85" t="n"/>
      <c r="AH323" s="85" t="n"/>
      <c r="AI323" s="85" t="n"/>
      <c r="AJ323" s="85" t="n"/>
      <c r="AK323" s="85" t="n"/>
      <c r="AL323" s="85" t="n"/>
      <c r="AM323" s="85" t="n"/>
      <c r="AN323" s="85" t="n"/>
      <c r="AO323" s="85" t="n"/>
      <c r="AP323" s="85" t="n"/>
      <c r="AQ323" s="85" t="n"/>
      <c r="AR323" s="85" t="n"/>
      <c r="AS323" s="85" t="n"/>
      <c r="AT323" s="85" t="n"/>
      <c r="AU323" s="85" t="n"/>
      <c r="AV323" s="85" t="n"/>
      <c r="AW323" s="44" t="n"/>
      <c r="AX323" s="85" t="n"/>
      <c r="AY323" s="88" t="n"/>
      <c r="AZ323" s="86" t="n"/>
      <c r="BA323" s="44" t="n"/>
      <c r="BB323" s="44" t="n"/>
      <c r="BC323" s="87" t="n"/>
      <c r="BD323" s="44" t="n"/>
      <c r="BE323" s="87" t="n"/>
      <c r="BF323" s="85" t="n"/>
      <c r="BG323" s="44" t="n"/>
      <c r="BH323" s="44" t="n"/>
      <c r="BI323" s="85" t="n"/>
      <c r="BJ323" s="44" t="n"/>
      <c r="BK323" s="45" t="n"/>
      <c r="BL323" s="44" t="n"/>
      <c r="BM323" s="85" t="n"/>
      <c r="BN323" s="44" t="n"/>
      <c r="BO323" s="85" t="n"/>
      <c r="BP323" s="86" t="n"/>
      <c r="BQ323" s="44" t="n"/>
      <c r="BR323" s="50" t="n"/>
      <c r="BS323" s="89" t="n"/>
      <c r="BT323" s="50">
        <f>IF(OR(K323="",L323="",M323=""),"",IF(ABS(ROUND(((ROUND(N(K323)*100,0))-(0))*(100+N(M323))/100,0)-(ROUND(N(L323)*100,0)))&lt;=0+IF(((ROUND(N(K323)*100,0))-(0))*(100+N(M323))/100&lt;&gt;ROUND(((ROUND(N(K323)*100,0))-(0))*(100+N(M323))/100,0),1,0),"OK","ABWEICHUNG"))</f>
        <v/>
      </c>
    </row>
    <row r="324">
      <c r="A324" s="50" t="n"/>
      <c r="B324" s="44" t="n"/>
      <c r="C324" s="44" t="n"/>
      <c r="D324" s="44" t="n"/>
      <c r="E324" s="44" t="n"/>
      <c r="F324" s="44" t="n"/>
      <c r="G324" s="44" t="n"/>
      <c r="H324" s="44" t="n"/>
      <c r="I324" s="45" t="n"/>
      <c r="J324" s="45" t="n"/>
      <c r="K324" s="85" t="n"/>
      <c r="L324" s="85" t="n"/>
      <c r="M324" s="88" t="n"/>
      <c r="N324" s="88" t="n"/>
      <c r="O324" s="44" t="n"/>
      <c r="P324" s="45" t="n"/>
      <c r="Q324" s="45" t="n"/>
      <c r="R324" s="44" t="n"/>
      <c r="S324" s="45" t="n"/>
      <c r="T324" s="45" t="n"/>
      <c r="U324" s="85" t="n"/>
      <c r="V324" s="44" t="n"/>
      <c r="W324" s="45" t="n"/>
      <c r="X324" s="45" t="n"/>
      <c r="Y324" s="44" t="n"/>
      <c r="Z324" s="85" t="n"/>
      <c r="AA324" s="44" t="n"/>
      <c r="AB324" s="44" t="n"/>
      <c r="AC324" s="44" t="n"/>
      <c r="AD324" s="44" t="n"/>
      <c r="AE324" s="44" t="n"/>
      <c r="AF324" s="88" t="n"/>
      <c r="AG324" s="85" t="n"/>
      <c r="AH324" s="85" t="n"/>
      <c r="AI324" s="85" t="n"/>
      <c r="AJ324" s="85" t="n"/>
      <c r="AK324" s="85" t="n"/>
      <c r="AL324" s="85" t="n"/>
      <c r="AM324" s="85" t="n"/>
      <c r="AN324" s="85" t="n"/>
      <c r="AO324" s="85" t="n"/>
      <c r="AP324" s="85" t="n"/>
      <c r="AQ324" s="85" t="n"/>
      <c r="AR324" s="85" t="n"/>
      <c r="AS324" s="85" t="n"/>
      <c r="AT324" s="85" t="n"/>
      <c r="AU324" s="85" t="n"/>
      <c r="AV324" s="85" t="n"/>
      <c r="AW324" s="44" t="n"/>
      <c r="AX324" s="85" t="n"/>
      <c r="AY324" s="88" t="n"/>
      <c r="AZ324" s="86" t="n"/>
      <c r="BA324" s="44" t="n"/>
      <c r="BB324" s="44" t="n"/>
      <c r="BC324" s="87" t="n"/>
      <c r="BD324" s="44" t="n"/>
      <c r="BE324" s="87" t="n"/>
      <c r="BF324" s="85" t="n"/>
      <c r="BG324" s="44" t="n"/>
      <c r="BH324" s="44" t="n"/>
      <c r="BI324" s="85" t="n"/>
      <c r="BJ324" s="44" t="n"/>
      <c r="BK324" s="45" t="n"/>
      <c r="BL324" s="44" t="n"/>
      <c r="BM324" s="85" t="n"/>
      <c r="BN324" s="44" t="n"/>
      <c r="BO324" s="85" t="n"/>
      <c r="BP324" s="86" t="n"/>
      <c r="BQ324" s="44" t="n"/>
      <c r="BR324" s="50" t="n"/>
      <c r="BS324" s="89" t="n"/>
      <c r="BT324" s="50">
        <f>IF(OR(K324="",L324="",M324=""),"",IF(ABS(ROUND(((ROUND(N(K324)*100,0))-(0))*(100+N(M324))/100,0)-(ROUND(N(L324)*100,0)))&lt;=0+IF(((ROUND(N(K324)*100,0))-(0))*(100+N(M324))/100&lt;&gt;ROUND(((ROUND(N(K324)*100,0))-(0))*(100+N(M324))/100,0),1,0),"OK","ABWEICHUNG"))</f>
        <v/>
      </c>
    </row>
    <row r="325">
      <c r="A325" s="50" t="n"/>
      <c r="B325" s="44" t="n"/>
      <c r="C325" s="44" t="n"/>
      <c r="D325" s="44" t="n"/>
      <c r="E325" s="44" t="n"/>
      <c r="F325" s="44" t="n"/>
      <c r="G325" s="44" t="n"/>
      <c r="H325" s="44" t="n"/>
      <c r="I325" s="45" t="n"/>
      <c r="J325" s="45" t="n"/>
      <c r="K325" s="85" t="n"/>
      <c r="L325" s="85" t="n"/>
      <c r="M325" s="88" t="n"/>
      <c r="N325" s="88" t="n"/>
      <c r="O325" s="44" t="n"/>
      <c r="P325" s="45" t="n"/>
      <c r="Q325" s="45" t="n"/>
      <c r="R325" s="44" t="n"/>
      <c r="S325" s="45" t="n"/>
      <c r="T325" s="45" t="n"/>
      <c r="U325" s="85" t="n"/>
      <c r="V325" s="44" t="n"/>
      <c r="W325" s="45" t="n"/>
      <c r="X325" s="45" t="n"/>
      <c r="Y325" s="44" t="n"/>
      <c r="Z325" s="85" t="n"/>
      <c r="AA325" s="44" t="n"/>
      <c r="AB325" s="44" t="n"/>
      <c r="AC325" s="44" t="n"/>
      <c r="AD325" s="44" t="n"/>
      <c r="AE325" s="44" t="n"/>
      <c r="AF325" s="88" t="n"/>
      <c r="AG325" s="85" t="n"/>
      <c r="AH325" s="85" t="n"/>
      <c r="AI325" s="85" t="n"/>
      <c r="AJ325" s="85" t="n"/>
      <c r="AK325" s="85" t="n"/>
      <c r="AL325" s="85" t="n"/>
      <c r="AM325" s="85" t="n"/>
      <c r="AN325" s="85" t="n"/>
      <c r="AO325" s="85" t="n"/>
      <c r="AP325" s="85" t="n"/>
      <c r="AQ325" s="85" t="n"/>
      <c r="AR325" s="85" t="n"/>
      <c r="AS325" s="85" t="n"/>
      <c r="AT325" s="85" t="n"/>
      <c r="AU325" s="85" t="n"/>
      <c r="AV325" s="85" t="n"/>
      <c r="AW325" s="44" t="n"/>
      <c r="AX325" s="85" t="n"/>
      <c r="AY325" s="88" t="n"/>
      <c r="AZ325" s="86" t="n"/>
      <c r="BA325" s="44" t="n"/>
      <c r="BB325" s="44" t="n"/>
      <c r="BC325" s="87" t="n"/>
      <c r="BD325" s="44" t="n"/>
      <c r="BE325" s="87" t="n"/>
      <c r="BF325" s="85" t="n"/>
      <c r="BG325" s="44" t="n"/>
      <c r="BH325" s="44" t="n"/>
      <c r="BI325" s="85" t="n"/>
      <c r="BJ325" s="44" t="n"/>
      <c r="BK325" s="45" t="n"/>
      <c r="BL325" s="44" t="n"/>
      <c r="BM325" s="85" t="n"/>
      <c r="BN325" s="44" t="n"/>
      <c r="BO325" s="85" t="n"/>
      <c r="BP325" s="86" t="n"/>
      <c r="BQ325" s="44" t="n"/>
      <c r="BR325" s="50" t="n"/>
      <c r="BS325" s="89" t="n"/>
      <c r="BT325" s="50">
        <f>IF(OR(K325="",L325="",M325=""),"",IF(ABS(ROUND(((ROUND(N(K325)*100,0))-(0))*(100+N(M325))/100,0)-(ROUND(N(L325)*100,0)))&lt;=0+IF(((ROUND(N(K325)*100,0))-(0))*(100+N(M325))/100&lt;&gt;ROUND(((ROUND(N(K325)*100,0))-(0))*(100+N(M325))/100,0),1,0),"OK","ABWEICHUNG"))</f>
        <v/>
      </c>
    </row>
    <row r="326">
      <c r="A326" s="50" t="n"/>
      <c r="B326" s="44" t="n"/>
      <c r="C326" s="44" t="n"/>
      <c r="D326" s="44" t="n"/>
      <c r="E326" s="44" t="n"/>
      <c r="F326" s="44" t="n"/>
      <c r="G326" s="44" t="n"/>
      <c r="H326" s="44" t="n"/>
      <c r="I326" s="45" t="n"/>
      <c r="J326" s="45" t="n"/>
      <c r="K326" s="85" t="n"/>
      <c r="L326" s="85" t="n"/>
      <c r="M326" s="88" t="n"/>
      <c r="N326" s="88" t="n"/>
      <c r="O326" s="44" t="n"/>
      <c r="P326" s="45" t="n"/>
      <c r="Q326" s="45" t="n"/>
      <c r="R326" s="44" t="n"/>
      <c r="S326" s="45" t="n"/>
      <c r="T326" s="45" t="n"/>
      <c r="U326" s="85" t="n"/>
      <c r="V326" s="44" t="n"/>
      <c r="W326" s="45" t="n"/>
      <c r="X326" s="45" t="n"/>
      <c r="Y326" s="44" t="n"/>
      <c r="Z326" s="85" t="n"/>
      <c r="AA326" s="44" t="n"/>
      <c r="AB326" s="44" t="n"/>
      <c r="AC326" s="44" t="n"/>
      <c r="AD326" s="44" t="n"/>
      <c r="AE326" s="44" t="n"/>
      <c r="AF326" s="88" t="n"/>
      <c r="AG326" s="85" t="n"/>
      <c r="AH326" s="85" t="n"/>
      <c r="AI326" s="85" t="n"/>
      <c r="AJ326" s="85" t="n"/>
      <c r="AK326" s="85" t="n"/>
      <c r="AL326" s="85" t="n"/>
      <c r="AM326" s="85" t="n"/>
      <c r="AN326" s="85" t="n"/>
      <c r="AO326" s="85" t="n"/>
      <c r="AP326" s="85" t="n"/>
      <c r="AQ326" s="85" t="n"/>
      <c r="AR326" s="85" t="n"/>
      <c r="AS326" s="85" t="n"/>
      <c r="AT326" s="85" t="n"/>
      <c r="AU326" s="85" t="n"/>
      <c r="AV326" s="85" t="n"/>
      <c r="AW326" s="44" t="n"/>
      <c r="AX326" s="85" t="n"/>
      <c r="AY326" s="88" t="n"/>
      <c r="AZ326" s="86" t="n"/>
      <c r="BA326" s="44" t="n"/>
      <c r="BB326" s="44" t="n"/>
      <c r="BC326" s="87" t="n"/>
      <c r="BD326" s="44" t="n"/>
      <c r="BE326" s="87" t="n"/>
      <c r="BF326" s="85" t="n"/>
      <c r="BG326" s="44" t="n"/>
      <c r="BH326" s="44" t="n"/>
      <c r="BI326" s="85" t="n"/>
      <c r="BJ326" s="44" t="n"/>
      <c r="BK326" s="45" t="n"/>
      <c r="BL326" s="44" t="n"/>
      <c r="BM326" s="85" t="n"/>
      <c r="BN326" s="44" t="n"/>
      <c r="BO326" s="85" t="n"/>
      <c r="BP326" s="86" t="n"/>
      <c r="BQ326" s="44" t="n"/>
      <c r="BR326" s="50" t="n"/>
      <c r="BS326" s="89" t="n"/>
      <c r="BT326" s="50">
        <f>IF(OR(K326="",L326="",M326=""),"",IF(ABS(ROUND(((ROUND(N(K326)*100,0))-(0))*(100+N(M326))/100,0)-(ROUND(N(L326)*100,0)))&lt;=0+IF(((ROUND(N(K326)*100,0))-(0))*(100+N(M326))/100&lt;&gt;ROUND(((ROUND(N(K326)*100,0))-(0))*(100+N(M326))/100,0),1,0),"OK","ABWEICHUNG"))</f>
        <v/>
      </c>
    </row>
    <row r="327">
      <c r="A327" s="50" t="n"/>
      <c r="B327" s="44" t="n"/>
      <c r="C327" s="44" t="n"/>
      <c r="D327" s="44" t="n"/>
      <c r="E327" s="44" t="n"/>
      <c r="F327" s="44" t="n"/>
      <c r="G327" s="44" t="n"/>
      <c r="H327" s="44" t="n"/>
      <c r="I327" s="45" t="n"/>
      <c r="J327" s="45" t="n"/>
      <c r="K327" s="85" t="n"/>
      <c r="L327" s="85" t="n"/>
      <c r="M327" s="88" t="n"/>
      <c r="N327" s="88" t="n"/>
      <c r="O327" s="44" t="n"/>
      <c r="P327" s="45" t="n"/>
      <c r="Q327" s="45" t="n"/>
      <c r="R327" s="44" t="n"/>
      <c r="S327" s="45" t="n"/>
      <c r="T327" s="45" t="n"/>
      <c r="U327" s="85" t="n"/>
      <c r="V327" s="44" t="n"/>
      <c r="W327" s="45" t="n"/>
      <c r="X327" s="45" t="n"/>
      <c r="Y327" s="44" t="n"/>
      <c r="Z327" s="85" t="n"/>
      <c r="AA327" s="44" t="n"/>
      <c r="AB327" s="44" t="n"/>
      <c r="AC327" s="44" t="n"/>
      <c r="AD327" s="44" t="n"/>
      <c r="AE327" s="44" t="n"/>
      <c r="AF327" s="88" t="n"/>
      <c r="AG327" s="85" t="n"/>
      <c r="AH327" s="85" t="n"/>
      <c r="AI327" s="85" t="n"/>
      <c r="AJ327" s="85" t="n"/>
      <c r="AK327" s="85" t="n"/>
      <c r="AL327" s="85" t="n"/>
      <c r="AM327" s="85" t="n"/>
      <c r="AN327" s="85" t="n"/>
      <c r="AO327" s="85" t="n"/>
      <c r="AP327" s="85" t="n"/>
      <c r="AQ327" s="85" t="n"/>
      <c r="AR327" s="85" t="n"/>
      <c r="AS327" s="85" t="n"/>
      <c r="AT327" s="85" t="n"/>
      <c r="AU327" s="85" t="n"/>
      <c r="AV327" s="85" t="n"/>
      <c r="AW327" s="44" t="n"/>
      <c r="AX327" s="85" t="n"/>
      <c r="AY327" s="88" t="n"/>
      <c r="AZ327" s="86" t="n"/>
      <c r="BA327" s="44" t="n"/>
      <c r="BB327" s="44" t="n"/>
      <c r="BC327" s="87" t="n"/>
      <c r="BD327" s="44" t="n"/>
      <c r="BE327" s="87" t="n"/>
      <c r="BF327" s="85" t="n"/>
      <c r="BG327" s="44" t="n"/>
      <c r="BH327" s="44" t="n"/>
      <c r="BI327" s="85" t="n"/>
      <c r="BJ327" s="44" t="n"/>
      <c r="BK327" s="45" t="n"/>
      <c r="BL327" s="44" t="n"/>
      <c r="BM327" s="85" t="n"/>
      <c r="BN327" s="44" t="n"/>
      <c r="BO327" s="85" t="n"/>
      <c r="BP327" s="86" t="n"/>
      <c r="BQ327" s="44" t="n"/>
      <c r="BR327" s="50" t="n"/>
      <c r="BS327" s="89" t="n"/>
      <c r="BT327" s="50">
        <f>IF(OR(K327="",L327="",M327=""),"",IF(ABS(ROUND(((ROUND(N(K327)*100,0))-(0))*(100+N(M327))/100,0)-(ROUND(N(L327)*100,0)))&lt;=0+IF(((ROUND(N(K327)*100,0))-(0))*(100+N(M327))/100&lt;&gt;ROUND(((ROUND(N(K327)*100,0))-(0))*(100+N(M327))/100,0),1,0),"OK","ABWEICHUNG"))</f>
        <v/>
      </c>
    </row>
    <row r="328">
      <c r="A328" s="50" t="n"/>
      <c r="B328" s="44" t="n"/>
      <c r="C328" s="44" t="n"/>
      <c r="D328" s="44" t="n"/>
      <c r="E328" s="44" t="n"/>
      <c r="F328" s="44" t="n"/>
      <c r="G328" s="44" t="n"/>
      <c r="H328" s="44" t="n"/>
      <c r="I328" s="45" t="n"/>
      <c r="J328" s="45" t="n"/>
      <c r="K328" s="85" t="n"/>
      <c r="L328" s="85" t="n"/>
      <c r="M328" s="88" t="n"/>
      <c r="N328" s="88" t="n"/>
      <c r="O328" s="44" t="n"/>
      <c r="P328" s="45" t="n"/>
      <c r="Q328" s="45" t="n"/>
      <c r="R328" s="44" t="n"/>
      <c r="S328" s="45" t="n"/>
      <c r="T328" s="45" t="n"/>
      <c r="U328" s="85" t="n"/>
      <c r="V328" s="44" t="n"/>
      <c r="W328" s="45" t="n"/>
      <c r="X328" s="45" t="n"/>
      <c r="Y328" s="44" t="n"/>
      <c r="Z328" s="85" t="n"/>
      <c r="AA328" s="44" t="n"/>
      <c r="AB328" s="44" t="n"/>
      <c r="AC328" s="44" t="n"/>
      <c r="AD328" s="44" t="n"/>
      <c r="AE328" s="44" t="n"/>
      <c r="AF328" s="88" t="n"/>
      <c r="AG328" s="85" t="n"/>
      <c r="AH328" s="85" t="n"/>
      <c r="AI328" s="85" t="n"/>
      <c r="AJ328" s="85" t="n"/>
      <c r="AK328" s="85" t="n"/>
      <c r="AL328" s="85" t="n"/>
      <c r="AM328" s="85" t="n"/>
      <c r="AN328" s="85" t="n"/>
      <c r="AO328" s="85" t="n"/>
      <c r="AP328" s="85" t="n"/>
      <c r="AQ328" s="85" t="n"/>
      <c r="AR328" s="85" t="n"/>
      <c r="AS328" s="85" t="n"/>
      <c r="AT328" s="85" t="n"/>
      <c r="AU328" s="85" t="n"/>
      <c r="AV328" s="85" t="n"/>
      <c r="AW328" s="44" t="n"/>
      <c r="AX328" s="85" t="n"/>
      <c r="AY328" s="88" t="n"/>
      <c r="AZ328" s="86" t="n"/>
      <c r="BA328" s="44" t="n"/>
      <c r="BB328" s="44" t="n"/>
      <c r="BC328" s="87" t="n"/>
      <c r="BD328" s="44" t="n"/>
      <c r="BE328" s="87" t="n"/>
      <c r="BF328" s="85" t="n"/>
      <c r="BG328" s="44" t="n"/>
      <c r="BH328" s="44" t="n"/>
      <c r="BI328" s="85" t="n"/>
      <c r="BJ328" s="44" t="n"/>
      <c r="BK328" s="45" t="n"/>
      <c r="BL328" s="44" t="n"/>
      <c r="BM328" s="85" t="n"/>
      <c r="BN328" s="44" t="n"/>
      <c r="BO328" s="85" t="n"/>
      <c r="BP328" s="86" t="n"/>
      <c r="BQ328" s="44" t="n"/>
      <c r="BR328" s="50" t="n"/>
      <c r="BS328" s="89" t="n"/>
      <c r="BT328" s="50">
        <f>IF(OR(K328="",L328="",M328=""),"",IF(ABS(ROUND(((ROUND(N(K328)*100,0))-(0))*(100+N(M328))/100,0)-(ROUND(N(L328)*100,0)))&lt;=0+IF(((ROUND(N(K328)*100,0))-(0))*(100+N(M328))/100&lt;&gt;ROUND(((ROUND(N(K328)*100,0))-(0))*(100+N(M328))/100,0),1,0),"OK","ABWEICHUNG"))</f>
        <v/>
      </c>
    </row>
    <row r="329">
      <c r="A329" s="50" t="n"/>
      <c r="B329" s="44" t="n"/>
      <c r="C329" s="44" t="n"/>
      <c r="D329" s="44" t="n"/>
      <c r="E329" s="44" t="n"/>
      <c r="F329" s="44" t="n"/>
      <c r="G329" s="44" t="n"/>
      <c r="H329" s="44" t="n"/>
      <c r="I329" s="45" t="n"/>
      <c r="J329" s="45" t="n"/>
      <c r="K329" s="85" t="n"/>
      <c r="L329" s="85" t="n"/>
      <c r="M329" s="88" t="n"/>
      <c r="N329" s="88" t="n"/>
      <c r="O329" s="44" t="n"/>
      <c r="P329" s="45" t="n"/>
      <c r="Q329" s="45" t="n"/>
      <c r="R329" s="44" t="n"/>
      <c r="S329" s="45" t="n"/>
      <c r="T329" s="45" t="n"/>
      <c r="U329" s="85" t="n"/>
      <c r="V329" s="44" t="n"/>
      <c r="W329" s="45" t="n"/>
      <c r="X329" s="45" t="n"/>
      <c r="Y329" s="44" t="n"/>
      <c r="Z329" s="85" t="n"/>
      <c r="AA329" s="44" t="n"/>
      <c r="AB329" s="44" t="n"/>
      <c r="AC329" s="44" t="n"/>
      <c r="AD329" s="44" t="n"/>
      <c r="AE329" s="44" t="n"/>
      <c r="AF329" s="88" t="n"/>
      <c r="AG329" s="85" t="n"/>
      <c r="AH329" s="85" t="n"/>
      <c r="AI329" s="85" t="n"/>
      <c r="AJ329" s="85" t="n"/>
      <c r="AK329" s="85" t="n"/>
      <c r="AL329" s="85" t="n"/>
      <c r="AM329" s="85" t="n"/>
      <c r="AN329" s="85" t="n"/>
      <c r="AO329" s="85" t="n"/>
      <c r="AP329" s="85" t="n"/>
      <c r="AQ329" s="85" t="n"/>
      <c r="AR329" s="85" t="n"/>
      <c r="AS329" s="85" t="n"/>
      <c r="AT329" s="85" t="n"/>
      <c r="AU329" s="85" t="n"/>
      <c r="AV329" s="85" t="n"/>
      <c r="AW329" s="44" t="n"/>
      <c r="AX329" s="85" t="n"/>
      <c r="AY329" s="88" t="n"/>
      <c r="AZ329" s="86" t="n"/>
      <c r="BA329" s="44" t="n"/>
      <c r="BB329" s="44" t="n"/>
      <c r="BC329" s="87" t="n"/>
      <c r="BD329" s="44" t="n"/>
      <c r="BE329" s="87" t="n"/>
      <c r="BF329" s="85" t="n"/>
      <c r="BG329" s="44" t="n"/>
      <c r="BH329" s="44" t="n"/>
      <c r="BI329" s="85" t="n"/>
      <c r="BJ329" s="44" t="n"/>
      <c r="BK329" s="45" t="n"/>
      <c r="BL329" s="44" t="n"/>
      <c r="BM329" s="85" t="n"/>
      <c r="BN329" s="44" t="n"/>
      <c r="BO329" s="85" t="n"/>
      <c r="BP329" s="86" t="n"/>
      <c r="BQ329" s="44" t="n"/>
      <c r="BR329" s="50" t="n"/>
      <c r="BS329" s="89" t="n"/>
      <c r="BT329" s="50">
        <f>IF(OR(K329="",L329="",M329=""),"",IF(ABS(ROUND(((ROUND(N(K329)*100,0))-(0))*(100+N(M329))/100,0)-(ROUND(N(L329)*100,0)))&lt;=0+IF(((ROUND(N(K329)*100,0))-(0))*(100+N(M329))/100&lt;&gt;ROUND(((ROUND(N(K329)*100,0))-(0))*(100+N(M329))/100,0),1,0),"OK","ABWEICHUNG"))</f>
        <v/>
      </c>
    </row>
    <row r="330">
      <c r="A330" s="50" t="n"/>
      <c r="B330" s="44" t="n"/>
      <c r="C330" s="44" t="n"/>
      <c r="D330" s="44" t="n"/>
      <c r="E330" s="44" t="n"/>
      <c r="F330" s="44" t="n"/>
      <c r="G330" s="44" t="n"/>
      <c r="H330" s="44" t="n"/>
      <c r="I330" s="45" t="n"/>
      <c r="J330" s="45" t="n"/>
      <c r="K330" s="85" t="n"/>
      <c r="L330" s="85" t="n"/>
      <c r="M330" s="88" t="n"/>
      <c r="N330" s="88" t="n"/>
      <c r="O330" s="44" t="n"/>
      <c r="P330" s="45" t="n"/>
      <c r="Q330" s="45" t="n"/>
      <c r="R330" s="44" t="n"/>
      <c r="S330" s="45" t="n"/>
      <c r="T330" s="45" t="n"/>
      <c r="U330" s="85" t="n"/>
      <c r="V330" s="44" t="n"/>
      <c r="W330" s="45" t="n"/>
      <c r="X330" s="45" t="n"/>
      <c r="Y330" s="44" t="n"/>
      <c r="Z330" s="85" t="n"/>
      <c r="AA330" s="44" t="n"/>
      <c r="AB330" s="44" t="n"/>
      <c r="AC330" s="44" t="n"/>
      <c r="AD330" s="44" t="n"/>
      <c r="AE330" s="44" t="n"/>
      <c r="AF330" s="88" t="n"/>
      <c r="AG330" s="85" t="n"/>
      <c r="AH330" s="85" t="n"/>
      <c r="AI330" s="85" t="n"/>
      <c r="AJ330" s="85" t="n"/>
      <c r="AK330" s="85" t="n"/>
      <c r="AL330" s="85" t="n"/>
      <c r="AM330" s="85" t="n"/>
      <c r="AN330" s="85" t="n"/>
      <c r="AO330" s="85" t="n"/>
      <c r="AP330" s="85" t="n"/>
      <c r="AQ330" s="85" t="n"/>
      <c r="AR330" s="85" t="n"/>
      <c r="AS330" s="85" t="n"/>
      <c r="AT330" s="85" t="n"/>
      <c r="AU330" s="85" t="n"/>
      <c r="AV330" s="85" t="n"/>
      <c r="AW330" s="44" t="n"/>
      <c r="AX330" s="85" t="n"/>
      <c r="AY330" s="88" t="n"/>
      <c r="AZ330" s="86" t="n"/>
      <c r="BA330" s="44" t="n"/>
      <c r="BB330" s="44" t="n"/>
      <c r="BC330" s="87" t="n"/>
      <c r="BD330" s="44" t="n"/>
      <c r="BE330" s="87" t="n"/>
      <c r="BF330" s="85" t="n"/>
      <c r="BG330" s="44" t="n"/>
      <c r="BH330" s="44" t="n"/>
      <c r="BI330" s="85" t="n"/>
      <c r="BJ330" s="44" t="n"/>
      <c r="BK330" s="45" t="n"/>
      <c r="BL330" s="44" t="n"/>
      <c r="BM330" s="85" t="n"/>
      <c r="BN330" s="44" t="n"/>
      <c r="BO330" s="85" t="n"/>
      <c r="BP330" s="86" t="n"/>
      <c r="BQ330" s="44" t="n"/>
      <c r="BR330" s="50" t="n"/>
      <c r="BS330" s="89" t="n"/>
      <c r="BT330" s="50">
        <f>IF(OR(K330="",L330="",M330=""),"",IF(ABS(ROUND(((ROUND(N(K330)*100,0))-(0))*(100+N(M330))/100,0)-(ROUND(N(L330)*100,0)))&lt;=0+IF(((ROUND(N(K330)*100,0))-(0))*(100+N(M330))/100&lt;&gt;ROUND(((ROUND(N(K330)*100,0))-(0))*(100+N(M330))/100,0),1,0),"OK","ABWEICHUNG"))</f>
        <v/>
      </c>
    </row>
    <row r="331">
      <c r="A331" s="50" t="n"/>
      <c r="B331" s="44" t="n"/>
      <c r="C331" s="44" t="n"/>
      <c r="D331" s="44" t="n"/>
      <c r="E331" s="44" t="n"/>
      <c r="F331" s="44" t="n"/>
      <c r="G331" s="44" t="n"/>
      <c r="H331" s="44" t="n"/>
      <c r="I331" s="45" t="n"/>
      <c r="J331" s="45" t="n"/>
      <c r="K331" s="85" t="n"/>
      <c r="L331" s="85" t="n"/>
      <c r="M331" s="88" t="n"/>
      <c r="N331" s="88" t="n"/>
      <c r="O331" s="44" t="n"/>
      <c r="P331" s="45" t="n"/>
      <c r="Q331" s="45" t="n"/>
      <c r="R331" s="44" t="n"/>
      <c r="S331" s="45" t="n"/>
      <c r="T331" s="45" t="n"/>
      <c r="U331" s="85" t="n"/>
      <c r="V331" s="44" t="n"/>
      <c r="W331" s="45" t="n"/>
      <c r="X331" s="45" t="n"/>
      <c r="Y331" s="44" t="n"/>
      <c r="Z331" s="85" t="n"/>
      <c r="AA331" s="44" t="n"/>
      <c r="AB331" s="44" t="n"/>
      <c r="AC331" s="44" t="n"/>
      <c r="AD331" s="44" t="n"/>
      <c r="AE331" s="44" t="n"/>
      <c r="AF331" s="88" t="n"/>
      <c r="AG331" s="85" t="n"/>
      <c r="AH331" s="85" t="n"/>
      <c r="AI331" s="85" t="n"/>
      <c r="AJ331" s="85" t="n"/>
      <c r="AK331" s="85" t="n"/>
      <c r="AL331" s="85" t="n"/>
      <c r="AM331" s="85" t="n"/>
      <c r="AN331" s="85" t="n"/>
      <c r="AO331" s="85" t="n"/>
      <c r="AP331" s="85" t="n"/>
      <c r="AQ331" s="85" t="n"/>
      <c r="AR331" s="85" t="n"/>
      <c r="AS331" s="85" t="n"/>
      <c r="AT331" s="85" t="n"/>
      <c r="AU331" s="85" t="n"/>
      <c r="AV331" s="85" t="n"/>
      <c r="AW331" s="44" t="n"/>
      <c r="AX331" s="85" t="n"/>
      <c r="AY331" s="88" t="n"/>
      <c r="AZ331" s="86" t="n"/>
      <c r="BA331" s="44" t="n"/>
      <c r="BB331" s="44" t="n"/>
      <c r="BC331" s="87" t="n"/>
      <c r="BD331" s="44" t="n"/>
      <c r="BE331" s="87" t="n"/>
      <c r="BF331" s="85" t="n"/>
      <c r="BG331" s="44" t="n"/>
      <c r="BH331" s="44" t="n"/>
      <c r="BI331" s="85" t="n"/>
      <c r="BJ331" s="44" t="n"/>
      <c r="BK331" s="45" t="n"/>
      <c r="BL331" s="44" t="n"/>
      <c r="BM331" s="85" t="n"/>
      <c r="BN331" s="44" t="n"/>
      <c r="BO331" s="85" t="n"/>
      <c r="BP331" s="86" t="n"/>
      <c r="BQ331" s="44" t="n"/>
      <c r="BR331" s="50" t="n"/>
      <c r="BS331" s="89" t="n"/>
      <c r="BT331" s="50">
        <f>IF(OR(K331="",L331="",M331=""),"",IF(ABS(ROUND(((ROUND(N(K331)*100,0))-(0))*(100+N(M331))/100,0)-(ROUND(N(L331)*100,0)))&lt;=0+IF(((ROUND(N(K331)*100,0))-(0))*(100+N(M331))/100&lt;&gt;ROUND(((ROUND(N(K331)*100,0))-(0))*(100+N(M331))/100,0),1,0),"OK","ABWEICHUNG"))</f>
        <v/>
      </c>
    </row>
    <row r="332">
      <c r="A332" s="50" t="n"/>
      <c r="B332" s="44" t="n"/>
      <c r="C332" s="44" t="n"/>
      <c r="D332" s="44" t="n"/>
      <c r="E332" s="44" t="n"/>
      <c r="F332" s="44" t="n"/>
      <c r="G332" s="44" t="n"/>
      <c r="H332" s="44" t="n"/>
      <c r="I332" s="45" t="n"/>
      <c r="J332" s="45" t="n"/>
      <c r="K332" s="85" t="n"/>
      <c r="L332" s="85" t="n"/>
      <c r="M332" s="88" t="n"/>
      <c r="N332" s="88" t="n"/>
      <c r="O332" s="44" t="n"/>
      <c r="P332" s="45" t="n"/>
      <c r="Q332" s="45" t="n"/>
      <c r="R332" s="44" t="n"/>
      <c r="S332" s="45" t="n"/>
      <c r="T332" s="45" t="n"/>
      <c r="U332" s="85" t="n"/>
      <c r="V332" s="44" t="n"/>
      <c r="W332" s="45" t="n"/>
      <c r="X332" s="45" t="n"/>
      <c r="Y332" s="44" t="n"/>
      <c r="Z332" s="85" t="n"/>
      <c r="AA332" s="44" t="n"/>
      <c r="AB332" s="44" t="n"/>
      <c r="AC332" s="44" t="n"/>
      <c r="AD332" s="44" t="n"/>
      <c r="AE332" s="44" t="n"/>
      <c r="AF332" s="88" t="n"/>
      <c r="AG332" s="85" t="n"/>
      <c r="AH332" s="85" t="n"/>
      <c r="AI332" s="85" t="n"/>
      <c r="AJ332" s="85" t="n"/>
      <c r="AK332" s="85" t="n"/>
      <c r="AL332" s="85" t="n"/>
      <c r="AM332" s="85" t="n"/>
      <c r="AN332" s="85" t="n"/>
      <c r="AO332" s="85" t="n"/>
      <c r="AP332" s="85" t="n"/>
      <c r="AQ332" s="85" t="n"/>
      <c r="AR332" s="85" t="n"/>
      <c r="AS332" s="85" t="n"/>
      <c r="AT332" s="85" t="n"/>
      <c r="AU332" s="85" t="n"/>
      <c r="AV332" s="85" t="n"/>
      <c r="AW332" s="44" t="n"/>
      <c r="AX332" s="85" t="n"/>
      <c r="AY332" s="88" t="n"/>
      <c r="AZ332" s="86" t="n"/>
      <c r="BA332" s="44" t="n"/>
      <c r="BB332" s="44" t="n"/>
      <c r="BC332" s="87" t="n"/>
      <c r="BD332" s="44" t="n"/>
      <c r="BE332" s="87" t="n"/>
      <c r="BF332" s="85" t="n"/>
      <c r="BG332" s="44" t="n"/>
      <c r="BH332" s="44" t="n"/>
      <c r="BI332" s="85" t="n"/>
      <c r="BJ332" s="44" t="n"/>
      <c r="BK332" s="45" t="n"/>
      <c r="BL332" s="44" t="n"/>
      <c r="BM332" s="85" t="n"/>
      <c r="BN332" s="44" t="n"/>
      <c r="BO332" s="85" t="n"/>
      <c r="BP332" s="86" t="n"/>
      <c r="BQ332" s="44" t="n"/>
      <c r="BR332" s="50" t="n"/>
      <c r="BS332" s="89" t="n"/>
      <c r="BT332" s="50">
        <f>IF(OR(K332="",L332="",M332=""),"",IF(ABS(ROUND(((ROUND(N(K332)*100,0))-(0))*(100+N(M332))/100,0)-(ROUND(N(L332)*100,0)))&lt;=0+IF(((ROUND(N(K332)*100,0))-(0))*(100+N(M332))/100&lt;&gt;ROUND(((ROUND(N(K332)*100,0))-(0))*(100+N(M332))/100,0),1,0),"OK","ABWEICHUNG"))</f>
        <v/>
      </c>
    </row>
    <row r="333">
      <c r="A333" s="50" t="n"/>
      <c r="B333" s="44" t="n"/>
      <c r="C333" s="44" t="n"/>
      <c r="D333" s="44" t="n"/>
      <c r="E333" s="44" t="n"/>
      <c r="F333" s="44" t="n"/>
      <c r="G333" s="44" t="n"/>
      <c r="H333" s="44" t="n"/>
      <c r="I333" s="45" t="n"/>
      <c r="J333" s="45" t="n"/>
      <c r="K333" s="85" t="n"/>
      <c r="L333" s="85" t="n"/>
      <c r="M333" s="88" t="n"/>
      <c r="N333" s="88" t="n"/>
      <c r="O333" s="44" t="n"/>
      <c r="P333" s="45" t="n"/>
      <c r="Q333" s="45" t="n"/>
      <c r="R333" s="44" t="n"/>
      <c r="S333" s="45" t="n"/>
      <c r="T333" s="45" t="n"/>
      <c r="U333" s="85" t="n"/>
      <c r="V333" s="44" t="n"/>
      <c r="W333" s="45" t="n"/>
      <c r="X333" s="45" t="n"/>
      <c r="Y333" s="44" t="n"/>
      <c r="Z333" s="85" t="n"/>
      <c r="AA333" s="44" t="n"/>
      <c r="AB333" s="44" t="n"/>
      <c r="AC333" s="44" t="n"/>
      <c r="AD333" s="44" t="n"/>
      <c r="AE333" s="44" t="n"/>
      <c r="AF333" s="88" t="n"/>
      <c r="AG333" s="85" t="n"/>
      <c r="AH333" s="85" t="n"/>
      <c r="AI333" s="85" t="n"/>
      <c r="AJ333" s="85" t="n"/>
      <c r="AK333" s="85" t="n"/>
      <c r="AL333" s="85" t="n"/>
      <c r="AM333" s="85" t="n"/>
      <c r="AN333" s="85" t="n"/>
      <c r="AO333" s="85" t="n"/>
      <c r="AP333" s="85" t="n"/>
      <c r="AQ333" s="85" t="n"/>
      <c r="AR333" s="85" t="n"/>
      <c r="AS333" s="85" t="n"/>
      <c r="AT333" s="85" t="n"/>
      <c r="AU333" s="85" t="n"/>
      <c r="AV333" s="85" t="n"/>
      <c r="AW333" s="44" t="n"/>
      <c r="AX333" s="85" t="n"/>
      <c r="AY333" s="88" t="n"/>
      <c r="AZ333" s="86" t="n"/>
      <c r="BA333" s="44" t="n"/>
      <c r="BB333" s="44" t="n"/>
      <c r="BC333" s="87" t="n"/>
      <c r="BD333" s="44" t="n"/>
      <c r="BE333" s="87" t="n"/>
      <c r="BF333" s="85" t="n"/>
      <c r="BG333" s="44" t="n"/>
      <c r="BH333" s="44" t="n"/>
      <c r="BI333" s="85" t="n"/>
      <c r="BJ333" s="44" t="n"/>
      <c r="BK333" s="45" t="n"/>
      <c r="BL333" s="44" t="n"/>
      <c r="BM333" s="85" t="n"/>
      <c r="BN333" s="44" t="n"/>
      <c r="BO333" s="85" t="n"/>
      <c r="BP333" s="86" t="n"/>
      <c r="BQ333" s="44" t="n"/>
      <c r="BR333" s="50" t="n"/>
      <c r="BS333" s="89" t="n"/>
      <c r="BT333" s="50">
        <f>IF(OR(K333="",L333="",M333=""),"",IF(ABS(ROUND(((ROUND(N(K333)*100,0))-(0))*(100+N(M333))/100,0)-(ROUND(N(L333)*100,0)))&lt;=0+IF(((ROUND(N(K333)*100,0))-(0))*(100+N(M333))/100&lt;&gt;ROUND(((ROUND(N(K333)*100,0))-(0))*(100+N(M333))/100,0),1,0),"OK","ABWEICHUNG"))</f>
        <v/>
      </c>
    </row>
    <row r="334">
      <c r="A334" s="50" t="n"/>
      <c r="B334" s="44" t="n"/>
      <c r="C334" s="44" t="n"/>
      <c r="D334" s="44" t="n"/>
      <c r="E334" s="44" t="n"/>
      <c r="F334" s="44" t="n"/>
      <c r="G334" s="44" t="n"/>
      <c r="H334" s="44" t="n"/>
      <c r="I334" s="45" t="n"/>
      <c r="J334" s="45" t="n"/>
      <c r="K334" s="85" t="n"/>
      <c r="L334" s="85" t="n"/>
      <c r="M334" s="88" t="n"/>
      <c r="N334" s="88" t="n"/>
      <c r="O334" s="44" t="n"/>
      <c r="P334" s="45" t="n"/>
      <c r="Q334" s="45" t="n"/>
      <c r="R334" s="44" t="n"/>
      <c r="S334" s="45" t="n"/>
      <c r="T334" s="45" t="n"/>
      <c r="U334" s="85" t="n"/>
      <c r="V334" s="44" t="n"/>
      <c r="W334" s="45" t="n"/>
      <c r="X334" s="45" t="n"/>
      <c r="Y334" s="44" t="n"/>
      <c r="Z334" s="85" t="n"/>
      <c r="AA334" s="44" t="n"/>
      <c r="AB334" s="44" t="n"/>
      <c r="AC334" s="44" t="n"/>
      <c r="AD334" s="44" t="n"/>
      <c r="AE334" s="44" t="n"/>
      <c r="AF334" s="88" t="n"/>
      <c r="AG334" s="85" t="n"/>
      <c r="AH334" s="85" t="n"/>
      <c r="AI334" s="85" t="n"/>
      <c r="AJ334" s="85" t="n"/>
      <c r="AK334" s="85" t="n"/>
      <c r="AL334" s="85" t="n"/>
      <c r="AM334" s="85" t="n"/>
      <c r="AN334" s="85" t="n"/>
      <c r="AO334" s="85" t="n"/>
      <c r="AP334" s="85" t="n"/>
      <c r="AQ334" s="85" t="n"/>
      <c r="AR334" s="85" t="n"/>
      <c r="AS334" s="85" t="n"/>
      <c r="AT334" s="85" t="n"/>
      <c r="AU334" s="85" t="n"/>
      <c r="AV334" s="85" t="n"/>
      <c r="AW334" s="44" t="n"/>
      <c r="AX334" s="85" t="n"/>
      <c r="AY334" s="88" t="n"/>
      <c r="AZ334" s="86" t="n"/>
      <c r="BA334" s="44" t="n"/>
      <c r="BB334" s="44" t="n"/>
      <c r="BC334" s="87" t="n"/>
      <c r="BD334" s="44" t="n"/>
      <c r="BE334" s="87" t="n"/>
      <c r="BF334" s="85" t="n"/>
      <c r="BG334" s="44" t="n"/>
      <c r="BH334" s="44" t="n"/>
      <c r="BI334" s="85" t="n"/>
      <c r="BJ334" s="44" t="n"/>
      <c r="BK334" s="45" t="n"/>
      <c r="BL334" s="44" t="n"/>
      <c r="BM334" s="85" t="n"/>
      <c r="BN334" s="44" t="n"/>
      <c r="BO334" s="85" t="n"/>
      <c r="BP334" s="86" t="n"/>
      <c r="BQ334" s="44" t="n"/>
      <c r="BR334" s="50" t="n"/>
      <c r="BS334" s="89" t="n"/>
      <c r="BT334" s="50">
        <f>IF(OR(K334="",L334="",M334=""),"",IF(ABS(ROUND(((ROUND(N(K334)*100,0))-(0))*(100+N(M334))/100,0)-(ROUND(N(L334)*100,0)))&lt;=0+IF(((ROUND(N(K334)*100,0))-(0))*(100+N(M334))/100&lt;&gt;ROUND(((ROUND(N(K334)*100,0))-(0))*(100+N(M334))/100,0),1,0),"OK","ABWEICHUNG"))</f>
        <v/>
      </c>
    </row>
    <row r="335">
      <c r="A335" s="50" t="n"/>
      <c r="B335" s="44" t="n"/>
      <c r="C335" s="44" t="n"/>
      <c r="D335" s="44" t="n"/>
      <c r="E335" s="44" t="n"/>
      <c r="F335" s="44" t="n"/>
      <c r="G335" s="44" t="n"/>
      <c r="H335" s="44" t="n"/>
      <c r="I335" s="45" t="n"/>
      <c r="J335" s="45" t="n"/>
      <c r="K335" s="85" t="n"/>
      <c r="L335" s="85" t="n"/>
      <c r="M335" s="88" t="n"/>
      <c r="N335" s="88" t="n"/>
      <c r="O335" s="44" t="n"/>
      <c r="P335" s="45" t="n"/>
      <c r="Q335" s="45" t="n"/>
      <c r="R335" s="44" t="n"/>
      <c r="S335" s="45" t="n"/>
      <c r="T335" s="45" t="n"/>
      <c r="U335" s="85" t="n"/>
      <c r="V335" s="44" t="n"/>
      <c r="W335" s="45" t="n"/>
      <c r="X335" s="45" t="n"/>
      <c r="Y335" s="44" t="n"/>
      <c r="Z335" s="85" t="n"/>
      <c r="AA335" s="44" t="n"/>
      <c r="AB335" s="44" t="n"/>
      <c r="AC335" s="44" t="n"/>
      <c r="AD335" s="44" t="n"/>
      <c r="AE335" s="44" t="n"/>
      <c r="AF335" s="88" t="n"/>
      <c r="AG335" s="85" t="n"/>
      <c r="AH335" s="85" t="n"/>
      <c r="AI335" s="85" t="n"/>
      <c r="AJ335" s="85" t="n"/>
      <c r="AK335" s="85" t="n"/>
      <c r="AL335" s="85" t="n"/>
      <c r="AM335" s="85" t="n"/>
      <c r="AN335" s="85" t="n"/>
      <c r="AO335" s="85" t="n"/>
      <c r="AP335" s="85" t="n"/>
      <c r="AQ335" s="85" t="n"/>
      <c r="AR335" s="85" t="n"/>
      <c r="AS335" s="85" t="n"/>
      <c r="AT335" s="85" t="n"/>
      <c r="AU335" s="85" t="n"/>
      <c r="AV335" s="85" t="n"/>
      <c r="AW335" s="44" t="n"/>
      <c r="AX335" s="85" t="n"/>
      <c r="AY335" s="88" t="n"/>
      <c r="AZ335" s="86" t="n"/>
      <c r="BA335" s="44" t="n"/>
      <c r="BB335" s="44" t="n"/>
      <c r="BC335" s="87" t="n"/>
      <c r="BD335" s="44" t="n"/>
      <c r="BE335" s="87" t="n"/>
      <c r="BF335" s="85" t="n"/>
      <c r="BG335" s="44" t="n"/>
      <c r="BH335" s="44" t="n"/>
      <c r="BI335" s="85" t="n"/>
      <c r="BJ335" s="44" t="n"/>
      <c r="BK335" s="45" t="n"/>
      <c r="BL335" s="44" t="n"/>
      <c r="BM335" s="85" t="n"/>
      <c r="BN335" s="44" t="n"/>
      <c r="BO335" s="85" t="n"/>
      <c r="BP335" s="86" t="n"/>
      <c r="BQ335" s="44" t="n"/>
      <c r="BR335" s="50" t="n"/>
      <c r="BS335" s="89" t="n"/>
      <c r="BT335" s="50">
        <f>IF(OR(K335="",L335="",M335=""),"",IF(ABS(ROUND(((ROUND(N(K335)*100,0))-(0))*(100+N(M335))/100,0)-(ROUND(N(L335)*100,0)))&lt;=0+IF(((ROUND(N(K335)*100,0))-(0))*(100+N(M335))/100&lt;&gt;ROUND(((ROUND(N(K335)*100,0))-(0))*(100+N(M335))/100,0),1,0),"OK","ABWEICHUNG"))</f>
        <v/>
      </c>
    </row>
    <row r="336">
      <c r="A336" s="50" t="n"/>
      <c r="B336" s="44" t="n"/>
      <c r="C336" s="44" t="n"/>
      <c r="D336" s="44" t="n"/>
      <c r="E336" s="44" t="n"/>
      <c r="F336" s="44" t="n"/>
      <c r="G336" s="44" t="n"/>
      <c r="H336" s="44" t="n"/>
      <c r="I336" s="45" t="n"/>
      <c r="J336" s="45" t="n"/>
      <c r="K336" s="85" t="n"/>
      <c r="L336" s="85" t="n"/>
      <c r="M336" s="88" t="n"/>
      <c r="N336" s="88" t="n"/>
      <c r="O336" s="44" t="n"/>
      <c r="P336" s="45" t="n"/>
      <c r="Q336" s="45" t="n"/>
      <c r="R336" s="44" t="n"/>
      <c r="S336" s="45" t="n"/>
      <c r="T336" s="45" t="n"/>
      <c r="U336" s="85" t="n"/>
      <c r="V336" s="44" t="n"/>
      <c r="W336" s="45" t="n"/>
      <c r="X336" s="45" t="n"/>
      <c r="Y336" s="44" t="n"/>
      <c r="Z336" s="85" t="n"/>
      <c r="AA336" s="44" t="n"/>
      <c r="AB336" s="44" t="n"/>
      <c r="AC336" s="44" t="n"/>
      <c r="AD336" s="44" t="n"/>
      <c r="AE336" s="44" t="n"/>
      <c r="AF336" s="88" t="n"/>
      <c r="AG336" s="85" t="n"/>
      <c r="AH336" s="85" t="n"/>
      <c r="AI336" s="85" t="n"/>
      <c r="AJ336" s="85" t="n"/>
      <c r="AK336" s="85" t="n"/>
      <c r="AL336" s="85" t="n"/>
      <c r="AM336" s="85" t="n"/>
      <c r="AN336" s="85" t="n"/>
      <c r="AO336" s="85" t="n"/>
      <c r="AP336" s="85" t="n"/>
      <c r="AQ336" s="85" t="n"/>
      <c r="AR336" s="85" t="n"/>
      <c r="AS336" s="85" t="n"/>
      <c r="AT336" s="85" t="n"/>
      <c r="AU336" s="85" t="n"/>
      <c r="AV336" s="85" t="n"/>
      <c r="AW336" s="44" t="n"/>
      <c r="AX336" s="85" t="n"/>
      <c r="AY336" s="88" t="n"/>
      <c r="AZ336" s="86" t="n"/>
      <c r="BA336" s="44" t="n"/>
      <c r="BB336" s="44" t="n"/>
      <c r="BC336" s="87" t="n"/>
      <c r="BD336" s="44" t="n"/>
      <c r="BE336" s="87" t="n"/>
      <c r="BF336" s="85" t="n"/>
      <c r="BG336" s="44" t="n"/>
      <c r="BH336" s="44" t="n"/>
      <c r="BI336" s="85" t="n"/>
      <c r="BJ336" s="44" t="n"/>
      <c r="BK336" s="45" t="n"/>
      <c r="BL336" s="44" t="n"/>
      <c r="BM336" s="85" t="n"/>
      <c r="BN336" s="44" t="n"/>
      <c r="BO336" s="85" t="n"/>
      <c r="BP336" s="86" t="n"/>
      <c r="BQ336" s="44" t="n"/>
      <c r="BR336" s="50" t="n"/>
      <c r="BS336" s="89" t="n"/>
      <c r="BT336" s="50">
        <f>IF(OR(K336="",L336="",M336=""),"",IF(ABS(ROUND(((ROUND(N(K336)*100,0))-(0))*(100+N(M336))/100,0)-(ROUND(N(L336)*100,0)))&lt;=0+IF(((ROUND(N(K336)*100,0))-(0))*(100+N(M336))/100&lt;&gt;ROUND(((ROUND(N(K336)*100,0))-(0))*(100+N(M336))/100,0),1,0),"OK","ABWEICHUNG"))</f>
        <v/>
      </c>
    </row>
    <row r="337">
      <c r="A337" s="50" t="n"/>
      <c r="B337" s="44" t="n"/>
      <c r="C337" s="44" t="n"/>
      <c r="D337" s="44" t="n"/>
      <c r="E337" s="44" t="n"/>
      <c r="F337" s="44" t="n"/>
      <c r="G337" s="44" t="n"/>
      <c r="H337" s="44" t="n"/>
      <c r="I337" s="45" t="n"/>
      <c r="J337" s="45" t="n"/>
      <c r="K337" s="85" t="n"/>
      <c r="L337" s="85" t="n"/>
      <c r="M337" s="88" t="n"/>
      <c r="N337" s="88" t="n"/>
      <c r="O337" s="44" t="n"/>
      <c r="P337" s="45" t="n"/>
      <c r="Q337" s="45" t="n"/>
      <c r="R337" s="44" t="n"/>
      <c r="S337" s="45" t="n"/>
      <c r="T337" s="45" t="n"/>
      <c r="U337" s="85" t="n"/>
      <c r="V337" s="44" t="n"/>
      <c r="W337" s="45" t="n"/>
      <c r="X337" s="45" t="n"/>
      <c r="Y337" s="44" t="n"/>
      <c r="Z337" s="85" t="n"/>
      <c r="AA337" s="44" t="n"/>
      <c r="AB337" s="44" t="n"/>
      <c r="AC337" s="44" t="n"/>
      <c r="AD337" s="44" t="n"/>
      <c r="AE337" s="44" t="n"/>
      <c r="AF337" s="88" t="n"/>
      <c r="AG337" s="85" t="n"/>
      <c r="AH337" s="85" t="n"/>
      <c r="AI337" s="85" t="n"/>
      <c r="AJ337" s="85" t="n"/>
      <c r="AK337" s="85" t="n"/>
      <c r="AL337" s="85" t="n"/>
      <c r="AM337" s="85" t="n"/>
      <c r="AN337" s="85" t="n"/>
      <c r="AO337" s="85" t="n"/>
      <c r="AP337" s="85" t="n"/>
      <c r="AQ337" s="85" t="n"/>
      <c r="AR337" s="85" t="n"/>
      <c r="AS337" s="85" t="n"/>
      <c r="AT337" s="85" t="n"/>
      <c r="AU337" s="85" t="n"/>
      <c r="AV337" s="85" t="n"/>
      <c r="AW337" s="44" t="n"/>
      <c r="AX337" s="85" t="n"/>
      <c r="AY337" s="88" t="n"/>
      <c r="AZ337" s="86" t="n"/>
      <c r="BA337" s="44" t="n"/>
      <c r="BB337" s="44" t="n"/>
      <c r="BC337" s="87" t="n"/>
      <c r="BD337" s="44" t="n"/>
      <c r="BE337" s="87" t="n"/>
      <c r="BF337" s="85" t="n"/>
      <c r="BG337" s="44" t="n"/>
      <c r="BH337" s="44" t="n"/>
      <c r="BI337" s="85" t="n"/>
      <c r="BJ337" s="44" t="n"/>
      <c r="BK337" s="45" t="n"/>
      <c r="BL337" s="44" t="n"/>
      <c r="BM337" s="85" t="n"/>
      <c r="BN337" s="44" t="n"/>
      <c r="BO337" s="85" t="n"/>
      <c r="BP337" s="86" t="n"/>
      <c r="BQ337" s="44" t="n"/>
      <c r="BR337" s="50" t="n"/>
      <c r="BS337" s="89" t="n"/>
      <c r="BT337" s="50">
        <f>IF(OR(K337="",L337="",M337=""),"",IF(ABS(ROUND(((ROUND(N(K337)*100,0))-(0))*(100+N(M337))/100,0)-(ROUND(N(L337)*100,0)))&lt;=0+IF(((ROUND(N(K337)*100,0))-(0))*(100+N(M337))/100&lt;&gt;ROUND(((ROUND(N(K337)*100,0))-(0))*(100+N(M337))/100,0),1,0),"OK","ABWEICHUNG"))</f>
        <v/>
      </c>
    </row>
    <row r="338">
      <c r="A338" s="50" t="n"/>
      <c r="B338" s="44" t="n"/>
      <c r="C338" s="44" t="n"/>
      <c r="D338" s="44" t="n"/>
      <c r="E338" s="44" t="n"/>
      <c r="F338" s="44" t="n"/>
      <c r="G338" s="44" t="n"/>
      <c r="H338" s="44" t="n"/>
      <c r="I338" s="45" t="n"/>
      <c r="J338" s="45" t="n"/>
      <c r="K338" s="85" t="n"/>
      <c r="L338" s="85" t="n"/>
      <c r="M338" s="88" t="n"/>
      <c r="N338" s="88" t="n"/>
      <c r="O338" s="44" t="n"/>
      <c r="P338" s="45" t="n"/>
      <c r="Q338" s="45" t="n"/>
      <c r="R338" s="44" t="n"/>
      <c r="S338" s="45" t="n"/>
      <c r="T338" s="45" t="n"/>
      <c r="U338" s="85" t="n"/>
      <c r="V338" s="44" t="n"/>
      <c r="W338" s="45" t="n"/>
      <c r="X338" s="45" t="n"/>
      <c r="Y338" s="44" t="n"/>
      <c r="Z338" s="85" t="n"/>
      <c r="AA338" s="44" t="n"/>
      <c r="AB338" s="44" t="n"/>
      <c r="AC338" s="44" t="n"/>
      <c r="AD338" s="44" t="n"/>
      <c r="AE338" s="44" t="n"/>
      <c r="AF338" s="88" t="n"/>
      <c r="AG338" s="85" t="n"/>
      <c r="AH338" s="85" t="n"/>
      <c r="AI338" s="85" t="n"/>
      <c r="AJ338" s="85" t="n"/>
      <c r="AK338" s="85" t="n"/>
      <c r="AL338" s="85" t="n"/>
      <c r="AM338" s="85" t="n"/>
      <c r="AN338" s="85" t="n"/>
      <c r="AO338" s="85" t="n"/>
      <c r="AP338" s="85" t="n"/>
      <c r="AQ338" s="85" t="n"/>
      <c r="AR338" s="85" t="n"/>
      <c r="AS338" s="85" t="n"/>
      <c r="AT338" s="85" t="n"/>
      <c r="AU338" s="85" t="n"/>
      <c r="AV338" s="85" t="n"/>
      <c r="AW338" s="44" t="n"/>
      <c r="AX338" s="85" t="n"/>
      <c r="AY338" s="88" t="n"/>
      <c r="AZ338" s="86" t="n"/>
      <c r="BA338" s="44" t="n"/>
      <c r="BB338" s="44" t="n"/>
      <c r="BC338" s="87" t="n"/>
      <c r="BD338" s="44" t="n"/>
      <c r="BE338" s="87" t="n"/>
      <c r="BF338" s="85" t="n"/>
      <c r="BG338" s="44" t="n"/>
      <c r="BH338" s="44" t="n"/>
      <c r="BI338" s="85" t="n"/>
      <c r="BJ338" s="44" t="n"/>
      <c r="BK338" s="45" t="n"/>
      <c r="BL338" s="44" t="n"/>
      <c r="BM338" s="85" t="n"/>
      <c r="BN338" s="44" t="n"/>
      <c r="BO338" s="85" t="n"/>
      <c r="BP338" s="86" t="n"/>
      <c r="BQ338" s="44" t="n"/>
      <c r="BR338" s="50" t="n"/>
      <c r="BS338" s="89" t="n"/>
      <c r="BT338" s="50">
        <f>IF(OR(K338="",L338="",M338=""),"",IF(ABS(ROUND(((ROUND(N(K338)*100,0))-(0))*(100+N(M338))/100,0)-(ROUND(N(L338)*100,0)))&lt;=0+IF(((ROUND(N(K338)*100,0))-(0))*(100+N(M338))/100&lt;&gt;ROUND(((ROUND(N(K338)*100,0))-(0))*(100+N(M338))/100,0),1,0),"OK","ABWEICHUNG"))</f>
        <v/>
      </c>
    </row>
    <row r="339">
      <c r="A339" s="50" t="n"/>
      <c r="B339" s="44" t="n"/>
      <c r="C339" s="44" t="n"/>
      <c r="D339" s="44" t="n"/>
      <c r="E339" s="44" t="n"/>
      <c r="F339" s="44" t="n"/>
      <c r="G339" s="44" t="n"/>
      <c r="H339" s="44" t="n"/>
      <c r="I339" s="45" t="n"/>
      <c r="J339" s="45" t="n"/>
      <c r="K339" s="85" t="n"/>
      <c r="L339" s="85" t="n"/>
      <c r="M339" s="88" t="n"/>
      <c r="N339" s="88" t="n"/>
      <c r="O339" s="44" t="n"/>
      <c r="P339" s="45" t="n"/>
      <c r="Q339" s="45" t="n"/>
      <c r="R339" s="44" t="n"/>
      <c r="S339" s="45" t="n"/>
      <c r="T339" s="45" t="n"/>
      <c r="U339" s="85" t="n"/>
      <c r="V339" s="44" t="n"/>
      <c r="W339" s="45" t="n"/>
      <c r="X339" s="45" t="n"/>
      <c r="Y339" s="44" t="n"/>
      <c r="Z339" s="85" t="n"/>
      <c r="AA339" s="44" t="n"/>
      <c r="AB339" s="44" t="n"/>
      <c r="AC339" s="44" t="n"/>
      <c r="AD339" s="44" t="n"/>
      <c r="AE339" s="44" t="n"/>
      <c r="AF339" s="88" t="n"/>
      <c r="AG339" s="85" t="n"/>
      <c r="AH339" s="85" t="n"/>
      <c r="AI339" s="85" t="n"/>
      <c r="AJ339" s="85" t="n"/>
      <c r="AK339" s="85" t="n"/>
      <c r="AL339" s="85" t="n"/>
      <c r="AM339" s="85" t="n"/>
      <c r="AN339" s="85" t="n"/>
      <c r="AO339" s="85" t="n"/>
      <c r="AP339" s="85" t="n"/>
      <c r="AQ339" s="85" t="n"/>
      <c r="AR339" s="85" t="n"/>
      <c r="AS339" s="85" t="n"/>
      <c r="AT339" s="85" t="n"/>
      <c r="AU339" s="85" t="n"/>
      <c r="AV339" s="85" t="n"/>
      <c r="AW339" s="44" t="n"/>
      <c r="AX339" s="85" t="n"/>
      <c r="AY339" s="88" t="n"/>
      <c r="AZ339" s="86" t="n"/>
      <c r="BA339" s="44" t="n"/>
      <c r="BB339" s="44" t="n"/>
      <c r="BC339" s="87" t="n"/>
      <c r="BD339" s="44" t="n"/>
      <c r="BE339" s="87" t="n"/>
      <c r="BF339" s="85" t="n"/>
      <c r="BG339" s="44" t="n"/>
      <c r="BH339" s="44" t="n"/>
      <c r="BI339" s="85" t="n"/>
      <c r="BJ339" s="44" t="n"/>
      <c r="BK339" s="45" t="n"/>
      <c r="BL339" s="44" t="n"/>
      <c r="BM339" s="85" t="n"/>
      <c r="BN339" s="44" t="n"/>
      <c r="BO339" s="85" t="n"/>
      <c r="BP339" s="86" t="n"/>
      <c r="BQ339" s="44" t="n"/>
      <c r="BR339" s="50" t="n"/>
      <c r="BS339" s="89" t="n"/>
      <c r="BT339" s="50">
        <f>IF(OR(K339="",L339="",M339=""),"",IF(ABS(ROUND(((ROUND(N(K339)*100,0))-(0))*(100+N(M339))/100,0)-(ROUND(N(L339)*100,0)))&lt;=0+IF(((ROUND(N(K339)*100,0))-(0))*(100+N(M339))/100&lt;&gt;ROUND(((ROUND(N(K339)*100,0))-(0))*(100+N(M339))/100,0),1,0),"OK","ABWEICHUNG"))</f>
        <v/>
      </c>
    </row>
    <row r="340">
      <c r="A340" s="50" t="n"/>
      <c r="B340" s="44" t="n"/>
      <c r="C340" s="44" t="n"/>
      <c r="D340" s="44" t="n"/>
      <c r="E340" s="44" t="n"/>
      <c r="F340" s="44" t="n"/>
      <c r="G340" s="44" t="n"/>
      <c r="H340" s="44" t="n"/>
      <c r="I340" s="45" t="n"/>
      <c r="J340" s="45" t="n"/>
      <c r="K340" s="85" t="n"/>
      <c r="L340" s="85" t="n"/>
      <c r="M340" s="88" t="n"/>
      <c r="N340" s="88" t="n"/>
      <c r="O340" s="44" t="n"/>
      <c r="P340" s="45" t="n"/>
      <c r="Q340" s="45" t="n"/>
      <c r="R340" s="44" t="n"/>
      <c r="S340" s="45" t="n"/>
      <c r="T340" s="45" t="n"/>
      <c r="U340" s="85" t="n"/>
      <c r="V340" s="44" t="n"/>
      <c r="W340" s="45" t="n"/>
      <c r="X340" s="45" t="n"/>
      <c r="Y340" s="44" t="n"/>
      <c r="Z340" s="85" t="n"/>
      <c r="AA340" s="44" t="n"/>
      <c r="AB340" s="44" t="n"/>
      <c r="AC340" s="44" t="n"/>
      <c r="AD340" s="44" t="n"/>
      <c r="AE340" s="44" t="n"/>
      <c r="AF340" s="88" t="n"/>
      <c r="AG340" s="85" t="n"/>
      <c r="AH340" s="85" t="n"/>
      <c r="AI340" s="85" t="n"/>
      <c r="AJ340" s="85" t="n"/>
      <c r="AK340" s="85" t="n"/>
      <c r="AL340" s="85" t="n"/>
      <c r="AM340" s="85" t="n"/>
      <c r="AN340" s="85" t="n"/>
      <c r="AO340" s="85" t="n"/>
      <c r="AP340" s="85" t="n"/>
      <c r="AQ340" s="85" t="n"/>
      <c r="AR340" s="85" t="n"/>
      <c r="AS340" s="85" t="n"/>
      <c r="AT340" s="85" t="n"/>
      <c r="AU340" s="85" t="n"/>
      <c r="AV340" s="85" t="n"/>
      <c r="AW340" s="44" t="n"/>
      <c r="AX340" s="85" t="n"/>
      <c r="AY340" s="88" t="n"/>
      <c r="AZ340" s="86" t="n"/>
      <c r="BA340" s="44" t="n"/>
      <c r="BB340" s="44" t="n"/>
      <c r="BC340" s="87" t="n"/>
      <c r="BD340" s="44" t="n"/>
      <c r="BE340" s="87" t="n"/>
      <c r="BF340" s="85" t="n"/>
      <c r="BG340" s="44" t="n"/>
      <c r="BH340" s="44" t="n"/>
      <c r="BI340" s="85" t="n"/>
      <c r="BJ340" s="44" t="n"/>
      <c r="BK340" s="45" t="n"/>
      <c r="BL340" s="44" t="n"/>
      <c r="BM340" s="85" t="n"/>
      <c r="BN340" s="44" t="n"/>
      <c r="BO340" s="85" t="n"/>
      <c r="BP340" s="86" t="n"/>
      <c r="BQ340" s="44" t="n"/>
      <c r="BR340" s="50" t="n"/>
      <c r="BS340" s="89" t="n"/>
      <c r="BT340" s="50">
        <f>IF(OR(K340="",L340="",M340=""),"",IF(ABS(ROUND(((ROUND(N(K340)*100,0))-(0))*(100+N(M340))/100,0)-(ROUND(N(L340)*100,0)))&lt;=0+IF(((ROUND(N(K340)*100,0))-(0))*(100+N(M340))/100&lt;&gt;ROUND(((ROUND(N(K340)*100,0))-(0))*(100+N(M340))/100,0),1,0),"OK","ABWEICHUNG"))</f>
        <v/>
      </c>
    </row>
    <row r="341">
      <c r="A341" s="50" t="n"/>
      <c r="B341" s="44" t="n"/>
      <c r="C341" s="44" t="n"/>
      <c r="D341" s="44" t="n"/>
      <c r="E341" s="44" t="n"/>
      <c r="F341" s="44" t="n"/>
      <c r="G341" s="44" t="n"/>
      <c r="H341" s="44" t="n"/>
      <c r="I341" s="45" t="n"/>
      <c r="J341" s="45" t="n"/>
      <c r="K341" s="85" t="n"/>
      <c r="L341" s="85" t="n"/>
      <c r="M341" s="88" t="n"/>
      <c r="N341" s="88" t="n"/>
      <c r="O341" s="44" t="n"/>
      <c r="P341" s="45" t="n"/>
      <c r="Q341" s="45" t="n"/>
      <c r="R341" s="44" t="n"/>
      <c r="S341" s="45" t="n"/>
      <c r="T341" s="45" t="n"/>
      <c r="U341" s="85" t="n"/>
      <c r="V341" s="44" t="n"/>
      <c r="W341" s="45" t="n"/>
      <c r="X341" s="45" t="n"/>
      <c r="Y341" s="44" t="n"/>
      <c r="Z341" s="85" t="n"/>
      <c r="AA341" s="44" t="n"/>
      <c r="AB341" s="44" t="n"/>
      <c r="AC341" s="44" t="n"/>
      <c r="AD341" s="44" t="n"/>
      <c r="AE341" s="44" t="n"/>
      <c r="AF341" s="88" t="n"/>
      <c r="AG341" s="85" t="n"/>
      <c r="AH341" s="85" t="n"/>
      <c r="AI341" s="85" t="n"/>
      <c r="AJ341" s="85" t="n"/>
      <c r="AK341" s="85" t="n"/>
      <c r="AL341" s="85" t="n"/>
      <c r="AM341" s="85" t="n"/>
      <c r="AN341" s="85" t="n"/>
      <c r="AO341" s="85" t="n"/>
      <c r="AP341" s="85" t="n"/>
      <c r="AQ341" s="85" t="n"/>
      <c r="AR341" s="85" t="n"/>
      <c r="AS341" s="85" t="n"/>
      <c r="AT341" s="85" t="n"/>
      <c r="AU341" s="85" t="n"/>
      <c r="AV341" s="85" t="n"/>
      <c r="AW341" s="44" t="n"/>
      <c r="AX341" s="85" t="n"/>
      <c r="AY341" s="88" t="n"/>
      <c r="AZ341" s="86" t="n"/>
      <c r="BA341" s="44" t="n"/>
      <c r="BB341" s="44" t="n"/>
      <c r="BC341" s="87" t="n"/>
      <c r="BD341" s="44" t="n"/>
      <c r="BE341" s="87" t="n"/>
      <c r="BF341" s="85" t="n"/>
      <c r="BG341" s="44" t="n"/>
      <c r="BH341" s="44" t="n"/>
      <c r="BI341" s="85" t="n"/>
      <c r="BJ341" s="44" t="n"/>
      <c r="BK341" s="45" t="n"/>
      <c r="BL341" s="44" t="n"/>
      <c r="BM341" s="85" t="n"/>
      <c r="BN341" s="44" t="n"/>
      <c r="BO341" s="85" t="n"/>
      <c r="BP341" s="86" t="n"/>
      <c r="BQ341" s="44" t="n"/>
      <c r="BR341" s="50" t="n"/>
      <c r="BS341" s="89" t="n"/>
      <c r="BT341" s="50">
        <f>IF(OR(K341="",L341="",M341=""),"",IF(ABS(ROUND(((ROUND(N(K341)*100,0))-(0))*(100+N(M341))/100,0)-(ROUND(N(L341)*100,0)))&lt;=0+IF(((ROUND(N(K341)*100,0))-(0))*(100+N(M341))/100&lt;&gt;ROUND(((ROUND(N(K341)*100,0))-(0))*(100+N(M341))/100,0),1,0),"OK","ABWEICHUNG"))</f>
        <v/>
      </c>
    </row>
    <row r="342">
      <c r="A342" s="50" t="n"/>
      <c r="B342" s="44" t="n"/>
      <c r="C342" s="44" t="n"/>
      <c r="D342" s="44" t="n"/>
      <c r="E342" s="44" t="n"/>
      <c r="F342" s="44" t="n"/>
      <c r="G342" s="44" t="n"/>
      <c r="H342" s="44" t="n"/>
      <c r="I342" s="45" t="n"/>
      <c r="J342" s="45" t="n"/>
      <c r="K342" s="85" t="n"/>
      <c r="L342" s="85" t="n"/>
      <c r="M342" s="88" t="n"/>
      <c r="N342" s="88" t="n"/>
      <c r="O342" s="44" t="n"/>
      <c r="P342" s="45" t="n"/>
      <c r="Q342" s="45" t="n"/>
      <c r="R342" s="44" t="n"/>
      <c r="S342" s="45" t="n"/>
      <c r="T342" s="45" t="n"/>
      <c r="U342" s="85" t="n"/>
      <c r="V342" s="44" t="n"/>
      <c r="W342" s="45" t="n"/>
      <c r="X342" s="45" t="n"/>
      <c r="Y342" s="44" t="n"/>
      <c r="Z342" s="85" t="n"/>
      <c r="AA342" s="44" t="n"/>
      <c r="AB342" s="44" t="n"/>
      <c r="AC342" s="44" t="n"/>
      <c r="AD342" s="44" t="n"/>
      <c r="AE342" s="44" t="n"/>
      <c r="AF342" s="88" t="n"/>
      <c r="AG342" s="85" t="n"/>
      <c r="AH342" s="85" t="n"/>
      <c r="AI342" s="85" t="n"/>
      <c r="AJ342" s="85" t="n"/>
      <c r="AK342" s="85" t="n"/>
      <c r="AL342" s="85" t="n"/>
      <c r="AM342" s="85" t="n"/>
      <c r="AN342" s="85" t="n"/>
      <c r="AO342" s="85" t="n"/>
      <c r="AP342" s="85" t="n"/>
      <c r="AQ342" s="85" t="n"/>
      <c r="AR342" s="85" t="n"/>
      <c r="AS342" s="85" t="n"/>
      <c r="AT342" s="85" t="n"/>
      <c r="AU342" s="85" t="n"/>
      <c r="AV342" s="85" t="n"/>
      <c r="AW342" s="44" t="n"/>
      <c r="AX342" s="85" t="n"/>
      <c r="AY342" s="88" t="n"/>
      <c r="AZ342" s="86" t="n"/>
      <c r="BA342" s="44" t="n"/>
      <c r="BB342" s="44" t="n"/>
      <c r="BC342" s="87" t="n"/>
      <c r="BD342" s="44" t="n"/>
      <c r="BE342" s="87" t="n"/>
      <c r="BF342" s="85" t="n"/>
      <c r="BG342" s="44" t="n"/>
      <c r="BH342" s="44" t="n"/>
      <c r="BI342" s="85" t="n"/>
      <c r="BJ342" s="44" t="n"/>
      <c r="BK342" s="45" t="n"/>
      <c r="BL342" s="44" t="n"/>
      <c r="BM342" s="85" t="n"/>
      <c r="BN342" s="44" t="n"/>
      <c r="BO342" s="85" t="n"/>
      <c r="BP342" s="86" t="n"/>
      <c r="BQ342" s="44" t="n"/>
      <c r="BR342" s="50" t="n"/>
      <c r="BS342" s="89" t="n"/>
      <c r="BT342" s="50">
        <f>IF(OR(K342="",L342="",M342=""),"",IF(ABS(ROUND(((ROUND(N(K342)*100,0))-(0))*(100+N(M342))/100,0)-(ROUND(N(L342)*100,0)))&lt;=0+IF(((ROUND(N(K342)*100,0))-(0))*(100+N(M342))/100&lt;&gt;ROUND(((ROUND(N(K342)*100,0))-(0))*(100+N(M342))/100,0),1,0),"OK","ABWEICHUNG"))</f>
        <v/>
      </c>
    </row>
    <row r="343">
      <c r="A343" s="50" t="n"/>
      <c r="B343" s="44" t="n"/>
      <c r="C343" s="44" t="n"/>
      <c r="D343" s="44" t="n"/>
      <c r="E343" s="44" t="n"/>
      <c r="F343" s="44" t="n"/>
      <c r="G343" s="44" t="n"/>
      <c r="H343" s="44" t="n"/>
      <c r="I343" s="45" t="n"/>
      <c r="J343" s="45" t="n"/>
      <c r="K343" s="85" t="n"/>
      <c r="L343" s="85" t="n"/>
      <c r="M343" s="88" t="n"/>
      <c r="N343" s="88" t="n"/>
      <c r="O343" s="44" t="n"/>
      <c r="P343" s="45" t="n"/>
      <c r="Q343" s="45" t="n"/>
      <c r="R343" s="44" t="n"/>
      <c r="S343" s="45" t="n"/>
      <c r="T343" s="45" t="n"/>
      <c r="U343" s="85" t="n"/>
      <c r="V343" s="44" t="n"/>
      <c r="W343" s="45" t="n"/>
      <c r="X343" s="45" t="n"/>
      <c r="Y343" s="44" t="n"/>
      <c r="Z343" s="85" t="n"/>
      <c r="AA343" s="44" t="n"/>
      <c r="AB343" s="44" t="n"/>
      <c r="AC343" s="44" t="n"/>
      <c r="AD343" s="44" t="n"/>
      <c r="AE343" s="44" t="n"/>
      <c r="AF343" s="88" t="n"/>
      <c r="AG343" s="85" t="n"/>
      <c r="AH343" s="85" t="n"/>
      <c r="AI343" s="85" t="n"/>
      <c r="AJ343" s="85" t="n"/>
      <c r="AK343" s="85" t="n"/>
      <c r="AL343" s="85" t="n"/>
      <c r="AM343" s="85" t="n"/>
      <c r="AN343" s="85" t="n"/>
      <c r="AO343" s="85" t="n"/>
      <c r="AP343" s="85" t="n"/>
      <c r="AQ343" s="85" t="n"/>
      <c r="AR343" s="85" t="n"/>
      <c r="AS343" s="85" t="n"/>
      <c r="AT343" s="85" t="n"/>
      <c r="AU343" s="85" t="n"/>
      <c r="AV343" s="85" t="n"/>
      <c r="AW343" s="44" t="n"/>
      <c r="AX343" s="85" t="n"/>
      <c r="AY343" s="88" t="n"/>
      <c r="AZ343" s="86" t="n"/>
      <c r="BA343" s="44" t="n"/>
      <c r="BB343" s="44" t="n"/>
      <c r="BC343" s="87" t="n"/>
      <c r="BD343" s="44" t="n"/>
      <c r="BE343" s="87" t="n"/>
      <c r="BF343" s="85" t="n"/>
      <c r="BG343" s="44" t="n"/>
      <c r="BH343" s="44" t="n"/>
      <c r="BI343" s="85" t="n"/>
      <c r="BJ343" s="44" t="n"/>
      <c r="BK343" s="45" t="n"/>
      <c r="BL343" s="44" t="n"/>
      <c r="BM343" s="85" t="n"/>
      <c r="BN343" s="44" t="n"/>
      <c r="BO343" s="85" t="n"/>
      <c r="BP343" s="86" t="n"/>
      <c r="BQ343" s="44" t="n"/>
      <c r="BR343" s="50" t="n"/>
      <c r="BS343" s="89" t="n"/>
      <c r="BT343" s="50">
        <f>IF(OR(K343="",L343="",M343=""),"",IF(ABS(ROUND(((ROUND(N(K343)*100,0))-(0))*(100+N(M343))/100,0)-(ROUND(N(L343)*100,0)))&lt;=0+IF(((ROUND(N(K343)*100,0))-(0))*(100+N(M343))/100&lt;&gt;ROUND(((ROUND(N(K343)*100,0))-(0))*(100+N(M343))/100,0),1,0),"OK","ABWEICHUNG"))</f>
        <v/>
      </c>
    </row>
    <row r="344">
      <c r="A344" s="50" t="n"/>
      <c r="B344" s="44" t="n"/>
      <c r="C344" s="44" t="n"/>
      <c r="D344" s="44" t="n"/>
      <c r="E344" s="44" t="n"/>
      <c r="F344" s="44" t="n"/>
      <c r="G344" s="44" t="n"/>
      <c r="H344" s="44" t="n"/>
      <c r="I344" s="45" t="n"/>
      <c r="J344" s="45" t="n"/>
      <c r="K344" s="85" t="n"/>
      <c r="L344" s="85" t="n"/>
      <c r="M344" s="88" t="n"/>
      <c r="N344" s="88" t="n"/>
      <c r="O344" s="44" t="n"/>
      <c r="P344" s="45" t="n"/>
      <c r="Q344" s="45" t="n"/>
      <c r="R344" s="44" t="n"/>
      <c r="S344" s="45" t="n"/>
      <c r="T344" s="45" t="n"/>
      <c r="U344" s="85" t="n"/>
      <c r="V344" s="44" t="n"/>
      <c r="W344" s="45" t="n"/>
      <c r="X344" s="45" t="n"/>
      <c r="Y344" s="44" t="n"/>
      <c r="Z344" s="85" t="n"/>
      <c r="AA344" s="44" t="n"/>
      <c r="AB344" s="44" t="n"/>
      <c r="AC344" s="44" t="n"/>
      <c r="AD344" s="44" t="n"/>
      <c r="AE344" s="44" t="n"/>
      <c r="AF344" s="88" t="n"/>
      <c r="AG344" s="85" t="n"/>
      <c r="AH344" s="85" t="n"/>
      <c r="AI344" s="85" t="n"/>
      <c r="AJ344" s="85" t="n"/>
      <c r="AK344" s="85" t="n"/>
      <c r="AL344" s="85" t="n"/>
      <c r="AM344" s="85" t="n"/>
      <c r="AN344" s="85" t="n"/>
      <c r="AO344" s="85" t="n"/>
      <c r="AP344" s="85" t="n"/>
      <c r="AQ344" s="85" t="n"/>
      <c r="AR344" s="85" t="n"/>
      <c r="AS344" s="85" t="n"/>
      <c r="AT344" s="85" t="n"/>
      <c r="AU344" s="85" t="n"/>
      <c r="AV344" s="85" t="n"/>
      <c r="AW344" s="44" t="n"/>
      <c r="AX344" s="85" t="n"/>
      <c r="AY344" s="88" t="n"/>
      <c r="AZ344" s="86" t="n"/>
      <c r="BA344" s="44" t="n"/>
      <c r="BB344" s="44" t="n"/>
      <c r="BC344" s="87" t="n"/>
      <c r="BD344" s="44" t="n"/>
      <c r="BE344" s="87" t="n"/>
      <c r="BF344" s="85" t="n"/>
      <c r="BG344" s="44" t="n"/>
      <c r="BH344" s="44" t="n"/>
      <c r="BI344" s="85" t="n"/>
      <c r="BJ344" s="44" t="n"/>
      <c r="BK344" s="45" t="n"/>
      <c r="BL344" s="44" t="n"/>
      <c r="BM344" s="85" t="n"/>
      <c r="BN344" s="44" t="n"/>
      <c r="BO344" s="85" t="n"/>
      <c r="BP344" s="86" t="n"/>
      <c r="BQ344" s="44" t="n"/>
      <c r="BR344" s="50" t="n"/>
      <c r="BS344" s="89" t="n"/>
      <c r="BT344" s="50">
        <f>IF(OR(K344="",L344="",M344=""),"",IF(ABS(ROUND(((ROUND(N(K344)*100,0))-(0))*(100+N(M344))/100,0)-(ROUND(N(L344)*100,0)))&lt;=0+IF(((ROUND(N(K344)*100,0))-(0))*(100+N(M344))/100&lt;&gt;ROUND(((ROUND(N(K344)*100,0))-(0))*(100+N(M344))/100,0),1,0),"OK","ABWEICHUNG"))</f>
        <v/>
      </c>
    </row>
    <row r="345">
      <c r="A345" s="50" t="n"/>
      <c r="B345" s="44" t="n"/>
      <c r="C345" s="44" t="n"/>
      <c r="D345" s="44" t="n"/>
      <c r="E345" s="44" t="n"/>
      <c r="F345" s="44" t="n"/>
      <c r="G345" s="44" t="n"/>
      <c r="H345" s="44" t="n"/>
      <c r="I345" s="45" t="n"/>
      <c r="J345" s="45" t="n"/>
      <c r="K345" s="85" t="n"/>
      <c r="L345" s="85" t="n"/>
      <c r="M345" s="88" t="n"/>
      <c r="N345" s="88" t="n"/>
      <c r="O345" s="44" t="n"/>
      <c r="P345" s="45" t="n"/>
      <c r="Q345" s="45" t="n"/>
      <c r="R345" s="44" t="n"/>
      <c r="S345" s="45" t="n"/>
      <c r="T345" s="45" t="n"/>
      <c r="U345" s="85" t="n"/>
      <c r="V345" s="44" t="n"/>
      <c r="W345" s="45" t="n"/>
      <c r="X345" s="45" t="n"/>
      <c r="Y345" s="44" t="n"/>
      <c r="Z345" s="85" t="n"/>
      <c r="AA345" s="44" t="n"/>
      <c r="AB345" s="44" t="n"/>
      <c r="AC345" s="44" t="n"/>
      <c r="AD345" s="44" t="n"/>
      <c r="AE345" s="44" t="n"/>
      <c r="AF345" s="88" t="n"/>
      <c r="AG345" s="85" t="n"/>
      <c r="AH345" s="85" t="n"/>
      <c r="AI345" s="85" t="n"/>
      <c r="AJ345" s="85" t="n"/>
      <c r="AK345" s="85" t="n"/>
      <c r="AL345" s="85" t="n"/>
      <c r="AM345" s="85" t="n"/>
      <c r="AN345" s="85" t="n"/>
      <c r="AO345" s="85" t="n"/>
      <c r="AP345" s="85" t="n"/>
      <c r="AQ345" s="85" t="n"/>
      <c r="AR345" s="85" t="n"/>
      <c r="AS345" s="85" t="n"/>
      <c r="AT345" s="85" t="n"/>
      <c r="AU345" s="85" t="n"/>
      <c r="AV345" s="85" t="n"/>
      <c r="AW345" s="44" t="n"/>
      <c r="AX345" s="85" t="n"/>
      <c r="AY345" s="88" t="n"/>
      <c r="AZ345" s="86" t="n"/>
      <c r="BA345" s="44" t="n"/>
      <c r="BB345" s="44" t="n"/>
      <c r="BC345" s="87" t="n"/>
      <c r="BD345" s="44" t="n"/>
      <c r="BE345" s="87" t="n"/>
      <c r="BF345" s="85" t="n"/>
      <c r="BG345" s="44" t="n"/>
      <c r="BH345" s="44" t="n"/>
      <c r="BI345" s="85" t="n"/>
      <c r="BJ345" s="44" t="n"/>
      <c r="BK345" s="45" t="n"/>
      <c r="BL345" s="44" t="n"/>
      <c r="BM345" s="85" t="n"/>
      <c r="BN345" s="44" t="n"/>
      <c r="BO345" s="85" t="n"/>
      <c r="BP345" s="86" t="n"/>
      <c r="BQ345" s="44" t="n"/>
      <c r="BR345" s="50" t="n"/>
      <c r="BS345" s="89" t="n"/>
      <c r="BT345" s="50">
        <f>IF(OR(K345="",L345="",M345=""),"",IF(ABS(ROUND(((ROUND(N(K345)*100,0))-(0))*(100+N(M345))/100,0)-(ROUND(N(L345)*100,0)))&lt;=0+IF(((ROUND(N(K345)*100,0))-(0))*(100+N(M345))/100&lt;&gt;ROUND(((ROUND(N(K345)*100,0))-(0))*(100+N(M345))/100,0),1,0),"OK","ABWEICHUNG"))</f>
        <v/>
      </c>
    </row>
    <row r="346">
      <c r="A346" s="50" t="n"/>
      <c r="B346" s="44" t="n"/>
      <c r="C346" s="44" t="n"/>
      <c r="D346" s="44" t="n"/>
      <c r="E346" s="44" t="n"/>
      <c r="F346" s="44" t="n"/>
      <c r="G346" s="44" t="n"/>
      <c r="H346" s="44" t="n"/>
      <c r="I346" s="45" t="n"/>
      <c r="J346" s="45" t="n"/>
      <c r="K346" s="85" t="n"/>
      <c r="L346" s="85" t="n"/>
      <c r="M346" s="88" t="n"/>
      <c r="N346" s="88" t="n"/>
      <c r="O346" s="44" t="n"/>
      <c r="P346" s="45" t="n"/>
      <c r="Q346" s="45" t="n"/>
      <c r="R346" s="44" t="n"/>
      <c r="S346" s="45" t="n"/>
      <c r="T346" s="45" t="n"/>
      <c r="U346" s="85" t="n"/>
      <c r="V346" s="44" t="n"/>
      <c r="W346" s="45" t="n"/>
      <c r="X346" s="45" t="n"/>
      <c r="Y346" s="44" t="n"/>
      <c r="Z346" s="85" t="n"/>
      <c r="AA346" s="44" t="n"/>
      <c r="AB346" s="44" t="n"/>
      <c r="AC346" s="44" t="n"/>
      <c r="AD346" s="44" t="n"/>
      <c r="AE346" s="44" t="n"/>
      <c r="AF346" s="88" t="n"/>
      <c r="AG346" s="85" t="n"/>
      <c r="AH346" s="85" t="n"/>
      <c r="AI346" s="85" t="n"/>
      <c r="AJ346" s="85" t="n"/>
      <c r="AK346" s="85" t="n"/>
      <c r="AL346" s="85" t="n"/>
      <c r="AM346" s="85" t="n"/>
      <c r="AN346" s="85" t="n"/>
      <c r="AO346" s="85" t="n"/>
      <c r="AP346" s="85" t="n"/>
      <c r="AQ346" s="85" t="n"/>
      <c r="AR346" s="85" t="n"/>
      <c r="AS346" s="85" t="n"/>
      <c r="AT346" s="85" t="n"/>
      <c r="AU346" s="85" t="n"/>
      <c r="AV346" s="85" t="n"/>
      <c r="AW346" s="44" t="n"/>
      <c r="AX346" s="85" t="n"/>
      <c r="AY346" s="88" t="n"/>
      <c r="AZ346" s="86" t="n"/>
      <c r="BA346" s="44" t="n"/>
      <c r="BB346" s="44" t="n"/>
      <c r="BC346" s="87" t="n"/>
      <c r="BD346" s="44" t="n"/>
      <c r="BE346" s="87" t="n"/>
      <c r="BF346" s="85" t="n"/>
      <c r="BG346" s="44" t="n"/>
      <c r="BH346" s="44" t="n"/>
      <c r="BI346" s="85" t="n"/>
      <c r="BJ346" s="44" t="n"/>
      <c r="BK346" s="45" t="n"/>
      <c r="BL346" s="44" t="n"/>
      <c r="BM346" s="85" t="n"/>
      <c r="BN346" s="44" t="n"/>
      <c r="BO346" s="85" t="n"/>
      <c r="BP346" s="86" t="n"/>
      <c r="BQ346" s="44" t="n"/>
      <c r="BR346" s="50" t="n"/>
      <c r="BS346" s="89" t="n"/>
      <c r="BT346" s="50">
        <f>IF(OR(K346="",L346="",M346=""),"",IF(ABS(ROUND(((ROUND(N(K346)*100,0))-(0))*(100+N(M346))/100,0)-(ROUND(N(L346)*100,0)))&lt;=0+IF(((ROUND(N(K346)*100,0))-(0))*(100+N(M346))/100&lt;&gt;ROUND(((ROUND(N(K346)*100,0))-(0))*(100+N(M346))/100,0),1,0),"OK","ABWEICHUNG"))</f>
        <v/>
      </c>
    </row>
    <row r="347">
      <c r="A347" s="50" t="n"/>
      <c r="B347" s="44" t="n"/>
      <c r="C347" s="44" t="n"/>
      <c r="D347" s="44" t="n"/>
      <c r="E347" s="44" t="n"/>
      <c r="F347" s="44" t="n"/>
      <c r="G347" s="44" t="n"/>
      <c r="H347" s="44" t="n"/>
      <c r="I347" s="45" t="n"/>
      <c r="J347" s="45" t="n"/>
      <c r="K347" s="85" t="n"/>
      <c r="L347" s="85" t="n"/>
      <c r="M347" s="88" t="n"/>
      <c r="N347" s="88" t="n"/>
      <c r="O347" s="44" t="n"/>
      <c r="P347" s="45" t="n"/>
      <c r="Q347" s="45" t="n"/>
      <c r="R347" s="44" t="n"/>
      <c r="S347" s="45" t="n"/>
      <c r="T347" s="45" t="n"/>
      <c r="U347" s="85" t="n"/>
      <c r="V347" s="44" t="n"/>
      <c r="W347" s="45" t="n"/>
      <c r="X347" s="45" t="n"/>
      <c r="Y347" s="44" t="n"/>
      <c r="Z347" s="85" t="n"/>
      <c r="AA347" s="44" t="n"/>
      <c r="AB347" s="44" t="n"/>
      <c r="AC347" s="44" t="n"/>
      <c r="AD347" s="44" t="n"/>
      <c r="AE347" s="44" t="n"/>
      <c r="AF347" s="88" t="n"/>
      <c r="AG347" s="85" t="n"/>
      <c r="AH347" s="85" t="n"/>
      <c r="AI347" s="85" t="n"/>
      <c r="AJ347" s="85" t="n"/>
      <c r="AK347" s="85" t="n"/>
      <c r="AL347" s="85" t="n"/>
      <c r="AM347" s="85" t="n"/>
      <c r="AN347" s="85" t="n"/>
      <c r="AO347" s="85" t="n"/>
      <c r="AP347" s="85" t="n"/>
      <c r="AQ347" s="85" t="n"/>
      <c r="AR347" s="85" t="n"/>
      <c r="AS347" s="85" t="n"/>
      <c r="AT347" s="85" t="n"/>
      <c r="AU347" s="85" t="n"/>
      <c r="AV347" s="85" t="n"/>
      <c r="AW347" s="44" t="n"/>
      <c r="AX347" s="85" t="n"/>
      <c r="AY347" s="88" t="n"/>
      <c r="AZ347" s="86" t="n"/>
      <c r="BA347" s="44" t="n"/>
      <c r="BB347" s="44" t="n"/>
      <c r="BC347" s="87" t="n"/>
      <c r="BD347" s="44" t="n"/>
      <c r="BE347" s="87" t="n"/>
      <c r="BF347" s="85" t="n"/>
      <c r="BG347" s="44" t="n"/>
      <c r="BH347" s="44" t="n"/>
      <c r="BI347" s="85" t="n"/>
      <c r="BJ347" s="44" t="n"/>
      <c r="BK347" s="45" t="n"/>
      <c r="BL347" s="44" t="n"/>
      <c r="BM347" s="85" t="n"/>
      <c r="BN347" s="44" t="n"/>
      <c r="BO347" s="85" t="n"/>
      <c r="BP347" s="86" t="n"/>
      <c r="BQ347" s="44" t="n"/>
      <c r="BR347" s="50" t="n"/>
      <c r="BS347" s="89" t="n"/>
      <c r="BT347" s="50">
        <f>IF(OR(K347="",L347="",M347=""),"",IF(ABS(ROUND(((ROUND(N(K347)*100,0))-(0))*(100+N(M347))/100,0)-(ROUND(N(L347)*100,0)))&lt;=0+IF(((ROUND(N(K347)*100,0))-(0))*(100+N(M347))/100&lt;&gt;ROUND(((ROUND(N(K347)*100,0))-(0))*(100+N(M347))/100,0),1,0),"OK","ABWEICHUNG"))</f>
        <v/>
      </c>
    </row>
    <row r="348">
      <c r="A348" s="50" t="n"/>
      <c r="B348" s="44" t="n"/>
      <c r="C348" s="44" t="n"/>
      <c r="D348" s="44" t="n"/>
      <c r="E348" s="44" t="n"/>
      <c r="F348" s="44" t="n"/>
      <c r="G348" s="44" t="n"/>
      <c r="H348" s="44" t="n"/>
      <c r="I348" s="45" t="n"/>
      <c r="J348" s="45" t="n"/>
      <c r="K348" s="85" t="n"/>
      <c r="L348" s="85" t="n"/>
      <c r="M348" s="88" t="n"/>
      <c r="N348" s="88" t="n"/>
      <c r="O348" s="44" t="n"/>
      <c r="P348" s="45" t="n"/>
      <c r="Q348" s="45" t="n"/>
      <c r="R348" s="44" t="n"/>
      <c r="S348" s="45" t="n"/>
      <c r="T348" s="45" t="n"/>
      <c r="U348" s="85" t="n"/>
      <c r="V348" s="44" t="n"/>
      <c r="W348" s="45" t="n"/>
      <c r="X348" s="45" t="n"/>
      <c r="Y348" s="44" t="n"/>
      <c r="Z348" s="85" t="n"/>
      <c r="AA348" s="44" t="n"/>
      <c r="AB348" s="44" t="n"/>
      <c r="AC348" s="44" t="n"/>
      <c r="AD348" s="44" t="n"/>
      <c r="AE348" s="44" t="n"/>
      <c r="AF348" s="88" t="n"/>
      <c r="AG348" s="85" t="n"/>
      <c r="AH348" s="85" t="n"/>
      <c r="AI348" s="85" t="n"/>
      <c r="AJ348" s="85" t="n"/>
      <c r="AK348" s="85" t="n"/>
      <c r="AL348" s="85" t="n"/>
      <c r="AM348" s="85" t="n"/>
      <c r="AN348" s="85" t="n"/>
      <c r="AO348" s="85" t="n"/>
      <c r="AP348" s="85" t="n"/>
      <c r="AQ348" s="85" t="n"/>
      <c r="AR348" s="85" t="n"/>
      <c r="AS348" s="85" t="n"/>
      <c r="AT348" s="85" t="n"/>
      <c r="AU348" s="85" t="n"/>
      <c r="AV348" s="85" t="n"/>
      <c r="AW348" s="44" t="n"/>
      <c r="AX348" s="85" t="n"/>
      <c r="AY348" s="88" t="n"/>
      <c r="AZ348" s="86" t="n"/>
      <c r="BA348" s="44" t="n"/>
      <c r="BB348" s="44" t="n"/>
      <c r="BC348" s="87" t="n"/>
      <c r="BD348" s="44" t="n"/>
      <c r="BE348" s="87" t="n"/>
      <c r="BF348" s="85" t="n"/>
      <c r="BG348" s="44" t="n"/>
      <c r="BH348" s="44" t="n"/>
      <c r="BI348" s="85" t="n"/>
      <c r="BJ348" s="44" t="n"/>
      <c r="BK348" s="45" t="n"/>
      <c r="BL348" s="44" t="n"/>
      <c r="BM348" s="85" t="n"/>
      <c r="BN348" s="44" t="n"/>
      <c r="BO348" s="85" t="n"/>
      <c r="BP348" s="86" t="n"/>
      <c r="BQ348" s="44" t="n"/>
      <c r="BR348" s="50" t="n"/>
      <c r="BS348" s="89" t="n"/>
      <c r="BT348" s="50">
        <f>IF(OR(K348="",L348="",M348=""),"",IF(ABS(ROUND(((ROUND(N(K348)*100,0))-(0))*(100+N(M348))/100,0)-(ROUND(N(L348)*100,0)))&lt;=0+IF(((ROUND(N(K348)*100,0))-(0))*(100+N(M348))/100&lt;&gt;ROUND(((ROUND(N(K348)*100,0))-(0))*(100+N(M348))/100,0),1,0),"OK","ABWEICHUNG"))</f>
        <v/>
      </c>
    </row>
    <row r="349">
      <c r="A349" s="50" t="n"/>
      <c r="B349" s="44" t="n"/>
      <c r="C349" s="44" t="n"/>
      <c r="D349" s="44" t="n"/>
      <c r="E349" s="44" t="n"/>
      <c r="F349" s="44" t="n"/>
      <c r="G349" s="44" t="n"/>
      <c r="H349" s="44" t="n"/>
      <c r="I349" s="45" t="n"/>
      <c r="J349" s="45" t="n"/>
      <c r="K349" s="85" t="n"/>
      <c r="L349" s="85" t="n"/>
      <c r="M349" s="88" t="n"/>
      <c r="N349" s="88" t="n"/>
      <c r="O349" s="44" t="n"/>
      <c r="P349" s="45" t="n"/>
      <c r="Q349" s="45" t="n"/>
      <c r="R349" s="44" t="n"/>
      <c r="S349" s="45" t="n"/>
      <c r="T349" s="45" t="n"/>
      <c r="U349" s="85" t="n"/>
      <c r="V349" s="44" t="n"/>
      <c r="W349" s="45" t="n"/>
      <c r="X349" s="45" t="n"/>
      <c r="Y349" s="44" t="n"/>
      <c r="Z349" s="85" t="n"/>
      <c r="AA349" s="44" t="n"/>
      <c r="AB349" s="44" t="n"/>
      <c r="AC349" s="44" t="n"/>
      <c r="AD349" s="44" t="n"/>
      <c r="AE349" s="44" t="n"/>
      <c r="AF349" s="88" t="n"/>
      <c r="AG349" s="85" t="n"/>
      <c r="AH349" s="85" t="n"/>
      <c r="AI349" s="85" t="n"/>
      <c r="AJ349" s="85" t="n"/>
      <c r="AK349" s="85" t="n"/>
      <c r="AL349" s="85" t="n"/>
      <c r="AM349" s="85" t="n"/>
      <c r="AN349" s="85" t="n"/>
      <c r="AO349" s="85" t="n"/>
      <c r="AP349" s="85" t="n"/>
      <c r="AQ349" s="85" t="n"/>
      <c r="AR349" s="85" t="n"/>
      <c r="AS349" s="85" t="n"/>
      <c r="AT349" s="85" t="n"/>
      <c r="AU349" s="85" t="n"/>
      <c r="AV349" s="85" t="n"/>
      <c r="AW349" s="44" t="n"/>
      <c r="AX349" s="85" t="n"/>
      <c r="AY349" s="88" t="n"/>
      <c r="AZ349" s="86" t="n"/>
      <c r="BA349" s="44" t="n"/>
      <c r="BB349" s="44" t="n"/>
      <c r="BC349" s="87" t="n"/>
      <c r="BD349" s="44" t="n"/>
      <c r="BE349" s="87" t="n"/>
      <c r="BF349" s="85" t="n"/>
      <c r="BG349" s="44" t="n"/>
      <c r="BH349" s="44" t="n"/>
      <c r="BI349" s="85" t="n"/>
      <c r="BJ349" s="44" t="n"/>
      <c r="BK349" s="45" t="n"/>
      <c r="BL349" s="44" t="n"/>
      <c r="BM349" s="85" t="n"/>
      <c r="BN349" s="44" t="n"/>
      <c r="BO349" s="85" t="n"/>
      <c r="BP349" s="86" t="n"/>
      <c r="BQ349" s="44" t="n"/>
      <c r="BR349" s="50" t="n"/>
      <c r="BS349" s="89" t="n"/>
      <c r="BT349" s="50">
        <f>IF(OR(K349="",L349="",M349=""),"",IF(ABS(ROUND(((ROUND(N(K349)*100,0))-(0))*(100+N(M349))/100,0)-(ROUND(N(L349)*100,0)))&lt;=0+IF(((ROUND(N(K349)*100,0))-(0))*(100+N(M349))/100&lt;&gt;ROUND(((ROUND(N(K349)*100,0))-(0))*(100+N(M349))/100,0),1,0),"OK","ABWEICHUNG"))</f>
        <v/>
      </c>
    </row>
    <row r="350">
      <c r="A350" s="50" t="n"/>
      <c r="B350" s="44" t="n"/>
      <c r="C350" s="44" t="n"/>
      <c r="D350" s="44" t="n"/>
      <c r="E350" s="44" t="n"/>
      <c r="F350" s="44" t="n"/>
      <c r="G350" s="44" t="n"/>
      <c r="H350" s="44" t="n"/>
      <c r="I350" s="45" t="n"/>
      <c r="J350" s="45" t="n"/>
      <c r="K350" s="85" t="n"/>
      <c r="L350" s="85" t="n"/>
      <c r="M350" s="88" t="n"/>
      <c r="N350" s="88" t="n"/>
      <c r="O350" s="44" t="n"/>
      <c r="P350" s="45" t="n"/>
      <c r="Q350" s="45" t="n"/>
      <c r="R350" s="44" t="n"/>
      <c r="S350" s="45" t="n"/>
      <c r="T350" s="45" t="n"/>
      <c r="U350" s="85" t="n"/>
      <c r="V350" s="44" t="n"/>
      <c r="W350" s="45" t="n"/>
      <c r="X350" s="45" t="n"/>
      <c r="Y350" s="44" t="n"/>
      <c r="Z350" s="85" t="n"/>
      <c r="AA350" s="44" t="n"/>
      <c r="AB350" s="44" t="n"/>
      <c r="AC350" s="44" t="n"/>
      <c r="AD350" s="44" t="n"/>
      <c r="AE350" s="44" t="n"/>
      <c r="AF350" s="88" t="n"/>
      <c r="AG350" s="85" t="n"/>
      <c r="AH350" s="85" t="n"/>
      <c r="AI350" s="85" t="n"/>
      <c r="AJ350" s="85" t="n"/>
      <c r="AK350" s="85" t="n"/>
      <c r="AL350" s="85" t="n"/>
      <c r="AM350" s="85" t="n"/>
      <c r="AN350" s="85" t="n"/>
      <c r="AO350" s="85" t="n"/>
      <c r="AP350" s="85" t="n"/>
      <c r="AQ350" s="85" t="n"/>
      <c r="AR350" s="85" t="n"/>
      <c r="AS350" s="85" t="n"/>
      <c r="AT350" s="85" t="n"/>
      <c r="AU350" s="85" t="n"/>
      <c r="AV350" s="85" t="n"/>
      <c r="AW350" s="44" t="n"/>
      <c r="AX350" s="85" t="n"/>
      <c r="AY350" s="88" t="n"/>
      <c r="AZ350" s="86" t="n"/>
      <c r="BA350" s="44" t="n"/>
      <c r="BB350" s="44" t="n"/>
      <c r="BC350" s="87" t="n"/>
      <c r="BD350" s="44" t="n"/>
      <c r="BE350" s="87" t="n"/>
      <c r="BF350" s="85" t="n"/>
      <c r="BG350" s="44" t="n"/>
      <c r="BH350" s="44" t="n"/>
      <c r="BI350" s="85" t="n"/>
      <c r="BJ350" s="44" t="n"/>
      <c r="BK350" s="45" t="n"/>
      <c r="BL350" s="44" t="n"/>
      <c r="BM350" s="85" t="n"/>
      <c r="BN350" s="44" t="n"/>
      <c r="BO350" s="85" t="n"/>
      <c r="BP350" s="86" t="n"/>
      <c r="BQ350" s="44" t="n"/>
      <c r="BR350" s="50" t="n"/>
      <c r="BS350" s="89" t="n"/>
      <c r="BT350" s="50">
        <f>IF(OR(K350="",L350="",M350=""),"",IF(ABS(ROUND(((ROUND(N(K350)*100,0))-(0))*(100+N(M350))/100,0)-(ROUND(N(L350)*100,0)))&lt;=0+IF(((ROUND(N(K350)*100,0))-(0))*(100+N(M350))/100&lt;&gt;ROUND(((ROUND(N(K350)*100,0))-(0))*(100+N(M350))/100,0),1,0),"OK","ABWEICHUNG"))</f>
        <v/>
      </c>
    </row>
    <row r="351">
      <c r="A351" s="50" t="n"/>
      <c r="B351" s="44" t="n"/>
      <c r="C351" s="44" t="n"/>
      <c r="D351" s="44" t="n"/>
      <c r="E351" s="44" t="n"/>
      <c r="F351" s="44" t="n"/>
      <c r="G351" s="44" t="n"/>
      <c r="H351" s="44" t="n"/>
      <c r="I351" s="45" t="n"/>
      <c r="J351" s="45" t="n"/>
      <c r="K351" s="85" t="n"/>
      <c r="L351" s="85" t="n"/>
      <c r="M351" s="88" t="n"/>
      <c r="N351" s="88" t="n"/>
      <c r="O351" s="44" t="n"/>
      <c r="P351" s="45" t="n"/>
      <c r="Q351" s="45" t="n"/>
      <c r="R351" s="44" t="n"/>
      <c r="S351" s="45" t="n"/>
      <c r="T351" s="45" t="n"/>
      <c r="U351" s="85" t="n"/>
      <c r="V351" s="44" t="n"/>
      <c r="W351" s="45" t="n"/>
      <c r="X351" s="45" t="n"/>
      <c r="Y351" s="44" t="n"/>
      <c r="Z351" s="85" t="n"/>
      <c r="AA351" s="44" t="n"/>
      <c r="AB351" s="44" t="n"/>
      <c r="AC351" s="44" t="n"/>
      <c r="AD351" s="44" t="n"/>
      <c r="AE351" s="44" t="n"/>
      <c r="AF351" s="88" t="n"/>
      <c r="AG351" s="85" t="n"/>
      <c r="AH351" s="85" t="n"/>
      <c r="AI351" s="85" t="n"/>
      <c r="AJ351" s="85" t="n"/>
      <c r="AK351" s="85" t="n"/>
      <c r="AL351" s="85" t="n"/>
      <c r="AM351" s="85" t="n"/>
      <c r="AN351" s="85" t="n"/>
      <c r="AO351" s="85" t="n"/>
      <c r="AP351" s="85" t="n"/>
      <c r="AQ351" s="85" t="n"/>
      <c r="AR351" s="85" t="n"/>
      <c r="AS351" s="85" t="n"/>
      <c r="AT351" s="85" t="n"/>
      <c r="AU351" s="85" t="n"/>
      <c r="AV351" s="85" t="n"/>
      <c r="AW351" s="44" t="n"/>
      <c r="AX351" s="85" t="n"/>
      <c r="AY351" s="88" t="n"/>
      <c r="AZ351" s="86" t="n"/>
      <c r="BA351" s="44" t="n"/>
      <c r="BB351" s="44" t="n"/>
      <c r="BC351" s="87" t="n"/>
      <c r="BD351" s="44" t="n"/>
      <c r="BE351" s="87" t="n"/>
      <c r="BF351" s="85" t="n"/>
      <c r="BG351" s="44" t="n"/>
      <c r="BH351" s="44" t="n"/>
      <c r="BI351" s="85" t="n"/>
      <c r="BJ351" s="44" t="n"/>
      <c r="BK351" s="45" t="n"/>
      <c r="BL351" s="44" t="n"/>
      <c r="BM351" s="85" t="n"/>
      <c r="BN351" s="44" t="n"/>
      <c r="BO351" s="85" t="n"/>
      <c r="BP351" s="86" t="n"/>
      <c r="BQ351" s="44" t="n"/>
      <c r="BR351" s="50" t="n"/>
      <c r="BS351" s="89" t="n"/>
      <c r="BT351" s="50">
        <f>IF(OR(K351="",L351="",M351=""),"",IF(ABS(ROUND(((ROUND(N(K351)*100,0))-(0))*(100+N(M351))/100,0)-(ROUND(N(L351)*100,0)))&lt;=0+IF(((ROUND(N(K351)*100,0))-(0))*(100+N(M351))/100&lt;&gt;ROUND(((ROUND(N(K351)*100,0))-(0))*(100+N(M351))/100,0),1,0),"OK","ABWEICHUNG"))</f>
        <v/>
      </c>
    </row>
    <row r="352">
      <c r="A352" s="50" t="n"/>
      <c r="B352" s="44" t="n"/>
      <c r="C352" s="44" t="n"/>
      <c r="D352" s="44" t="n"/>
      <c r="E352" s="44" t="n"/>
      <c r="F352" s="44" t="n"/>
      <c r="G352" s="44" t="n"/>
      <c r="H352" s="44" t="n"/>
      <c r="I352" s="45" t="n"/>
      <c r="J352" s="45" t="n"/>
      <c r="K352" s="85" t="n"/>
      <c r="L352" s="85" t="n"/>
      <c r="M352" s="88" t="n"/>
      <c r="N352" s="88" t="n"/>
      <c r="O352" s="44" t="n"/>
      <c r="P352" s="45" t="n"/>
      <c r="Q352" s="45" t="n"/>
      <c r="R352" s="44" t="n"/>
      <c r="S352" s="45" t="n"/>
      <c r="T352" s="45" t="n"/>
      <c r="U352" s="85" t="n"/>
      <c r="V352" s="44" t="n"/>
      <c r="W352" s="45" t="n"/>
      <c r="X352" s="45" t="n"/>
      <c r="Y352" s="44" t="n"/>
      <c r="Z352" s="85" t="n"/>
      <c r="AA352" s="44" t="n"/>
      <c r="AB352" s="44" t="n"/>
      <c r="AC352" s="44" t="n"/>
      <c r="AD352" s="44" t="n"/>
      <c r="AE352" s="44" t="n"/>
      <c r="AF352" s="88" t="n"/>
      <c r="AG352" s="85" t="n"/>
      <c r="AH352" s="85" t="n"/>
      <c r="AI352" s="85" t="n"/>
      <c r="AJ352" s="85" t="n"/>
      <c r="AK352" s="85" t="n"/>
      <c r="AL352" s="85" t="n"/>
      <c r="AM352" s="85" t="n"/>
      <c r="AN352" s="85" t="n"/>
      <c r="AO352" s="85" t="n"/>
      <c r="AP352" s="85" t="n"/>
      <c r="AQ352" s="85" t="n"/>
      <c r="AR352" s="85" t="n"/>
      <c r="AS352" s="85" t="n"/>
      <c r="AT352" s="85" t="n"/>
      <c r="AU352" s="85" t="n"/>
      <c r="AV352" s="85" t="n"/>
      <c r="AW352" s="44" t="n"/>
      <c r="AX352" s="85" t="n"/>
      <c r="AY352" s="88" t="n"/>
      <c r="AZ352" s="86" t="n"/>
      <c r="BA352" s="44" t="n"/>
      <c r="BB352" s="44" t="n"/>
      <c r="BC352" s="87" t="n"/>
      <c r="BD352" s="44" t="n"/>
      <c r="BE352" s="87" t="n"/>
      <c r="BF352" s="85" t="n"/>
      <c r="BG352" s="44" t="n"/>
      <c r="BH352" s="44" t="n"/>
      <c r="BI352" s="85" t="n"/>
      <c r="BJ352" s="44" t="n"/>
      <c r="BK352" s="45" t="n"/>
      <c r="BL352" s="44" t="n"/>
      <c r="BM352" s="85" t="n"/>
      <c r="BN352" s="44" t="n"/>
      <c r="BO352" s="85" t="n"/>
      <c r="BP352" s="86" t="n"/>
      <c r="BQ352" s="44" t="n"/>
      <c r="BR352" s="50" t="n"/>
      <c r="BS352" s="89" t="n"/>
      <c r="BT352" s="50">
        <f>IF(OR(K352="",L352="",M352=""),"",IF(ABS(ROUND(((ROUND(N(K352)*100,0))-(0))*(100+N(M352))/100,0)-(ROUND(N(L352)*100,0)))&lt;=0+IF(((ROUND(N(K352)*100,0))-(0))*(100+N(M352))/100&lt;&gt;ROUND(((ROUND(N(K352)*100,0))-(0))*(100+N(M352))/100,0),1,0),"OK","ABWEICHUNG"))</f>
        <v/>
      </c>
    </row>
    <row r="353">
      <c r="A353" s="50" t="n"/>
      <c r="B353" s="44" t="n"/>
      <c r="C353" s="44" t="n"/>
      <c r="D353" s="44" t="n"/>
      <c r="E353" s="44" t="n"/>
      <c r="F353" s="44" t="n"/>
      <c r="G353" s="44" t="n"/>
      <c r="H353" s="44" t="n"/>
      <c r="I353" s="45" t="n"/>
      <c r="J353" s="45" t="n"/>
      <c r="K353" s="85" t="n"/>
      <c r="L353" s="85" t="n"/>
      <c r="M353" s="88" t="n"/>
      <c r="N353" s="88" t="n"/>
      <c r="O353" s="44" t="n"/>
      <c r="P353" s="45" t="n"/>
      <c r="Q353" s="45" t="n"/>
      <c r="R353" s="44" t="n"/>
      <c r="S353" s="45" t="n"/>
      <c r="T353" s="45" t="n"/>
      <c r="U353" s="85" t="n"/>
      <c r="V353" s="44" t="n"/>
      <c r="W353" s="45" t="n"/>
      <c r="X353" s="45" t="n"/>
      <c r="Y353" s="44" t="n"/>
      <c r="Z353" s="85" t="n"/>
      <c r="AA353" s="44" t="n"/>
      <c r="AB353" s="44" t="n"/>
      <c r="AC353" s="44" t="n"/>
      <c r="AD353" s="44" t="n"/>
      <c r="AE353" s="44" t="n"/>
      <c r="AF353" s="88" t="n"/>
      <c r="AG353" s="85" t="n"/>
      <c r="AH353" s="85" t="n"/>
      <c r="AI353" s="85" t="n"/>
      <c r="AJ353" s="85" t="n"/>
      <c r="AK353" s="85" t="n"/>
      <c r="AL353" s="85" t="n"/>
      <c r="AM353" s="85" t="n"/>
      <c r="AN353" s="85" t="n"/>
      <c r="AO353" s="85" t="n"/>
      <c r="AP353" s="85" t="n"/>
      <c r="AQ353" s="85" t="n"/>
      <c r="AR353" s="85" t="n"/>
      <c r="AS353" s="85" t="n"/>
      <c r="AT353" s="85" t="n"/>
      <c r="AU353" s="85" t="n"/>
      <c r="AV353" s="85" t="n"/>
      <c r="AW353" s="44" t="n"/>
      <c r="AX353" s="85" t="n"/>
      <c r="AY353" s="88" t="n"/>
      <c r="AZ353" s="86" t="n"/>
      <c r="BA353" s="44" t="n"/>
      <c r="BB353" s="44" t="n"/>
      <c r="BC353" s="87" t="n"/>
      <c r="BD353" s="44" t="n"/>
      <c r="BE353" s="87" t="n"/>
      <c r="BF353" s="85" t="n"/>
      <c r="BG353" s="44" t="n"/>
      <c r="BH353" s="44" t="n"/>
      <c r="BI353" s="85" t="n"/>
      <c r="BJ353" s="44" t="n"/>
      <c r="BK353" s="45" t="n"/>
      <c r="BL353" s="44" t="n"/>
      <c r="BM353" s="85" t="n"/>
      <c r="BN353" s="44" t="n"/>
      <c r="BO353" s="85" t="n"/>
      <c r="BP353" s="86" t="n"/>
      <c r="BQ353" s="44" t="n"/>
      <c r="BR353" s="50" t="n"/>
      <c r="BS353" s="89" t="n"/>
      <c r="BT353" s="50">
        <f>IF(OR(K353="",L353="",M353=""),"",IF(ABS(ROUND(((ROUND(N(K353)*100,0))-(0))*(100+N(M353))/100,0)-(ROUND(N(L353)*100,0)))&lt;=0+IF(((ROUND(N(K353)*100,0))-(0))*(100+N(M353))/100&lt;&gt;ROUND(((ROUND(N(K353)*100,0))-(0))*(100+N(M353))/100,0),1,0),"OK","ABWEICHUNG"))</f>
        <v/>
      </c>
    </row>
    <row r="354">
      <c r="A354" s="50" t="n"/>
      <c r="B354" s="44" t="n"/>
      <c r="C354" s="44" t="n"/>
      <c r="D354" s="44" t="n"/>
      <c r="E354" s="44" t="n"/>
      <c r="F354" s="44" t="n"/>
      <c r="G354" s="44" t="n"/>
      <c r="H354" s="44" t="n"/>
      <c r="I354" s="45" t="n"/>
      <c r="J354" s="45" t="n"/>
      <c r="K354" s="85" t="n"/>
      <c r="L354" s="85" t="n"/>
      <c r="M354" s="88" t="n"/>
      <c r="N354" s="88" t="n"/>
      <c r="O354" s="44" t="n"/>
      <c r="P354" s="45" t="n"/>
      <c r="Q354" s="45" t="n"/>
      <c r="R354" s="44" t="n"/>
      <c r="S354" s="45" t="n"/>
      <c r="T354" s="45" t="n"/>
      <c r="U354" s="85" t="n"/>
      <c r="V354" s="44" t="n"/>
      <c r="W354" s="45" t="n"/>
      <c r="X354" s="45" t="n"/>
      <c r="Y354" s="44" t="n"/>
      <c r="Z354" s="85" t="n"/>
      <c r="AA354" s="44" t="n"/>
      <c r="AB354" s="44" t="n"/>
      <c r="AC354" s="44" t="n"/>
      <c r="AD354" s="44" t="n"/>
      <c r="AE354" s="44" t="n"/>
      <c r="AF354" s="88" t="n"/>
      <c r="AG354" s="85" t="n"/>
      <c r="AH354" s="85" t="n"/>
      <c r="AI354" s="85" t="n"/>
      <c r="AJ354" s="85" t="n"/>
      <c r="AK354" s="85" t="n"/>
      <c r="AL354" s="85" t="n"/>
      <c r="AM354" s="85" t="n"/>
      <c r="AN354" s="85" t="n"/>
      <c r="AO354" s="85" t="n"/>
      <c r="AP354" s="85" t="n"/>
      <c r="AQ354" s="85" t="n"/>
      <c r="AR354" s="85" t="n"/>
      <c r="AS354" s="85" t="n"/>
      <c r="AT354" s="85" t="n"/>
      <c r="AU354" s="85" t="n"/>
      <c r="AV354" s="85" t="n"/>
      <c r="AW354" s="44" t="n"/>
      <c r="AX354" s="85" t="n"/>
      <c r="AY354" s="88" t="n"/>
      <c r="AZ354" s="86" t="n"/>
      <c r="BA354" s="44" t="n"/>
      <c r="BB354" s="44" t="n"/>
      <c r="BC354" s="87" t="n"/>
      <c r="BD354" s="44" t="n"/>
      <c r="BE354" s="87" t="n"/>
      <c r="BF354" s="85" t="n"/>
      <c r="BG354" s="44" t="n"/>
      <c r="BH354" s="44" t="n"/>
      <c r="BI354" s="85" t="n"/>
      <c r="BJ354" s="44" t="n"/>
      <c r="BK354" s="45" t="n"/>
      <c r="BL354" s="44" t="n"/>
      <c r="BM354" s="85" t="n"/>
      <c r="BN354" s="44" t="n"/>
      <c r="BO354" s="85" t="n"/>
      <c r="BP354" s="86" t="n"/>
      <c r="BQ354" s="44" t="n"/>
      <c r="BR354" s="50" t="n"/>
      <c r="BS354" s="89" t="n"/>
      <c r="BT354" s="50">
        <f>IF(OR(K354="",L354="",M354=""),"",IF(ABS(ROUND(((ROUND(N(K354)*100,0))-(0))*(100+N(M354))/100,0)-(ROUND(N(L354)*100,0)))&lt;=0+IF(((ROUND(N(K354)*100,0))-(0))*(100+N(M354))/100&lt;&gt;ROUND(((ROUND(N(K354)*100,0))-(0))*(100+N(M354))/100,0),1,0),"OK","ABWEICHUNG"))</f>
        <v/>
      </c>
    </row>
    <row r="355">
      <c r="A355" s="50" t="n"/>
      <c r="B355" s="44" t="n"/>
      <c r="C355" s="44" t="n"/>
      <c r="D355" s="44" t="n"/>
      <c r="E355" s="44" t="n"/>
      <c r="F355" s="44" t="n"/>
      <c r="G355" s="44" t="n"/>
      <c r="H355" s="44" t="n"/>
      <c r="I355" s="45" t="n"/>
      <c r="J355" s="45" t="n"/>
      <c r="K355" s="85" t="n"/>
      <c r="L355" s="85" t="n"/>
      <c r="M355" s="88" t="n"/>
      <c r="N355" s="88" t="n"/>
      <c r="O355" s="44" t="n"/>
      <c r="P355" s="45" t="n"/>
      <c r="Q355" s="45" t="n"/>
      <c r="R355" s="44" t="n"/>
      <c r="S355" s="45" t="n"/>
      <c r="T355" s="45" t="n"/>
      <c r="U355" s="85" t="n"/>
      <c r="V355" s="44" t="n"/>
      <c r="W355" s="45" t="n"/>
      <c r="X355" s="45" t="n"/>
      <c r="Y355" s="44" t="n"/>
      <c r="Z355" s="85" t="n"/>
      <c r="AA355" s="44" t="n"/>
      <c r="AB355" s="44" t="n"/>
      <c r="AC355" s="44" t="n"/>
      <c r="AD355" s="44" t="n"/>
      <c r="AE355" s="44" t="n"/>
      <c r="AF355" s="88" t="n"/>
      <c r="AG355" s="85" t="n"/>
      <c r="AH355" s="85" t="n"/>
      <c r="AI355" s="85" t="n"/>
      <c r="AJ355" s="85" t="n"/>
      <c r="AK355" s="85" t="n"/>
      <c r="AL355" s="85" t="n"/>
      <c r="AM355" s="85" t="n"/>
      <c r="AN355" s="85" t="n"/>
      <c r="AO355" s="85" t="n"/>
      <c r="AP355" s="85" t="n"/>
      <c r="AQ355" s="85" t="n"/>
      <c r="AR355" s="85" t="n"/>
      <c r="AS355" s="85" t="n"/>
      <c r="AT355" s="85" t="n"/>
      <c r="AU355" s="85" t="n"/>
      <c r="AV355" s="85" t="n"/>
      <c r="AW355" s="44" t="n"/>
      <c r="AX355" s="85" t="n"/>
      <c r="AY355" s="88" t="n"/>
      <c r="AZ355" s="86" t="n"/>
      <c r="BA355" s="44" t="n"/>
      <c r="BB355" s="44" t="n"/>
      <c r="BC355" s="87" t="n"/>
      <c r="BD355" s="44" t="n"/>
      <c r="BE355" s="87" t="n"/>
      <c r="BF355" s="85" t="n"/>
      <c r="BG355" s="44" t="n"/>
      <c r="BH355" s="44" t="n"/>
      <c r="BI355" s="85" t="n"/>
      <c r="BJ355" s="44" t="n"/>
      <c r="BK355" s="45" t="n"/>
      <c r="BL355" s="44" t="n"/>
      <c r="BM355" s="85" t="n"/>
      <c r="BN355" s="44" t="n"/>
      <c r="BO355" s="85" t="n"/>
      <c r="BP355" s="86" t="n"/>
      <c r="BQ355" s="44" t="n"/>
      <c r="BR355" s="50" t="n"/>
      <c r="BS355" s="89" t="n"/>
      <c r="BT355" s="50">
        <f>IF(OR(K355="",L355="",M355=""),"",IF(ABS(ROUND(((ROUND(N(K355)*100,0))-(0))*(100+N(M355))/100,0)-(ROUND(N(L355)*100,0)))&lt;=0+IF(((ROUND(N(K355)*100,0))-(0))*(100+N(M355))/100&lt;&gt;ROUND(((ROUND(N(K355)*100,0))-(0))*(100+N(M355))/100,0),1,0),"OK","ABWEICHUNG"))</f>
        <v/>
      </c>
    </row>
    <row r="356">
      <c r="A356" s="50" t="n"/>
      <c r="B356" s="44" t="n"/>
      <c r="C356" s="44" t="n"/>
      <c r="D356" s="44" t="n"/>
      <c r="E356" s="44" t="n"/>
      <c r="F356" s="44" t="n"/>
      <c r="G356" s="44" t="n"/>
      <c r="H356" s="44" t="n"/>
      <c r="I356" s="45" t="n"/>
      <c r="J356" s="45" t="n"/>
      <c r="K356" s="85" t="n"/>
      <c r="L356" s="85" t="n"/>
      <c r="M356" s="88" t="n"/>
      <c r="N356" s="88" t="n"/>
      <c r="O356" s="44" t="n"/>
      <c r="P356" s="45" t="n"/>
      <c r="Q356" s="45" t="n"/>
      <c r="R356" s="44" t="n"/>
      <c r="S356" s="45" t="n"/>
      <c r="T356" s="45" t="n"/>
      <c r="U356" s="85" t="n"/>
      <c r="V356" s="44" t="n"/>
      <c r="W356" s="45" t="n"/>
      <c r="X356" s="45" t="n"/>
      <c r="Y356" s="44" t="n"/>
      <c r="Z356" s="85" t="n"/>
      <c r="AA356" s="44" t="n"/>
      <c r="AB356" s="44" t="n"/>
      <c r="AC356" s="44" t="n"/>
      <c r="AD356" s="44" t="n"/>
      <c r="AE356" s="44" t="n"/>
      <c r="AF356" s="88" t="n"/>
      <c r="AG356" s="85" t="n"/>
      <c r="AH356" s="85" t="n"/>
      <c r="AI356" s="85" t="n"/>
      <c r="AJ356" s="85" t="n"/>
      <c r="AK356" s="85" t="n"/>
      <c r="AL356" s="85" t="n"/>
      <c r="AM356" s="85" t="n"/>
      <c r="AN356" s="85" t="n"/>
      <c r="AO356" s="85" t="n"/>
      <c r="AP356" s="85" t="n"/>
      <c r="AQ356" s="85" t="n"/>
      <c r="AR356" s="85" t="n"/>
      <c r="AS356" s="85" t="n"/>
      <c r="AT356" s="85" t="n"/>
      <c r="AU356" s="85" t="n"/>
      <c r="AV356" s="85" t="n"/>
      <c r="AW356" s="44" t="n"/>
      <c r="AX356" s="85" t="n"/>
      <c r="AY356" s="88" t="n"/>
      <c r="AZ356" s="86" t="n"/>
      <c r="BA356" s="44" t="n"/>
      <c r="BB356" s="44" t="n"/>
      <c r="BC356" s="87" t="n"/>
      <c r="BD356" s="44" t="n"/>
      <c r="BE356" s="87" t="n"/>
      <c r="BF356" s="85" t="n"/>
      <c r="BG356" s="44" t="n"/>
      <c r="BH356" s="44" t="n"/>
      <c r="BI356" s="85" t="n"/>
      <c r="BJ356" s="44" t="n"/>
      <c r="BK356" s="45" t="n"/>
      <c r="BL356" s="44" t="n"/>
      <c r="BM356" s="85" t="n"/>
      <c r="BN356" s="44" t="n"/>
      <c r="BO356" s="85" t="n"/>
      <c r="BP356" s="86" t="n"/>
      <c r="BQ356" s="44" t="n"/>
      <c r="BR356" s="50" t="n"/>
      <c r="BS356" s="89" t="n"/>
      <c r="BT356" s="50">
        <f>IF(OR(K356="",L356="",M356=""),"",IF(ABS(ROUND(((ROUND(N(K356)*100,0))-(0))*(100+N(M356))/100,0)-(ROUND(N(L356)*100,0)))&lt;=0+IF(((ROUND(N(K356)*100,0))-(0))*(100+N(M356))/100&lt;&gt;ROUND(((ROUND(N(K356)*100,0))-(0))*(100+N(M356))/100,0),1,0),"OK","ABWEICHUNG"))</f>
        <v/>
      </c>
    </row>
    <row r="357">
      <c r="A357" s="50" t="n"/>
      <c r="B357" s="44" t="n"/>
      <c r="C357" s="44" t="n"/>
      <c r="D357" s="44" t="n"/>
      <c r="E357" s="44" t="n"/>
      <c r="F357" s="44" t="n"/>
      <c r="G357" s="44" t="n"/>
      <c r="H357" s="44" t="n"/>
      <c r="I357" s="45" t="n"/>
      <c r="J357" s="45" t="n"/>
      <c r="K357" s="85" t="n"/>
      <c r="L357" s="85" t="n"/>
      <c r="M357" s="88" t="n"/>
      <c r="N357" s="88" t="n"/>
      <c r="O357" s="44" t="n"/>
      <c r="P357" s="45" t="n"/>
      <c r="Q357" s="45" t="n"/>
      <c r="R357" s="44" t="n"/>
      <c r="S357" s="45" t="n"/>
      <c r="T357" s="45" t="n"/>
      <c r="U357" s="85" t="n"/>
      <c r="V357" s="44" t="n"/>
      <c r="W357" s="45" t="n"/>
      <c r="X357" s="45" t="n"/>
      <c r="Y357" s="44" t="n"/>
      <c r="Z357" s="85" t="n"/>
      <c r="AA357" s="44" t="n"/>
      <c r="AB357" s="44" t="n"/>
      <c r="AC357" s="44" t="n"/>
      <c r="AD357" s="44" t="n"/>
      <c r="AE357" s="44" t="n"/>
      <c r="AF357" s="88" t="n"/>
      <c r="AG357" s="85" t="n"/>
      <c r="AH357" s="85" t="n"/>
      <c r="AI357" s="85" t="n"/>
      <c r="AJ357" s="85" t="n"/>
      <c r="AK357" s="85" t="n"/>
      <c r="AL357" s="85" t="n"/>
      <c r="AM357" s="85" t="n"/>
      <c r="AN357" s="85" t="n"/>
      <c r="AO357" s="85" t="n"/>
      <c r="AP357" s="85" t="n"/>
      <c r="AQ357" s="85" t="n"/>
      <c r="AR357" s="85" t="n"/>
      <c r="AS357" s="85" t="n"/>
      <c r="AT357" s="85" t="n"/>
      <c r="AU357" s="85" t="n"/>
      <c r="AV357" s="85" t="n"/>
      <c r="AW357" s="44" t="n"/>
      <c r="AX357" s="85" t="n"/>
      <c r="AY357" s="88" t="n"/>
      <c r="AZ357" s="86" t="n"/>
      <c r="BA357" s="44" t="n"/>
      <c r="BB357" s="44" t="n"/>
      <c r="BC357" s="87" t="n"/>
      <c r="BD357" s="44" t="n"/>
      <c r="BE357" s="87" t="n"/>
      <c r="BF357" s="85" t="n"/>
      <c r="BG357" s="44" t="n"/>
      <c r="BH357" s="44" t="n"/>
      <c r="BI357" s="85" t="n"/>
      <c r="BJ357" s="44" t="n"/>
      <c r="BK357" s="45" t="n"/>
      <c r="BL357" s="44" t="n"/>
      <c r="BM357" s="85" t="n"/>
      <c r="BN357" s="44" t="n"/>
      <c r="BO357" s="85" t="n"/>
      <c r="BP357" s="86" t="n"/>
      <c r="BQ357" s="44" t="n"/>
      <c r="BR357" s="50" t="n"/>
      <c r="BS357" s="89" t="n"/>
      <c r="BT357" s="50">
        <f>IF(OR(K357="",L357="",M357=""),"",IF(ABS(ROUND(((ROUND(N(K357)*100,0))-(0))*(100+N(M357))/100,0)-(ROUND(N(L357)*100,0)))&lt;=0+IF(((ROUND(N(K357)*100,0))-(0))*(100+N(M357))/100&lt;&gt;ROUND(((ROUND(N(K357)*100,0))-(0))*(100+N(M357))/100,0),1,0),"OK","ABWEICHUNG"))</f>
        <v/>
      </c>
    </row>
    <row r="358">
      <c r="A358" s="50" t="n"/>
      <c r="B358" s="44" t="n"/>
      <c r="C358" s="44" t="n"/>
      <c r="D358" s="44" t="n"/>
      <c r="E358" s="44" t="n"/>
      <c r="F358" s="44" t="n"/>
      <c r="G358" s="44" t="n"/>
      <c r="H358" s="44" t="n"/>
      <c r="I358" s="45" t="n"/>
      <c r="J358" s="45" t="n"/>
      <c r="K358" s="85" t="n"/>
      <c r="L358" s="85" t="n"/>
      <c r="M358" s="88" t="n"/>
      <c r="N358" s="88" t="n"/>
      <c r="O358" s="44" t="n"/>
      <c r="P358" s="45" t="n"/>
      <c r="Q358" s="45" t="n"/>
      <c r="R358" s="44" t="n"/>
      <c r="S358" s="45" t="n"/>
      <c r="T358" s="45" t="n"/>
      <c r="U358" s="85" t="n"/>
      <c r="V358" s="44" t="n"/>
      <c r="W358" s="45" t="n"/>
      <c r="X358" s="45" t="n"/>
      <c r="Y358" s="44" t="n"/>
      <c r="Z358" s="85" t="n"/>
      <c r="AA358" s="44" t="n"/>
      <c r="AB358" s="44" t="n"/>
      <c r="AC358" s="44" t="n"/>
      <c r="AD358" s="44" t="n"/>
      <c r="AE358" s="44" t="n"/>
      <c r="AF358" s="88" t="n"/>
      <c r="AG358" s="85" t="n"/>
      <c r="AH358" s="85" t="n"/>
      <c r="AI358" s="85" t="n"/>
      <c r="AJ358" s="85" t="n"/>
      <c r="AK358" s="85" t="n"/>
      <c r="AL358" s="85" t="n"/>
      <c r="AM358" s="85" t="n"/>
      <c r="AN358" s="85" t="n"/>
      <c r="AO358" s="85" t="n"/>
      <c r="AP358" s="85" t="n"/>
      <c r="AQ358" s="85" t="n"/>
      <c r="AR358" s="85" t="n"/>
      <c r="AS358" s="85" t="n"/>
      <c r="AT358" s="85" t="n"/>
      <c r="AU358" s="85" t="n"/>
      <c r="AV358" s="85" t="n"/>
      <c r="AW358" s="44" t="n"/>
      <c r="AX358" s="85" t="n"/>
      <c r="AY358" s="88" t="n"/>
      <c r="AZ358" s="86" t="n"/>
      <c r="BA358" s="44" t="n"/>
      <c r="BB358" s="44" t="n"/>
      <c r="BC358" s="87" t="n"/>
      <c r="BD358" s="44" t="n"/>
      <c r="BE358" s="87" t="n"/>
      <c r="BF358" s="85" t="n"/>
      <c r="BG358" s="44" t="n"/>
      <c r="BH358" s="44" t="n"/>
      <c r="BI358" s="85" t="n"/>
      <c r="BJ358" s="44" t="n"/>
      <c r="BK358" s="45" t="n"/>
      <c r="BL358" s="44" t="n"/>
      <c r="BM358" s="85" t="n"/>
      <c r="BN358" s="44" t="n"/>
      <c r="BO358" s="85" t="n"/>
      <c r="BP358" s="86" t="n"/>
      <c r="BQ358" s="44" t="n"/>
      <c r="BR358" s="50" t="n"/>
      <c r="BS358" s="89" t="n"/>
      <c r="BT358" s="50">
        <f>IF(OR(K358="",L358="",M358=""),"",IF(ABS(ROUND(((ROUND(N(K358)*100,0))-(0))*(100+N(M358))/100,0)-(ROUND(N(L358)*100,0)))&lt;=0+IF(((ROUND(N(K358)*100,0))-(0))*(100+N(M358))/100&lt;&gt;ROUND(((ROUND(N(K358)*100,0))-(0))*(100+N(M358))/100,0),1,0),"OK","ABWEICHUNG"))</f>
        <v/>
      </c>
    </row>
    <row r="359">
      <c r="A359" s="50" t="n"/>
      <c r="B359" s="44" t="n"/>
      <c r="C359" s="44" t="n"/>
      <c r="D359" s="44" t="n"/>
      <c r="E359" s="44" t="n"/>
      <c r="F359" s="44" t="n"/>
      <c r="G359" s="44" t="n"/>
      <c r="H359" s="44" t="n"/>
      <c r="I359" s="45" t="n"/>
      <c r="J359" s="45" t="n"/>
      <c r="K359" s="85" t="n"/>
      <c r="L359" s="85" t="n"/>
      <c r="M359" s="88" t="n"/>
      <c r="N359" s="88" t="n"/>
      <c r="O359" s="44" t="n"/>
      <c r="P359" s="45" t="n"/>
      <c r="Q359" s="45" t="n"/>
      <c r="R359" s="44" t="n"/>
      <c r="S359" s="45" t="n"/>
      <c r="T359" s="45" t="n"/>
      <c r="U359" s="85" t="n"/>
      <c r="V359" s="44" t="n"/>
      <c r="W359" s="45" t="n"/>
      <c r="X359" s="45" t="n"/>
      <c r="Y359" s="44" t="n"/>
      <c r="Z359" s="85" t="n"/>
      <c r="AA359" s="44" t="n"/>
      <c r="AB359" s="44" t="n"/>
      <c r="AC359" s="44" t="n"/>
      <c r="AD359" s="44" t="n"/>
      <c r="AE359" s="44" t="n"/>
      <c r="AF359" s="88" t="n"/>
      <c r="AG359" s="85" t="n"/>
      <c r="AH359" s="85" t="n"/>
      <c r="AI359" s="85" t="n"/>
      <c r="AJ359" s="85" t="n"/>
      <c r="AK359" s="85" t="n"/>
      <c r="AL359" s="85" t="n"/>
      <c r="AM359" s="85" t="n"/>
      <c r="AN359" s="85" t="n"/>
      <c r="AO359" s="85" t="n"/>
      <c r="AP359" s="85" t="n"/>
      <c r="AQ359" s="85" t="n"/>
      <c r="AR359" s="85" t="n"/>
      <c r="AS359" s="85" t="n"/>
      <c r="AT359" s="85" t="n"/>
      <c r="AU359" s="85" t="n"/>
      <c r="AV359" s="85" t="n"/>
      <c r="AW359" s="44" t="n"/>
      <c r="AX359" s="85" t="n"/>
      <c r="AY359" s="88" t="n"/>
      <c r="AZ359" s="86" t="n"/>
      <c r="BA359" s="44" t="n"/>
      <c r="BB359" s="44" t="n"/>
      <c r="BC359" s="87" t="n"/>
      <c r="BD359" s="44" t="n"/>
      <c r="BE359" s="87" t="n"/>
      <c r="BF359" s="85" t="n"/>
      <c r="BG359" s="44" t="n"/>
      <c r="BH359" s="44" t="n"/>
      <c r="BI359" s="85" t="n"/>
      <c r="BJ359" s="44" t="n"/>
      <c r="BK359" s="45" t="n"/>
      <c r="BL359" s="44" t="n"/>
      <c r="BM359" s="85" t="n"/>
      <c r="BN359" s="44" t="n"/>
      <c r="BO359" s="85" t="n"/>
      <c r="BP359" s="86" t="n"/>
      <c r="BQ359" s="44" t="n"/>
      <c r="BR359" s="50" t="n"/>
      <c r="BS359" s="89" t="n"/>
      <c r="BT359" s="50">
        <f>IF(OR(K359="",L359="",M359=""),"",IF(ABS(ROUND(((ROUND(N(K359)*100,0))-(0))*(100+N(M359))/100,0)-(ROUND(N(L359)*100,0)))&lt;=0+IF(((ROUND(N(K359)*100,0))-(0))*(100+N(M359))/100&lt;&gt;ROUND(((ROUND(N(K359)*100,0))-(0))*(100+N(M359))/100,0),1,0),"OK","ABWEICHUNG"))</f>
        <v/>
      </c>
    </row>
    <row r="360">
      <c r="A360" s="50" t="n"/>
      <c r="B360" s="44" t="n"/>
      <c r="C360" s="44" t="n"/>
      <c r="D360" s="44" t="n"/>
      <c r="E360" s="44" t="n"/>
      <c r="F360" s="44" t="n"/>
      <c r="G360" s="44" t="n"/>
      <c r="H360" s="44" t="n"/>
      <c r="I360" s="45" t="n"/>
      <c r="J360" s="45" t="n"/>
      <c r="K360" s="85" t="n"/>
      <c r="L360" s="85" t="n"/>
      <c r="M360" s="88" t="n"/>
      <c r="N360" s="88" t="n"/>
      <c r="O360" s="44" t="n"/>
      <c r="P360" s="45" t="n"/>
      <c r="Q360" s="45" t="n"/>
      <c r="R360" s="44" t="n"/>
      <c r="S360" s="45" t="n"/>
      <c r="T360" s="45" t="n"/>
      <c r="U360" s="85" t="n"/>
      <c r="V360" s="44" t="n"/>
      <c r="W360" s="45" t="n"/>
      <c r="X360" s="45" t="n"/>
      <c r="Y360" s="44" t="n"/>
      <c r="Z360" s="85" t="n"/>
      <c r="AA360" s="44" t="n"/>
      <c r="AB360" s="44" t="n"/>
      <c r="AC360" s="44" t="n"/>
      <c r="AD360" s="44" t="n"/>
      <c r="AE360" s="44" t="n"/>
      <c r="AF360" s="88" t="n"/>
      <c r="AG360" s="85" t="n"/>
      <c r="AH360" s="85" t="n"/>
      <c r="AI360" s="85" t="n"/>
      <c r="AJ360" s="85" t="n"/>
      <c r="AK360" s="85" t="n"/>
      <c r="AL360" s="85" t="n"/>
      <c r="AM360" s="85" t="n"/>
      <c r="AN360" s="85" t="n"/>
      <c r="AO360" s="85" t="n"/>
      <c r="AP360" s="85" t="n"/>
      <c r="AQ360" s="85" t="n"/>
      <c r="AR360" s="85" t="n"/>
      <c r="AS360" s="85" t="n"/>
      <c r="AT360" s="85" t="n"/>
      <c r="AU360" s="85" t="n"/>
      <c r="AV360" s="85" t="n"/>
      <c r="AW360" s="44" t="n"/>
      <c r="AX360" s="85" t="n"/>
      <c r="AY360" s="88" t="n"/>
      <c r="AZ360" s="86" t="n"/>
      <c r="BA360" s="44" t="n"/>
      <c r="BB360" s="44" t="n"/>
      <c r="BC360" s="87" t="n"/>
      <c r="BD360" s="44" t="n"/>
      <c r="BE360" s="87" t="n"/>
      <c r="BF360" s="85" t="n"/>
      <c r="BG360" s="44" t="n"/>
      <c r="BH360" s="44" t="n"/>
      <c r="BI360" s="85" t="n"/>
      <c r="BJ360" s="44" t="n"/>
      <c r="BK360" s="45" t="n"/>
      <c r="BL360" s="44" t="n"/>
      <c r="BM360" s="85" t="n"/>
      <c r="BN360" s="44" t="n"/>
      <c r="BO360" s="85" t="n"/>
      <c r="BP360" s="86" t="n"/>
      <c r="BQ360" s="44" t="n"/>
      <c r="BR360" s="50" t="n"/>
      <c r="BS360" s="89" t="n"/>
      <c r="BT360" s="50">
        <f>IF(OR(K360="",L360="",M360=""),"",IF(ABS(ROUND(((ROUND(N(K360)*100,0))-(0))*(100+N(M360))/100,0)-(ROUND(N(L360)*100,0)))&lt;=0+IF(((ROUND(N(K360)*100,0))-(0))*(100+N(M360))/100&lt;&gt;ROUND(((ROUND(N(K360)*100,0))-(0))*(100+N(M360))/100,0),1,0),"OK","ABWEICHUNG"))</f>
        <v/>
      </c>
    </row>
    <row r="361">
      <c r="A361" s="50" t="n"/>
      <c r="B361" s="44" t="n"/>
      <c r="C361" s="44" t="n"/>
      <c r="D361" s="44" t="n"/>
      <c r="E361" s="44" t="n"/>
      <c r="F361" s="44" t="n"/>
      <c r="G361" s="44" t="n"/>
      <c r="H361" s="44" t="n"/>
      <c r="I361" s="45" t="n"/>
      <c r="J361" s="45" t="n"/>
      <c r="K361" s="85" t="n"/>
      <c r="L361" s="85" t="n"/>
      <c r="M361" s="88" t="n"/>
      <c r="N361" s="88" t="n"/>
      <c r="O361" s="44" t="n"/>
      <c r="P361" s="45" t="n"/>
      <c r="Q361" s="45" t="n"/>
      <c r="R361" s="44" t="n"/>
      <c r="S361" s="45" t="n"/>
      <c r="T361" s="45" t="n"/>
      <c r="U361" s="85" t="n"/>
      <c r="V361" s="44" t="n"/>
      <c r="W361" s="45" t="n"/>
      <c r="X361" s="45" t="n"/>
      <c r="Y361" s="44" t="n"/>
      <c r="Z361" s="85" t="n"/>
      <c r="AA361" s="44" t="n"/>
      <c r="AB361" s="44" t="n"/>
      <c r="AC361" s="44" t="n"/>
      <c r="AD361" s="44" t="n"/>
      <c r="AE361" s="44" t="n"/>
      <c r="AF361" s="88" t="n"/>
      <c r="AG361" s="85" t="n"/>
      <c r="AH361" s="85" t="n"/>
      <c r="AI361" s="85" t="n"/>
      <c r="AJ361" s="85" t="n"/>
      <c r="AK361" s="85" t="n"/>
      <c r="AL361" s="85" t="n"/>
      <c r="AM361" s="85" t="n"/>
      <c r="AN361" s="85" t="n"/>
      <c r="AO361" s="85" t="n"/>
      <c r="AP361" s="85" t="n"/>
      <c r="AQ361" s="85" t="n"/>
      <c r="AR361" s="85" t="n"/>
      <c r="AS361" s="85" t="n"/>
      <c r="AT361" s="85" t="n"/>
      <c r="AU361" s="85" t="n"/>
      <c r="AV361" s="85" t="n"/>
      <c r="AW361" s="44" t="n"/>
      <c r="AX361" s="85" t="n"/>
      <c r="AY361" s="88" t="n"/>
      <c r="AZ361" s="86" t="n"/>
      <c r="BA361" s="44" t="n"/>
      <c r="BB361" s="44" t="n"/>
      <c r="BC361" s="87" t="n"/>
      <c r="BD361" s="44" t="n"/>
      <c r="BE361" s="87" t="n"/>
      <c r="BF361" s="85" t="n"/>
      <c r="BG361" s="44" t="n"/>
      <c r="BH361" s="44" t="n"/>
      <c r="BI361" s="85" t="n"/>
      <c r="BJ361" s="44" t="n"/>
      <c r="BK361" s="45" t="n"/>
      <c r="BL361" s="44" t="n"/>
      <c r="BM361" s="85" t="n"/>
      <c r="BN361" s="44" t="n"/>
      <c r="BO361" s="85" t="n"/>
      <c r="BP361" s="86" t="n"/>
      <c r="BQ361" s="44" t="n"/>
      <c r="BR361" s="50" t="n"/>
      <c r="BS361" s="89" t="n"/>
      <c r="BT361" s="50">
        <f>IF(OR(K361="",L361="",M361=""),"",IF(ABS(ROUND(((ROUND(N(K361)*100,0))-(0))*(100+N(M361))/100,0)-(ROUND(N(L361)*100,0)))&lt;=0+IF(((ROUND(N(K361)*100,0))-(0))*(100+N(M361))/100&lt;&gt;ROUND(((ROUND(N(K361)*100,0))-(0))*(100+N(M361))/100,0),1,0),"OK","ABWEICHUNG"))</f>
        <v/>
      </c>
    </row>
    <row r="362">
      <c r="A362" s="50" t="n"/>
      <c r="B362" s="44" t="n"/>
      <c r="C362" s="44" t="n"/>
      <c r="D362" s="44" t="n"/>
      <c r="E362" s="44" t="n"/>
      <c r="F362" s="44" t="n"/>
      <c r="G362" s="44" t="n"/>
      <c r="H362" s="44" t="n"/>
      <c r="I362" s="45" t="n"/>
      <c r="J362" s="45" t="n"/>
      <c r="K362" s="85" t="n"/>
      <c r="L362" s="85" t="n"/>
      <c r="M362" s="88" t="n"/>
      <c r="N362" s="88" t="n"/>
      <c r="O362" s="44" t="n"/>
      <c r="P362" s="45" t="n"/>
      <c r="Q362" s="45" t="n"/>
      <c r="R362" s="44" t="n"/>
      <c r="S362" s="45" t="n"/>
      <c r="T362" s="45" t="n"/>
      <c r="U362" s="85" t="n"/>
      <c r="V362" s="44" t="n"/>
      <c r="W362" s="45" t="n"/>
      <c r="X362" s="45" t="n"/>
      <c r="Y362" s="44" t="n"/>
      <c r="Z362" s="85" t="n"/>
      <c r="AA362" s="44" t="n"/>
      <c r="AB362" s="44" t="n"/>
      <c r="AC362" s="44" t="n"/>
      <c r="AD362" s="44" t="n"/>
      <c r="AE362" s="44" t="n"/>
      <c r="AF362" s="88" t="n"/>
      <c r="AG362" s="85" t="n"/>
      <c r="AH362" s="85" t="n"/>
      <c r="AI362" s="85" t="n"/>
      <c r="AJ362" s="85" t="n"/>
      <c r="AK362" s="85" t="n"/>
      <c r="AL362" s="85" t="n"/>
      <c r="AM362" s="85" t="n"/>
      <c r="AN362" s="85" t="n"/>
      <c r="AO362" s="85" t="n"/>
      <c r="AP362" s="85" t="n"/>
      <c r="AQ362" s="85" t="n"/>
      <c r="AR362" s="85" t="n"/>
      <c r="AS362" s="85" t="n"/>
      <c r="AT362" s="85" t="n"/>
      <c r="AU362" s="85" t="n"/>
      <c r="AV362" s="85" t="n"/>
      <c r="AW362" s="44" t="n"/>
      <c r="AX362" s="85" t="n"/>
      <c r="AY362" s="88" t="n"/>
      <c r="AZ362" s="86" t="n"/>
      <c r="BA362" s="44" t="n"/>
      <c r="BB362" s="44" t="n"/>
      <c r="BC362" s="87" t="n"/>
      <c r="BD362" s="44" t="n"/>
      <c r="BE362" s="87" t="n"/>
      <c r="BF362" s="85" t="n"/>
      <c r="BG362" s="44" t="n"/>
      <c r="BH362" s="44" t="n"/>
      <c r="BI362" s="85" t="n"/>
      <c r="BJ362" s="44" t="n"/>
      <c r="BK362" s="45" t="n"/>
      <c r="BL362" s="44" t="n"/>
      <c r="BM362" s="85" t="n"/>
      <c r="BN362" s="44" t="n"/>
      <c r="BO362" s="85" t="n"/>
      <c r="BP362" s="86" t="n"/>
      <c r="BQ362" s="44" t="n"/>
      <c r="BR362" s="50" t="n"/>
      <c r="BS362" s="89" t="n"/>
      <c r="BT362" s="50">
        <f>IF(OR(K362="",L362="",M362=""),"",IF(ABS(ROUND(((ROUND(N(K362)*100,0))-(0))*(100+N(M362))/100,0)-(ROUND(N(L362)*100,0)))&lt;=0+IF(((ROUND(N(K362)*100,0))-(0))*(100+N(M362))/100&lt;&gt;ROUND(((ROUND(N(K362)*100,0))-(0))*(100+N(M362))/100,0),1,0),"OK","ABWEICHUNG"))</f>
        <v/>
      </c>
    </row>
    <row r="363">
      <c r="A363" s="50" t="n"/>
      <c r="B363" s="44" t="n"/>
      <c r="C363" s="44" t="n"/>
      <c r="D363" s="44" t="n"/>
      <c r="E363" s="44" t="n"/>
      <c r="F363" s="44" t="n"/>
      <c r="G363" s="44" t="n"/>
      <c r="H363" s="44" t="n"/>
      <c r="I363" s="45" t="n"/>
      <c r="J363" s="45" t="n"/>
      <c r="K363" s="85" t="n"/>
      <c r="L363" s="85" t="n"/>
      <c r="M363" s="88" t="n"/>
      <c r="N363" s="88" t="n"/>
      <c r="O363" s="44" t="n"/>
      <c r="P363" s="45" t="n"/>
      <c r="Q363" s="45" t="n"/>
      <c r="R363" s="44" t="n"/>
      <c r="S363" s="45" t="n"/>
      <c r="T363" s="45" t="n"/>
      <c r="U363" s="85" t="n"/>
      <c r="V363" s="44" t="n"/>
      <c r="W363" s="45" t="n"/>
      <c r="X363" s="45" t="n"/>
      <c r="Y363" s="44" t="n"/>
      <c r="Z363" s="85" t="n"/>
      <c r="AA363" s="44" t="n"/>
      <c r="AB363" s="44" t="n"/>
      <c r="AC363" s="44" t="n"/>
      <c r="AD363" s="44" t="n"/>
      <c r="AE363" s="44" t="n"/>
      <c r="AF363" s="88" t="n"/>
      <c r="AG363" s="85" t="n"/>
      <c r="AH363" s="85" t="n"/>
      <c r="AI363" s="85" t="n"/>
      <c r="AJ363" s="85" t="n"/>
      <c r="AK363" s="85" t="n"/>
      <c r="AL363" s="85" t="n"/>
      <c r="AM363" s="85" t="n"/>
      <c r="AN363" s="85" t="n"/>
      <c r="AO363" s="85" t="n"/>
      <c r="AP363" s="85" t="n"/>
      <c r="AQ363" s="85" t="n"/>
      <c r="AR363" s="85" t="n"/>
      <c r="AS363" s="85" t="n"/>
      <c r="AT363" s="85" t="n"/>
      <c r="AU363" s="85" t="n"/>
      <c r="AV363" s="85" t="n"/>
      <c r="AW363" s="44" t="n"/>
      <c r="AX363" s="85" t="n"/>
      <c r="AY363" s="88" t="n"/>
      <c r="AZ363" s="86" t="n"/>
      <c r="BA363" s="44" t="n"/>
      <c r="BB363" s="44" t="n"/>
      <c r="BC363" s="87" t="n"/>
      <c r="BD363" s="44" t="n"/>
      <c r="BE363" s="87" t="n"/>
      <c r="BF363" s="85" t="n"/>
      <c r="BG363" s="44" t="n"/>
      <c r="BH363" s="44" t="n"/>
      <c r="BI363" s="85" t="n"/>
      <c r="BJ363" s="44" t="n"/>
      <c r="BK363" s="45" t="n"/>
      <c r="BL363" s="44" t="n"/>
      <c r="BM363" s="85" t="n"/>
      <c r="BN363" s="44" t="n"/>
      <c r="BO363" s="85" t="n"/>
      <c r="BP363" s="86" t="n"/>
      <c r="BQ363" s="44" t="n"/>
      <c r="BR363" s="50" t="n"/>
      <c r="BS363" s="89" t="n"/>
      <c r="BT363" s="50">
        <f>IF(OR(K363="",L363="",M363=""),"",IF(ABS(ROUND(((ROUND(N(K363)*100,0))-(0))*(100+N(M363))/100,0)-(ROUND(N(L363)*100,0)))&lt;=0+IF(((ROUND(N(K363)*100,0))-(0))*(100+N(M363))/100&lt;&gt;ROUND(((ROUND(N(K363)*100,0))-(0))*(100+N(M363))/100,0),1,0),"OK","ABWEICHUNG"))</f>
        <v/>
      </c>
    </row>
    <row r="364">
      <c r="A364" s="50" t="n"/>
      <c r="B364" s="44" t="n"/>
      <c r="C364" s="44" t="n"/>
      <c r="D364" s="44" t="n"/>
      <c r="E364" s="44" t="n"/>
      <c r="F364" s="44" t="n"/>
      <c r="G364" s="44" t="n"/>
      <c r="H364" s="44" t="n"/>
      <c r="I364" s="45" t="n"/>
      <c r="J364" s="45" t="n"/>
      <c r="K364" s="85" t="n"/>
      <c r="L364" s="85" t="n"/>
      <c r="M364" s="88" t="n"/>
      <c r="N364" s="88" t="n"/>
      <c r="O364" s="44" t="n"/>
      <c r="P364" s="45" t="n"/>
      <c r="Q364" s="45" t="n"/>
      <c r="R364" s="44" t="n"/>
      <c r="S364" s="45" t="n"/>
      <c r="T364" s="45" t="n"/>
      <c r="U364" s="85" t="n"/>
      <c r="V364" s="44" t="n"/>
      <c r="W364" s="45" t="n"/>
      <c r="X364" s="45" t="n"/>
      <c r="Y364" s="44" t="n"/>
      <c r="Z364" s="85" t="n"/>
      <c r="AA364" s="44" t="n"/>
      <c r="AB364" s="44" t="n"/>
      <c r="AC364" s="44" t="n"/>
      <c r="AD364" s="44" t="n"/>
      <c r="AE364" s="44" t="n"/>
      <c r="AF364" s="88" t="n"/>
      <c r="AG364" s="85" t="n"/>
      <c r="AH364" s="85" t="n"/>
      <c r="AI364" s="85" t="n"/>
      <c r="AJ364" s="85" t="n"/>
      <c r="AK364" s="85" t="n"/>
      <c r="AL364" s="85" t="n"/>
      <c r="AM364" s="85" t="n"/>
      <c r="AN364" s="85" t="n"/>
      <c r="AO364" s="85" t="n"/>
      <c r="AP364" s="85" t="n"/>
      <c r="AQ364" s="85" t="n"/>
      <c r="AR364" s="85" t="n"/>
      <c r="AS364" s="85" t="n"/>
      <c r="AT364" s="85" t="n"/>
      <c r="AU364" s="85" t="n"/>
      <c r="AV364" s="85" t="n"/>
      <c r="AW364" s="44" t="n"/>
      <c r="AX364" s="85" t="n"/>
      <c r="AY364" s="88" t="n"/>
      <c r="AZ364" s="86" t="n"/>
      <c r="BA364" s="44" t="n"/>
      <c r="BB364" s="44" t="n"/>
      <c r="BC364" s="87" t="n"/>
      <c r="BD364" s="44" t="n"/>
      <c r="BE364" s="87" t="n"/>
      <c r="BF364" s="85" t="n"/>
      <c r="BG364" s="44" t="n"/>
      <c r="BH364" s="44" t="n"/>
      <c r="BI364" s="85" t="n"/>
      <c r="BJ364" s="44" t="n"/>
      <c r="BK364" s="45" t="n"/>
      <c r="BL364" s="44" t="n"/>
      <c r="BM364" s="85" t="n"/>
      <c r="BN364" s="44" t="n"/>
      <c r="BO364" s="85" t="n"/>
      <c r="BP364" s="86" t="n"/>
      <c r="BQ364" s="44" t="n"/>
      <c r="BR364" s="50" t="n"/>
      <c r="BS364" s="89" t="n"/>
      <c r="BT364" s="50">
        <f>IF(OR(K364="",L364="",M364=""),"",IF(ABS(ROUND(((ROUND(N(K364)*100,0))-(0))*(100+N(M364))/100,0)-(ROUND(N(L364)*100,0)))&lt;=0+IF(((ROUND(N(K364)*100,0))-(0))*(100+N(M364))/100&lt;&gt;ROUND(((ROUND(N(K364)*100,0))-(0))*(100+N(M364))/100,0),1,0),"OK","ABWEICHUNG"))</f>
        <v/>
      </c>
    </row>
    <row r="365">
      <c r="A365" s="50" t="n"/>
      <c r="B365" s="44" t="n"/>
      <c r="C365" s="44" t="n"/>
      <c r="D365" s="44" t="n"/>
      <c r="E365" s="44" t="n"/>
      <c r="F365" s="44" t="n"/>
      <c r="G365" s="44" t="n"/>
      <c r="H365" s="44" t="n"/>
      <c r="I365" s="45" t="n"/>
      <c r="J365" s="45" t="n"/>
      <c r="K365" s="85" t="n"/>
      <c r="L365" s="85" t="n"/>
      <c r="M365" s="88" t="n"/>
      <c r="N365" s="88" t="n"/>
      <c r="O365" s="44" t="n"/>
      <c r="P365" s="45" t="n"/>
      <c r="Q365" s="45" t="n"/>
      <c r="R365" s="44" t="n"/>
      <c r="S365" s="45" t="n"/>
      <c r="T365" s="45" t="n"/>
      <c r="U365" s="85" t="n"/>
      <c r="V365" s="44" t="n"/>
      <c r="W365" s="45" t="n"/>
      <c r="X365" s="45" t="n"/>
      <c r="Y365" s="44" t="n"/>
      <c r="Z365" s="85" t="n"/>
      <c r="AA365" s="44" t="n"/>
      <c r="AB365" s="44" t="n"/>
      <c r="AC365" s="44" t="n"/>
      <c r="AD365" s="44" t="n"/>
      <c r="AE365" s="44" t="n"/>
      <c r="AF365" s="88" t="n"/>
      <c r="AG365" s="85" t="n"/>
      <c r="AH365" s="85" t="n"/>
      <c r="AI365" s="85" t="n"/>
      <c r="AJ365" s="85" t="n"/>
      <c r="AK365" s="85" t="n"/>
      <c r="AL365" s="85" t="n"/>
      <c r="AM365" s="85" t="n"/>
      <c r="AN365" s="85" t="n"/>
      <c r="AO365" s="85" t="n"/>
      <c r="AP365" s="85" t="n"/>
      <c r="AQ365" s="85" t="n"/>
      <c r="AR365" s="85" t="n"/>
      <c r="AS365" s="85" t="n"/>
      <c r="AT365" s="85" t="n"/>
      <c r="AU365" s="85" t="n"/>
      <c r="AV365" s="85" t="n"/>
      <c r="AW365" s="44" t="n"/>
      <c r="AX365" s="85" t="n"/>
      <c r="AY365" s="88" t="n"/>
      <c r="AZ365" s="86" t="n"/>
      <c r="BA365" s="44" t="n"/>
      <c r="BB365" s="44" t="n"/>
      <c r="BC365" s="87" t="n"/>
      <c r="BD365" s="44" t="n"/>
      <c r="BE365" s="87" t="n"/>
      <c r="BF365" s="85" t="n"/>
      <c r="BG365" s="44" t="n"/>
      <c r="BH365" s="44" t="n"/>
      <c r="BI365" s="85" t="n"/>
      <c r="BJ365" s="44" t="n"/>
      <c r="BK365" s="45" t="n"/>
      <c r="BL365" s="44" t="n"/>
      <c r="BM365" s="85" t="n"/>
      <c r="BN365" s="44" t="n"/>
      <c r="BO365" s="85" t="n"/>
      <c r="BP365" s="86" t="n"/>
      <c r="BQ365" s="44" t="n"/>
      <c r="BR365" s="50" t="n"/>
      <c r="BS365" s="89" t="n"/>
      <c r="BT365" s="50">
        <f>IF(OR(K365="",L365="",M365=""),"",IF(ABS(ROUND(((ROUND(N(K365)*100,0))-(0))*(100+N(M365))/100,0)-(ROUND(N(L365)*100,0)))&lt;=0+IF(((ROUND(N(K365)*100,0))-(0))*(100+N(M365))/100&lt;&gt;ROUND(((ROUND(N(K365)*100,0))-(0))*(100+N(M365))/100,0),1,0),"OK","ABWEICHUNG"))</f>
        <v/>
      </c>
    </row>
    <row r="366">
      <c r="A366" s="50" t="n"/>
      <c r="B366" s="44" t="n"/>
      <c r="C366" s="44" t="n"/>
      <c r="D366" s="44" t="n"/>
      <c r="E366" s="44" t="n"/>
      <c r="F366" s="44" t="n"/>
      <c r="G366" s="44" t="n"/>
      <c r="H366" s="44" t="n"/>
      <c r="I366" s="45" t="n"/>
      <c r="J366" s="45" t="n"/>
      <c r="K366" s="85" t="n"/>
      <c r="L366" s="85" t="n"/>
      <c r="M366" s="88" t="n"/>
      <c r="N366" s="88" t="n"/>
      <c r="O366" s="44" t="n"/>
      <c r="P366" s="45" t="n"/>
      <c r="Q366" s="45" t="n"/>
      <c r="R366" s="44" t="n"/>
      <c r="S366" s="45" t="n"/>
      <c r="T366" s="45" t="n"/>
      <c r="U366" s="85" t="n"/>
      <c r="V366" s="44" t="n"/>
      <c r="W366" s="45" t="n"/>
      <c r="X366" s="45" t="n"/>
      <c r="Y366" s="44" t="n"/>
      <c r="Z366" s="85" t="n"/>
      <c r="AA366" s="44" t="n"/>
      <c r="AB366" s="44" t="n"/>
      <c r="AC366" s="44" t="n"/>
      <c r="AD366" s="44" t="n"/>
      <c r="AE366" s="44" t="n"/>
      <c r="AF366" s="88" t="n"/>
      <c r="AG366" s="85" t="n"/>
      <c r="AH366" s="85" t="n"/>
      <c r="AI366" s="85" t="n"/>
      <c r="AJ366" s="85" t="n"/>
      <c r="AK366" s="85" t="n"/>
      <c r="AL366" s="85" t="n"/>
      <c r="AM366" s="85" t="n"/>
      <c r="AN366" s="85" t="n"/>
      <c r="AO366" s="85" t="n"/>
      <c r="AP366" s="85" t="n"/>
      <c r="AQ366" s="85" t="n"/>
      <c r="AR366" s="85" t="n"/>
      <c r="AS366" s="85" t="n"/>
      <c r="AT366" s="85" t="n"/>
      <c r="AU366" s="85" t="n"/>
      <c r="AV366" s="85" t="n"/>
      <c r="AW366" s="44" t="n"/>
      <c r="AX366" s="85" t="n"/>
      <c r="AY366" s="88" t="n"/>
      <c r="AZ366" s="86" t="n"/>
      <c r="BA366" s="44" t="n"/>
      <c r="BB366" s="44" t="n"/>
      <c r="BC366" s="87" t="n"/>
      <c r="BD366" s="44" t="n"/>
      <c r="BE366" s="87" t="n"/>
      <c r="BF366" s="85" t="n"/>
      <c r="BG366" s="44" t="n"/>
      <c r="BH366" s="44" t="n"/>
      <c r="BI366" s="85" t="n"/>
      <c r="BJ366" s="44" t="n"/>
      <c r="BK366" s="45" t="n"/>
      <c r="BL366" s="44" t="n"/>
      <c r="BM366" s="85" t="n"/>
      <c r="BN366" s="44" t="n"/>
      <c r="BO366" s="85" t="n"/>
      <c r="BP366" s="86" t="n"/>
      <c r="BQ366" s="44" t="n"/>
      <c r="BR366" s="50" t="n"/>
      <c r="BS366" s="89" t="n"/>
      <c r="BT366" s="50">
        <f>IF(OR(K366="",L366="",M366=""),"",IF(ABS(ROUND(((ROUND(N(K366)*100,0))-(0))*(100+N(M366))/100,0)-(ROUND(N(L366)*100,0)))&lt;=0+IF(((ROUND(N(K366)*100,0))-(0))*(100+N(M366))/100&lt;&gt;ROUND(((ROUND(N(K366)*100,0))-(0))*(100+N(M366))/100,0),1,0),"OK","ABWEICHUNG"))</f>
        <v/>
      </c>
    </row>
    <row r="367">
      <c r="A367" s="50" t="n"/>
      <c r="B367" s="44" t="n"/>
      <c r="C367" s="44" t="n"/>
      <c r="D367" s="44" t="n"/>
      <c r="E367" s="44" t="n"/>
      <c r="F367" s="44" t="n"/>
      <c r="G367" s="44" t="n"/>
      <c r="H367" s="44" t="n"/>
      <c r="I367" s="45" t="n"/>
      <c r="J367" s="45" t="n"/>
      <c r="K367" s="85" t="n"/>
      <c r="L367" s="85" t="n"/>
      <c r="M367" s="88" t="n"/>
      <c r="N367" s="88" t="n"/>
      <c r="O367" s="44" t="n"/>
      <c r="P367" s="45" t="n"/>
      <c r="Q367" s="45" t="n"/>
      <c r="R367" s="44" t="n"/>
      <c r="S367" s="45" t="n"/>
      <c r="T367" s="45" t="n"/>
      <c r="U367" s="85" t="n"/>
      <c r="V367" s="44" t="n"/>
      <c r="W367" s="45" t="n"/>
      <c r="X367" s="45" t="n"/>
      <c r="Y367" s="44" t="n"/>
      <c r="Z367" s="85" t="n"/>
      <c r="AA367" s="44" t="n"/>
      <c r="AB367" s="44" t="n"/>
      <c r="AC367" s="44" t="n"/>
      <c r="AD367" s="44" t="n"/>
      <c r="AE367" s="44" t="n"/>
      <c r="AF367" s="88" t="n"/>
      <c r="AG367" s="85" t="n"/>
      <c r="AH367" s="85" t="n"/>
      <c r="AI367" s="85" t="n"/>
      <c r="AJ367" s="85" t="n"/>
      <c r="AK367" s="85" t="n"/>
      <c r="AL367" s="85" t="n"/>
      <c r="AM367" s="85" t="n"/>
      <c r="AN367" s="85" t="n"/>
      <c r="AO367" s="85" t="n"/>
      <c r="AP367" s="85" t="n"/>
      <c r="AQ367" s="85" t="n"/>
      <c r="AR367" s="85" t="n"/>
      <c r="AS367" s="85" t="n"/>
      <c r="AT367" s="85" t="n"/>
      <c r="AU367" s="85" t="n"/>
      <c r="AV367" s="85" t="n"/>
      <c r="AW367" s="44" t="n"/>
      <c r="AX367" s="85" t="n"/>
      <c r="AY367" s="88" t="n"/>
      <c r="AZ367" s="86" t="n"/>
      <c r="BA367" s="44" t="n"/>
      <c r="BB367" s="44" t="n"/>
      <c r="BC367" s="87" t="n"/>
      <c r="BD367" s="44" t="n"/>
      <c r="BE367" s="87" t="n"/>
      <c r="BF367" s="85" t="n"/>
      <c r="BG367" s="44" t="n"/>
      <c r="BH367" s="44" t="n"/>
      <c r="BI367" s="85" t="n"/>
      <c r="BJ367" s="44" t="n"/>
      <c r="BK367" s="45" t="n"/>
      <c r="BL367" s="44" t="n"/>
      <c r="BM367" s="85" t="n"/>
      <c r="BN367" s="44" t="n"/>
      <c r="BO367" s="85" t="n"/>
      <c r="BP367" s="86" t="n"/>
      <c r="BQ367" s="44" t="n"/>
      <c r="BR367" s="50" t="n"/>
      <c r="BS367" s="89" t="n"/>
      <c r="BT367" s="50">
        <f>IF(OR(K367="",L367="",M367=""),"",IF(ABS(ROUND(((ROUND(N(K367)*100,0))-(0))*(100+N(M367))/100,0)-(ROUND(N(L367)*100,0)))&lt;=0+IF(((ROUND(N(K367)*100,0))-(0))*(100+N(M367))/100&lt;&gt;ROUND(((ROUND(N(K367)*100,0))-(0))*(100+N(M367))/100,0),1,0),"OK","ABWEICHUNG"))</f>
        <v/>
      </c>
    </row>
    <row r="368">
      <c r="A368" s="50" t="n"/>
      <c r="B368" s="44" t="n"/>
      <c r="C368" s="44" t="n"/>
      <c r="D368" s="44" t="n"/>
      <c r="E368" s="44" t="n"/>
      <c r="F368" s="44" t="n"/>
      <c r="G368" s="44" t="n"/>
      <c r="H368" s="44" t="n"/>
      <c r="I368" s="45" t="n"/>
      <c r="J368" s="45" t="n"/>
      <c r="K368" s="85" t="n"/>
      <c r="L368" s="85" t="n"/>
      <c r="M368" s="88" t="n"/>
      <c r="N368" s="88" t="n"/>
      <c r="O368" s="44" t="n"/>
      <c r="P368" s="45" t="n"/>
      <c r="Q368" s="45" t="n"/>
      <c r="R368" s="44" t="n"/>
      <c r="S368" s="45" t="n"/>
      <c r="T368" s="45" t="n"/>
      <c r="U368" s="85" t="n"/>
      <c r="V368" s="44" t="n"/>
      <c r="W368" s="45" t="n"/>
      <c r="X368" s="45" t="n"/>
      <c r="Y368" s="44" t="n"/>
      <c r="Z368" s="85" t="n"/>
      <c r="AA368" s="44" t="n"/>
      <c r="AB368" s="44" t="n"/>
      <c r="AC368" s="44" t="n"/>
      <c r="AD368" s="44" t="n"/>
      <c r="AE368" s="44" t="n"/>
      <c r="AF368" s="88" t="n"/>
      <c r="AG368" s="85" t="n"/>
      <c r="AH368" s="85" t="n"/>
      <c r="AI368" s="85" t="n"/>
      <c r="AJ368" s="85" t="n"/>
      <c r="AK368" s="85" t="n"/>
      <c r="AL368" s="85" t="n"/>
      <c r="AM368" s="85" t="n"/>
      <c r="AN368" s="85" t="n"/>
      <c r="AO368" s="85" t="n"/>
      <c r="AP368" s="85" t="n"/>
      <c r="AQ368" s="85" t="n"/>
      <c r="AR368" s="85" t="n"/>
      <c r="AS368" s="85" t="n"/>
      <c r="AT368" s="85" t="n"/>
      <c r="AU368" s="85" t="n"/>
      <c r="AV368" s="85" t="n"/>
      <c r="AW368" s="44" t="n"/>
      <c r="AX368" s="85" t="n"/>
      <c r="AY368" s="88" t="n"/>
      <c r="AZ368" s="86" t="n"/>
      <c r="BA368" s="44" t="n"/>
      <c r="BB368" s="44" t="n"/>
      <c r="BC368" s="87" t="n"/>
      <c r="BD368" s="44" t="n"/>
      <c r="BE368" s="87" t="n"/>
      <c r="BF368" s="85" t="n"/>
      <c r="BG368" s="44" t="n"/>
      <c r="BH368" s="44" t="n"/>
      <c r="BI368" s="85" t="n"/>
      <c r="BJ368" s="44" t="n"/>
      <c r="BK368" s="45" t="n"/>
      <c r="BL368" s="44" t="n"/>
      <c r="BM368" s="85" t="n"/>
      <c r="BN368" s="44" t="n"/>
      <c r="BO368" s="85" t="n"/>
      <c r="BP368" s="86" t="n"/>
      <c r="BQ368" s="44" t="n"/>
      <c r="BR368" s="50" t="n"/>
      <c r="BS368" s="89" t="n"/>
      <c r="BT368" s="50">
        <f>IF(OR(K368="",L368="",M368=""),"",IF(ABS(ROUND(((ROUND(N(K368)*100,0))-(0))*(100+N(M368))/100,0)-(ROUND(N(L368)*100,0)))&lt;=0+IF(((ROUND(N(K368)*100,0))-(0))*(100+N(M368))/100&lt;&gt;ROUND(((ROUND(N(K368)*100,0))-(0))*(100+N(M368))/100,0),1,0),"OK","ABWEICHUNG"))</f>
        <v/>
      </c>
    </row>
    <row r="369">
      <c r="A369" s="50" t="n"/>
      <c r="B369" s="44" t="n"/>
      <c r="C369" s="44" t="n"/>
      <c r="D369" s="44" t="n"/>
      <c r="E369" s="44" t="n"/>
      <c r="F369" s="44" t="n"/>
      <c r="G369" s="44" t="n"/>
      <c r="H369" s="44" t="n"/>
      <c r="I369" s="45" t="n"/>
      <c r="J369" s="45" t="n"/>
      <c r="K369" s="85" t="n"/>
      <c r="L369" s="85" t="n"/>
      <c r="M369" s="88" t="n"/>
      <c r="N369" s="88" t="n"/>
      <c r="O369" s="44" t="n"/>
      <c r="P369" s="45" t="n"/>
      <c r="Q369" s="45" t="n"/>
      <c r="R369" s="44" t="n"/>
      <c r="S369" s="45" t="n"/>
      <c r="T369" s="45" t="n"/>
      <c r="U369" s="85" t="n"/>
      <c r="V369" s="44" t="n"/>
      <c r="W369" s="45" t="n"/>
      <c r="X369" s="45" t="n"/>
      <c r="Y369" s="44" t="n"/>
      <c r="Z369" s="85" t="n"/>
      <c r="AA369" s="44" t="n"/>
      <c r="AB369" s="44" t="n"/>
      <c r="AC369" s="44" t="n"/>
      <c r="AD369" s="44" t="n"/>
      <c r="AE369" s="44" t="n"/>
      <c r="AF369" s="88" t="n"/>
      <c r="AG369" s="85" t="n"/>
      <c r="AH369" s="85" t="n"/>
      <c r="AI369" s="85" t="n"/>
      <c r="AJ369" s="85" t="n"/>
      <c r="AK369" s="85" t="n"/>
      <c r="AL369" s="85" t="n"/>
      <c r="AM369" s="85" t="n"/>
      <c r="AN369" s="85" t="n"/>
      <c r="AO369" s="85" t="n"/>
      <c r="AP369" s="85" t="n"/>
      <c r="AQ369" s="85" t="n"/>
      <c r="AR369" s="85" t="n"/>
      <c r="AS369" s="85" t="n"/>
      <c r="AT369" s="85" t="n"/>
      <c r="AU369" s="85" t="n"/>
      <c r="AV369" s="85" t="n"/>
      <c r="AW369" s="44" t="n"/>
      <c r="AX369" s="85" t="n"/>
      <c r="AY369" s="88" t="n"/>
      <c r="AZ369" s="86" t="n"/>
      <c r="BA369" s="44" t="n"/>
      <c r="BB369" s="44" t="n"/>
      <c r="BC369" s="87" t="n"/>
      <c r="BD369" s="44" t="n"/>
      <c r="BE369" s="87" t="n"/>
      <c r="BF369" s="85" t="n"/>
      <c r="BG369" s="44" t="n"/>
      <c r="BH369" s="44" t="n"/>
      <c r="BI369" s="85" t="n"/>
      <c r="BJ369" s="44" t="n"/>
      <c r="BK369" s="45" t="n"/>
      <c r="BL369" s="44" t="n"/>
      <c r="BM369" s="85" t="n"/>
      <c r="BN369" s="44" t="n"/>
      <c r="BO369" s="85" t="n"/>
      <c r="BP369" s="86" t="n"/>
      <c r="BQ369" s="44" t="n"/>
      <c r="BR369" s="50" t="n"/>
      <c r="BS369" s="89" t="n"/>
      <c r="BT369" s="50">
        <f>IF(OR(K369="",L369="",M369=""),"",IF(ABS(ROUND(((ROUND(N(K369)*100,0))-(0))*(100+N(M369))/100,0)-(ROUND(N(L369)*100,0)))&lt;=0+IF(((ROUND(N(K369)*100,0))-(0))*(100+N(M369))/100&lt;&gt;ROUND(((ROUND(N(K369)*100,0))-(0))*(100+N(M369))/100,0),1,0),"OK","ABWEICHUNG"))</f>
        <v/>
      </c>
    </row>
    <row r="370">
      <c r="A370" s="50" t="n"/>
      <c r="B370" s="44" t="n"/>
      <c r="C370" s="44" t="n"/>
      <c r="D370" s="44" t="n"/>
      <c r="E370" s="44" t="n"/>
      <c r="F370" s="44" t="n"/>
      <c r="G370" s="44" t="n"/>
      <c r="H370" s="44" t="n"/>
      <c r="I370" s="45" t="n"/>
      <c r="J370" s="45" t="n"/>
      <c r="K370" s="85" t="n"/>
      <c r="L370" s="85" t="n"/>
      <c r="M370" s="88" t="n"/>
      <c r="N370" s="88" t="n"/>
      <c r="O370" s="44" t="n"/>
      <c r="P370" s="45" t="n"/>
      <c r="Q370" s="45" t="n"/>
      <c r="R370" s="44" t="n"/>
      <c r="S370" s="45" t="n"/>
      <c r="T370" s="45" t="n"/>
      <c r="U370" s="85" t="n"/>
      <c r="V370" s="44" t="n"/>
      <c r="W370" s="45" t="n"/>
      <c r="X370" s="45" t="n"/>
      <c r="Y370" s="44" t="n"/>
      <c r="Z370" s="85" t="n"/>
      <c r="AA370" s="44" t="n"/>
      <c r="AB370" s="44" t="n"/>
      <c r="AC370" s="44" t="n"/>
      <c r="AD370" s="44" t="n"/>
      <c r="AE370" s="44" t="n"/>
      <c r="AF370" s="88" t="n"/>
      <c r="AG370" s="85" t="n"/>
      <c r="AH370" s="85" t="n"/>
      <c r="AI370" s="85" t="n"/>
      <c r="AJ370" s="85" t="n"/>
      <c r="AK370" s="85" t="n"/>
      <c r="AL370" s="85" t="n"/>
      <c r="AM370" s="85" t="n"/>
      <c r="AN370" s="85" t="n"/>
      <c r="AO370" s="85" t="n"/>
      <c r="AP370" s="85" t="n"/>
      <c r="AQ370" s="85" t="n"/>
      <c r="AR370" s="85" t="n"/>
      <c r="AS370" s="85" t="n"/>
      <c r="AT370" s="85" t="n"/>
      <c r="AU370" s="85" t="n"/>
      <c r="AV370" s="85" t="n"/>
      <c r="AW370" s="44" t="n"/>
      <c r="AX370" s="85" t="n"/>
      <c r="AY370" s="88" t="n"/>
      <c r="AZ370" s="86" t="n"/>
      <c r="BA370" s="44" t="n"/>
      <c r="BB370" s="44" t="n"/>
      <c r="BC370" s="87" t="n"/>
      <c r="BD370" s="44" t="n"/>
      <c r="BE370" s="87" t="n"/>
      <c r="BF370" s="85" t="n"/>
      <c r="BG370" s="44" t="n"/>
      <c r="BH370" s="44" t="n"/>
      <c r="BI370" s="85" t="n"/>
      <c r="BJ370" s="44" t="n"/>
      <c r="BK370" s="45" t="n"/>
      <c r="BL370" s="44" t="n"/>
      <c r="BM370" s="85" t="n"/>
      <c r="BN370" s="44" t="n"/>
      <c r="BO370" s="85" t="n"/>
      <c r="BP370" s="86" t="n"/>
      <c r="BQ370" s="44" t="n"/>
      <c r="BR370" s="50" t="n"/>
      <c r="BS370" s="89" t="n"/>
      <c r="BT370" s="50">
        <f>IF(OR(K370="",L370="",M370=""),"",IF(ABS(ROUND(((ROUND(N(K370)*100,0))-(0))*(100+N(M370))/100,0)-(ROUND(N(L370)*100,0)))&lt;=0+IF(((ROUND(N(K370)*100,0))-(0))*(100+N(M370))/100&lt;&gt;ROUND(((ROUND(N(K370)*100,0))-(0))*(100+N(M370))/100,0),1,0),"OK","ABWEICHUNG"))</f>
        <v/>
      </c>
    </row>
    <row r="371">
      <c r="A371" s="50" t="n"/>
      <c r="B371" s="44" t="n"/>
      <c r="C371" s="44" t="n"/>
      <c r="D371" s="44" t="n"/>
      <c r="E371" s="44" t="n"/>
      <c r="F371" s="44" t="n"/>
      <c r="G371" s="44" t="n"/>
      <c r="H371" s="44" t="n"/>
      <c r="I371" s="45" t="n"/>
      <c r="J371" s="45" t="n"/>
      <c r="K371" s="85" t="n"/>
      <c r="L371" s="85" t="n"/>
      <c r="M371" s="88" t="n"/>
      <c r="N371" s="88" t="n"/>
      <c r="O371" s="44" t="n"/>
      <c r="P371" s="45" t="n"/>
      <c r="Q371" s="45" t="n"/>
      <c r="R371" s="44" t="n"/>
      <c r="S371" s="45" t="n"/>
      <c r="T371" s="45" t="n"/>
      <c r="U371" s="85" t="n"/>
      <c r="V371" s="44" t="n"/>
      <c r="W371" s="45" t="n"/>
      <c r="X371" s="45" t="n"/>
      <c r="Y371" s="44" t="n"/>
      <c r="Z371" s="85" t="n"/>
      <c r="AA371" s="44" t="n"/>
      <c r="AB371" s="44" t="n"/>
      <c r="AC371" s="44" t="n"/>
      <c r="AD371" s="44" t="n"/>
      <c r="AE371" s="44" t="n"/>
      <c r="AF371" s="88" t="n"/>
      <c r="AG371" s="85" t="n"/>
      <c r="AH371" s="85" t="n"/>
      <c r="AI371" s="85" t="n"/>
      <c r="AJ371" s="85" t="n"/>
      <c r="AK371" s="85" t="n"/>
      <c r="AL371" s="85" t="n"/>
      <c r="AM371" s="85" t="n"/>
      <c r="AN371" s="85" t="n"/>
      <c r="AO371" s="85" t="n"/>
      <c r="AP371" s="85" t="n"/>
      <c r="AQ371" s="85" t="n"/>
      <c r="AR371" s="85" t="n"/>
      <c r="AS371" s="85" t="n"/>
      <c r="AT371" s="85" t="n"/>
      <c r="AU371" s="85" t="n"/>
      <c r="AV371" s="85" t="n"/>
      <c r="AW371" s="44" t="n"/>
      <c r="AX371" s="85" t="n"/>
      <c r="AY371" s="88" t="n"/>
      <c r="AZ371" s="86" t="n"/>
      <c r="BA371" s="44" t="n"/>
      <c r="BB371" s="44" t="n"/>
      <c r="BC371" s="87" t="n"/>
      <c r="BD371" s="44" t="n"/>
      <c r="BE371" s="87" t="n"/>
      <c r="BF371" s="85" t="n"/>
      <c r="BG371" s="44" t="n"/>
      <c r="BH371" s="44" t="n"/>
      <c r="BI371" s="85" t="n"/>
      <c r="BJ371" s="44" t="n"/>
      <c r="BK371" s="45" t="n"/>
      <c r="BL371" s="44" t="n"/>
      <c r="BM371" s="85" t="n"/>
      <c r="BN371" s="44" t="n"/>
      <c r="BO371" s="85" t="n"/>
      <c r="BP371" s="86" t="n"/>
      <c r="BQ371" s="44" t="n"/>
      <c r="BR371" s="50" t="n"/>
      <c r="BS371" s="89" t="n"/>
      <c r="BT371" s="50">
        <f>IF(OR(K371="",L371="",M371=""),"",IF(ABS(ROUND(((ROUND(N(K371)*100,0))-(0))*(100+N(M371))/100,0)-(ROUND(N(L371)*100,0)))&lt;=0+IF(((ROUND(N(K371)*100,0))-(0))*(100+N(M371))/100&lt;&gt;ROUND(((ROUND(N(K371)*100,0))-(0))*(100+N(M371))/100,0),1,0),"OK","ABWEICHUNG"))</f>
        <v/>
      </c>
    </row>
    <row r="372">
      <c r="A372" s="50" t="n"/>
      <c r="B372" s="44" t="n"/>
      <c r="C372" s="44" t="n"/>
      <c r="D372" s="44" t="n"/>
      <c r="E372" s="44" t="n"/>
      <c r="F372" s="44" t="n"/>
      <c r="G372" s="44" t="n"/>
      <c r="H372" s="44" t="n"/>
      <c r="I372" s="45" t="n"/>
      <c r="J372" s="45" t="n"/>
      <c r="K372" s="85" t="n"/>
      <c r="L372" s="85" t="n"/>
      <c r="M372" s="88" t="n"/>
      <c r="N372" s="88" t="n"/>
      <c r="O372" s="44" t="n"/>
      <c r="P372" s="45" t="n"/>
      <c r="Q372" s="45" t="n"/>
      <c r="R372" s="44" t="n"/>
      <c r="S372" s="45" t="n"/>
      <c r="T372" s="45" t="n"/>
      <c r="U372" s="85" t="n"/>
      <c r="V372" s="44" t="n"/>
      <c r="W372" s="45" t="n"/>
      <c r="X372" s="45" t="n"/>
      <c r="Y372" s="44" t="n"/>
      <c r="Z372" s="85" t="n"/>
      <c r="AA372" s="44" t="n"/>
      <c r="AB372" s="44" t="n"/>
      <c r="AC372" s="44" t="n"/>
      <c r="AD372" s="44" t="n"/>
      <c r="AE372" s="44" t="n"/>
      <c r="AF372" s="88" t="n"/>
      <c r="AG372" s="85" t="n"/>
      <c r="AH372" s="85" t="n"/>
      <c r="AI372" s="85" t="n"/>
      <c r="AJ372" s="85" t="n"/>
      <c r="AK372" s="85" t="n"/>
      <c r="AL372" s="85" t="n"/>
      <c r="AM372" s="85" t="n"/>
      <c r="AN372" s="85" t="n"/>
      <c r="AO372" s="85" t="n"/>
      <c r="AP372" s="85" t="n"/>
      <c r="AQ372" s="85" t="n"/>
      <c r="AR372" s="85" t="n"/>
      <c r="AS372" s="85" t="n"/>
      <c r="AT372" s="85" t="n"/>
      <c r="AU372" s="85" t="n"/>
      <c r="AV372" s="85" t="n"/>
      <c r="AW372" s="44" t="n"/>
      <c r="AX372" s="85" t="n"/>
      <c r="AY372" s="88" t="n"/>
      <c r="AZ372" s="86" t="n"/>
      <c r="BA372" s="44" t="n"/>
      <c r="BB372" s="44" t="n"/>
      <c r="BC372" s="87" t="n"/>
      <c r="BD372" s="44" t="n"/>
      <c r="BE372" s="87" t="n"/>
      <c r="BF372" s="85" t="n"/>
      <c r="BG372" s="44" t="n"/>
      <c r="BH372" s="44" t="n"/>
      <c r="BI372" s="85" t="n"/>
      <c r="BJ372" s="44" t="n"/>
      <c r="BK372" s="45" t="n"/>
      <c r="BL372" s="44" t="n"/>
      <c r="BM372" s="85" t="n"/>
      <c r="BN372" s="44" t="n"/>
      <c r="BO372" s="85" t="n"/>
      <c r="BP372" s="86" t="n"/>
      <c r="BQ372" s="44" t="n"/>
      <c r="BR372" s="50" t="n"/>
      <c r="BS372" s="89" t="n"/>
      <c r="BT372" s="50">
        <f>IF(OR(K372="",L372="",M372=""),"",IF(ABS(ROUND(((ROUND(N(K372)*100,0))-(0))*(100+N(M372))/100,0)-(ROUND(N(L372)*100,0)))&lt;=0+IF(((ROUND(N(K372)*100,0))-(0))*(100+N(M372))/100&lt;&gt;ROUND(((ROUND(N(K372)*100,0))-(0))*(100+N(M372))/100,0),1,0),"OK","ABWEICHUNG"))</f>
        <v/>
      </c>
    </row>
    <row r="373">
      <c r="A373" s="50" t="n"/>
      <c r="B373" s="44" t="n"/>
      <c r="C373" s="44" t="n"/>
      <c r="D373" s="44" t="n"/>
      <c r="E373" s="44" t="n"/>
      <c r="F373" s="44" t="n"/>
      <c r="G373" s="44" t="n"/>
      <c r="H373" s="44" t="n"/>
      <c r="I373" s="45" t="n"/>
      <c r="J373" s="45" t="n"/>
      <c r="K373" s="85" t="n"/>
      <c r="L373" s="85" t="n"/>
      <c r="M373" s="88" t="n"/>
      <c r="N373" s="88" t="n"/>
      <c r="O373" s="44" t="n"/>
      <c r="P373" s="45" t="n"/>
      <c r="Q373" s="45" t="n"/>
      <c r="R373" s="44" t="n"/>
      <c r="S373" s="45" t="n"/>
      <c r="T373" s="45" t="n"/>
      <c r="U373" s="85" t="n"/>
      <c r="V373" s="44" t="n"/>
      <c r="W373" s="45" t="n"/>
      <c r="X373" s="45" t="n"/>
      <c r="Y373" s="44" t="n"/>
      <c r="Z373" s="85" t="n"/>
      <c r="AA373" s="44" t="n"/>
      <c r="AB373" s="44" t="n"/>
      <c r="AC373" s="44" t="n"/>
      <c r="AD373" s="44" t="n"/>
      <c r="AE373" s="44" t="n"/>
      <c r="AF373" s="88" t="n"/>
      <c r="AG373" s="85" t="n"/>
      <c r="AH373" s="85" t="n"/>
      <c r="AI373" s="85" t="n"/>
      <c r="AJ373" s="85" t="n"/>
      <c r="AK373" s="85" t="n"/>
      <c r="AL373" s="85" t="n"/>
      <c r="AM373" s="85" t="n"/>
      <c r="AN373" s="85" t="n"/>
      <c r="AO373" s="85" t="n"/>
      <c r="AP373" s="85" t="n"/>
      <c r="AQ373" s="85" t="n"/>
      <c r="AR373" s="85" t="n"/>
      <c r="AS373" s="85" t="n"/>
      <c r="AT373" s="85" t="n"/>
      <c r="AU373" s="85" t="n"/>
      <c r="AV373" s="85" t="n"/>
      <c r="AW373" s="44" t="n"/>
      <c r="AX373" s="85" t="n"/>
      <c r="AY373" s="88" t="n"/>
      <c r="AZ373" s="86" t="n"/>
      <c r="BA373" s="44" t="n"/>
      <c r="BB373" s="44" t="n"/>
      <c r="BC373" s="87" t="n"/>
      <c r="BD373" s="44" t="n"/>
      <c r="BE373" s="87" t="n"/>
      <c r="BF373" s="85" t="n"/>
      <c r="BG373" s="44" t="n"/>
      <c r="BH373" s="44" t="n"/>
      <c r="BI373" s="85" t="n"/>
      <c r="BJ373" s="44" t="n"/>
      <c r="BK373" s="45" t="n"/>
      <c r="BL373" s="44" t="n"/>
      <c r="BM373" s="85" t="n"/>
      <c r="BN373" s="44" t="n"/>
      <c r="BO373" s="85" t="n"/>
      <c r="BP373" s="86" t="n"/>
      <c r="BQ373" s="44" t="n"/>
      <c r="BR373" s="50" t="n"/>
      <c r="BS373" s="89" t="n"/>
      <c r="BT373" s="50">
        <f>IF(OR(K373="",L373="",M373=""),"",IF(ABS(ROUND(((ROUND(N(K373)*100,0))-(0))*(100+N(M373))/100,0)-(ROUND(N(L373)*100,0)))&lt;=0+IF(((ROUND(N(K373)*100,0))-(0))*(100+N(M373))/100&lt;&gt;ROUND(((ROUND(N(K373)*100,0))-(0))*(100+N(M373))/100,0),1,0),"OK","ABWEICHUNG"))</f>
        <v/>
      </c>
    </row>
    <row r="374">
      <c r="A374" s="50" t="n"/>
      <c r="B374" s="44" t="n"/>
      <c r="C374" s="44" t="n"/>
      <c r="D374" s="44" t="n"/>
      <c r="E374" s="44" t="n"/>
      <c r="F374" s="44" t="n"/>
      <c r="G374" s="44" t="n"/>
      <c r="H374" s="44" t="n"/>
      <c r="I374" s="45" t="n"/>
      <c r="J374" s="45" t="n"/>
      <c r="K374" s="85" t="n"/>
      <c r="L374" s="85" t="n"/>
      <c r="M374" s="88" t="n"/>
      <c r="N374" s="88" t="n"/>
      <c r="O374" s="44" t="n"/>
      <c r="P374" s="45" t="n"/>
      <c r="Q374" s="45" t="n"/>
      <c r="R374" s="44" t="n"/>
      <c r="S374" s="45" t="n"/>
      <c r="T374" s="45" t="n"/>
      <c r="U374" s="85" t="n"/>
      <c r="V374" s="44" t="n"/>
      <c r="W374" s="45" t="n"/>
      <c r="X374" s="45" t="n"/>
      <c r="Y374" s="44" t="n"/>
      <c r="Z374" s="85" t="n"/>
      <c r="AA374" s="44" t="n"/>
      <c r="AB374" s="44" t="n"/>
      <c r="AC374" s="44" t="n"/>
      <c r="AD374" s="44" t="n"/>
      <c r="AE374" s="44" t="n"/>
      <c r="AF374" s="88" t="n"/>
      <c r="AG374" s="85" t="n"/>
      <c r="AH374" s="85" t="n"/>
      <c r="AI374" s="85" t="n"/>
      <c r="AJ374" s="85" t="n"/>
      <c r="AK374" s="85" t="n"/>
      <c r="AL374" s="85" t="n"/>
      <c r="AM374" s="85" t="n"/>
      <c r="AN374" s="85" t="n"/>
      <c r="AO374" s="85" t="n"/>
      <c r="AP374" s="85" t="n"/>
      <c r="AQ374" s="85" t="n"/>
      <c r="AR374" s="85" t="n"/>
      <c r="AS374" s="85" t="n"/>
      <c r="AT374" s="85" t="n"/>
      <c r="AU374" s="85" t="n"/>
      <c r="AV374" s="85" t="n"/>
      <c r="AW374" s="44" t="n"/>
      <c r="AX374" s="85" t="n"/>
      <c r="AY374" s="88" t="n"/>
      <c r="AZ374" s="86" t="n"/>
      <c r="BA374" s="44" t="n"/>
      <c r="BB374" s="44" t="n"/>
      <c r="BC374" s="87" t="n"/>
      <c r="BD374" s="44" t="n"/>
      <c r="BE374" s="87" t="n"/>
      <c r="BF374" s="85" t="n"/>
      <c r="BG374" s="44" t="n"/>
      <c r="BH374" s="44" t="n"/>
      <c r="BI374" s="85" t="n"/>
      <c r="BJ374" s="44" t="n"/>
      <c r="BK374" s="45" t="n"/>
      <c r="BL374" s="44" t="n"/>
      <c r="BM374" s="85" t="n"/>
      <c r="BN374" s="44" t="n"/>
      <c r="BO374" s="85" t="n"/>
      <c r="BP374" s="86" t="n"/>
      <c r="BQ374" s="44" t="n"/>
      <c r="BR374" s="50" t="n"/>
      <c r="BS374" s="89" t="n"/>
      <c r="BT374" s="50">
        <f>IF(OR(K374="",L374="",M374=""),"",IF(ABS(ROUND(((ROUND(N(K374)*100,0))-(0))*(100+N(M374))/100,0)-(ROUND(N(L374)*100,0)))&lt;=0+IF(((ROUND(N(K374)*100,0))-(0))*(100+N(M374))/100&lt;&gt;ROUND(((ROUND(N(K374)*100,0))-(0))*(100+N(M374))/100,0),1,0),"OK","ABWEICHUNG"))</f>
        <v/>
      </c>
    </row>
    <row r="375">
      <c r="A375" s="50" t="n"/>
      <c r="B375" s="44" t="n"/>
      <c r="C375" s="44" t="n"/>
      <c r="D375" s="44" t="n"/>
      <c r="E375" s="44" t="n"/>
      <c r="F375" s="44" t="n"/>
      <c r="G375" s="44" t="n"/>
      <c r="H375" s="44" t="n"/>
      <c r="I375" s="45" t="n"/>
      <c r="J375" s="45" t="n"/>
      <c r="K375" s="85" t="n"/>
      <c r="L375" s="85" t="n"/>
      <c r="M375" s="88" t="n"/>
      <c r="N375" s="88" t="n"/>
      <c r="O375" s="44" t="n"/>
      <c r="P375" s="45" t="n"/>
      <c r="Q375" s="45" t="n"/>
      <c r="R375" s="44" t="n"/>
      <c r="S375" s="45" t="n"/>
      <c r="T375" s="45" t="n"/>
      <c r="U375" s="85" t="n"/>
      <c r="V375" s="44" t="n"/>
      <c r="W375" s="45" t="n"/>
      <c r="X375" s="45" t="n"/>
      <c r="Y375" s="44" t="n"/>
      <c r="Z375" s="85" t="n"/>
      <c r="AA375" s="44" t="n"/>
      <c r="AB375" s="44" t="n"/>
      <c r="AC375" s="44" t="n"/>
      <c r="AD375" s="44" t="n"/>
      <c r="AE375" s="44" t="n"/>
      <c r="AF375" s="88" t="n"/>
      <c r="AG375" s="85" t="n"/>
      <c r="AH375" s="85" t="n"/>
      <c r="AI375" s="85" t="n"/>
      <c r="AJ375" s="85" t="n"/>
      <c r="AK375" s="85" t="n"/>
      <c r="AL375" s="85" t="n"/>
      <c r="AM375" s="85" t="n"/>
      <c r="AN375" s="85" t="n"/>
      <c r="AO375" s="85" t="n"/>
      <c r="AP375" s="85" t="n"/>
      <c r="AQ375" s="85" t="n"/>
      <c r="AR375" s="85" t="n"/>
      <c r="AS375" s="85" t="n"/>
      <c r="AT375" s="85" t="n"/>
      <c r="AU375" s="85" t="n"/>
      <c r="AV375" s="85" t="n"/>
      <c r="AW375" s="44" t="n"/>
      <c r="AX375" s="85" t="n"/>
      <c r="AY375" s="88" t="n"/>
      <c r="AZ375" s="86" t="n"/>
      <c r="BA375" s="44" t="n"/>
      <c r="BB375" s="44" t="n"/>
      <c r="BC375" s="87" t="n"/>
      <c r="BD375" s="44" t="n"/>
      <c r="BE375" s="87" t="n"/>
      <c r="BF375" s="85" t="n"/>
      <c r="BG375" s="44" t="n"/>
      <c r="BH375" s="44" t="n"/>
      <c r="BI375" s="85" t="n"/>
      <c r="BJ375" s="44" t="n"/>
      <c r="BK375" s="45" t="n"/>
      <c r="BL375" s="44" t="n"/>
      <c r="BM375" s="85" t="n"/>
      <c r="BN375" s="44" t="n"/>
      <c r="BO375" s="85" t="n"/>
      <c r="BP375" s="86" t="n"/>
      <c r="BQ375" s="44" t="n"/>
      <c r="BR375" s="50" t="n"/>
      <c r="BS375" s="89" t="n"/>
      <c r="BT375" s="50">
        <f>IF(OR(K375="",L375="",M375=""),"",IF(ABS(ROUND(((ROUND(N(K375)*100,0))-(0))*(100+N(M375))/100,0)-(ROUND(N(L375)*100,0)))&lt;=0+IF(((ROUND(N(K375)*100,0))-(0))*(100+N(M375))/100&lt;&gt;ROUND(((ROUND(N(K375)*100,0))-(0))*(100+N(M375))/100,0),1,0),"OK","ABWEICHUNG"))</f>
        <v/>
      </c>
    </row>
    <row r="376">
      <c r="A376" s="50" t="n"/>
      <c r="B376" s="44" t="n"/>
      <c r="C376" s="44" t="n"/>
      <c r="D376" s="44" t="n"/>
      <c r="E376" s="44" t="n"/>
      <c r="F376" s="44" t="n"/>
      <c r="G376" s="44" t="n"/>
      <c r="H376" s="44" t="n"/>
      <c r="I376" s="45" t="n"/>
      <c r="J376" s="45" t="n"/>
      <c r="K376" s="85" t="n"/>
      <c r="L376" s="85" t="n"/>
      <c r="M376" s="88" t="n"/>
      <c r="N376" s="88" t="n"/>
      <c r="O376" s="44" t="n"/>
      <c r="P376" s="45" t="n"/>
      <c r="Q376" s="45" t="n"/>
      <c r="R376" s="44" t="n"/>
      <c r="S376" s="45" t="n"/>
      <c r="T376" s="45" t="n"/>
      <c r="U376" s="85" t="n"/>
      <c r="V376" s="44" t="n"/>
      <c r="W376" s="45" t="n"/>
      <c r="X376" s="45" t="n"/>
      <c r="Y376" s="44" t="n"/>
      <c r="Z376" s="85" t="n"/>
      <c r="AA376" s="44" t="n"/>
      <c r="AB376" s="44" t="n"/>
      <c r="AC376" s="44" t="n"/>
      <c r="AD376" s="44" t="n"/>
      <c r="AE376" s="44" t="n"/>
      <c r="AF376" s="88" t="n"/>
      <c r="AG376" s="85" t="n"/>
      <c r="AH376" s="85" t="n"/>
      <c r="AI376" s="85" t="n"/>
      <c r="AJ376" s="85" t="n"/>
      <c r="AK376" s="85" t="n"/>
      <c r="AL376" s="85" t="n"/>
      <c r="AM376" s="85" t="n"/>
      <c r="AN376" s="85" t="n"/>
      <c r="AO376" s="85" t="n"/>
      <c r="AP376" s="85" t="n"/>
      <c r="AQ376" s="85" t="n"/>
      <c r="AR376" s="85" t="n"/>
      <c r="AS376" s="85" t="n"/>
      <c r="AT376" s="85" t="n"/>
      <c r="AU376" s="85" t="n"/>
      <c r="AV376" s="85" t="n"/>
      <c r="AW376" s="44" t="n"/>
      <c r="AX376" s="85" t="n"/>
      <c r="AY376" s="88" t="n"/>
      <c r="AZ376" s="86" t="n"/>
      <c r="BA376" s="44" t="n"/>
      <c r="BB376" s="44" t="n"/>
      <c r="BC376" s="87" t="n"/>
      <c r="BD376" s="44" t="n"/>
      <c r="BE376" s="87" t="n"/>
      <c r="BF376" s="85" t="n"/>
      <c r="BG376" s="44" t="n"/>
      <c r="BH376" s="44" t="n"/>
      <c r="BI376" s="85" t="n"/>
      <c r="BJ376" s="44" t="n"/>
      <c r="BK376" s="45" t="n"/>
      <c r="BL376" s="44" t="n"/>
      <c r="BM376" s="85" t="n"/>
      <c r="BN376" s="44" t="n"/>
      <c r="BO376" s="85" t="n"/>
      <c r="BP376" s="86" t="n"/>
      <c r="BQ376" s="44" t="n"/>
      <c r="BR376" s="50" t="n"/>
      <c r="BS376" s="89" t="n"/>
      <c r="BT376" s="50">
        <f>IF(OR(K376="",L376="",M376=""),"",IF(ABS(ROUND(((ROUND(N(K376)*100,0))-(0))*(100+N(M376))/100,0)-(ROUND(N(L376)*100,0)))&lt;=0+IF(((ROUND(N(K376)*100,0))-(0))*(100+N(M376))/100&lt;&gt;ROUND(((ROUND(N(K376)*100,0))-(0))*(100+N(M376))/100,0),1,0),"OK","ABWEICHUNG"))</f>
        <v/>
      </c>
    </row>
    <row r="377">
      <c r="A377" s="50" t="n"/>
      <c r="B377" s="44" t="n"/>
      <c r="C377" s="44" t="n"/>
      <c r="D377" s="44" t="n"/>
      <c r="E377" s="44" t="n"/>
      <c r="F377" s="44" t="n"/>
      <c r="G377" s="44" t="n"/>
      <c r="H377" s="44" t="n"/>
      <c r="I377" s="45" t="n"/>
      <c r="J377" s="45" t="n"/>
      <c r="K377" s="85" t="n"/>
      <c r="L377" s="85" t="n"/>
      <c r="M377" s="88" t="n"/>
      <c r="N377" s="88" t="n"/>
      <c r="O377" s="44" t="n"/>
      <c r="P377" s="45" t="n"/>
      <c r="Q377" s="45" t="n"/>
      <c r="R377" s="44" t="n"/>
      <c r="S377" s="45" t="n"/>
      <c r="T377" s="45" t="n"/>
      <c r="U377" s="85" t="n"/>
      <c r="V377" s="44" t="n"/>
      <c r="W377" s="45" t="n"/>
      <c r="X377" s="45" t="n"/>
      <c r="Y377" s="44" t="n"/>
      <c r="Z377" s="85" t="n"/>
      <c r="AA377" s="44" t="n"/>
      <c r="AB377" s="44" t="n"/>
      <c r="AC377" s="44" t="n"/>
      <c r="AD377" s="44" t="n"/>
      <c r="AE377" s="44" t="n"/>
      <c r="AF377" s="88" t="n"/>
      <c r="AG377" s="85" t="n"/>
      <c r="AH377" s="85" t="n"/>
      <c r="AI377" s="85" t="n"/>
      <c r="AJ377" s="85" t="n"/>
      <c r="AK377" s="85" t="n"/>
      <c r="AL377" s="85" t="n"/>
      <c r="AM377" s="85" t="n"/>
      <c r="AN377" s="85" t="n"/>
      <c r="AO377" s="85" t="n"/>
      <c r="AP377" s="85" t="n"/>
      <c r="AQ377" s="85" t="n"/>
      <c r="AR377" s="85" t="n"/>
      <c r="AS377" s="85" t="n"/>
      <c r="AT377" s="85" t="n"/>
      <c r="AU377" s="85" t="n"/>
      <c r="AV377" s="85" t="n"/>
      <c r="AW377" s="44" t="n"/>
      <c r="AX377" s="85" t="n"/>
      <c r="AY377" s="88" t="n"/>
      <c r="AZ377" s="86" t="n"/>
      <c r="BA377" s="44" t="n"/>
      <c r="BB377" s="44" t="n"/>
      <c r="BC377" s="87" t="n"/>
      <c r="BD377" s="44" t="n"/>
      <c r="BE377" s="87" t="n"/>
      <c r="BF377" s="85" t="n"/>
      <c r="BG377" s="44" t="n"/>
      <c r="BH377" s="44" t="n"/>
      <c r="BI377" s="85" t="n"/>
      <c r="BJ377" s="44" t="n"/>
      <c r="BK377" s="45" t="n"/>
      <c r="BL377" s="44" t="n"/>
      <c r="BM377" s="85" t="n"/>
      <c r="BN377" s="44" t="n"/>
      <c r="BO377" s="85" t="n"/>
      <c r="BP377" s="86" t="n"/>
      <c r="BQ377" s="44" t="n"/>
      <c r="BR377" s="50" t="n"/>
      <c r="BS377" s="89" t="n"/>
      <c r="BT377" s="50">
        <f>IF(OR(K377="",L377="",M377=""),"",IF(ABS(ROUND(((ROUND(N(K377)*100,0))-(0))*(100+N(M377))/100,0)-(ROUND(N(L377)*100,0)))&lt;=0+IF(((ROUND(N(K377)*100,0))-(0))*(100+N(M377))/100&lt;&gt;ROUND(((ROUND(N(K377)*100,0))-(0))*(100+N(M377))/100,0),1,0),"OK","ABWEICHUNG"))</f>
        <v/>
      </c>
    </row>
    <row r="378">
      <c r="A378" s="50" t="n"/>
      <c r="B378" s="44" t="n"/>
      <c r="C378" s="44" t="n"/>
      <c r="D378" s="44" t="n"/>
      <c r="E378" s="44" t="n"/>
      <c r="F378" s="44" t="n"/>
      <c r="G378" s="44" t="n"/>
      <c r="H378" s="44" t="n"/>
      <c r="I378" s="45" t="n"/>
      <c r="J378" s="45" t="n"/>
      <c r="K378" s="85" t="n"/>
      <c r="L378" s="85" t="n"/>
      <c r="M378" s="88" t="n"/>
      <c r="N378" s="88" t="n"/>
      <c r="O378" s="44" t="n"/>
      <c r="P378" s="45" t="n"/>
      <c r="Q378" s="45" t="n"/>
      <c r="R378" s="44" t="n"/>
      <c r="S378" s="45" t="n"/>
      <c r="T378" s="45" t="n"/>
      <c r="U378" s="85" t="n"/>
      <c r="V378" s="44" t="n"/>
      <c r="W378" s="45" t="n"/>
      <c r="X378" s="45" t="n"/>
      <c r="Y378" s="44" t="n"/>
      <c r="Z378" s="85" t="n"/>
      <c r="AA378" s="44" t="n"/>
      <c r="AB378" s="44" t="n"/>
      <c r="AC378" s="44" t="n"/>
      <c r="AD378" s="44" t="n"/>
      <c r="AE378" s="44" t="n"/>
      <c r="AF378" s="88" t="n"/>
      <c r="AG378" s="85" t="n"/>
      <c r="AH378" s="85" t="n"/>
      <c r="AI378" s="85" t="n"/>
      <c r="AJ378" s="85" t="n"/>
      <c r="AK378" s="85" t="n"/>
      <c r="AL378" s="85" t="n"/>
      <c r="AM378" s="85" t="n"/>
      <c r="AN378" s="85" t="n"/>
      <c r="AO378" s="85" t="n"/>
      <c r="AP378" s="85" t="n"/>
      <c r="AQ378" s="85" t="n"/>
      <c r="AR378" s="85" t="n"/>
      <c r="AS378" s="85" t="n"/>
      <c r="AT378" s="85" t="n"/>
      <c r="AU378" s="85" t="n"/>
      <c r="AV378" s="85" t="n"/>
      <c r="AW378" s="44" t="n"/>
      <c r="AX378" s="85" t="n"/>
      <c r="AY378" s="88" t="n"/>
      <c r="AZ378" s="86" t="n"/>
      <c r="BA378" s="44" t="n"/>
      <c r="BB378" s="44" t="n"/>
      <c r="BC378" s="87" t="n"/>
      <c r="BD378" s="44" t="n"/>
      <c r="BE378" s="87" t="n"/>
      <c r="BF378" s="85" t="n"/>
      <c r="BG378" s="44" t="n"/>
      <c r="BH378" s="44" t="n"/>
      <c r="BI378" s="85" t="n"/>
      <c r="BJ378" s="44" t="n"/>
      <c r="BK378" s="45" t="n"/>
      <c r="BL378" s="44" t="n"/>
      <c r="BM378" s="85" t="n"/>
      <c r="BN378" s="44" t="n"/>
      <c r="BO378" s="85" t="n"/>
      <c r="BP378" s="86" t="n"/>
      <c r="BQ378" s="44" t="n"/>
      <c r="BR378" s="50" t="n"/>
      <c r="BS378" s="89" t="n"/>
      <c r="BT378" s="50">
        <f>IF(OR(K378="",L378="",M378=""),"",IF(ABS(ROUND(((ROUND(N(K378)*100,0))-(0))*(100+N(M378))/100,0)-(ROUND(N(L378)*100,0)))&lt;=0+IF(((ROUND(N(K378)*100,0))-(0))*(100+N(M378))/100&lt;&gt;ROUND(((ROUND(N(K378)*100,0))-(0))*(100+N(M378))/100,0),1,0),"OK","ABWEICHUNG"))</f>
        <v/>
      </c>
    </row>
    <row r="379">
      <c r="A379" s="50" t="n"/>
      <c r="B379" s="44" t="n"/>
      <c r="C379" s="44" t="n"/>
      <c r="D379" s="44" t="n"/>
      <c r="E379" s="44" t="n"/>
      <c r="F379" s="44" t="n"/>
      <c r="G379" s="44" t="n"/>
      <c r="H379" s="44" t="n"/>
      <c r="I379" s="45" t="n"/>
      <c r="J379" s="45" t="n"/>
      <c r="K379" s="85" t="n"/>
      <c r="L379" s="85" t="n"/>
      <c r="M379" s="88" t="n"/>
      <c r="N379" s="88" t="n"/>
      <c r="O379" s="44" t="n"/>
      <c r="P379" s="45" t="n"/>
      <c r="Q379" s="45" t="n"/>
      <c r="R379" s="44" t="n"/>
      <c r="S379" s="45" t="n"/>
      <c r="T379" s="45" t="n"/>
      <c r="U379" s="85" t="n"/>
      <c r="V379" s="44" t="n"/>
      <c r="W379" s="45" t="n"/>
      <c r="X379" s="45" t="n"/>
      <c r="Y379" s="44" t="n"/>
      <c r="Z379" s="85" t="n"/>
      <c r="AA379" s="44" t="n"/>
      <c r="AB379" s="44" t="n"/>
      <c r="AC379" s="44" t="n"/>
      <c r="AD379" s="44" t="n"/>
      <c r="AE379" s="44" t="n"/>
      <c r="AF379" s="88" t="n"/>
      <c r="AG379" s="85" t="n"/>
      <c r="AH379" s="85" t="n"/>
      <c r="AI379" s="85" t="n"/>
      <c r="AJ379" s="85" t="n"/>
      <c r="AK379" s="85" t="n"/>
      <c r="AL379" s="85" t="n"/>
      <c r="AM379" s="85" t="n"/>
      <c r="AN379" s="85" t="n"/>
      <c r="AO379" s="85" t="n"/>
      <c r="AP379" s="85" t="n"/>
      <c r="AQ379" s="85" t="n"/>
      <c r="AR379" s="85" t="n"/>
      <c r="AS379" s="85" t="n"/>
      <c r="AT379" s="85" t="n"/>
      <c r="AU379" s="85" t="n"/>
      <c r="AV379" s="85" t="n"/>
      <c r="AW379" s="44" t="n"/>
      <c r="AX379" s="85" t="n"/>
      <c r="AY379" s="88" t="n"/>
      <c r="AZ379" s="86" t="n"/>
      <c r="BA379" s="44" t="n"/>
      <c r="BB379" s="44" t="n"/>
      <c r="BC379" s="87" t="n"/>
      <c r="BD379" s="44" t="n"/>
      <c r="BE379" s="87" t="n"/>
      <c r="BF379" s="85" t="n"/>
      <c r="BG379" s="44" t="n"/>
      <c r="BH379" s="44" t="n"/>
      <c r="BI379" s="85" t="n"/>
      <c r="BJ379" s="44" t="n"/>
      <c r="BK379" s="45" t="n"/>
      <c r="BL379" s="44" t="n"/>
      <c r="BM379" s="85" t="n"/>
      <c r="BN379" s="44" t="n"/>
      <c r="BO379" s="85" t="n"/>
      <c r="BP379" s="86" t="n"/>
      <c r="BQ379" s="44" t="n"/>
      <c r="BR379" s="50" t="n"/>
      <c r="BS379" s="89" t="n"/>
      <c r="BT379" s="50">
        <f>IF(OR(K379="",L379="",M379=""),"",IF(ABS(ROUND(((ROUND(N(K379)*100,0))-(0))*(100+N(M379))/100,0)-(ROUND(N(L379)*100,0)))&lt;=0+IF(((ROUND(N(K379)*100,0))-(0))*(100+N(M379))/100&lt;&gt;ROUND(((ROUND(N(K379)*100,0))-(0))*(100+N(M379))/100,0),1,0),"OK","ABWEICHUNG"))</f>
        <v/>
      </c>
    </row>
    <row r="380">
      <c r="A380" s="50" t="n"/>
      <c r="B380" s="44" t="n"/>
      <c r="C380" s="44" t="n"/>
      <c r="D380" s="44" t="n"/>
      <c r="E380" s="44" t="n"/>
      <c r="F380" s="44" t="n"/>
      <c r="G380" s="44" t="n"/>
      <c r="H380" s="44" t="n"/>
      <c r="I380" s="45" t="n"/>
      <c r="J380" s="45" t="n"/>
      <c r="K380" s="85" t="n"/>
      <c r="L380" s="85" t="n"/>
      <c r="M380" s="88" t="n"/>
      <c r="N380" s="88" t="n"/>
      <c r="O380" s="44" t="n"/>
      <c r="P380" s="45" t="n"/>
      <c r="Q380" s="45" t="n"/>
      <c r="R380" s="44" t="n"/>
      <c r="S380" s="45" t="n"/>
      <c r="T380" s="45" t="n"/>
      <c r="U380" s="85" t="n"/>
      <c r="V380" s="44" t="n"/>
      <c r="W380" s="45" t="n"/>
      <c r="X380" s="45" t="n"/>
      <c r="Y380" s="44" t="n"/>
      <c r="Z380" s="85" t="n"/>
      <c r="AA380" s="44" t="n"/>
      <c r="AB380" s="44" t="n"/>
      <c r="AC380" s="44" t="n"/>
      <c r="AD380" s="44" t="n"/>
      <c r="AE380" s="44" t="n"/>
      <c r="AF380" s="88" t="n"/>
      <c r="AG380" s="85" t="n"/>
      <c r="AH380" s="85" t="n"/>
      <c r="AI380" s="85" t="n"/>
      <c r="AJ380" s="85" t="n"/>
      <c r="AK380" s="85" t="n"/>
      <c r="AL380" s="85" t="n"/>
      <c r="AM380" s="85" t="n"/>
      <c r="AN380" s="85" t="n"/>
      <c r="AO380" s="85" t="n"/>
      <c r="AP380" s="85" t="n"/>
      <c r="AQ380" s="85" t="n"/>
      <c r="AR380" s="85" t="n"/>
      <c r="AS380" s="85" t="n"/>
      <c r="AT380" s="85" t="n"/>
      <c r="AU380" s="85" t="n"/>
      <c r="AV380" s="85" t="n"/>
      <c r="AW380" s="44" t="n"/>
      <c r="AX380" s="85" t="n"/>
      <c r="AY380" s="88" t="n"/>
      <c r="AZ380" s="86" t="n"/>
      <c r="BA380" s="44" t="n"/>
      <c r="BB380" s="44" t="n"/>
      <c r="BC380" s="87" t="n"/>
      <c r="BD380" s="44" t="n"/>
      <c r="BE380" s="87" t="n"/>
      <c r="BF380" s="85" t="n"/>
      <c r="BG380" s="44" t="n"/>
      <c r="BH380" s="44" t="n"/>
      <c r="BI380" s="85" t="n"/>
      <c r="BJ380" s="44" t="n"/>
      <c r="BK380" s="45" t="n"/>
      <c r="BL380" s="44" t="n"/>
      <c r="BM380" s="85" t="n"/>
      <c r="BN380" s="44" t="n"/>
      <c r="BO380" s="85" t="n"/>
      <c r="BP380" s="86" t="n"/>
      <c r="BQ380" s="44" t="n"/>
      <c r="BR380" s="50" t="n"/>
      <c r="BS380" s="89" t="n"/>
      <c r="BT380" s="50">
        <f>IF(OR(K380="",L380="",M380=""),"",IF(ABS(ROUND(((ROUND(N(K380)*100,0))-(0))*(100+N(M380))/100,0)-(ROUND(N(L380)*100,0)))&lt;=0+IF(((ROUND(N(K380)*100,0))-(0))*(100+N(M380))/100&lt;&gt;ROUND(((ROUND(N(K380)*100,0))-(0))*(100+N(M380))/100,0),1,0),"OK","ABWEICHUNG"))</f>
        <v/>
      </c>
    </row>
    <row r="381">
      <c r="A381" s="50" t="n"/>
      <c r="B381" s="44" t="n"/>
      <c r="C381" s="44" t="n"/>
      <c r="D381" s="44" t="n"/>
      <c r="E381" s="44" t="n"/>
      <c r="F381" s="44" t="n"/>
      <c r="G381" s="44" t="n"/>
      <c r="H381" s="44" t="n"/>
      <c r="I381" s="45" t="n"/>
      <c r="J381" s="45" t="n"/>
      <c r="K381" s="85" t="n"/>
      <c r="L381" s="85" t="n"/>
      <c r="M381" s="88" t="n"/>
      <c r="N381" s="88" t="n"/>
      <c r="O381" s="44" t="n"/>
      <c r="P381" s="45" t="n"/>
      <c r="Q381" s="45" t="n"/>
      <c r="R381" s="44" t="n"/>
      <c r="S381" s="45" t="n"/>
      <c r="T381" s="45" t="n"/>
      <c r="U381" s="85" t="n"/>
      <c r="V381" s="44" t="n"/>
      <c r="W381" s="45" t="n"/>
      <c r="X381" s="45" t="n"/>
      <c r="Y381" s="44" t="n"/>
      <c r="Z381" s="85" t="n"/>
      <c r="AA381" s="44" t="n"/>
      <c r="AB381" s="44" t="n"/>
      <c r="AC381" s="44" t="n"/>
      <c r="AD381" s="44" t="n"/>
      <c r="AE381" s="44" t="n"/>
      <c r="AF381" s="88" t="n"/>
      <c r="AG381" s="85" t="n"/>
      <c r="AH381" s="85" t="n"/>
      <c r="AI381" s="85" t="n"/>
      <c r="AJ381" s="85" t="n"/>
      <c r="AK381" s="85" t="n"/>
      <c r="AL381" s="85" t="n"/>
      <c r="AM381" s="85" t="n"/>
      <c r="AN381" s="85" t="n"/>
      <c r="AO381" s="85" t="n"/>
      <c r="AP381" s="85" t="n"/>
      <c r="AQ381" s="85" t="n"/>
      <c r="AR381" s="85" t="n"/>
      <c r="AS381" s="85" t="n"/>
      <c r="AT381" s="85" t="n"/>
      <c r="AU381" s="85" t="n"/>
      <c r="AV381" s="85" t="n"/>
      <c r="AW381" s="44" t="n"/>
      <c r="AX381" s="85" t="n"/>
      <c r="AY381" s="88" t="n"/>
      <c r="AZ381" s="86" t="n"/>
      <c r="BA381" s="44" t="n"/>
      <c r="BB381" s="44" t="n"/>
      <c r="BC381" s="87" t="n"/>
      <c r="BD381" s="44" t="n"/>
      <c r="BE381" s="87" t="n"/>
      <c r="BF381" s="85" t="n"/>
      <c r="BG381" s="44" t="n"/>
      <c r="BH381" s="44" t="n"/>
      <c r="BI381" s="85" t="n"/>
      <c r="BJ381" s="44" t="n"/>
      <c r="BK381" s="45" t="n"/>
      <c r="BL381" s="44" t="n"/>
      <c r="BM381" s="85" t="n"/>
      <c r="BN381" s="44" t="n"/>
      <c r="BO381" s="85" t="n"/>
      <c r="BP381" s="86" t="n"/>
      <c r="BQ381" s="44" t="n"/>
      <c r="BR381" s="50" t="n"/>
      <c r="BS381" s="89" t="n"/>
      <c r="BT381" s="50">
        <f>IF(OR(K381="",L381="",M381=""),"",IF(ABS(ROUND(((ROUND(N(K381)*100,0))-(0))*(100+N(M381))/100,0)-(ROUND(N(L381)*100,0)))&lt;=0+IF(((ROUND(N(K381)*100,0))-(0))*(100+N(M381))/100&lt;&gt;ROUND(((ROUND(N(K381)*100,0))-(0))*(100+N(M381))/100,0),1,0),"OK","ABWEICHUNG"))</f>
        <v/>
      </c>
    </row>
    <row r="382">
      <c r="A382" s="50" t="n"/>
      <c r="B382" s="44" t="n"/>
      <c r="C382" s="44" t="n"/>
      <c r="D382" s="44" t="n"/>
      <c r="E382" s="44" t="n"/>
      <c r="F382" s="44" t="n"/>
      <c r="G382" s="44" t="n"/>
      <c r="H382" s="44" t="n"/>
      <c r="I382" s="45" t="n"/>
      <c r="J382" s="45" t="n"/>
      <c r="K382" s="85" t="n"/>
      <c r="L382" s="85" t="n"/>
      <c r="M382" s="88" t="n"/>
      <c r="N382" s="88" t="n"/>
      <c r="O382" s="44" t="n"/>
      <c r="P382" s="45" t="n"/>
      <c r="Q382" s="45" t="n"/>
      <c r="R382" s="44" t="n"/>
      <c r="S382" s="45" t="n"/>
      <c r="T382" s="45" t="n"/>
      <c r="U382" s="85" t="n"/>
      <c r="V382" s="44" t="n"/>
      <c r="W382" s="45" t="n"/>
      <c r="X382" s="45" t="n"/>
      <c r="Y382" s="44" t="n"/>
      <c r="Z382" s="85" t="n"/>
      <c r="AA382" s="44" t="n"/>
      <c r="AB382" s="44" t="n"/>
      <c r="AC382" s="44" t="n"/>
      <c r="AD382" s="44" t="n"/>
      <c r="AE382" s="44" t="n"/>
      <c r="AF382" s="88" t="n"/>
      <c r="AG382" s="85" t="n"/>
      <c r="AH382" s="85" t="n"/>
      <c r="AI382" s="85" t="n"/>
      <c r="AJ382" s="85" t="n"/>
      <c r="AK382" s="85" t="n"/>
      <c r="AL382" s="85" t="n"/>
      <c r="AM382" s="85" t="n"/>
      <c r="AN382" s="85" t="n"/>
      <c r="AO382" s="85" t="n"/>
      <c r="AP382" s="85" t="n"/>
      <c r="AQ382" s="85" t="n"/>
      <c r="AR382" s="85" t="n"/>
      <c r="AS382" s="85" t="n"/>
      <c r="AT382" s="85" t="n"/>
      <c r="AU382" s="85" t="n"/>
      <c r="AV382" s="85" t="n"/>
      <c r="AW382" s="44" t="n"/>
      <c r="AX382" s="85" t="n"/>
      <c r="AY382" s="88" t="n"/>
      <c r="AZ382" s="86" t="n"/>
      <c r="BA382" s="44" t="n"/>
      <c r="BB382" s="44" t="n"/>
      <c r="BC382" s="87" t="n"/>
      <c r="BD382" s="44" t="n"/>
      <c r="BE382" s="87" t="n"/>
      <c r="BF382" s="85" t="n"/>
      <c r="BG382" s="44" t="n"/>
      <c r="BH382" s="44" t="n"/>
      <c r="BI382" s="85" t="n"/>
      <c r="BJ382" s="44" t="n"/>
      <c r="BK382" s="45" t="n"/>
      <c r="BL382" s="44" t="n"/>
      <c r="BM382" s="85" t="n"/>
      <c r="BN382" s="44" t="n"/>
      <c r="BO382" s="85" t="n"/>
      <c r="BP382" s="86" t="n"/>
      <c r="BQ382" s="44" t="n"/>
      <c r="BR382" s="50" t="n"/>
      <c r="BS382" s="89" t="n"/>
      <c r="BT382" s="50">
        <f>IF(OR(K382="",L382="",M382=""),"",IF(ABS(ROUND(((ROUND(N(K382)*100,0))-(0))*(100+N(M382))/100,0)-(ROUND(N(L382)*100,0)))&lt;=0+IF(((ROUND(N(K382)*100,0))-(0))*(100+N(M382))/100&lt;&gt;ROUND(((ROUND(N(K382)*100,0))-(0))*(100+N(M382))/100,0),1,0),"OK","ABWEICHUNG"))</f>
        <v/>
      </c>
    </row>
    <row r="383">
      <c r="A383" s="50" t="n"/>
      <c r="B383" s="44" t="n"/>
      <c r="C383" s="44" t="n"/>
      <c r="D383" s="44" t="n"/>
      <c r="E383" s="44" t="n"/>
      <c r="F383" s="44" t="n"/>
      <c r="G383" s="44" t="n"/>
      <c r="H383" s="44" t="n"/>
      <c r="I383" s="45" t="n"/>
      <c r="J383" s="45" t="n"/>
      <c r="K383" s="85" t="n"/>
      <c r="L383" s="85" t="n"/>
      <c r="M383" s="88" t="n"/>
      <c r="N383" s="88" t="n"/>
      <c r="O383" s="44" t="n"/>
      <c r="P383" s="45" t="n"/>
      <c r="Q383" s="45" t="n"/>
      <c r="R383" s="44" t="n"/>
      <c r="S383" s="45" t="n"/>
      <c r="T383" s="45" t="n"/>
      <c r="U383" s="85" t="n"/>
      <c r="V383" s="44" t="n"/>
      <c r="W383" s="45" t="n"/>
      <c r="X383" s="45" t="n"/>
      <c r="Y383" s="44" t="n"/>
      <c r="Z383" s="85" t="n"/>
      <c r="AA383" s="44" t="n"/>
      <c r="AB383" s="44" t="n"/>
      <c r="AC383" s="44" t="n"/>
      <c r="AD383" s="44" t="n"/>
      <c r="AE383" s="44" t="n"/>
      <c r="AF383" s="88" t="n"/>
      <c r="AG383" s="85" t="n"/>
      <c r="AH383" s="85" t="n"/>
      <c r="AI383" s="85" t="n"/>
      <c r="AJ383" s="85" t="n"/>
      <c r="AK383" s="85" t="n"/>
      <c r="AL383" s="85" t="n"/>
      <c r="AM383" s="85" t="n"/>
      <c r="AN383" s="85" t="n"/>
      <c r="AO383" s="85" t="n"/>
      <c r="AP383" s="85" t="n"/>
      <c r="AQ383" s="85" t="n"/>
      <c r="AR383" s="85" t="n"/>
      <c r="AS383" s="85" t="n"/>
      <c r="AT383" s="85" t="n"/>
      <c r="AU383" s="85" t="n"/>
      <c r="AV383" s="85" t="n"/>
      <c r="AW383" s="44" t="n"/>
      <c r="AX383" s="85" t="n"/>
      <c r="AY383" s="88" t="n"/>
      <c r="AZ383" s="86" t="n"/>
      <c r="BA383" s="44" t="n"/>
      <c r="BB383" s="44" t="n"/>
      <c r="BC383" s="87" t="n"/>
      <c r="BD383" s="44" t="n"/>
      <c r="BE383" s="87" t="n"/>
      <c r="BF383" s="85" t="n"/>
      <c r="BG383" s="44" t="n"/>
      <c r="BH383" s="44" t="n"/>
      <c r="BI383" s="85" t="n"/>
      <c r="BJ383" s="44" t="n"/>
      <c r="BK383" s="45" t="n"/>
      <c r="BL383" s="44" t="n"/>
      <c r="BM383" s="85" t="n"/>
      <c r="BN383" s="44" t="n"/>
      <c r="BO383" s="85" t="n"/>
      <c r="BP383" s="86" t="n"/>
      <c r="BQ383" s="44" t="n"/>
      <c r="BR383" s="50" t="n"/>
      <c r="BS383" s="89" t="n"/>
      <c r="BT383" s="50">
        <f>IF(OR(K383="",L383="",M383=""),"",IF(ABS(ROUND(((ROUND(N(K383)*100,0))-(0))*(100+N(M383))/100,0)-(ROUND(N(L383)*100,0)))&lt;=0+IF(((ROUND(N(K383)*100,0))-(0))*(100+N(M383))/100&lt;&gt;ROUND(((ROUND(N(K383)*100,0))-(0))*(100+N(M383))/100,0),1,0),"OK","ABWEICHUNG"))</f>
        <v/>
      </c>
    </row>
    <row r="384">
      <c r="A384" s="50" t="n"/>
      <c r="B384" s="44" t="n"/>
      <c r="C384" s="44" t="n"/>
      <c r="D384" s="44" t="n"/>
      <c r="E384" s="44" t="n"/>
      <c r="F384" s="44" t="n"/>
      <c r="G384" s="44" t="n"/>
      <c r="H384" s="44" t="n"/>
      <c r="I384" s="45" t="n"/>
      <c r="J384" s="45" t="n"/>
      <c r="K384" s="85" t="n"/>
      <c r="L384" s="85" t="n"/>
      <c r="M384" s="88" t="n"/>
      <c r="N384" s="88" t="n"/>
      <c r="O384" s="44" t="n"/>
      <c r="P384" s="45" t="n"/>
      <c r="Q384" s="45" t="n"/>
      <c r="R384" s="44" t="n"/>
      <c r="S384" s="45" t="n"/>
      <c r="T384" s="45" t="n"/>
      <c r="U384" s="85" t="n"/>
      <c r="V384" s="44" t="n"/>
      <c r="W384" s="45" t="n"/>
      <c r="X384" s="45" t="n"/>
      <c r="Y384" s="44" t="n"/>
      <c r="Z384" s="85" t="n"/>
      <c r="AA384" s="44" t="n"/>
      <c r="AB384" s="44" t="n"/>
      <c r="AC384" s="44" t="n"/>
      <c r="AD384" s="44" t="n"/>
      <c r="AE384" s="44" t="n"/>
      <c r="AF384" s="88" t="n"/>
      <c r="AG384" s="85" t="n"/>
      <c r="AH384" s="85" t="n"/>
      <c r="AI384" s="85" t="n"/>
      <c r="AJ384" s="85" t="n"/>
      <c r="AK384" s="85" t="n"/>
      <c r="AL384" s="85" t="n"/>
      <c r="AM384" s="85" t="n"/>
      <c r="AN384" s="85" t="n"/>
      <c r="AO384" s="85" t="n"/>
      <c r="AP384" s="85" t="n"/>
      <c r="AQ384" s="85" t="n"/>
      <c r="AR384" s="85" t="n"/>
      <c r="AS384" s="85" t="n"/>
      <c r="AT384" s="85" t="n"/>
      <c r="AU384" s="85" t="n"/>
      <c r="AV384" s="85" t="n"/>
      <c r="AW384" s="44" t="n"/>
      <c r="AX384" s="85" t="n"/>
      <c r="AY384" s="88" t="n"/>
      <c r="AZ384" s="86" t="n"/>
      <c r="BA384" s="44" t="n"/>
      <c r="BB384" s="44" t="n"/>
      <c r="BC384" s="87" t="n"/>
      <c r="BD384" s="44" t="n"/>
      <c r="BE384" s="87" t="n"/>
      <c r="BF384" s="85" t="n"/>
      <c r="BG384" s="44" t="n"/>
      <c r="BH384" s="44" t="n"/>
      <c r="BI384" s="85" t="n"/>
      <c r="BJ384" s="44" t="n"/>
      <c r="BK384" s="45" t="n"/>
      <c r="BL384" s="44" t="n"/>
      <c r="BM384" s="85" t="n"/>
      <c r="BN384" s="44" t="n"/>
      <c r="BO384" s="85" t="n"/>
      <c r="BP384" s="86" t="n"/>
      <c r="BQ384" s="44" t="n"/>
      <c r="BR384" s="50" t="n"/>
      <c r="BS384" s="89" t="n"/>
      <c r="BT384" s="50">
        <f>IF(OR(K384="",L384="",M384=""),"",IF(ABS(ROUND(((ROUND(N(K384)*100,0))-(0))*(100+N(M384))/100,0)-(ROUND(N(L384)*100,0)))&lt;=0+IF(((ROUND(N(K384)*100,0))-(0))*(100+N(M384))/100&lt;&gt;ROUND(((ROUND(N(K384)*100,0))-(0))*(100+N(M384))/100,0),1,0),"OK","ABWEICHUNG"))</f>
        <v/>
      </c>
    </row>
    <row r="385">
      <c r="A385" s="50" t="n"/>
      <c r="B385" s="44" t="n"/>
      <c r="C385" s="44" t="n"/>
      <c r="D385" s="44" t="n"/>
      <c r="E385" s="44" t="n"/>
      <c r="F385" s="44" t="n"/>
      <c r="G385" s="44" t="n"/>
      <c r="H385" s="44" t="n"/>
      <c r="I385" s="45" t="n"/>
      <c r="J385" s="45" t="n"/>
      <c r="K385" s="85" t="n"/>
      <c r="L385" s="85" t="n"/>
      <c r="M385" s="88" t="n"/>
      <c r="N385" s="88" t="n"/>
      <c r="O385" s="44" t="n"/>
      <c r="P385" s="45" t="n"/>
      <c r="Q385" s="45" t="n"/>
      <c r="R385" s="44" t="n"/>
      <c r="S385" s="45" t="n"/>
      <c r="T385" s="45" t="n"/>
      <c r="U385" s="85" t="n"/>
      <c r="V385" s="44" t="n"/>
      <c r="W385" s="45" t="n"/>
      <c r="X385" s="45" t="n"/>
      <c r="Y385" s="44" t="n"/>
      <c r="Z385" s="85" t="n"/>
      <c r="AA385" s="44" t="n"/>
      <c r="AB385" s="44" t="n"/>
      <c r="AC385" s="44" t="n"/>
      <c r="AD385" s="44" t="n"/>
      <c r="AE385" s="44" t="n"/>
      <c r="AF385" s="88" t="n"/>
      <c r="AG385" s="85" t="n"/>
      <c r="AH385" s="85" t="n"/>
      <c r="AI385" s="85" t="n"/>
      <c r="AJ385" s="85" t="n"/>
      <c r="AK385" s="85" t="n"/>
      <c r="AL385" s="85" t="n"/>
      <c r="AM385" s="85" t="n"/>
      <c r="AN385" s="85" t="n"/>
      <c r="AO385" s="85" t="n"/>
      <c r="AP385" s="85" t="n"/>
      <c r="AQ385" s="85" t="n"/>
      <c r="AR385" s="85" t="n"/>
      <c r="AS385" s="85" t="n"/>
      <c r="AT385" s="85" t="n"/>
      <c r="AU385" s="85" t="n"/>
      <c r="AV385" s="85" t="n"/>
      <c r="AW385" s="44" t="n"/>
      <c r="AX385" s="85" t="n"/>
      <c r="AY385" s="88" t="n"/>
      <c r="AZ385" s="86" t="n"/>
      <c r="BA385" s="44" t="n"/>
      <c r="BB385" s="44" t="n"/>
      <c r="BC385" s="87" t="n"/>
      <c r="BD385" s="44" t="n"/>
      <c r="BE385" s="87" t="n"/>
      <c r="BF385" s="85" t="n"/>
      <c r="BG385" s="44" t="n"/>
      <c r="BH385" s="44" t="n"/>
      <c r="BI385" s="85" t="n"/>
      <c r="BJ385" s="44" t="n"/>
      <c r="BK385" s="45" t="n"/>
      <c r="BL385" s="44" t="n"/>
      <c r="BM385" s="85" t="n"/>
      <c r="BN385" s="44" t="n"/>
      <c r="BO385" s="85" t="n"/>
      <c r="BP385" s="86" t="n"/>
      <c r="BQ385" s="44" t="n"/>
      <c r="BR385" s="50" t="n"/>
      <c r="BS385" s="89" t="n"/>
      <c r="BT385" s="50">
        <f>IF(OR(K385="",L385="",M385=""),"",IF(ABS(ROUND(((ROUND(N(K385)*100,0))-(0))*(100+N(M385))/100,0)-(ROUND(N(L385)*100,0)))&lt;=0+IF(((ROUND(N(K385)*100,0))-(0))*(100+N(M385))/100&lt;&gt;ROUND(((ROUND(N(K385)*100,0))-(0))*(100+N(M385))/100,0),1,0),"OK","ABWEICHUNG"))</f>
        <v/>
      </c>
    </row>
    <row r="386">
      <c r="A386" s="50" t="n"/>
      <c r="B386" s="44" t="n"/>
      <c r="C386" s="44" t="n"/>
      <c r="D386" s="44" t="n"/>
      <c r="E386" s="44" t="n"/>
      <c r="F386" s="44" t="n"/>
      <c r="G386" s="44" t="n"/>
      <c r="H386" s="44" t="n"/>
      <c r="I386" s="45" t="n"/>
      <c r="J386" s="45" t="n"/>
      <c r="K386" s="85" t="n"/>
      <c r="L386" s="85" t="n"/>
      <c r="M386" s="88" t="n"/>
      <c r="N386" s="88" t="n"/>
      <c r="O386" s="44" t="n"/>
      <c r="P386" s="45" t="n"/>
      <c r="Q386" s="45" t="n"/>
      <c r="R386" s="44" t="n"/>
      <c r="S386" s="45" t="n"/>
      <c r="T386" s="45" t="n"/>
      <c r="U386" s="85" t="n"/>
      <c r="V386" s="44" t="n"/>
      <c r="W386" s="45" t="n"/>
      <c r="X386" s="45" t="n"/>
      <c r="Y386" s="44" t="n"/>
      <c r="Z386" s="85" t="n"/>
      <c r="AA386" s="44" t="n"/>
      <c r="AB386" s="44" t="n"/>
      <c r="AC386" s="44" t="n"/>
      <c r="AD386" s="44" t="n"/>
      <c r="AE386" s="44" t="n"/>
      <c r="AF386" s="88" t="n"/>
      <c r="AG386" s="85" t="n"/>
      <c r="AH386" s="85" t="n"/>
      <c r="AI386" s="85" t="n"/>
      <c r="AJ386" s="85" t="n"/>
      <c r="AK386" s="85" t="n"/>
      <c r="AL386" s="85" t="n"/>
      <c r="AM386" s="85" t="n"/>
      <c r="AN386" s="85" t="n"/>
      <c r="AO386" s="85" t="n"/>
      <c r="AP386" s="85" t="n"/>
      <c r="AQ386" s="85" t="n"/>
      <c r="AR386" s="85" t="n"/>
      <c r="AS386" s="85" t="n"/>
      <c r="AT386" s="85" t="n"/>
      <c r="AU386" s="85" t="n"/>
      <c r="AV386" s="85" t="n"/>
      <c r="AW386" s="44" t="n"/>
      <c r="AX386" s="85" t="n"/>
      <c r="AY386" s="88" t="n"/>
      <c r="AZ386" s="86" t="n"/>
      <c r="BA386" s="44" t="n"/>
      <c r="BB386" s="44" t="n"/>
      <c r="BC386" s="87" t="n"/>
      <c r="BD386" s="44" t="n"/>
      <c r="BE386" s="87" t="n"/>
      <c r="BF386" s="85" t="n"/>
      <c r="BG386" s="44" t="n"/>
      <c r="BH386" s="44" t="n"/>
      <c r="BI386" s="85" t="n"/>
      <c r="BJ386" s="44" t="n"/>
      <c r="BK386" s="45" t="n"/>
      <c r="BL386" s="44" t="n"/>
      <c r="BM386" s="85" t="n"/>
      <c r="BN386" s="44" t="n"/>
      <c r="BO386" s="85" t="n"/>
      <c r="BP386" s="86" t="n"/>
      <c r="BQ386" s="44" t="n"/>
      <c r="BR386" s="50" t="n"/>
      <c r="BS386" s="89" t="n"/>
      <c r="BT386" s="50">
        <f>IF(OR(K386="",L386="",M386=""),"",IF(ABS(ROUND(((ROUND(N(K386)*100,0))-(0))*(100+N(M386))/100,0)-(ROUND(N(L386)*100,0)))&lt;=0+IF(((ROUND(N(K386)*100,0))-(0))*(100+N(M386))/100&lt;&gt;ROUND(((ROUND(N(K386)*100,0))-(0))*(100+N(M386))/100,0),1,0),"OK","ABWEICHUNG"))</f>
        <v/>
      </c>
    </row>
    <row r="387">
      <c r="A387" s="50" t="n"/>
      <c r="B387" s="44" t="n"/>
      <c r="C387" s="44" t="n"/>
      <c r="D387" s="44" t="n"/>
      <c r="E387" s="44" t="n"/>
      <c r="F387" s="44" t="n"/>
      <c r="G387" s="44" t="n"/>
      <c r="H387" s="44" t="n"/>
      <c r="I387" s="45" t="n"/>
      <c r="J387" s="45" t="n"/>
      <c r="K387" s="85" t="n"/>
      <c r="L387" s="85" t="n"/>
      <c r="M387" s="88" t="n"/>
      <c r="N387" s="88" t="n"/>
      <c r="O387" s="44" t="n"/>
      <c r="P387" s="45" t="n"/>
      <c r="Q387" s="45" t="n"/>
      <c r="R387" s="44" t="n"/>
      <c r="S387" s="45" t="n"/>
      <c r="T387" s="45" t="n"/>
      <c r="U387" s="85" t="n"/>
      <c r="V387" s="44" t="n"/>
      <c r="W387" s="45" t="n"/>
      <c r="X387" s="45" t="n"/>
      <c r="Y387" s="44" t="n"/>
      <c r="Z387" s="85" t="n"/>
      <c r="AA387" s="44" t="n"/>
      <c r="AB387" s="44" t="n"/>
      <c r="AC387" s="44" t="n"/>
      <c r="AD387" s="44" t="n"/>
      <c r="AE387" s="44" t="n"/>
      <c r="AF387" s="88" t="n"/>
      <c r="AG387" s="85" t="n"/>
      <c r="AH387" s="85" t="n"/>
      <c r="AI387" s="85" t="n"/>
      <c r="AJ387" s="85" t="n"/>
      <c r="AK387" s="85" t="n"/>
      <c r="AL387" s="85" t="n"/>
      <c r="AM387" s="85" t="n"/>
      <c r="AN387" s="85" t="n"/>
      <c r="AO387" s="85" t="n"/>
      <c r="AP387" s="85" t="n"/>
      <c r="AQ387" s="85" t="n"/>
      <c r="AR387" s="85" t="n"/>
      <c r="AS387" s="85" t="n"/>
      <c r="AT387" s="85" t="n"/>
      <c r="AU387" s="85" t="n"/>
      <c r="AV387" s="85" t="n"/>
      <c r="AW387" s="44" t="n"/>
      <c r="AX387" s="85" t="n"/>
      <c r="AY387" s="88" t="n"/>
      <c r="AZ387" s="86" t="n"/>
      <c r="BA387" s="44" t="n"/>
      <c r="BB387" s="44" t="n"/>
      <c r="BC387" s="87" t="n"/>
      <c r="BD387" s="44" t="n"/>
      <c r="BE387" s="87" t="n"/>
      <c r="BF387" s="85" t="n"/>
      <c r="BG387" s="44" t="n"/>
      <c r="BH387" s="44" t="n"/>
      <c r="BI387" s="85" t="n"/>
      <c r="BJ387" s="44" t="n"/>
      <c r="BK387" s="45" t="n"/>
      <c r="BL387" s="44" t="n"/>
      <c r="BM387" s="85" t="n"/>
      <c r="BN387" s="44" t="n"/>
      <c r="BO387" s="85" t="n"/>
      <c r="BP387" s="86" t="n"/>
      <c r="BQ387" s="44" t="n"/>
      <c r="BR387" s="50" t="n"/>
      <c r="BS387" s="89" t="n"/>
      <c r="BT387" s="50">
        <f>IF(OR(K387="",L387="",M387=""),"",IF(ABS(ROUND(((ROUND(N(K387)*100,0))-(0))*(100+N(M387))/100,0)-(ROUND(N(L387)*100,0)))&lt;=0+IF(((ROUND(N(K387)*100,0))-(0))*(100+N(M387))/100&lt;&gt;ROUND(((ROUND(N(K387)*100,0))-(0))*(100+N(M387))/100,0),1,0),"OK","ABWEICHUNG"))</f>
        <v/>
      </c>
    </row>
    <row r="388">
      <c r="A388" s="50" t="n"/>
      <c r="B388" s="44" t="n"/>
      <c r="C388" s="44" t="n"/>
      <c r="D388" s="44" t="n"/>
      <c r="E388" s="44" t="n"/>
      <c r="F388" s="44" t="n"/>
      <c r="G388" s="44" t="n"/>
      <c r="H388" s="44" t="n"/>
      <c r="I388" s="45" t="n"/>
      <c r="J388" s="45" t="n"/>
      <c r="K388" s="85" t="n"/>
      <c r="L388" s="85" t="n"/>
      <c r="M388" s="88" t="n"/>
      <c r="N388" s="88" t="n"/>
      <c r="O388" s="44" t="n"/>
      <c r="P388" s="45" t="n"/>
      <c r="Q388" s="45" t="n"/>
      <c r="R388" s="44" t="n"/>
      <c r="S388" s="45" t="n"/>
      <c r="T388" s="45" t="n"/>
      <c r="U388" s="85" t="n"/>
      <c r="V388" s="44" t="n"/>
      <c r="W388" s="45" t="n"/>
      <c r="X388" s="45" t="n"/>
      <c r="Y388" s="44" t="n"/>
      <c r="Z388" s="85" t="n"/>
      <c r="AA388" s="44" t="n"/>
      <c r="AB388" s="44" t="n"/>
      <c r="AC388" s="44" t="n"/>
      <c r="AD388" s="44" t="n"/>
      <c r="AE388" s="44" t="n"/>
      <c r="AF388" s="88" t="n"/>
      <c r="AG388" s="85" t="n"/>
      <c r="AH388" s="85" t="n"/>
      <c r="AI388" s="85" t="n"/>
      <c r="AJ388" s="85" t="n"/>
      <c r="AK388" s="85" t="n"/>
      <c r="AL388" s="85" t="n"/>
      <c r="AM388" s="85" t="n"/>
      <c r="AN388" s="85" t="n"/>
      <c r="AO388" s="85" t="n"/>
      <c r="AP388" s="85" t="n"/>
      <c r="AQ388" s="85" t="n"/>
      <c r="AR388" s="85" t="n"/>
      <c r="AS388" s="85" t="n"/>
      <c r="AT388" s="85" t="n"/>
      <c r="AU388" s="85" t="n"/>
      <c r="AV388" s="85" t="n"/>
      <c r="AW388" s="44" t="n"/>
      <c r="AX388" s="85" t="n"/>
      <c r="AY388" s="88" t="n"/>
      <c r="AZ388" s="86" t="n"/>
      <c r="BA388" s="44" t="n"/>
      <c r="BB388" s="44" t="n"/>
      <c r="BC388" s="87" t="n"/>
      <c r="BD388" s="44" t="n"/>
      <c r="BE388" s="87" t="n"/>
      <c r="BF388" s="85" t="n"/>
      <c r="BG388" s="44" t="n"/>
      <c r="BH388" s="44" t="n"/>
      <c r="BI388" s="85" t="n"/>
      <c r="BJ388" s="44" t="n"/>
      <c r="BK388" s="45" t="n"/>
      <c r="BL388" s="44" t="n"/>
      <c r="BM388" s="85" t="n"/>
      <c r="BN388" s="44" t="n"/>
      <c r="BO388" s="85" t="n"/>
      <c r="BP388" s="86" t="n"/>
      <c r="BQ388" s="44" t="n"/>
      <c r="BR388" s="50" t="n"/>
      <c r="BS388" s="89" t="n"/>
      <c r="BT388" s="50">
        <f>IF(OR(K388="",L388="",M388=""),"",IF(ABS(ROUND(((ROUND(N(K388)*100,0))-(0))*(100+N(M388))/100,0)-(ROUND(N(L388)*100,0)))&lt;=0+IF(((ROUND(N(K388)*100,0))-(0))*(100+N(M388))/100&lt;&gt;ROUND(((ROUND(N(K388)*100,0))-(0))*(100+N(M388))/100,0),1,0),"OK","ABWEICHUNG"))</f>
        <v/>
      </c>
    </row>
    <row r="389">
      <c r="A389" s="50" t="n"/>
      <c r="B389" s="44" t="n"/>
      <c r="C389" s="44" t="n"/>
      <c r="D389" s="44" t="n"/>
      <c r="E389" s="44" t="n"/>
      <c r="F389" s="44" t="n"/>
      <c r="G389" s="44" t="n"/>
      <c r="H389" s="44" t="n"/>
      <c r="I389" s="45" t="n"/>
      <c r="J389" s="45" t="n"/>
      <c r="K389" s="85" t="n"/>
      <c r="L389" s="85" t="n"/>
      <c r="M389" s="88" t="n"/>
      <c r="N389" s="88" t="n"/>
      <c r="O389" s="44" t="n"/>
      <c r="P389" s="45" t="n"/>
      <c r="Q389" s="45" t="n"/>
      <c r="R389" s="44" t="n"/>
      <c r="S389" s="45" t="n"/>
      <c r="T389" s="45" t="n"/>
      <c r="U389" s="85" t="n"/>
      <c r="V389" s="44" t="n"/>
      <c r="W389" s="45" t="n"/>
      <c r="X389" s="45" t="n"/>
      <c r="Y389" s="44" t="n"/>
      <c r="Z389" s="85" t="n"/>
      <c r="AA389" s="44" t="n"/>
      <c r="AB389" s="44" t="n"/>
      <c r="AC389" s="44" t="n"/>
      <c r="AD389" s="44" t="n"/>
      <c r="AE389" s="44" t="n"/>
      <c r="AF389" s="88" t="n"/>
      <c r="AG389" s="85" t="n"/>
      <c r="AH389" s="85" t="n"/>
      <c r="AI389" s="85" t="n"/>
      <c r="AJ389" s="85" t="n"/>
      <c r="AK389" s="85" t="n"/>
      <c r="AL389" s="85" t="n"/>
      <c r="AM389" s="85" t="n"/>
      <c r="AN389" s="85" t="n"/>
      <c r="AO389" s="85" t="n"/>
      <c r="AP389" s="85" t="n"/>
      <c r="AQ389" s="85" t="n"/>
      <c r="AR389" s="85" t="n"/>
      <c r="AS389" s="85" t="n"/>
      <c r="AT389" s="85" t="n"/>
      <c r="AU389" s="85" t="n"/>
      <c r="AV389" s="85" t="n"/>
      <c r="AW389" s="44" t="n"/>
      <c r="AX389" s="85" t="n"/>
      <c r="AY389" s="88" t="n"/>
      <c r="AZ389" s="86" t="n"/>
      <c r="BA389" s="44" t="n"/>
      <c r="BB389" s="44" t="n"/>
      <c r="BC389" s="87" t="n"/>
      <c r="BD389" s="44" t="n"/>
      <c r="BE389" s="87" t="n"/>
      <c r="BF389" s="85" t="n"/>
      <c r="BG389" s="44" t="n"/>
      <c r="BH389" s="44" t="n"/>
      <c r="BI389" s="85" t="n"/>
      <c r="BJ389" s="44" t="n"/>
      <c r="BK389" s="45" t="n"/>
      <c r="BL389" s="44" t="n"/>
      <c r="BM389" s="85" t="n"/>
      <c r="BN389" s="44" t="n"/>
      <c r="BO389" s="85" t="n"/>
      <c r="BP389" s="86" t="n"/>
      <c r="BQ389" s="44" t="n"/>
      <c r="BR389" s="50" t="n"/>
      <c r="BS389" s="89" t="n"/>
      <c r="BT389" s="50">
        <f>IF(OR(K389="",L389="",M389=""),"",IF(ABS(ROUND(((ROUND(N(K389)*100,0))-(0))*(100+N(M389))/100,0)-(ROUND(N(L389)*100,0)))&lt;=0+IF(((ROUND(N(K389)*100,0))-(0))*(100+N(M389))/100&lt;&gt;ROUND(((ROUND(N(K389)*100,0))-(0))*(100+N(M389))/100,0),1,0),"OK","ABWEICHUNG"))</f>
        <v/>
      </c>
    </row>
    <row r="390">
      <c r="A390" s="50" t="n"/>
      <c r="B390" s="44" t="n"/>
      <c r="C390" s="44" t="n"/>
      <c r="D390" s="44" t="n"/>
      <c r="E390" s="44" t="n"/>
      <c r="F390" s="44" t="n"/>
      <c r="G390" s="44" t="n"/>
      <c r="H390" s="44" t="n"/>
      <c r="I390" s="45" t="n"/>
      <c r="J390" s="45" t="n"/>
      <c r="K390" s="85" t="n"/>
      <c r="L390" s="85" t="n"/>
      <c r="M390" s="88" t="n"/>
      <c r="N390" s="88" t="n"/>
      <c r="O390" s="44" t="n"/>
      <c r="P390" s="45" t="n"/>
      <c r="Q390" s="45" t="n"/>
      <c r="R390" s="44" t="n"/>
      <c r="S390" s="45" t="n"/>
      <c r="T390" s="45" t="n"/>
      <c r="U390" s="85" t="n"/>
      <c r="V390" s="44" t="n"/>
      <c r="W390" s="45" t="n"/>
      <c r="X390" s="45" t="n"/>
      <c r="Y390" s="44" t="n"/>
      <c r="Z390" s="85" t="n"/>
      <c r="AA390" s="44" t="n"/>
      <c r="AB390" s="44" t="n"/>
      <c r="AC390" s="44" t="n"/>
      <c r="AD390" s="44" t="n"/>
      <c r="AE390" s="44" t="n"/>
      <c r="AF390" s="88" t="n"/>
      <c r="AG390" s="85" t="n"/>
      <c r="AH390" s="85" t="n"/>
      <c r="AI390" s="85" t="n"/>
      <c r="AJ390" s="85" t="n"/>
      <c r="AK390" s="85" t="n"/>
      <c r="AL390" s="85" t="n"/>
      <c r="AM390" s="85" t="n"/>
      <c r="AN390" s="85" t="n"/>
      <c r="AO390" s="85" t="n"/>
      <c r="AP390" s="85" t="n"/>
      <c r="AQ390" s="85" t="n"/>
      <c r="AR390" s="85" t="n"/>
      <c r="AS390" s="85" t="n"/>
      <c r="AT390" s="85" t="n"/>
      <c r="AU390" s="85" t="n"/>
      <c r="AV390" s="85" t="n"/>
      <c r="AW390" s="44" t="n"/>
      <c r="AX390" s="85" t="n"/>
      <c r="AY390" s="88" t="n"/>
      <c r="AZ390" s="86" t="n"/>
      <c r="BA390" s="44" t="n"/>
      <c r="BB390" s="44" t="n"/>
      <c r="BC390" s="87" t="n"/>
      <c r="BD390" s="44" t="n"/>
      <c r="BE390" s="87" t="n"/>
      <c r="BF390" s="85" t="n"/>
      <c r="BG390" s="44" t="n"/>
      <c r="BH390" s="44" t="n"/>
      <c r="BI390" s="85" t="n"/>
      <c r="BJ390" s="44" t="n"/>
      <c r="BK390" s="45" t="n"/>
      <c r="BL390" s="44" t="n"/>
      <c r="BM390" s="85" t="n"/>
      <c r="BN390" s="44" t="n"/>
      <c r="BO390" s="85" t="n"/>
      <c r="BP390" s="86" t="n"/>
      <c r="BQ390" s="44" t="n"/>
      <c r="BR390" s="50" t="n"/>
      <c r="BS390" s="89" t="n"/>
      <c r="BT390" s="50">
        <f>IF(OR(K390="",L390="",M390=""),"",IF(ABS(ROUND(((ROUND(N(K390)*100,0))-(0))*(100+N(M390))/100,0)-(ROUND(N(L390)*100,0)))&lt;=0+IF(((ROUND(N(K390)*100,0))-(0))*(100+N(M390))/100&lt;&gt;ROUND(((ROUND(N(K390)*100,0))-(0))*(100+N(M390))/100,0),1,0),"OK","ABWEICHUNG"))</f>
        <v/>
      </c>
    </row>
    <row r="391">
      <c r="A391" s="50" t="n"/>
      <c r="B391" s="44" t="n"/>
      <c r="C391" s="44" t="n"/>
      <c r="D391" s="44" t="n"/>
      <c r="E391" s="44" t="n"/>
      <c r="F391" s="44" t="n"/>
      <c r="G391" s="44" t="n"/>
      <c r="H391" s="44" t="n"/>
      <c r="I391" s="45" t="n"/>
      <c r="J391" s="45" t="n"/>
      <c r="K391" s="85" t="n"/>
      <c r="L391" s="85" t="n"/>
      <c r="M391" s="88" t="n"/>
      <c r="N391" s="88" t="n"/>
      <c r="O391" s="44" t="n"/>
      <c r="P391" s="45" t="n"/>
      <c r="Q391" s="45" t="n"/>
      <c r="R391" s="44" t="n"/>
      <c r="S391" s="45" t="n"/>
      <c r="T391" s="45" t="n"/>
      <c r="U391" s="85" t="n"/>
      <c r="V391" s="44" t="n"/>
      <c r="W391" s="45" t="n"/>
      <c r="X391" s="45" t="n"/>
      <c r="Y391" s="44" t="n"/>
      <c r="Z391" s="85" t="n"/>
      <c r="AA391" s="44" t="n"/>
      <c r="AB391" s="44" t="n"/>
      <c r="AC391" s="44" t="n"/>
      <c r="AD391" s="44" t="n"/>
      <c r="AE391" s="44" t="n"/>
      <c r="AF391" s="88" t="n"/>
      <c r="AG391" s="85" t="n"/>
      <c r="AH391" s="85" t="n"/>
      <c r="AI391" s="85" t="n"/>
      <c r="AJ391" s="85" t="n"/>
      <c r="AK391" s="85" t="n"/>
      <c r="AL391" s="85" t="n"/>
      <c r="AM391" s="85" t="n"/>
      <c r="AN391" s="85" t="n"/>
      <c r="AO391" s="85" t="n"/>
      <c r="AP391" s="85" t="n"/>
      <c r="AQ391" s="85" t="n"/>
      <c r="AR391" s="85" t="n"/>
      <c r="AS391" s="85" t="n"/>
      <c r="AT391" s="85" t="n"/>
      <c r="AU391" s="85" t="n"/>
      <c r="AV391" s="85" t="n"/>
      <c r="AW391" s="44" t="n"/>
      <c r="AX391" s="85" t="n"/>
      <c r="AY391" s="88" t="n"/>
      <c r="AZ391" s="86" t="n"/>
      <c r="BA391" s="44" t="n"/>
      <c r="BB391" s="44" t="n"/>
      <c r="BC391" s="87" t="n"/>
      <c r="BD391" s="44" t="n"/>
      <c r="BE391" s="87" t="n"/>
      <c r="BF391" s="85" t="n"/>
      <c r="BG391" s="44" t="n"/>
      <c r="BH391" s="44" t="n"/>
      <c r="BI391" s="85" t="n"/>
      <c r="BJ391" s="44" t="n"/>
      <c r="BK391" s="45" t="n"/>
      <c r="BL391" s="44" t="n"/>
      <c r="BM391" s="85" t="n"/>
      <c r="BN391" s="44" t="n"/>
      <c r="BO391" s="85" t="n"/>
      <c r="BP391" s="86" t="n"/>
      <c r="BQ391" s="44" t="n"/>
      <c r="BR391" s="50" t="n"/>
      <c r="BS391" s="89" t="n"/>
      <c r="BT391" s="50">
        <f>IF(OR(K391="",L391="",M391=""),"",IF(ABS(ROUND(((ROUND(N(K391)*100,0))-(0))*(100+N(M391))/100,0)-(ROUND(N(L391)*100,0)))&lt;=0+IF(((ROUND(N(K391)*100,0))-(0))*(100+N(M391))/100&lt;&gt;ROUND(((ROUND(N(K391)*100,0))-(0))*(100+N(M391))/100,0),1,0),"OK","ABWEICHUNG"))</f>
        <v/>
      </c>
    </row>
    <row r="392">
      <c r="A392" s="50" t="n"/>
      <c r="B392" s="44" t="n"/>
      <c r="C392" s="44" t="n"/>
      <c r="D392" s="44" t="n"/>
      <c r="E392" s="44" t="n"/>
      <c r="F392" s="44" t="n"/>
      <c r="G392" s="44" t="n"/>
      <c r="H392" s="44" t="n"/>
      <c r="I392" s="45" t="n"/>
      <c r="J392" s="45" t="n"/>
      <c r="K392" s="85" t="n"/>
      <c r="L392" s="85" t="n"/>
      <c r="M392" s="88" t="n"/>
      <c r="N392" s="88" t="n"/>
      <c r="O392" s="44" t="n"/>
      <c r="P392" s="45" t="n"/>
      <c r="Q392" s="45" t="n"/>
      <c r="R392" s="44" t="n"/>
      <c r="S392" s="45" t="n"/>
      <c r="T392" s="45" t="n"/>
      <c r="U392" s="85" t="n"/>
      <c r="V392" s="44" t="n"/>
      <c r="W392" s="45" t="n"/>
      <c r="X392" s="45" t="n"/>
      <c r="Y392" s="44" t="n"/>
      <c r="Z392" s="85" t="n"/>
      <c r="AA392" s="44" t="n"/>
      <c r="AB392" s="44" t="n"/>
      <c r="AC392" s="44" t="n"/>
      <c r="AD392" s="44" t="n"/>
      <c r="AE392" s="44" t="n"/>
      <c r="AF392" s="88" t="n"/>
      <c r="AG392" s="85" t="n"/>
      <c r="AH392" s="85" t="n"/>
      <c r="AI392" s="85" t="n"/>
      <c r="AJ392" s="85" t="n"/>
      <c r="AK392" s="85" t="n"/>
      <c r="AL392" s="85" t="n"/>
      <c r="AM392" s="85" t="n"/>
      <c r="AN392" s="85" t="n"/>
      <c r="AO392" s="85" t="n"/>
      <c r="AP392" s="85" t="n"/>
      <c r="AQ392" s="85" t="n"/>
      <c r="AR392" s="85" t="n"/>
      <c r="AS392" s="85" t="n"/>
      <c r="AT392" s="85" t="n"/>
      <c r="AU392" s="85" t="n"/>
      <c r="AV392" s="85" t="n"/>
      <c r="AW392" s="44" t="n"/>
      <c r="AX392" s="85" t="n"/>
      <c r="AY392" s="88" t="n"/>
      <c r="AZ392" s="86" t="n"/>
      <c r="BA392" s="44" t="n"/>
      <c r="BB392" s="44" t="n"/>
      <c r="BC392" s="87" t="n"/>
      <c r="BD392" s="44" t="n"/>
      <c r="BE392" s="87" t="n"/>
      <c r="BF392" s="85" t="n"/>
      <c r="BG392" s="44" t="n"/>
      <c r="BH392" s="44" t="n"/>
      <c r="BI392" s="85" t="n"/>
      <c r="BJ392" s="44" t="n"/>
      <c r="BK392" s="45" t="n"/>
      <c r="BL392" s="44" t="n"/>
      <c r="BM392" s="85" t="n"/>
      <c r="BN392" s="44" t="n"/>
      <c r="BO392" s="85" t="n"/>
      <c r="BP392" s="86" t="n"/>
      <c r="BQ392" s="44" t="n"/>
      <c r="BR392" s="50" t="n"/>
      <c r="BS392" s="89" t="n"/>
      <c r="BT392" s="50">
        <f>IF(OR(K392="",L392="",M392=""),"",IF(ABS(ROUND(((ROUND(N(K392)*100,0))-(0))*(100+N(M392))/100,0)-(ROUND(N(L392)*100,0)))&lt;=0+IF(((ROUND(N(K392)*100,0))-(0))*(100+N(M392))/100&lt;&gt;ROUND(((ROUND(N(K392)*100,0))-(0))*(100+N(M392))/100,0),1,0),"OK","ABWEICHUNG"))</f>
        <v/>
      </c>
    </row>
    <row r="393">
      <c r="A393" s="50" t="n"/>
      <c r="B393" s="44" t="n"/>
      <c r="C393" s="44" t="n"/>
      <c r="D393" s="44" t="n"/>
      <c r="E393" s="44" t="n"/>
      <c r="F393" s="44" t="n"/>
      <c r="G393" s="44" t="n"/>
      <c r="H393" s="44" t="n"/>
      <c r="I393" s="45" t="n"/>
      <c r="J393" s="45" t="n"/>
      <c r="K393" s="85" t="n"/>
      <c r="L393" s="85" t="n"/>
      <c r="M393" s="88" t="n"/>
      <c r="N393" s="88" t="n"/>
      <c r="O393" s="44" t="n"/>
      <c r="P393" s="45" t="n"/>
      <c r="Q393" s="45" t="n"/>
      <c r="R393" s="44" t="n"/>
      <c r="S393" s="45" t="n"/>
      <c r="T393" s="45" t="n"/>
      <c r="U393" s="85" t="n"/>
      <c r="V393" s="44" t="n"/>
      <c r="W393" s="45" t="n"/>
      <c r="X393" s="45" t="n"/>
      <c r="Y393" s="44" t="n"/>
      <c r="Z393" s="85" t="n"/>
      <c r="AA393" s="44" t="n"/>
      <c r="AB393" s="44" t="n"/>
      <c r="AC393" s="44" t="n"/>
      <c r="AD393" s="44" t="n"/>
      <c r="AE393" s="44" t="n"/>
      <c r="AF393" s="88" t="n"/>
      <c r="AG393" s="85" t="n"/>
      <c r="AH393" s="85" t="n"/>
      <c r="AI393" s="85" t="n"/>
      <c r="AJ393" s="85" t="n"/>
      <c r="AK393" s="85" t="n"/>
      <c r="AL393" s="85" t="n"/>
      <c r="AM393" s="85" t="n"/>
      <c r="AN393" s="85" t="n"/>
      <c r="AO393" s="85" t="n"/>
      <c r="AP393" s="85" t="n"/>
      <c r="AQ393" s="85" t="n"/>
      <c r="AR393" s="85" t="n"/>
      <c r="AS393" s="85" t="n"/>
      <c r="AT393" s="85" t="n"/>
      <c r="AU393" s="85" t="n"/>
      <c r="AV393" s="85" t="n"/>
      <c r="AW393" s="44" t="n"/>
      <c r="AX393" s="85" t="n"/>
      <c r="AY393" s="88" t="n"/>
      <c r="AZ393" s="86" t="n"/>
      <c r="BA393" s="44" t="n"/>
      <c r="BB393" s="44" t="n"/>
      <c r="BC393" s="87" t="n"/>
      <c r="BD393" s="44" t="n"/>
      <c r="BE393" s="87" t="n"/>
      <c r="BF393" s="85" t="n"/>
      <c r="BG393" s="44" t="n"/>
      <c r="BH393" s="44" t="n"/>
      <c r="BI393" s="85" t="n"/>
      <c r="BJ393" s="44" t="n"/>
      <c r="BK393" s="45" t="n"/>
      <c r="BL393" s="44" t="n"/>
      <c r="BM393" s="85" t="n"/>
      <c r="BN393" s="44" t="n"/>
      <c r="BO393" s="85" t="n"/>
      <c r="BP393" s="86" t="n"/>
      <c r="BQ393" s="44" t="n"/>
      <c r="BR393" s="50" t="n"/>
      <c r="BS393" s="89" t="n"/>
      <c r="BT393" s="50">
        <f>IF(OR(K393="",L393="",M393=""),"",IF(ABS(ROUND(((ROUND(N(K393)*100,0))-(0))*(100+N(M393))/100,0)-(ROUND(N(L393)*100,0)))&lt;=0+IF(((ROUND(N(K393)*100,0))-(0))*(100+N(M393))/100&lt;&gt;ROUND(((ROUND(N(K393)*100,0))-(0))*(100+N(M393))/100,0),1,0),"OK","ABWEICHUNG"))</f>
        <v/>
      </c>
    </row>
    <row r="394">
      <c r="A394" s="50" t="n"/>
      <c r="B394" s="44" t="n"/>
      <c r="C394" s="44" t="n"/>
      <c r="D394" s="44" t="n"/>
      <c r="E394" s="44" t="n"/>
      <c r="F394" s="44" t="n"/>
      <c r="G394" s="44" t="n"/>
      <c r="H394" s="44" t="n"/>
      <c r="I394" s="45" t="n"/>
      <c r="J394" s="45" t="n"/>
      <c r="K394" s="85" t="n"/>
      <c r="L394" s="85" t="n"/>
      <c r="M394" s="88" t="n"/>
      <c r="N394" s="88" t="n"/>
      <c r="O394" s="44" t="n"/>
      <c r="P394" s="45" t="n"/>
      <c r="Q394" s="45" t="n"/>
      <c r="R394" s="44" t="n"/>
      <c r="S394" s="45" t="n"/>
      <c r="T394" s="45" t="n"/>
      <c r="U394" s="85" t="n"/>
      <c r="V394" s="44" t="n"/>
      <c r="W394" s="45" t="n"/>
      <c r="X394" s="45" t="n"/>
      <c r="Y394" s="44" t="n"/>
      <c r="Z394" s="85" t="n"/>
      <c r="AA394" s="44" t="n"/>
      <c r="AB394" s="44" t="n"/>
      <c r="AC394" s="44" t="n"/>
      <c r="AD394" s="44" t="n"/>
      <c r="AE394" s="44" t="n"/>
      <c r="AF394" s="88" t="n"/>
      <c r="AG394" s="85" t="n"/>
      <c r="AH394" s="85" t="n"/>
      <c r="AI394" s="85" t="n"/>
      <c r="AJ394" s="85" t="n"/>
      <c r="AK394" s="85" t="n"/>
      <c r="AL394" s="85" t="n"/>
      <c r="AM394" s="85" t="n"/>
      <c r="AN394" s="85" t="n"/>
      <c r="AO394" s="85" t="n"/>
      <c r="AP394" s="85" t="n"/>
      <c r="AQ394" s="85" t="n"/>
      <c r="AR394" s="85" t="n"/>
      <c r="AS394" s="85" t="n"/>
      <c r="AT394" s="85" t="n"/>
      <c r="AU394" s="85" t="n"/>
      <c r="AV394" s="85" t="n"/>
      <c r="AW394" s="44" t="n"/>
      <c r="AX394" s="85" t="n"/>
      <c r="AY394" s="88" t="n"/>
      <c r="AZ394" s="86" t="n"/>
      <c r="BA394" s="44" t="n"/>
      <c r="BB394" s="44" t="n"/>
      <c r="BC394" s="87" t="n"/>
      <c r="BD394" s="44" t="n"/>
      <c r="BE394" s="87" t="n"/>
      <c r="BF394" s="85" t="n"/>
      <c r="BG394" s="44" t="n"/>
      <c r="BH394" s="44" t="n"/>
      <c r="BI394" s="85" t="n"/>
      <c r="BJ394" s="44" t="n"/>
      <c r="BK394" s="45" t="n"/>
      <c r="BL394" s="44" t="n"/>
      <c r="BM394" s="85" t="n"/>
      <c r="BN394" s="44" t="n"/>
      <c r="BO394" s="85" t="n"/>
      <c r="BP394" s="86" t="n"/>
      <c r="BQ394" s="44" t="n"/>
      <c r="BR394" s="50" t="n"/>
      <c r="BS394" s="89" t="n"/>
      <c r="BT394" s="50">
        <f>IF(OR(K394="",L394="",M394=""),"",IF(ABS(ROUND(((ROUND(N(K394)*100,0))-(0))*(100+N(M394))/100,0)-(ROUND(N(L394)*100,0)))&lt;=0+IF(((ROUND(N(K394)*100,0))-(0))*(100+N(M394))/100&lt;&gt;ROUND(((ROUND(N(K394)*100,0))-(0))*(100+N(M394))/100,0),1,0),"OK","ABWEICHUNG"))</f>
        <v/>
      </c>
    </row>
    <row r="395">
      <c r="A395" s="50" t="n"/>
      <c r="B395" s="44" t="n"/>
      <c r="C395" s="44" t="n"/>
      <c r="D395" s="44" t="n"/>
      <c r="E395" s="44" t="n"/>
      <c r="F395" s="44" t="n"/>
      <c r="G395" s="44" t="n"/>
      <c r="H395" s="44" t="n"/>
      <c r="I395" s="45" t="n"/>
      <c r="J395" s="45" t="n"/>
      <c r="K395" s="85" t="n"/>
      <c r="L395" s="85" t="n"/>
      <c r="M395" s="88" t="n"/>
      <c r="N395" s="88" t="n"/>
      <c r="O395" s="44" t="n"/>
      <c r="P395" s="45" t="n"/>
      <c r="Q395" s="45" t="n"/>
      <c r="R395" s="44" t="n"/>
      <c r="S395" s="45" t="n"/>
      <c r="T395" s="45" t="n"/>
      <c r="U395" s="85" t="n"/>
      <c r="V395" s="44" t="n"/>
      <c r="W395" s="45" t="n"/>
      <c r="X395" s="45" t="n"/>
      <c r="Y395" s="44" t="n"/>
      <c r="Z395" s="85" t="n"/>
      <c r="AA395" s="44" t="n"/>
      <c r="AB395" s="44" t="n"/>
      <c r="AC395" s="44" t="n"/>
      <c r="AD395" s="44" t="n"/>
      <c r="AE395" s="44" t="n"/>
      <c r="AF395" s="88" t="n"/>
      <c r="AG395" s="85" t="n"/>
      <c r="AH395" s="85" t="n"/>
      <c r="AI395" s="85" t="n"/>
      <c r="AJ395" s="85" t="n"/>
      <c r="AK395" s="85" t="n"/>
      <c r="AL395" s="85" t="n"/>
      <c r="AM395" s="85" t="n"/>
      <c r="AN395" s="85" t="n"/>
      <c r="AO395" s="85" t="n"/>
      <c r="AP395" s="85" t="n"/>
      <c r="AQ395" s="85" t="n"/>
      <c r="AR395" s="85" t="n"/>
      <c r="AS395" s="85" t="n"/>
      <c r="AT395" s="85" t="n"/>
      <c r="AU395" s="85" t="n"/>
      <c r="AV395" s="85" t="n"/>
      <c r="AW395" s="44" t="n"/>
      <c r="AX395" s="85" t="n"/>
      <c r="AY395" s="88" t="n"/>
      <c r="AZ395" s="86" t="n"/>
      <c r="BA395" s="44" t="n"/>
      <c r="BB395" s="44" t="n"/>
      <c r="BC395" s="87" t="n"/>
      <c r="BD395" s="44" t="n"/>
      <c r="BE395" s="87" t="n"/>
      <c r="BF395" s="85" t="n"/>
      <c r="BG395" s="44" t="n"/>
      <c r="BH395" s="44" t="n"/>
      <c r="BI395" s="85" t="n"/>
      <c r="BJ395" s="44" t="n"/>
      <c r="BK395" s="45" t="n"/>
      <c r="BL395" s="44" t="n"/>
      <c r="BM395" s="85" t="n"/>
      <c r="BN395" s="44" t="n"/>
      <c r="BO395" s="85" t="n"/>
      <c r="BP395" s="86" t="n"/>
      <c r="BQ395" s="44" t="n"/>
      <c r="BR395" s="50" t="n"/>
      <c r="BS395" s="89" t="n"/>
      <c r="BT395" s="50">
        <f>IF(OR(K395="",L395="",M395=""),"",IF(ABS(ROUND(((ROUND(N(K395)*100,0))-(0))*(100+N(M395))/100,0)-(ROUND(N(L395)*100,0)))&lt;=0+IF(((ROUND(N(K395)*100,0))-(0))*(100+N(M395))/100&lt;&gt;ROUND(((ROUND(N(K395)*100,0))-(0))*(100+N(M395))/100,0),1,0),"OK","ABWEICHUNG"))</f>
        <v/>
      </c>
    </row>
    <row r="396">
      <c r="A396" s="50" t="n"/>
      <c r="B396" s="44" t="n"/>
      <c r="C396" s="44" t="n"/>
      <c r="D396" s="44" t="n"/>
      <c r="E396" s="44" t="n"/>
      <c r="F396" s="44" t="n"/>
      <c r="G396" s="44" t="n"/>
      <c r="H396" s="44" t="n"/>
      <c r="I396" s="45" t="n"/>
      <c r="J396" s="45" t="n"/>
      <c r="K396" s="85" t="n"/>
      <c r="L396" s="85" t="n"/>
      <c r="M396" s="88" t="n"/>
      <c r="N396" s="88" t="n"/>
      <c r="O396" s="44" t="n"/>
      <c r="P396" s="45" t="n"/>
      <c r="Q396" s="45" t="n"/>
      <c r="R396" s="44" t="n"/>
      <c r="S396" s="45" t="n"/>
      <c r="T396" s="45" t="n"/>
      <c r="U396" s="85" t="n"/>
      <c r="V396" s="44" t="n"/>
      <c r="W396" s="45" t="n"/>
      <c r="X396" s="45" t="n"/>
      <c r="Y396" s="44" t="n"/>
      <c r="Z396" s="85" t="n"/>
      <c r="AA396" s="44" t="n"/>
      <c r="AB396" s="44" t="n"/>
      <c r="AC396" s="44" t="n"/>
      <c r="AD396" s="44" t="n"/>
      <c r="AE396" s="44" t="n"/>
      <c r="AF396" s="88" t="n"/>
      <c r="AG396" s="85" t="n"/>
      <c r="AH396" s="85" t="n"/>
      <c r="AI396" s="85" t="n"/>
      <c r="AJ396" s="85" t="n"/>
      <c r="AK396" s="85" t="n"/>
      <c r="AL396" s="85" t="n"/>
      <c r="AM396" s="85" t="n"/>
      <c r="AN396" s="85" t="n"/>
      <c r="AO396" s="85" t="n"/>
      <c r="AP396" s="85" t="n"/>
      <c r="AQ396" s="85" t="n"/>
      <c r="AR396" s="85" t="n"/>
      <c r="AS396" s="85" t="n"/>
      <c r="AT396" s="85" t="n"/>
      <c r="AU396" s="85" t="n"/>
      <c r="AV396" s="85" t="n"/>
      <c r="AW396" s="44" t="n"/>
      <c r="AX396" s="85" t="n"/>
      <c r="AY396" s="88" t="n"/>
      <c r="AZ396" s="86" t="n"/>
      <c r="BA396" s="44" t="n"/>
      <c r="BB396" s="44" t="n"/>
      <c r="BC396" s="87" t="n"/>
      <c r="BD396" s="44" t="n"/>
      <c r="BE396" s="87" t="n"/>
      <c r="BF396" s="85" t="n"/>
      <c r="BG396" s="44" t="n"/>
      <c r="BH396" s="44" t="n"/>
      <c r="BI396" s="85" t="n"/>
      <c r="BJ396" s="44" t="n"/>
      <c r="BK396" s="45" t="n"/>
      <c r="BL396" s="44" t="n"/>
      <c r="BM396" s="85" t="n"/>
      <c r="BN396" s="44" t="n"/>
      <c r="BO396" s="85" t="n"/>
      <c r="BP396" s="86" t="n"/>
      <c r="BQ396" s="44" t="n"/>
      <c r="BR396" s="50" t="n"/>
      <c r="BS396" s="89" t="n"/>
      <c r="BT396" s="50">
        <f>IF(OR(K396="",L396="",M396=""),"",IF(ABS(ROUND(((ROUND(N(K396)*100,0))-(0))*(100+N(M396))/100,0)-(ROUND(N(L396)*100,0)))&lt;=0+IF(((ROUND(N(K396)*100,0))-(0))*(100+N(M396))/100&lt;&gt;ROUND(((ROUND(N(K396)*100,0))-(0))*(100+N(M396))/100,0),1,0),"OK","ABWEICHUNG"))</f>
        <v/>
      </c>
    </row>
    <row r="397">
      <c r="A397" s="50" t="n"/>
      <c r="B397" s="44" t="n"/>
      <c r="C397" s="44" t="n"/>
      <c r="D397" s="44" t="n"/>
      <c r="E397" s="44" t="n"/>
      <c r="F397" s="44" t="n"/>
      <c r="G397" s="44" t="n"/>
      <c r="H397" s="44" t="n"/>
      <c r="I397" s="45" t="n"/>
      <c r="J397" s="45" t="n"/>
      <c r="K397" s="85" t="n"/>
      <c r="L397" s="85" t="n"/>
      <c r="M397" s="88" t="n"/>
      <c r="N397" s="88" t="n"/>
      <c r="O397" s="44" t="n"/>
      <c r="P397" s="45" t="n"/>
      <c r="Q397" s="45" t="n"/>
      <c r="R397" s="44" t="n"/>
      <c r="S397" s="45" t="n"/>
      <c r="T397" s="45" t="n"/>
      <c r="U397" s="85" t="n"/>
      <c r="V397" s="44" t="n"/>
      <c r="W397" s="45" t="n"/>
      <c r="X397" s="45" t="n"/>
      <c r="Y397" s="44" t="n"/>
      <c r="Z397" s="85" t="n"/>
      <c r="AA397" s="44" t="n"/>
      <c r="AB397" s="44" t="n"/>
      <c r="AC397" s="44" t="n"/>
      <c r="AD397" s="44" t="n"/>
      <c r="AE397" s="44" t="n"/>
      <c r="AF397" s="88" t="n"/>
      <c r="AG397" s="85" t="n"/>
      <c r="AH397" s="85" t="n"/>
      <c r="AI397" s="85" t="n"/>
      <c r="AJ397" s="85" t="n"/>
      <c r="AK397" s="85" t="n"/>
      <c r="AL397" s="85" t="n"/>
      <c r="AM397" s="85" t="n"/>
      <c r="AN397" s="85" t="n"/>
      <c r="AO397" s="85" t="n"/>
      <c r="AP397" s="85" t="n"/>
      <c r="AQ397" s="85" t="n"/>
      <c r="AR397" s="85" t="n"/>
      <c r="AS397" s="85" t="n"/>
      <c r="AT397" s="85" t="n"/>
      <c r="AU397" s="85" t="n"/>
      <c r="AV397" s="85" t="n"/>
      <c r="AW397" s="44" t="n"/>
      <c r="AX397" s="85" t="n"/>
      <c r="AY397" s="88" t="n"/>
      <c r="AZ397" s="86" t="n"/>
      <c r="BA397" s="44" t="n"/>
      <c r="BB397" s="44" t="n"/>
      <c r="BC397" s="87" t="n"/>
      <c r="BD397" s="44" t="n"/>
      <c r="BE397" s="87" t="n"/>
      <c r="BF397" s="85" t="n"/>
      <c r="BG397" s="44" t="n"/>
      <c r="BH397" s="44" t="n"/>
      <c r="BI397" s="85" t="n"/>
      <c r="BJ397" s="44" t="n"/>
      <c r="BK397" s="45" t="n"/>
      <c r="BL397" s="44" t="n"/>
      <c r="BM397" s="85" t="n"/>
      <c r="BN397" s="44" t="n"/>
      <c r="BO397" s="85" t="n"/>
      <c r="BP397" s="86" t="n"/>
      <c r="BQ397" s="44" t="n"/>
      <c r="BR397" s="50" t="n"/>
      <c r="BS397" s="89" t="n"/>
      <c r="BT397" s="50">
        <f>IF(OR(K397="",L397="",M397=""),"",IF(ABS(ROUND(((ROUND(N(K397)*100,0))-(0))*(100+N(M397))/100,0)-(ROUND(N(L397)*100,0)))&lt;=0+IF(((ROUND(N(K397)*100,0))-(0))*(100+N(M397))/100&lt;&gt;ROUND(((ROUND(N(K397)*100,0))-(0))*(100+N(M397))/100,0),1,0),"OK","ABWEICHUNG"))</f>
        <v/>
      </c>
    </row>
    <row r="398">
      <c r="A398" s="50" t="n"/>
      <c r="B398" s="44" t="n"/>
      <c r="C398" s="44" t="n"/>
      <c r="D398" s="44" t="n"/>
      <c r="E398" s="44" t="n"/>
      <c r="F398" s="44" t="n"/>
      <c r="G398" s="44" t="n"/>
      <c r="H398" s="44" t="n"/>
      <c r="I398" s="45" t="n"/>
      <c r="J398" s="45" t="n"/>
      <c r="K398" s="85" t="n"/>
      <c r="L398" s="85" t="n"/>
      <c r="M398" s="88" t="n"/>
      <c r="N398" s="88" t="n"/>
      <c r="O398" s="44" t="n"/>
      <c r="P398" s="45" t="n"/>
      <c r="Q398" s="45" t="n"/>
      <c r="R398" s="44" t="n"/>
      <c r="S398" s="45" t="n"/>
      <c r="T398" s="45" t="n"/>
      <c r="U398" s="85" t="n"/>
      <c r="V398" s="44" t="n"/>
      <c r="W398" s="45" t="n"/>
      <c r="X398" s="45" t="n"/>
      <c r="Y398" s="44" t="n"/>
      <c r="Z398" s="85" t="n"/>
      <c r="AA398" s="44" t="n"/>
      <c r="AB398" s="44" t="n"/>
      <c r="AC398" s="44" t="n"/>
      <c r="AD398" s="44" t="n"/>
      <c r="AE398" s="44" t="n"/>
      <c r="AF398" s="88" t="n"/>
      <c r="AG398" s="85" t="n"/>
      <c r="AH398" s="85" t="n"/>
      <c r="AI398" s="85" t="n"/>
      <c r="AJ398" s="85" t="n"/>
      <c r="AK398" s="85" t="n"/>
      <c r="AL398" s="85" t="n"/>
      <c r="AM398" s="85" t="n"/>
      <c r="AN398" s="85" t="n"/>
      <c r="AO398" s="85" t="n"/>
      <c r="AP398" s="85" t="n"/>
      <c r="AQ398" s="85" t="n"/>
      <c r="AR398" s="85" t="n"/>
      <c r="AS398" s="85" t="n"/>
      <c r="AT398" s="85" t="n"/>
      <c r="AU398" s="85" t="n"/>
      <c r="AV398" s="85" t="n"/>
      <c r="AW398" s="44" t="n"/>
      <c r="AX398" s="85" t="n"/>
      <c r="AY398" s="88" t="n"/>
      <c r="AZ398" s="86" t="n"/>
      <c r="BA398" s="44" t="n"/>
      <c r="BB398" s="44" t="n"/>
      <c r="BC398" s="87" t="n"/>
      <c r="BD398" s="44" t="n"/>
      <c r="BE398" s="87" t="n"/>
      <c r="BF398" s="85" t="n"/>
      <c r="BG398" s="44" t="n"/>
      <c r="BH398" s="44" t="n"/>
      <c r="BI398" s="85" t="n"/>
      <c r="BJ398" s="44" t="n"/>
      <c r="BK398" s="45" t="n"/>
      <c r="BL398" s="44" t="n"/>
      <c r="BM398" s="85" t="n"/>
      <c r="BN398" s="44" t="n"/>
      <c r="BO398" s="85" t="n"/>
      <c r="BP398" s="86" t="n"/>
      <c r="BQ398" s="44" t="n"/>
      <c r="BR398" s="50" t="n"/>
      <c r="BS398" s="89" t="n"/>
      <c r="BT398" s="50">
        <f>IF(OR(K398="",L398="",M398=""),"",IF(ABS(ROUND(((ROUND(N(K398)*100,0))-(0))*(100+N(M398))/100,0)-(ROUND(N(L398)*100,0)))&lt;=0+IF(((ROUND(N(K398)*100,0))-(0))*(100+N(M398))/100&lt;&gt;ROUND(((ROUND(N(K398)*100,0))-(0))*(100+N(M398))/100,0),1,0),"OK","ABWEICHUNG"))</f>
        <v/>
      </c>
    </row>
    <row r="399">
      <c r="A399" s="50" t="n"/>
      <c r="B399" s="44" t="n"/>
      <c r="C399" s="44" t="n"/>
      <c r="D399" s="44" t="n"/>
      <c r="E399" s="44" t="n"/>
      <c r="F399" s="44" t="n"/>
      <c r="G399" s="44" t="n"/>
      <c r="H399" s="44" t="n"/>
      <c r="I399" s="45" t="n"/>
      <c r="J399" s="45" t="n"/>
      <c r="K399" s="85" t="n"/>
      <c r="L399" s="85" t="n"/>
      <c r="M399" s="88" t="n"/>
      <c r="N399" s="88" t="n"/>
      <c r="O399" s="44" t="n"/>
      <c r="P399" s="45" t="n"/>
      <c r="Q399" s="45" t="n"/>
      <c r="R399" s="44" t="n"/>
      <c r="S399" s="45" t="n"/>
      <c r="T399" s="45" t="n"/>
      <c r="U399" s="85" t="n"/>
      <c r="V399" s="44" t="n"/>
      <c r="W399" s="45" t="n"/>
      <c r="X399" s="45" t="n"/>
      <c r="Y399" s="44" t="n"/>
      <c r="Z399" s="85" t="n"/>
      <c r="AA399" s="44" t="n"/>
      <c r="AB399" s="44" t="n"/>
      <c r="AC399" s="44" t="n"/>
      <c r="AD399" s="44" t="n"/>
      <c r="AE399" s="44" t="n"/>
      <c r="AF399" s="88" t="n"/>
      <c r="AG399" s="85" t="n"/>
      <c r="AH399" s="85" t="n"/>
      <c r="AI399" s="85" t="n"/>
      <c r="AJ399" s="85" t="n"/>
      <c r="AK399" s="85" t="n"/>
      <c r="AL399" s="85" t="n"/>
      <c r="AM399" s="85" t="n"/>
      <c r="AN399" s="85" t="n"/>
      <c r="AO399" s="85" t="n"/>
      <c r="AP399" s="85" t="n"/>
      <c r="AQ399" s="85" t="n"/>
      <c r="AR399" s="85" t="n"/>
      <c r="AS399" s="85" t="n"/>
      <c r="AT399" s="85" t="n"/>
      <c r="AU399" s="85" t="n"/>
      <c r="AV399" s="85" t="n"/>
      <c r="AW399" s="44" t="n"/>
      <c r="AX399" s="85" t="n"/>
      <c r="AY399" s="88" t="n"/>
      <c r="AZ399" s="86" t="n"/>
      <c r="BA399" s="44" t="n"/>
      <c r="BB399" s="44" t="n"/>
      <c r="BC399" s="87" t="n"/>
      <c r="BD399" s="44" t="n"/>
      <c r="BE399" s="87" t="n"/>
      <c r="BF399" s="85" t="n"/>
      <c r="BG399" s="44" t="n"/>
      <c r="BH399" s="44" t="n"/>
      <c r="BI399" s="85" t="n"/>
      <c r="BJ399" s="44" t="n"/>
      <c r="BK399" s="45" t="n"/>
      <c r="BL399" s="44" t="n"/>
      <c r="BM399" s="85" t="n"/>
      <c r="BN399" s="44" t="n"/>
      <c r="BO399" s="85" t="n"/>
      <c r="BP399" s="86" t="n"/>
      <c r="BQ399" s="44" t="n"/>
      <c r="BR399" s="50" t="n"/>
      <c r="BS399" s="89" t="n"/>
      <c r="BT399" s="50">
        <f>IF(OR(K399="",L399="",M399=""),"",IF(ABS(ROUND(((ROUND(N(K399)*100,0))-(0))*(100+N(M399))/100,0)-(ROUND(N(L399)*100,0)))&lt;=0+IF(((ROUND(N(K399)*100,0))-(0))*(100+N(M399))/100&lt;&gt;ROUND(((ROUND(N(K399)*100,0))-(0))*(100+N(M399))/100,0),1,0),"OK","ABWEICHUNG"))</f>
        <v/>
      </c>
    </row>
    <row r="400">
      <c r="A400" s="50" t="n"/>
      <c r="B400" s="44" t="n"/>
      <c r="C400" s="44" t="n"/>
      <c r="D400" s="44" t="n"/>
      <c r="E400" s="44" t="n"/>
      <c r="F400" s="44" t="n"/>
      <c r="G400" s="44" t="n"/>
      <c r="H400" s="44" t="n"/>
      <c r="I400" s="45" t="n"/>
      <c r="J400" s="45" t="n"/>
      <c r="K400" s="85" t="n"/>
      <c r="L400" s="85" t="n"/>
      <c r="M400" s="88" t="n"/>
      <c r="N400" s="88" t="n"/>
      <c r="O400" s="44" t="n"/>
      <c r="P400" s="45" t="n"/>
      <c r="Q400" s="45" t="n"/>
      <c r="R400" s="44" t="n"/>
      <c r="S400" s="45" t="n"/>
      <c r="T400" s="45" t="n"/>
      <c r="U400" s="85" t="n"/>
      <c r="V400" s="44" t="n"/>
      <c r="W400" s="45" t="n"/>
      <c r="X400" s="45" t="n"/>
      <c r="Y400" s="44" t="n"/>
      <c r="Z400" s="85" t="n"/>
      <c r="AA400" s="44" t="n"/>
      <c r="AB400" s="44" t="n"/>
      <c r="AC400" s="44" t="n"/>
      <c r="AD400" s="44" t="n"/>
      <c r="AE400" s="44" t="n"/>
      <c r="AF400" s="88" t="n"/>
      <c r="AG400" s="85" t="n"/>
      <c r="AH400" s="85" t="n"/>
      <c r="AI400" s="85" t="n"/>
      <c r="AJ400" s="85" t="n"/>
      <c r="AK400" s="85" t="n"/>
      <c r="AL400" s="85" t="n"/>
      <c r="AM400" s="85" t="n"/>
      <c r="AN400" s="85" t="n"/>
      <c r="AO400" s="85" t="n"/>
      <c r="AP400" s="85" t="n"/>
      <c r="AQ400" s="85" t="n"/>
      <c r="AR400" s="85" t="n"/>
      <c r="AS400" s="85" t="n"/>
      <c r="AT400" s="85" t="n"/>
      <c r="AU400" s="85" t="n"/>
      <c r="AV400" s="85" t="n"/>
      <c r="AW400" s="44" t="n"/>
      <c r="AX400" s="85" t="n"/>
      <c r="AY400" s="88" t="n"/>
      <c r="AZ400" s="86" t="n"/>
      <c r="BA400" s="44" t="n"/>
      <c r="BB400" s="44" t="n"/>
      <c r="BC400" s="87" t="n"/>
      <c r="BD400" s="44" t="n"/>
      <c r="BE400" s="87" t="n"/>
      <c r="BF400" s="85" t="n"/>
      <c r="BG400" s="44" t="n"/>
      <c r="BH400" s="44" t="n"/>
      <c r="BI400" s="85" t="n"/>
      <c r="BJ400" s="44" t="n"/>
      <c r="BK400" s="45" t="n"/>
      <c r="BL400" s="44" t="n"/>
      <c r="BM400" s="85" t="n"/>
      <c r="BN400" s="44" t="n"/>
      <c r="BO400" s="85" t="n"/>
      <c r="BP400" s="86" t="n"/>
      <c r="BQ400" s="44" t="n"/>
      <c r="BR400" s="50" t="n"/>
      <c r="BS400" s="89" t="n"/>
      <c r="BT400" s="50">
        <f>IF(OR(K400="",L400="",M400=""),"",IF(ABS(ROUND(((ROUND(N(K400)*100,0))-(0))*(100+N(M400))/100,0)-(ROUND(N(L400)*100,0)))&lt;=0+IF(((ROUND(N(K400)*100,0))-(0))*(100+N(M400))/100&lt;&gt;ROUND(((ROUND(N(K400)*100,0))-(0))*(100+N(M400))/100,0),1,0),"OK","ABWEICHUNG"))</f>
        <v/>
      </c>
    </row>
    <row r="401">
      <c r="A401" s="50" t="n"/>
      <c r="B401" s="44" t="n"/>
      <c r="C401" s="44" t="n"/>
      <c r="D401" s="44" t="n"/>
      <c r="E401" s="44" t="n"/>
      <c r="F401" s="44" t="n"/>
      <c r="G401" s="44" t="n"/>
      <c r="H401" s="44" t="n"/>
      <c r="I401" s="45" t="n"/>
      <c r="J401" s="45" t="n"/>
      <c r="K401" s="85" t="n"/>
      <c r="L401" s="85" t="n"/>
      <c r="M401" s="88" t="n"/>
      <c r="N401" s="88" t="n"/>
      <c r="O401" s="44" t="n"/>
      <c r="P401" s="45" t="n"/>
      <c r="Q401" s="45" t="n"/>
      <c r="R401" s="44" t="n"/>
      <c r="S401" s="45" t="n"/>
      <c r="T401" s="45" t="n"/>
      <c r="U401" s="85" t="n"/>
      <c r="V401" s="44" t="n"/>
      <c r="W401" s="45" t="n"/>
      <c r="X401" s="45" t="n"/>
      <c r="Y401" s="44" t="n"/>
      <c r="Z401" s="85" t="n"/>
      <c r="AA401" s="44" t="n"/>
      <c r="AB401" s="44" t="n"/>
      <c r="AC401" s="44" t="n"/>
      <c r="AD401" s="44" t="n"/>
      <c r="AE401" s="44" t="n"/>
      <c r="AF401" s="88" t="n"/>
      <c r="AG401" s="85" t="n"/>
      <c r="AH401" s="85" t="n"/>
      <c r="AI401" s="85" t="n"/>
      <c r="AJ401" s="85" t="n"/>
      <c r="AK401" s="85" t="n"/>
      <c r="AL401" s="85" t="n"/>
      <c r="AM401" s="85" t="n"/>
      <c r="AN401" s="85" t="n"/>
      <c r="AO401" s="85" t="n"/>
      <c r="AP401" s="85" t="n"/>
      <c r="AQ401" s="85" t="n"/>
      <c r="AR401" s="85" t="n"/>
      <c r="AS401" s="85" t="n"/>
      <c r="AT401" s="85" t="n"/>
      <c r="AU401" s="85" t="n"/>
      <c r="AV401" s="85" t="n"/>
      <c r="AW401" s="44" t="n"/>
      <c r="AX401" s="85" t="n"/>
      <c r="AY401" s="88" t="n"/>
      <c r="AZ401" s="86" t="n"/>
      <c r="BA401" s="44" t="n"/>
      <c r="BB401" s="44" t="n"/>
      <c r="BC401" s="87" t="n"/>
      <c r="BD401" s="44" t="n"/>
      <c r="BE401" s="87" t="n"/>
      <c r="BF401" s="85" t="n"/>
      <c r="BG401" s="44" t="n"/>
      <c r="BH401" s="44" t="n"/>
      <c r="BI401" s="85" t="n"/>
      <c r="BJ401" s="44" t="n"/>
      <c r="BK401" s="45" t="n"/>
      <c r="BL401" s="44" t="n"/>
      <c r="BM401" s="85" t="n"/>
      <c r="BN401" s="44" t="n"/>
      <c r="BO401" s="85" t="n"/>
      <c r="BP401" s="86" t="n"/>
      <c r="BQ401" s="44" t="n"/>
      <c r="BR401" s="50" t="n"/>
      <c r="BS401" s="89" t="n"/>
      <c r="BT401" s="50">
        <f>IF(OR(K401="",L401="",M401=""),"",IF(ABS(ROUND(((ROUND(N(K401)*100,0))-(0))*(100+N(M401))/100,0)-(ROUND(N(L401)*100,0)))&lt;=0+IF(((ROUND(N(K401)*100,0))-(0))*(100+N(M401))/100&lt;&gt;ROUND(((ROUND(N(K401)*100,0))-(0))*(100+N(M401))/100,0),1,0),"OK","ABWEICHUNG"))</f>
        <v/>
      </c>
    </row>
    <row r="402">
      <c r="A402" s="50" t="n"/>
      <c r="B402" s="44" t="n"/>
      <c r="C402" s="44" t="n"/>
      <c r="D402" s="44" t="n"/>
      <c r="E402" s="44" t="n"/>
      <c r="F402" s="44" t="n"/>
      <c r="G402" s="44" t="n"/>
      <c r="H402" s="44" t="n"/>
      <c r="I402" s="45" t="n"/>
      <c r="J402" s="45" t="n"/>
      <c r="K402" s="85" t="n"/>
      <c r="L402" s="85" t="n"/>
      <c r="M402" s="88" t="n"/>
      <c r="N402" s="88" t="n"/>
      <c r="O402" s="44" t="n"/>
      <c r="P402" s="45" t="n"/>
      <c r="Q402" s="45" t="n"/>
      <c r="R402" s="44" t="n"/>
      <c r="S402" s="45" t="n"/>
      <c r="T402" s="45" t="n"/>
      <c r="U402" s="85" t="n"/>
      <c r="V402" s="44" t="n"/>
      <c r="W402" s="45" t="n"/>
      <c r="X402" s="45" t="n"/>
      <c r="Y402" s="44" t="n"/>
      <c r="Z402" s="85" t="n"/>
      <c r="AA402" s="44" t="n"/>
      <c r="AB402" s="44" t="n"/>
      <c r="AC402" s="44" t="n"/>
      <c r="AD402" s="44" t="n"/>
      <c r="AE402" s="44" t="n"/>
      <c r="AF402" s="88" t="n"/>
      <c r="AG402" s="85" t="n"/>
      <c r="AH402" s="85" t="n"/>
      <c r="AI402" s="85" t="n"/>
      <c r="AJ402" s="85" t="n"/>
      <c r="AK402" s="85" t="n"/>
      <c r="AL402" s="85" t="n"/>
      <c r="AM402" s="85" t="n"/>
      <c r="AN402" s="85" t="n"/>
      <c r="AO402" s="85" t="n"/>
      <c r="AP402" s="85" t="n"/>
      <c r="AQ402" s="85" t="n"/>
      <c r="AR402" s="85" t="n"/>
      <c r="AS402" s="85" t="n"/>
      <c r="AT402" s="85" t="n"/>
      <c r="AU402" s="85" t="n"/>
      <c r="AV402" s="85" t="n"/>
      <c r="AW402" s="44" t="n"/>
      <c r="AX402" s="85" t="n"/>
      <c r="AY402" s="88" t="n"/>
      <c r="AZ402" s="86" t="n"/>
      <c r="BA402" s="44" t="n"/>
      <c r="BB402" s="44" t="n"/>
      <c r="BC402" s="87" t="n"/>
      <c r="BD402" s="44" t="n"/>
      <c r="BE402" s="87" t="n"/>
      <c r="BF402" s="85" t="n"/>
      <c r="BG402" s="44" t="n"/>
      <c r="BH402" s="44" t="n"/>
      <c r="BI402" s="85" t="n"/>
      <c r="BJ402" s="44" t="n"/>
      <c r="BK402" s="45" t="n"/>
      <c r="BL402" s="44" t="n"/>
      <c r="BM402" s="85" t="n"/>
      <c r="BN402" s="44" t="n"/>
      <c r="BO402" s="85" t="n"/>
      <c r="BP402" s="86" t="n"/>
      <c r="BQ402" s="44" t="n"/>
      <c r="BR402" s="50" t="n"/>
      <c r="BS402" s="89" t="n"/>
      <c r="BT402" s="50">
        <f>IF(OR(K402="",L402="",M402=""),"",IF(ABS(ROUND(((ROUND(N(K402)*100,0))-(0))*(100+N(M402))/100,0)-(ROUND(N(L402)*100,0)))&lt;=0+IF(((ROUND(N(K402)*100,0))-(0))*(100+N(M402))/100&lt;&gt;ROUND(((ROUND(N(K402)*100,0))-(0))*(100+N(M402))/100,0),1,0),"OK","ABWEICHUNG"))</f>
        <v/>
      </c>
    </row>
    <row r="403">
      <c r="A403" s="50" t="n"/>
      <c r="B403" s="44" t="n"/>
      <c r="C403" s="44" t="n"/>
      <c r="D403" s="44" t="n"/>
      <c r="E403" s="44" t="n"/>
      <c r="F403" s="44" t="n"/>
      <c r="G403" s="44" t="n"/>
      <c r="H403" s="44" t="n"/>
      <c r="I403" s="45" t="n"/>
      <c r="J403" s="45" t="n"/>
      <c r="K403" s="85" t="n"/>
      <c r="L403" s="85" t="n"/>
      <c r="M403" s="88" t="n"/>
      <c r="N403" s="88" t="n"/>
      <c r="O403" s="44" t="n"/>
      <c r="P403" s="45" t="n"/>
      <c r="Q403" s="45" t="n"/>
      <c r="R403" s="44" t="n"/>
      <c r="S403" s="45" t="n"/>
      <c r="T403" s="45" t="n"/>
      <c r="U403" s="85" t="n"/>
      <c r="V403" s="44" t="n"/>
      <c r="W403" s="45" t="n"/>
      <c r="X403" s="45" t="n"/>
      <c r="Y403" s="44" t="n"/>
      <c r="Z403" s="85" t="n"/>
      <c r="AA403" s="44" t="n"/>
      <c r="AB403" s="44" t="n"/>
      <c r="AC403" s="44" t="n"/>
      <c r="AD403" s="44" t="n"/>
      <c r="AE403" s="44" t="n"/>
      <c r="AF403" s="88" t="n"/>
      <c r="AG403" s="85" t="n"/>
      <c r="AH403" s="85" t="n"/>
      <c r="AI403" s="85" t="n"/>
      <c r="AJ403" s="85" t="n"/>
      <c r="AK403" s="85" t="n"/>
      <c r="AL403" s="85" t="n"/>
      <c r="AM403" s="85" t="n"/>
      <c r="AN403" s="85" t="n"/>
      <c r="AO403" s="85" t="n"/>
      <c r="AP403" s="85" t="n"/>
      <c r="AQ403" s="85" t="n"/>
      <c r="AR403" s="85" t="n"/>
      <c r="AS403" s="85" t="n"/>
      <c r="AT403" s="85" t="n"/>
      <c r="AU403" s="85" t="n"/>
      <c r="AV403" s="85" t="n"/>
      <c r="AW403" s="44" t="n"/>
      <c r="AX403" s="85" t="n"/>
      <c r="AY403" s="88" t="n"/>
      <c r="AZ403" s="86" t="n"/>
      <c r="BA403" s="44" t="n"/>
      <c r="BB403" s="44" t="n"/>
      <c r="BC403" s="87" t="n"/>
      <c r="BD403" s="44" t="n"/>
      <c r="BE403" s="87" t="n"/>
      <c r="BF403" s="85" t="n"/>
      <c r="BG403" s="44" t="n"/>
      <c r="BH403" s="44" t="n"/>
      <c r="BI403" s="85" t="n"/>
      <c r="BJ403" s="44" t="n"/>
      <c r="BK403" s="45" t="n"/>
      <c r="BL403" s="44" t="n"/>
      <c r="BM403" s="85" t="n"/>
      <c r="BN403" s="44" t="n"/>
      <c r="BO403" s="85" t="n"/>
      <c r="BP403" s="86" t="n"/>
      <c r="BQ403" s="44" t="n"/>
      <c r="BR403" s="50" t="n"/>
      <c r="BS403" s="89" t="n"/>
      <c r="BT403" s="50">
        <f>IF(OR(K403="",L403="",M403=""),"",IF(ABS(ROUND(((ROUND(N(K403)*100,0))-(0))*(100+N(M403))/100,0)-(ROUND(N(L403)*100,0)))&lt;=0+IF(((ROUND(N(K403)*100,0))-(0))*(100+N(M403))/100&lt;&gt;ROUND(((ROUND(N(K403)*100,0))-(0))*(100+N(M403))/100,0),1,0),"OK","ABWEICHUNG"))</f>
        <v/>
      </c>
    </row>
    <row r="404">
      <c r="A404" s="50" t="n"/>
      <c r="B404" s="44" t="n"/>
      <c r="C404" s="44" t="n"/>
      <c r="D404" s="44" t="n"/>
      <c r="E404" s="44" t="n"/>
      <c r="F404" s="44" t="n"/>
      <c r="G404" s="44" t="n"/>
      <c r="H404" s="44" t="n"/>
      <c r="I404" s="45" t="n"/>
      <c r="J404" s="45" t="n"/>
      <c r="K404" s="85" t="n"/>
      <c r="L404" s="85" t="n"/>
      <c r="M404" s="88" t="n"/>
      <c r="N404" s="88" t="n"/>
      <c r="O404" s="44" t="n"/>
      <c r="P404" s="45" t="n"/>
      <c r="Q404" s="45" t="n"/>
      <c r="R404" s="44" t="n"/>
      <c r="S404" s="45" t="n"/>
      <c r="T404" s="45" t="n"/>
      <c r="U404" s="85" t="n"/>
      <c r="V404" s="44" t="n"/>
      <c r="W404" s="45" t="n"/>
      <c r="X404" s="45" t="n"/>
      <c r="Y404" s="44" t="n"/>
      <c r="Z404" s="85" t="n"/>
      <c r="AA404" s="44" t="n"/>
      <c r="AB404" s="44" t="n"/>
      <c r="AC404" s="44" t="n"/>
      <c r="AD404" s="44" t="n"/>
      <c r="AE404" s="44" t="n"/>
      <c r="AF404" s="88" t="n"/>
      <c r="AG404" s="85" t="n"/>
      <c r="AH404" s="85" t="n"/>
      <c r="AI404" s="85" t="n"/>
      <c r="AJ404" s="85" t="n"/>
      <c r="AK404" s="85" t="n"/>
      <c r="AL404" s="85" t="n"/>
      <c r="AM404" s="85" t="n"/>
      <c r="AN404" s="85" t="n"/>
      <c r="AO404" s="85" t="n"/>
      <c r="AP404" s="85" t="n"/>
      <c r="AQ404" s="85" t="n"/>
      <c r="AR404" s="85" t="n"/>
      <c r="AS404" s="85" t="n"/>
      <c r="AT404" s="85" t="n"/>
      <c r="AU404" s="85" t="n"/>
      <c r="AV404" s="85" t="n"/>
      <c r="AW404" s="44" t="n"/>
      <c r="AX404" s="85" t="n"/>
      <c r="AY404" s="88" t="n"/>
      <c r="AZ404" s="86" t="n"/>
      <c r="BA404" s="44" t="n"/>
      <c r="BB404" s="44" t="n"/>
      <c r="BC404" s="87" t="n"/>
      <c r="BD404" s="44" t="n"/>
      <c r="BE404" s="87" t="n"/>
      <c r="BF404" s="85" t="n"/>
      <c r="BG404" s="44" t="n"/>
      <c r="BH404" s="44" t="n"/>
      <c r="BI404" s="85" t="n"/>
      <c r="BJ404" s="44" t="n"/>
      <c r="BK404" s="45" t="n"/>
      <c r="BL404" s="44" t="n"/>
      <c r="BM404" s="85" t="n"/>
      <c r="BN404" s="44" t="n"/>
      <c r="BO404" s="85" t="n"/>
      <c r="BP404" s="86" t="n"/>
      <c r="BQ404" s="44" t="n"/>
      <c r="BR404" s="50" t="n"/>
      <c r="BS404" s="89" t="n"/>
      <c r="BT404" s="50">
        <f>IF(OR(K404="",L404="",M404=""),"",IF(ABS(ROUND(((ROUND(N(K404)*100,0))-(0))*(100+N(M404))/100,0)-(ROUND(N(L404)*100,0)))&lt;=0+IF(((ROUND(N(K404)*100,0))-(0))*(100+N(M404))/100&lt;&gt;ROUND(((ROUND(N(K404)*100,0))-(0))*(100+N(M404))/100,0),1,0),"OK","ABWEICHUNG"))</f>
        <v/>
      </c>
    </row>
    <row r="405">
      <c r="A405" s="50" t="n"/>
      <c r="B405" s="44" t="n"/>
      <c r="C405" s="44" t="n"/>
      <c r="D405" s="44" t="n"/>
      <c r="E405" s="44" t="n"/>
      <c r="F405" s="44" t="n"/>
      <c r="G405" s="44" t="n"/>
      <c r="H405" s="44" t="n"/>
      <c r="I405" s="45" t="n"/>
      <c r="J405" s="45" t="n"/>
      <c r="K405" s="85" t="n"/>
      <c r="L405" s="85" t="n"/>
      <c r="M405" s="88" t="n"/>
      <c r="N405" s="88" t="n"/>
      <c r="O405" s="44" t="n"/>
      <c r="P405" s="45" t="n"/>
      <c r="Q405" s="45" t="n"/>
      <c r="R405" s="44" t="n"/>
      <c r="S405" s="45" t="n"/>
      <c r="T405" s="45" t="n"/>
      <c r="U405" s="85" t="n"/>
      <c r="V405" s="44" t="n"/>
      <c r="W405" s="45" t="n"/>
      <c r="X405" s="45" t="n"/>
      <c r="Y405" s="44" t="n"/>
      <c r="Z405" s="85" t="n"/>
      <c r="AA405" s="44" t="n"/>
      <c r="AB405" s="44" t="n"/>
      <c r="AC405" s="44" t="n"/>
      <c r="AD405" s="44" t="n"/>
      <c r="AE405" s="44" t="n"/>
      <c r="AF405" s="88" t="n"/>
      <c r="AG405" s="85" t="n"/>
      <c r="AH405" s="85" t="n"/>
      <c r="AI405" s="85" t="n"/>
      <c r="AJ405" s="85" t="n"/>
      <c r="AK405" s="85" t="n"/>
      <c r="AL405" s="85" t="n"/>
      <c r="AM405" s="85" t="n"/>
      <c r="AN405" s="85" t="n"/>
      <c r="AO405" s="85" t="n"/>
      <c r="AP405" s="85" t="n"/>
      <c r="AQ405" s="85" t="n"/>
      <c r="AR405" s="85" t="n"/>
      <c r="AS405" s="85" t="n"/>
      <c r="AT405" s="85" t="n"/>
      <c r="AU405" s="85" t="n"/>
      <c r="AV405" s="85" t="n"/>
      <c r="AW405" s="44" t="n"/>
      <c r="AX405" s="85" t="n"/>
      <c r="AY405" s="88" t="n"/>
      <c r="AZ405" s="86" t="n"/>
      <c r="BA405" s="44" t="n"/>
      <c r="BB405" s="44" t="n"/>
      <c r="BC405" s="87" t="n"/>
      <c r="BD405" s="44" t="n"/>
      <c r="BE405" s="87" t="n"/>
      <c r="BF405" s="85" t="n"/>
      <c r="BG405" s="44" t="n"/>
      <c r="BH405" s="44" t="n"/>
      <c r="BI405" s="85" t="n"/>
      <c r="BJ405" s="44" t="n"/>
      <c r="BK405" s="45" t="n"/>
      <c r="BL405" s="44" t="n"/>
      <c r="BM405" s="85" t="n"/>
      <c r="BN405" s="44" t="n"/>
      <c r="BO405" s="85" t="n"/>
      <c r="BP405" s="86" t="n"/>
      <c r="BQ405" s="44" t="n"/>
      <c r="BR405" s="50" t="n"/>
      <c r="BS405" s="89" t="n"/>
      <c r="BT405" s="50">
        <f>IF(OR(K405="",L405="",M405=""),"",IF(ABS(ROUND(((ROUND(N(K405)*100,0))-(0))*(100+N(M405))/100,0)-(ROUND(N(L405)*100,0)))&lt;=0+IF(((ROUND(N(K405)*100,0))-(0))*(100+N(M405))/100&lt;&gt;ROUND(((ROUND(N(K405)*100,0))-(0))*(100+N(M405))/100,0),1,0),"OK","ABWEICHUNG"))</f>
        <v/>
      </c>
    </row>
    <row r="406">
      <c r="A406" s="50" t="n"/>
      <c r="B406" s="44" t="n"/>
      <c r="C406" s="44" t="n"/>
      <c r="D406" s="44" t="n"/>
      <c r="E406" s="44" t="n"/>
      <c r="F406" s="44" t="n"/>
      <c r="G406" s="44" t="n"/>
      <c r="H406" s="44" t="n"/>
      <c r="I406" s="45" t="n"/>
      <c r="J406" s="45" t="n"/>
      <c r="K406" s="85" t="n"/>
      <c r="L406" s="85" t="n"/>
      <c r="M406" s="88" t="n"/>
      <c r="N406" s="88" t="n"/>
      <c r="O406" s="44" t="n"/>
      <c r="P406" s="45" t="n"/>
      <c r="Q406" s="45" t="n"/>
      <c r="R406" s="44" t="n"/>
      <c r="S406" s="45" t="n"/>
      <c r="T406" s="45" t="n"/>
      <c r="U406" s="85" t="n"/>
      <c r="V406" s="44" t="n"/>
      <c r="W406" s="45" t="n"/>
      <c r="X406" s="45" t="n"/>
      <c r="Y406" s="44" t="n"/>
      <c r="Z406" s="85" t="n"/>
      <c r="AA406" s="44" t="n"/>
      <c r="AB406" s="44" t="n"/>
      <c r="AC406" s="44" t="n"/>
      <c r="AD406" s="44" t="n"/>
      <c r="AE406" s="44" t="n"/>
      <c r="AF406" s="88" t="n"/>
      <c r="AG406" s="85" t="n"/>
      <c r="AH406" s="85" t="n"/>
      <c r="AI406" s="85" t="n"/>
      <c r="AJ406" s="85" t="n"/>
      <c r="AK406" s="85" t="n"/>
      <c r="AL406" s="85" t="n"/>
      <c r="AM406" s="85" t="n"/>
      <c r="AN406" s="85" t="n"/>
      <c r="AO406" s="85" t="n"/>
      <c r="AP406" s="85" t="n"/>
      <c r="AQ406" s="85" t="n"/>
      <c r="AR406" s="85" t="n"/>
      <c r="AS406" s="85" t="n"/>
      <c r="AT406" s="85" t="n"/>
      <c r="AU406" s="85" t="n"/>
      <c r="AV406" s="85" t="n"/>
      <c r="AW406" s="44" t="n"/>
      <c r="AX406" s="85" t="n"/>
      <c r="AY406" s="88" t="n"/>
      <c r="AZ406" s="86" t="n"/>
      <c r="BA406" s="44" t="n"/>
      <c r="BB406" s="44" t="n"/>
      <c r="BC406" s="87" t="n"/>
      <c r="BD406" s="44" t="n"/>
      <c r="BE406" s="87" t="n"/>
      <c r="BF406" s="85" t="n"/>
      <c r="BG406" s="44" t="n"/>
      <c r="BH406" s="44" t="n"/>
      <c r="BI406" s="85" t="n"/>
      <c r="BJ406" s="44" t="n"/>
      <c r="BK406" s="45" t="n"/>
      <c r="BL406" s="44" t="n"/>
      <c r="BM406" s="85" t="n"/>
      <c r="BN406" s="44" t="n"/>
      <c r="BO406" s="85" t="n"/>
      <c r="BP406" s="86" t="n"/>
      <c r="BQ406" s="44" t="n"/>
      <c r="BR406" s="50" t="n"/>
      <c r="BS406" s="89" t="n"/>
      <c r="BT406" s="50">
        <f>IF(OR(K406="",L406="",M406=""),"",IF(ABS(ROUND(((ROUND(N(K406)*100,0))-(0))*(100+N(M406))/100,0)-(ROUND(N(L406)*100,0)))&lt;=0+IF(((ROUND(N(K406)*100,0))-(0))*(100+N(M406))/100&lt;&gt;ROUND(((ROUND(N(K406)*100,0))-(0))*(100+N(M406))/100,0),1,0),"OK","ABWEICHUNG"))</f>
        <v/>
      </c>
    </row>
    <row r="407">
      <c r="A407" s="50" t="n"/>
      <c r="B407" s="44" t="n"/>
      <c r="C407" s="44" t="n"/>
      <c r="D407" s="44" t="n"/>
      <c r="E407" s="44" t="n"/>
      <c r="F407" s="44" t="n"/>
      <c r="G407" s="44" t="n"/>
      <c r="H407" s="44" t="n"/>
      <c r="I407" s="45" t="n"/>
      <c r="J407" s="45" t="n"/>
      <c r="K407" s="85" t="n"/>
      <c r="L407" s="85" t="n"/>
      <c r="M407" s="88" t="n"/>
      <c r="N407" s="88" t="n"/>
      <c r="O407" s="44" t="n"/>
      <c r="P407" s="45" t="n"/>
      <c r="Q407" s="45" t="n"/>
      <c r="R407" s="44" t="n"/>
      <c r="S407" s="45" t="n"/>
      <c r="T407" s="45" t="n"/>
      <c r="U407" s="85" t="n"/>
      <c r="V407" s="44" t="n"/>
      <c r="W407" s="45" t="n"/>
      <c r="X407" s="45" t="n"/>
      <c r="Y407" s="44" t="n"/>
      <c r="Z407" s="85" t="n"/>
      <c r="AA407" s="44" t="n"/>
      <c r="AB407" s="44" t="n"/>
      <c r="AC407" s="44" t="n"/>
      <c r="AD407" s="44" t="n"/>
      <c r="AE407" s="44" t="n"/>
      <c r="AF407" s="88" t="n"/>
      <c r="AG407" s="85" t="n"/>
      <c r="AH407" s="85" t="n"/>
      <c r="AI407" s="85" t="n"/>
      <c r="AJ407" s="85" t="n"/>
      <c r="AK407" s="85" t="n"/>
      <c r="AL407" s="85" t="n"/>
      <c r="AM407" s="85" t="n"/>
      <c r="AN407" s="85" t="n"/>
      <c r="AO407" s="85" t="n"/>
      <c r="AP407" s="85" t="n"/>
      <c r="AQ407" s="85" t="n"/>
      <c r="AR407" s="85" t="n"/>
      <c r="AS407" s="85" t="n"/>
      <c r="AT407" s="85" t="n"/>
      <c r="AU407" s="85" t="n"/>
      <c r="AV407" s="85" t="n"/>
      <c r="AW407" s="44" t="n"/>
      <c r="AX407" s="85" t="n"/>
      <c r="AY407" s="88" t="n"/>
      <c r="AZ407" s="86" t="n"/>
      <c r="BA407" s="44" t="n"/>
      <c r="BB407" s="44" t="n"/>
      <c r="BC407" s="87" t="n"/>
      <c r="BD407" s="44" t="n"/>
      <c r="BE407" s="87" t="n"/>
      <c r="BF407" s="85" t="n"/>
      <c r="BG407" s="44" t="n"/>
      <c r="BH407" s="44" t="n"/>
      <c r="BI407" s="85" t="n"/>
      <c r="BJ407" s="44" t="n"/>
      <c r="BK407" s="45" t="n"/>
      <c r="BL407" s="44" t="n"/>
      <c r="BM407" s="85" t="n"/>
      <c r="BN407" s="44" t="n"/>
      <c r="BO407" s="85" t="n"/>
      <c r="BP407" s="86" t="n"/>
      <c r="BQ407" s="44" t="n"/>
      <c r="BR407" s="50" t="n"/>
      <c r="BS407" s="89" t="n"/>
      <c r="BT407" s="50">
        <f>IF(OR(K407="",L407="",M407=""),"",IF(ABS(ROUND(((ROUND(N(K407)*100,0))-(0))*(100+N(M407))/100,0)-(ROUND(N(L407)*100,0)))&lt;=0+IF(((ROUND(N(K407)*100,0))-(0))*(100+N(M407))/100&lt;&gt;ROUND(((ROUND(N(K407)*100,0))-(0))*(100+N(M407))/100,0),1,0),"OK","ABWEICHUNG"))</f>
        <v/>
      </c>
    </row>
    <row r="408">
      <c r="A408" s="50" t="n"/>
      <c r="B408" s="44" t="n"/>
      <c r="C408" s="44" t="n"/>
      <c r="D408" s="44" t="n"/>
      <c r="E408" s="44" t="n"/>
      <c r="F408" s="44" t="n"/>
      <c r="G408" s="44" t="n"/>
      <c r="H408" s="44" t="n"/>
      <c r="I408" s="45" t="n"/>
      <c r="J408" s="45" t="n"/>
      <c r="K408" s="85" t="n"/>
      <c r="L408" s="85" t="n"/>
      <c r="M408" s="88" t="n"/>
      <c r="N408" s="88" t="n"/>
      <c r="O408" s="44" t="n"/>
      <c r="P408" s="45" t="n"/>
      <c r="Q408" s="45" t="n"/>
      <c r="R408" s="44" t="n"/>
      <c r="S408" s="45" t="n"/>
      <c r="T408" s="45" t="n"/>
      <c r="U408" s="85" t="n"/>
      <c r="V408" s="44" t="n"/>
      <c r="W408" s="45" t="n"/>
      <c r="X408" s="45" t="n"/>
      <c r="Y408" s="44" t="n"/>
      <c r="Z408" s="85" t="n"/>
      <c r="AA408" s="44" t="n"/>
      <c r="AB408" s="44" t="n"/>
      <c r="AC408" s="44" t="n"/>
      <c r="AD408" s="44" t="n"/>
      <c r="AE408" s="44" t="n"/>
      <c r="AF408" s="88" t="n"/>
      <c r="AG408" s="85" t="n"/>
      <c r="AH408" s="85" t="n"/>
      <c r="AI408" s="85" t="n"/>
      <c r="AJ408" s="85" t="n"/>
      <c r="AK408" s="85" t="n"/>
      <c r="AL408" s="85" t="n"/>
      <c r="AM408" s="85" t="n"/>
      <c r="AN408" s="85" t="n"/>
      <c r="AO408" s="85" t="n"/>
      <c r="AP408" s="85" t="n"/>
      <c r="AQ408" s="85" t="n"/>
      <c r="AR408" s="85" t="n"/>
      <c r="AS408" s="85" t="n"/>
      <c r="AT408" s="85" t="n"/>
      <c r="AU408" s="85" t="n"/>
      <c r="AV408" s="85" t="n"/>
      <c r="AW408" s="44" t="n"/>
      <c r="AX408" s="85" t="n"/>
      <c r="AY408" s="88" t="n"/>
      <c r="AZ408" s="86" t="n"/>
      <c r="BA408" s="44" t="n"/>
      <c r="BB408" s="44" t="n"/>
      <c r="BC408" s="87" t="n"/>
      <c r="BD408" s="44" t="n"/>
      <c r="BE408" s="87" t="n"/>
      <c r="BF408" s="85" t="n"/>
      <c r="BG408" s="44" t="n"/>
      <c r="BH408" s="44" t="n"/>
      <c r="BI408" s="85" t="n"/>
      <c r="BJ408" s="44" t="n"/>
      <c r="BK408" s="45" t="n"/>
      <c r="BL408" s="44" t="n"/>
      <c r="BM408" s="85" t="n"/>
      <c r="BN408" s="44" t="n"/>
      <c r="BO408" s="85" t="n"/>
      <c r="BP408" s="86" t="n"/>
      <c r="BQ408" s="44" t="n"/>
      <c r="BR408" s="50" t="n"/>
      <c r="BS408" s="89" t="n"/>
      <c r="BT408" s="50">
        <f>IF(OR(K408="",L408="",M408=""),"",IF(ABS(ROUND(((ROUND(N(K408)*100,0))-(0))*(100+N(M408))/100,0)-(ROUND(N(L408)*100,0)))&lt;=0+IF(((ROUND(N(K408)*100,0))-(0))*(100+N(M408))/100&lt;&gt;ROUND(((ROUND(N(K408)*100,0))-(0))*(100+N(M408))/100,0),1,0),"OK","ABWEICHUNG"))</f>
        <v/>
      </c>
    </row>
    <row r="409">
      <c r="A409" s="50" t="n"/>
      <c r="B409" s="44" t="n"/>
      <c r="C409" s="44" t="n"/>
      <c r="D409" s="44" t="n"/>
      <c r="E409" s="44" t="n"/>
      <c r="F409" s="44" t="n"/>
      <c r="G409" s="44" t="n"/>
      <c r="H409" s="44" t="n"/>
      <c r="I409" s="45" t="n"/>
      <c r="J409" s="45" t="n"/>
      <c r="K409" s="85" t="n"/>
      <c r="L409" s="85" t="n"/>
      <c r="M409" s="88" t="n"/>
      <c r="N409" s="88" t="n"/>
      <c r="O409" s="44" t="n"/>
      <c r="P409" s="45" t="n"/>
      <c r="Q409" s="45" t="n"/>
      <c r="R409" s="44" t="n"/>
      <c r="S409" s="45" t="n"/>
      <c r="T409" s="45" t="n"/>
      <c r="U409" s="85" t="n"/>
      <c r="V409" s="44" t="n"/>
      <c r="W409" s="45" t="n"/>
      <c r="X409" s="45" t="n"/>
      <c r="Y409" s="44" t="n"/>
      <c r="Z409" s="85" t="n"/>
      <c r="AA409" s="44" t="n"/>
      <c r="AB409" s="44" t="n"/>
      <c r="AC409" s="44" t="n"/>
      <c r="AD409" s="44" t="n"/>
      <c r="AE409" s="44" t="n"/>
      <c r="AF409" s="88" t="n"/>
      <c r="AG409" s="85" t="n"/>
      <c r="AH409" s="85" t="n"/>
      <c r="AI409" s="85" t="n"/>
      <c r="AJ409" s="85" t="n"/>
      <c r="AK409" s="85" t="n"/>
      <c r="AL409" s="85" t="n"/>
      <c r="AM409" s="85" t="n"/>
      <c r="AN409" s="85" t="n"/>
      <c r="AO409" s="85" t="n"/>
      <c r="AP409" s="85" t="n"/>
      <c r="AQ409" s="85" t="n"/>
      <c r="AR409" s="85" t="n"/>
      <c r="AS409" s="85" t="n"/>
      <c r="AT409" s="85" t="n"/>
      <c r="AU409" s="85" t="n"/>
      <c r="AV409" s="85" t="n"/>
      <c r="AW409" s="44" t="n"/>
      <c r="AX409" s="85" t="n"/>
      <c r="AY409" s="88" t="n"/>
      <c r="AZ409" s="86" t="n"/>
      <c r="BA409" s="44" t="n"/>
      <c r="BB409" s="44" t="n"/>
      <c r="BC409" s="87" t="n"/>
      <c r="BD409" s="44" t="n"/>
      <c r="BE409" s="87" t="n"/>
      <c r="BF409" s="85" t="n"/>
      <c r="BG409" s="44" t="n"/>
      <c r="BH409" s="44" t="n"/>
      <c r="BI409" s="85" t="n"/>
      <c r="BJ409" s="44" t="n"/>
      <c r="BK409" s="45" t="n"/>
      <c r="BL409" s="44" t="n"/>
      <c r="BM409" s="85" t="n"/>
      <c r="BN409" s="44" t="n"/>
      <c r="BO409" s="85" t="n"/>
      <c r="BP409" s="86" t="n"/>
      <c r="BQ409" s="44" t="n"/>
      <c r="BR409" s="50" t="n"/>
      <c r="BS409" s="89" t="n"/>
      <c r="BT409" s="50">
        <f>IF(OR(K409="",L409="",M409=""),"",IF(ABS(ROUND(((ROUND(N(K409)*100,0))-(0))*(100+N(M409))/100,0)-(ROUND(N(L409)*100,0)))&lt;=0+IF(((ROUND(N(K409)*100,0))-(0))*(100+N(M409))/100&lt;&gt;ROUND(((ROUND(N(K409)*100,0))-(0))*(100+N(M409))/100,0),1,0),"OK","ABWEICHUNG"))</f>
        <v/>
      </c>
    </row>
    <row r="410">
      <c r="A410" s="50" t="n"/>
      <c r="B410" s="44" t="n"/>
      <c r="C410" s="44" t="n"/>
      <c r="D410" s="44" t="n"/>
      <c r="E410" s="44" t="n"/>
      <c r="F410" s="44" t="n"/>
      <c r="G410" s="44" t="n"/>
      <c r="H410" s="44" t="n"/>
      <c r="I410" s="45" t="n"/>
      <c r="J410" s="45" t="n"/>
      <c r="K410" s="85" t="n"/>
      <c r="L410" s="85" t="n"/>
      <c r="M410" s="88" t="n"/>
      <c r="N410" s="88" t="n"/>
      <c r="O410" s="44" t="n"/>
      <c r="P410" s="45" t="n"/>
      <c r="Q410" s="45" t="n"/>
      <c r="R410" s="44" t="n"/>
      <c r="S410" s="45" t="n"/>
      <c r="T410" s="45" t="n"/>
      <c r="U410" s="85" t="n"/>
      <c r="V410" s="44" t="n"/>
      <c r="W410" s="45" t="n"/>
      <c r="X410" s="45" t="n"/>
      <c r="Y410" s="44" t="n"/>
      <c r="Z410" s="85" t="n"/>
      <c r="AA410" s="44" t="n"/>
      <c r="AB410" s="44" t="n"/>
      <c r="AC410" s="44" t="n"/>
      <c r="AD410" s="44" t="n"/>
      <c r="AE410" s="44" t="n"/>
      <c r="AF410" s="88" t="n"/>
      <c r="AG410" s="85" t="n"/>
      <c r="AH410" s="85" t="n"/>
      <c r="AI410" s="85" t="n"/>
      <c r="AJ410" s="85" t="n"/>
      <c r="AK410" s="85" t="n"/>
      <c r="AL410" s="85" t="n"/>
      <c r="AM410" s="85" t="n"/>
      <c r="AN410" s="85" t="n"/>
      <c r="AO410" s="85" t="n"/>
      <c r="AP410" s="85" t="n"/>
      <c r="AQ410" s="85" t="n"/>
      <c r="AR410" s="85" t="n"/>
      <c r="AS410" s="85" t="n"/>
      <c r="AT410" s="85" t="n"/>
      <c r="AU410" s="85" t="n"/>
      <c r="AV410" s="85" t="n"/>
      <c r="AW410" s="44" t="n"/>
      <c r="AX410" s="85" t="n"/>
      <c r="AY410" s="88" t="n"/>
      <c r="AZ410" s="86" t="n"/>
      <c r="BA410" s="44" t="n"/>
      <c r="BB410" s="44" t="n"/>
      <c r="BC410" s="87" t="n"/>
      <c r="BD410" s="44" t="n"/>
      <c r="BE410" s="87" t="n"/>
      <c r="BF410" s="85" t="n"/>
      <c r="BG410" s="44" t="n"/>
      <c r="BH410" s="44" t="n"/>
      <c r="BI410" s="85" t="n"/>
      <c r="BJ410" s="44" t="n"/>
      <c r="BK410" s="45" t="n"/>
      <c r="BL410" s="44" t="n"/>
      <c r="BM410" s="85" t="n"/>
      <c r="BN410" s="44" t="n"/>
      <c r="BO410" s="85" t="n"/>
      <c r="BP410" s="86" t="n"/>
      <c r="BQ410" s="44" t="n"/>
      <c r="BR410" s="50" t="n"/>
      <c r="BS410" s="89" t="n"/>
      <c r="BT410" s="50">
        <f>IF(OR(K410="",L410="",M410=""),"",IF(ABS(ROUND(((ROUND(N(K410)*100,0))-(0))*(100+N(M410))/100,0)-(ROUND(N(L410)*100,0)))&lt;=0+IF(((ROUND(N(K410)*100,0))-(0))*(100+N(M410))/100&lt;&gt;ROUND(((ROUND(N(K410)*100,0))-(0))*(100+N(M410))/100,0),1,0),"OK","ABWEICHUNG"))</f>
        <v/>
      </c>
    </row>
    <row r="411">
      <c r="A411" s="50" t="n"/>
      <c r="B411" s="44" t="n"/>
      <c r="C411" s="44" t="n"/>
      <c r="D411" s="44" t="n"/>
      <c r="E411" s="44" t="n"/>
      <c r="F411" s="44" t="n"/>
      <c r="G411" s="44" t="n"/>
      <c r="H411" s="44" t="n"/>
      <c r="I411" s="45" t="n"/>
      <c r="J411" s="45" t="n"/>
      <c r="K411" s="85" t="n"/>
      <c r="L411" s="85" t="n"/>
      <c r="M411" s="88" t="n"/>
      <c r="N411" s="88" t="n"/>
      <c r="O411" s="44" t="n"/>
      <c r="P411" s="45" t="n"/>
      <c r="Q411" s="45" t="n"/>
      <c r="R411" s="44" t="n"/>
      <c r="S411" s="45" t="n"/>
      <c r="T411" s="45" t="n"/>
      <c r="U411" s="85" t="n"/>
      <c r="V411" s="44" t="n"/>
      <c r="W411" s="45" t="n"/>
      <c r="X411" s="45" t="n"/>
      <c r="Y411" s="44" t="n"/>
      <c r="Z411" s="85" t="n"/>
      <c r="AA411" s="44" t="n"/>
      <c r="AB411" s="44" t="n"/>
      <c r="AC411" s="44" t="n"/>
      <c r="AD411" s="44" t="n"/>
      <c r="AE411" s="44" t="n"/>
      <c r="AF411" s="88" t="n"/>
      <c r="AG411" s="85" t="n"/>
      <c r="AH411" s="85" t="n"/>
      <c r="AI411" s="85" t="n"/>
      <c r="AJ411" s="85" t="n"/>
      <c r="AK411" s="85" t="n"/>
      <c r="AL411" s="85" t="n"/>
      <c r="AM411" s="85" t="n"/>
      <c r="AN411" s="85" t="n"/>
      <c r="AO411" s="85" t="n"/>
      <c r="AP411" s="85" t="n"/>
      <c r="AQ411" s="85" t="n"/>
      <c r="AR411" s="85" t="n"/>
      <c r="AS411" s="85" t="n"/>
      <c r="AT411" s="85" t="n"/>
      <c r="AU411" s="85" t="n"/>
      <c r="AV411" s="85" t="n"/>
      <c r="AW411" s="44" t="n"/>
      <c r="AX411" s="85" t="n"/>
      <c r="AY411" s="88" t="n"/>
      <c r="AZ411" s="86" t="n"/>
      <c r="BA411" s="44" t="n"/>
      <c r="BB411" s="44" t="n"/>
      <c r="BC411" s="87" t="n"/>
      <c r="BD411" s="44" t="n"/>
      <c r="BE411" s="87" t="n"/>
      <c r="BF411" s="85" t="n"/>
      <c r="BG411" s="44" t="n"/>
      <c r="BH411" s="44" t="n"/>
      <c r="BI411" s="85" t="n"/>
      <c r="BJ411" s="44" t="n"/>
      <c r="BK411" s="45" t="n"/>
      <c r="BL411" s="44" t="n"/>
      <c r="BM411" s="85" t="n"/>
      <c r="BN411" s="44" t="n"/>
      <c r="BO411" s="85" t="n"/>
      <c r="BP411" s="86" t="n"/>
      <c r="BQ411" s="44" t="n"/>
      <c r="BR411" s="50" t="n"/>
      <c r="BS411" s="89" t="n"/>
      <c r="BT411" s="50">
        <f>IF(OR(K411="",L411="",M411=""),"",IF(ABS(ROUND(((ROUND(N(K411)*100,0))-(0))*(100+N(M411))/100,0)-(ROUND(N(L411)*100,0)))&lt;=0+IF(((ROUND(N(K411)*100,0))-(0))*(100+N(M411))/100&lt;&gt;ROUND(((ROUND(N(K411)*100,0))-(0))*(100+N(M411))/100,0),1,0),"OK","ABWEICHUNG"))</f>
        <v/>
      </c>
    </row>
    <row r="412">
      <c r="A412" s="50" t="n"/>
      <c r="B412" s="44" t="n"/>
      <c r="C412" s="44" t="n"/>
      <c r="D412" s="44" t="n"/>
      <c r="E412" s="44" t="n"/>
      <c r="F412" s="44" t="n"/>
      <c r="G412" s="44" t="n"/>
      <c r="H412" s="44" t="n"/>
      <c r="I412" s="45" t="n"/>
      <c r="J412" s="45" t="n"/>
      <c r="K412" s="85" t="n"/>
      <c r="L412" s="85" t="n"/>
      <c r="M412" s="88" t="n"/>
      <c r="N412" s="88" t="n"/>
      <c r="O412" s="44" t="n"/>
      <c r="P412" s="45" t="n"/>
      <c r="Q412" s="45" t="n"/>
      <c r="R412" s="44" t="n"/>
      <c r="S412" s="45" t="n"/>
      <c r="T412" s="45" t="n"/>
      <c r="U412" s="85" t="n"/>
      <c r="V412" s="44" t="n"/>
      <c r="W412" s="45" t="n"/>
      <c r="X412" s="45" t="n"/>
      <c r="Y412" s="44" t="n"/>
      <c r="Z412" s="85" t="n"/>
      <c r="AA412" s="44" t="n"/>
      <c r="AB412" s="44" t="n"/>
      <c r="AC412" s="44" t="n"/>
      <c r="AD412" s="44" t="n"/>
      <c r="AE412" s="44" t="n"/>
      <c r="AF412" s="88" t="n"/>
      <c r="AG412" s="85" t="n"/>
      <c r="AH412" s="85" t="n"/>
      <c r="AI412" s="85" t="n"/>
      <c r="AJ412" s="85" t="n"/>
      <c r="AK412" s="85" t="n"/>
      <c r="AL412" s="85" t="n"/>
      <c r="AM412" s="85" t="n"/>
      <c r="AN412" s="85" t="n"/>
      <c r="AO412" s="85" t="n"/>
      <c r="AP412" s="85" t="n"/>
      <c r="AQ412" s="85" t="n"/>
      <c r="AR412" s="85" t="n"/>
      <c r="AS412" s="85" t="n"/>
      <c r="AT412" s="85" t="n"/>
      <c r="AU412" s="85" t="n"/>
      <c r="AV412" s="85" t="n"/>
      <c r="AW412" s="44" t="n"/>
      <c r="AX412" s="85" t="n"/>
      <c r="AY412" s="88" t="n"/>
      <c r="AZ412" s="86" t="n"/>
      <c r="BA412" s="44" t="n"/>
      <c r="BB412" s="44" t="n"/>
      <c r="BC412" s="87" t="n"/>
      <c r="BD412" s="44" t="n"/>
      <c r="BE412" s="87" t="n"/>
      <c r="BF412" s="85" t="n"/>
      <c r="BG412" s="44" t="n"/>
      <c r="BH412" s="44" t="n"/>
      <c r="BI412" s="85" t="n"/>
      <c r="BJ412" s="44" t="n"/>
      <c r="BK412" s="45" t="n"/>
      <c r="BL412" s="44" t="n"/>
      <c r="BM412" s="85" t="n"/>
      <c r="BN412" s="44" t="n"/>
      <c r="BO412" s="85" t="n"/>
      <c r="BP412" s="86" t="n"/>
      <c r="BQ412" s="44" t="n"/>
      <c r="BR412" s="50" t="n"/>
      <c r="BS412" s="89" t="n"/>
      <c r="BT412" s="50">
        <f>IF(OR(K412="",L412="",M412=""),"",IF(ABS(ROUND(((ROUND(N(K412)*100,0))-(0))*(100+N(M412))/100,0)-(ROUND(N(L412)*100,0)))&lt;=0+IF(((ROUND(N(K412)*100,0))-(0))*(100+N(M412))/100&lt;&gt;ROUND(((ROUND(N(K412)*100,0))-(0))*(100+N(M412))/100,0),1,0),"OK","ABWEICHUNG"))</f>
        <v/>
      </c>
    </row>
    <row r="413">
      <c r="A413" s="50" t="n"/>
      <c r="B413" s="44" t="n"/>
      <c r="C413" s="44" t="n"/>
      <c r="D413" s="44" t="n"/>
      <c r="E413" s="44" t="n"/>
      <c r="F413" s="44" t="n"/>
      <c r="G413" s="44" t="n"/>
      <c r="H413" s="44" t="n"/>
      <c r="I413" s="45" t="n"/>
      <c r="J413" s="45" t="n"/>
      <c r="K413" s="85" t="n"/>
      <c r="L413" s="85" t="n"/>
      <c r="M413" s="88" t="n"/>
      <c r="N413" s="88" t="n"/>
      <c r="O413" s="44" t="n"/>
      <c r="P413" s="45" t="n"/>
      <c r="Q413" s="45" t="n"/>
      <c r="R413" s="44" t="n"/>
      <c r="S413" s="45" t="n"/>
      <c r="T413" s="45" t="n"/>
      <c r="U413" s="85" t="n"/>
      <c r="V413" s="44" t="n"/>
      <c r="W413" s="45" t="n"/>
      <c r="X413" s="45" t="n"/>
      <c r="Y413" s="44" t="n"/>
      <c r="Z413" s="85" t="n"/>
      <c r="AA413" s="44" t="n"/>
      <c r="AB413" s="44" t="n"/>
      <c r="AC413" s="44" t="n"/>
      <c r="AD413" s="44" t="n"/>
      <c r="AE413" s="44" t="n"/>
      <c r="AF413" s="88" t="n"/>
      <c r="AG413" s="85" t="n"/>
      <c r="AH413" s="85" t="n"/>
      <c r="AI413" s="85" t="n"/>
      <c r="AJ413" s="85" t="n"/>
      <c r="AK413" s="85" t="n"/>
      <c r="AL413" s="85" t="n"/>
      <c r="AM413" s="85" t="n"/>
      <c r="AN413" s="85" t="n"/>
      <c r="AO413" s="85" t="n"/>
      <c r="AP413" s="85" t="n"/>
      <c r="AQ413" s="85" t="n"/>
      <c r="AR413" s="85" t="n"/>
      <c r="AS413" s="85" t="n"/>
      <c r="AT413" s="85" t="n"/>
      <c r="AU413" s="85" t="n"/>
      <c r="AV413" s="85" t="n"/>
      <c r="AW413" s="44" t="n"/>
      <c r="AX413" s="85" t="n"/>
      <c r="AY413" s="88" t="n"/>
      <c r="AZ413" s="86" t="n"/>
      <c r="BA413" s="44" t="n"/>
      <c r="BB413" s="44" t="n"/>
      <c r="BC413" s="87" t="n"/>
      <c r="BD413" s="44" t="n"/>
      <c r="BE413" s="87" t="n"/>
      <c r="BF413" s="85" t="n"/>
      <c r="BG413" s="44" t="n"/>
      <c r="BH413" s="44" t="n"/>
      <c r="BI413" s="85" t="n"/>
      <c r="BJ413" s="44" t="n"/>
      <c r="BK413" s="45" t="n"/>
      <c r="BL413" s="44" t="n"/>
      <c r="BM413" s="85" t="n"/>
      <c r="BN413" s="44" t="n"/>
      <c r="BO413" s="85" t="n"/>
      <c r="BP413" s="86" t="n"/>
      <c r="BQ413" s="44" t="n"/>
      <c r="BR413" s="50" t="n"/>
      <c r="BS413" s="89" t="n"/>
      <c r="BT413" s="50">
        <f>IF(OR(K413="",L413="",M413=""),"",IF(ABS(ROUND(((ROUND(N(K413)*100,0))-(0))*(100+N(M413))/100,0)-(ROUND(N(L413)*100,0)))&lt;=0+IF(((ROUND(N(K413)*100,0))-(0))*(100+N(M413))/100&lt;&gt;ROUND(((ROUND(N(K413)*100,0))-(0))*(100+N(M413))/100,0),1,0),"OK","ABWEICHUNG"))</f>
        <v/>
      </c>
    </row>
    <row r="414">
      <c r="A414" s="50" t="n"/>
      <c r="B414" s="44" t="n"/>
      <c r="C414" s="44" t="n"/>
      <c r="D414" s="44" t="n"/>
      <c r="E414" s="44" t="n"/>
      <c r="F414" s="44" t="n"/>
      <c r="G414" s="44" t="n"/>
      <c r="H414" s="44" t="n"/>
      <c r="I414" s="45" t="n"/>
      <c r="J414" s="45" t="n"/>
      <c r="K414" s="85" t="n"/>
      <c r="L414" s="85" t="n"/>
      <c r="M414" s="88" t="n"/>
      <c r="N414" s="88" t="n"/>
      <c r="O414" s="44" t="n"/>
      <c r="P414" s="45" t="n"/>
      <c r="Q414" s="45" t="n"/>
      <c r="R414" s="44" t="n"/>
      <c r="S414" s="45" t="n"/>
      <c r="T414" s="45" t="n"/>
      <c r="U414" s="85" t="n"/>
      <c r="V414" s="44" t="n"/>
      <c r="W414" s="45" t="n"/>
      <c r="X414" s="45" t="n"/>
      <c r="Y414" s="44" t="n"/>
      <c r="Z414" s="85" t="n"/>
      <c r="AA414" s="44" t="n"/>
      <c r="AB414" s="44" t="n"/>
      <c r="AC414" s="44" t="n"/>
      <c r="AD414" s="44" t="n"/>
      <c r="AE414" s="44" t="n"/>
      <c r="AF414" s="88" t="n"/>
      <c r="AG414" s="85" t="n"/>
      <c r="AH414" s="85" t="n"/>
      <c r="AI414" s="85" t="n"/>
      <c r="AJ414" s="85" t="n"/>
      <c r="AK414" s="85" t="n"/>
      <c r="AL414" s="85" t="n"/>
      <c r="AM414" s="85" t="n"/>
      <c r="AN414" s="85" t="n"/>
      <c r="AO414" s="85" t="n"/>
      <c r="AP414" s="85" t="n"/>
      <c r="AQ414" s="85" t="n"/>
      <c r="AR414" s="85" t="n"/>
      <c r="AS414" s="85" t="n"/>
      <c r="AT414" s="85" t="n"/>
      <c r="AU414" s="85" t="n"/>
      <c r="AV414" s="85" t="n"/>
      <c r="AW414" s="44" t="n"/>
      <c r="AX414" s="85" t="n"/>
      <c r="AY414" s="88" t="n"/>
      <c r="AZ414" s="86" t="n"/>
      <c r="BA414" s="44" t="n"/>
      <c r="BB414" s="44" t="n"/>
      <c r="BC414" s="87" t="n"/>
      <c r="BD414" s="44" t="n"/>
      <c r="BE414" s="87" t="n"/>
      <c r="BF414" s="85" t="n"/>
      <c r="BG414" s="44" t="n"/>
      <c r="BH414" s="44" t="n"/>
      <c r="BI414" s="85" t="n"/>
      <c r="BJ414" s="44" t="n"/>
      <c r="BK414" s="45" t="n"/>
      <c r="BL414" s="44" t="n"/>
      <c r="BM414" s="85" t="n"/>
      <c r="BN414" s="44" t="n"/>
      <c r="BO414" s="85" t="n"/>
      <c r="BP414" s="86" t="n"/>
      <c r="BQ414" s="44" t="n"/>
      <c r="BR414" s="50" t="n"/>
      <c r="BS414" s="89" t="n"/>
      <c r="BT414" s="50">
        <f>IF(OR(K414="",L414="",M414=""),"",IF(ABS(ROUND(((ROUND(N(K414)*100,0))-(0))*(100+N(M414))/100,0)-(ROUND(N(L414)*100,0)))&lt;=0+IF(((ROUND(N(K414)*100,0))-(0))*(100+N(M414))/100&lt;&gt;ROUND(((ROUND(N(K414)*100,0))-(0))*(100+N(M414))/100,0),1,0),"OK","ABWEICHUNG"))</f>
        <v/>
      </c>
    </row>
    <row r="415">
      <c r="A415" s="50" t="n"/>
      <c r="B415" s="44" t="n"/>
      <c r="C415" s="44" t="n"/>
      <c r="D415" s="44" t="n"/>
      <c r="E415" s="44" t="n"/>
      <c r="F415" s="44" t="n"/>
      <c r="G415" s="44" t="n"/>
      <c r="H415" s="44" t="n"/>
      <c r="I415" s="45" t="n"/>
      <c r="J415" s="45" t="n"/>
      <c r="K415" s="85" t="n"/>
      <c r="L415" s="85" t="n"/>
      <c r="M415" s="88" t="n"/>
      <c r="N415" s="88" t="n"/>
      <c r="O415" s="44" t="n"/>
      <c r="P415" s="45" t="n"/>
      <c r="Q415" s="45" t="n"/>
      <c r="R415" s="44" t="n"/>
      <c r="S415" s="45" t="n"/>
      <c r="T415" s="45" t="n"/>
      <c r="U415" s="85" t="n"/>
      <c r="V415" s="44" t="n"/>
      <c r="W415" s="45" t="n"/>
      <c r="X415" s="45" t="n"/>
      <c r="Y415" s="44" t="n"/>
      <c r="Z415" s="85" t="n"/>
      <c r="AA415" s="44" t="n"/>
      <c r="AB415" s="44" t="n"/>
      <c r="AC415" s="44" t="n"/>
      <c r="AD415" s="44" t="n"/>
      <c r="AE415" s="44" t="n"/>
      <c r="AF415" s="88" t="n"/>
      <c r="AG415" s="85" t="n"/>
      <c r="AH415" s="85" t="n"/>
      <c r="AI415" s="85" t="n"/>
      <c r="AJ415" s="85" t="n"/>
      <c r="AK415" s="85" t="n"/>
      <c r="AL415" s="85" t="n"/>
      <c r="AM415" s="85" t="n"/>
      <c r="AN415" s="85" t="n"/>
      <c r="AO415" s="85" t="n"/>
      <c r="AP415" s="85" t="n"/>
      <c r="AQ415" s="85" t="n"/>
      <c r="AR415" s="85" t="n"/>
      <c r="AS415" s="85" t="n"/>
      <c r="AT415" s="85" t="n"/>
      <c r="AU415" s="85" t="n"/>
      <c r="AV415" s="85" t="n"/>
      <c r="AW415" s="44" t="n"/>
      <c r="AX415" s="85" t="n"/>
      <c r="AY415" s="88" t="n"/>
      <c r="AZ415" s="86" t="n"/>
      <c r="BA415" s="44" t="n"/>
      <c r="BB415" s="44" t="n"/>
      <c r="BC415" s="87" t="n"/>
      <c r="BD415" s="44" t="n"/>
      <c r="BE415" s="87" t="n"/>
      <c r="BF415" s="85" t="n"/>
      <c r="BG415" s="44" t="n"/>
      <c r="BH415" s="44" t="n"/>
      <c r="BI415" s="85" t="n"/>
      <c r="BJ415" s="44" t="n"/>
      <c r="BK415" s="45" t="n"/>
      <c r="BL415" s="44" t="n"/>
      <c r="BM415" s="85" t="n"/>
      <c r="BN415" s="44" t="n"/>
      <c r="BO415" s="85" t="n"/>
      <c r="BP415" s="86" t="n"/>
      <c r="BQ415" s="44" t="n"/>
      <c r="BR415" s="50" t="n"/>
      <c r="BS415" s="89" t="n"/>
      <c r="BT415" s="50">
        <f>IF(OR(K415="",L415="",M415=""),"",IF(ABS(ROUND(((ROUND(N(K415)*100,0))-(0))*(100+N(M415))/100,0)-(ROUND(N(L415)*100,0)))&lt;=0+IF(((ROUND(N(K415)*100,0))-(0))*(100+N(M415))/100&lt;&gt;ROUND(((ROUND(N(K415)*100,0))-(0))*(100+N(M415))/100,0),1,0),"OK","ABWEICHUNG"))</f>
        <v/>
      </c>
    </row>
    <row r="416">
      <c r="A416" s="50" t="n"/>
      <c r="B416" s="44" t="n"/>
      <c r="C416" s="44" t="n"/>
      <c r="D416" s="44" t="n"/>
      <c r="E416" s="44" t="n"/>
      <c r="F416" s="44" t="n"/>
      <c r="G416" s="44" t="n"/>
      <c r="H416" s="44" t="n"/>
      <c r="I416" s="45" t="n"/>
      <c r="J416" s="45" t="n"/>
      <c r="K416" s="85" t="n"/>
      <c r="L416" s="85" t="n"/>
      <c r="M416" s="88" t="n"/>
      <c r="N416" s="88" t="n"/>
      <c r="O416" s="44" t="n"/>
      <c r="P416" s="45" t="n"/>
      <c r="Q416" s="45" t="n"/>
      <c r="R416" s="44" t="n"/>
      <c r="S416" s="45" t="n"/>
      <c r="T416" s="45" t="n"/>
      <c r="U416" s="85" t="n"/>
      <c r="V416" s="44" t="n"/>
      <c r="W416" s="45" t="n"/>
      <c r="X416" s="45" t="n"/>
      <c r="Y416" s="44" t="n"/>
      <c r="Z416" s="85" t="n"/>
      <c r="AA416" s="44" t="n"/>
      <c r="AB416" s="44" t="n"/>
      <c r="AC416" s="44" t="n"/>
      <c r="AD416" s="44" t="n"/>
      <c r="AE416" s="44" t="n"/>
      <c r="AF416" s="88" t="n"/>
      <c r="AG416" s="85" t="n"/>
      <c r="AH416" s="85" t="n"/>
      <c r="AI416" s="85" t="n"/>
      <c r="AJ416" s="85" t="n"/>
      <c r="AK416" s="85" t="n"/>
      <c r="AL416" s="85" t="n"/>
      <c r="AM416" s="85" t="n"/>
      <c r="AN416" s="85" t="n"/>
      <c r="AO416" s="85" t="n"/>
      <c r="AP416" s="85" t="n"/>
      <c r="AQ416" s="85" t="n"/>
      <c r="AR416" s="85" t="n"/>
      <c r="AS416" s="85" t="n"/>
      <c r="AT416" s="85" t="n"/>
      <c r="AU416" s="85" t="n"/>
      <c r="AV416" s="85" t="n"/>
      <c r="AW416" s="44" t="n"/>
      <c r="AX416" s="85" t="n"/>
      <c r="AY416" s="88" t="n"/>
      <c r="AZ416" s="86" t="n"/>
      <c r="BA416" s="44" t="n"/>
      <c r="BB416" s="44" t="n"/>
      <c r="BC416" s="87" t="n"/>
      <c r="BD416" s="44" t="n"/>
      <c r="BE416" s="87" t="n"/>
      <c r="BF416" s="85" t="n"/>
      <c r="BG416" s="44" t="n"/>
      <c r="BH416" s="44" t="n"/>
      <c r="BI416" s="85" t="n"/>
      <c r="BJ416" s="44" t="n"/>
      <c r="BK416" s="45" t="n"/>
      <c r="BL416" s="44" t="n"/>
      <c r="BM416" s="85" t="n"/>
      <c r="BN416" s="44" t="n"/>
      <c r="BO416" s="85" t="n"/>
      <c r="BP416" s="86" t="n"/>
      <c r="BQ416" s="44" t="n"/>
      <c r="BR416" s="50" t="n"/>
      <c r="BS416" s="89" t="n"/>
      <c r="BT416" s="50">
        <f>IF(OR(K416="",L416="",M416=""),"",IF(ABS(ROUND(((ROUND(N(K416)*100,0))-(0))*(100+N(M416))/100,0)-(ROUND(N(L416)*100,0)))&lt;=0+IF(((ROUND(N(K416)*100,0))-(0))*(100+N(M416))/100&lt;&gt;ROUND(((ROUND(N(K416)*100,0))-(0))*(100+N(M416))/100,0),1,0),"OK","ABWEICHUNG"))</f>
        <v/>
      </c>
    </row>
    <row r="417">
      <c r="A417" s="50" t="n"/>
      <c r="B417" s="44" t="n"/>
      <c r="C417" s="44" t="n"/>
      <c r="D417" s="44" t="n"/>
      <c r="E417" s="44" t="n"/>
      <c r="F417" s="44" t="n"/>
      <c r="G417" s="44" t="n"/>
      <c r="H417" s="44" t="n"/>
      <c r="I417" s="45" t="n"/>
      <c r="J417" s="45" t="n"/>
      <c r="K417" s="85" t="n"/>
      <c r="L417" s="85" t="n"/>
      <c r="M417" s="88" t="n"/>
      <c r="N417" s="88" t="n"/>
      <c r="O417" s="44" t="n"/>
      <c r="P417" s="45" t="n"/>
      <c r="Q417" s="45" t="n"/>
      <c r="R417" s="44" t="n"/>
      <c r="S417" s="45" t="n"/>
      <c r="T417" s="45" t="n"/>
      <c r="U417" s="85" t="n"/>
      <c r="V417" s="44" t="n"/>
      <c r="W417" s="45" t="n"/>
      <c r="X417" s="45" t="n"/>
      <c r="Y417" s="44" t="n"/>
      <c r="Z417" s="85" t="n"/>
      <c r="AA417" s="44" t="n"/>
      <c r="AB417" s="44" t="n"/>
      <c r="AC417" s="44" t="n"/>
      <c r="AD417" s="44" t="n"/>
      <c r="AE417" s="44" t="n"/>
      <c r="AF417" s="88" t="n"/>
      <c r="AG417" s="85" t="n"/>
      <c r="AH417" s="85" t="n"/>
      <c r="AI417" s="85" t="n"/>
      <c r="AJ417" s="85" t="n"/>
      <c r="AK417" s="85" t="n"/>
      <c r="AL417" s="85" t="n"/>
      <c r="AM417" s="85" t="n"/>
      <c r="AN417" s="85" t="n"/>
      <c r="AO417" s="85" t="n"/>
      <c r="AP417" s="85" t="n"/>
      <c r="AQ417" s="85" t="n"/>
      <c r="AR417" s="85" t="n"/>
      <c r="AS417" s="85" t="n"/>
      <c r="AT417" s="85" t="n"/>
      <c r="AU417" s="85" t="n"/>
      <c r="AV417" s="85" t="n"/>
      <c r="AW417" s="44" t="n"/>
      <c r="AX417" s="85" t="n"/>
      <c r="AY417" s="88" t="n"/>
      <c r="AZ417" s="86" t="n"/>
      <c r="BA417" s="44" t="n"/>
      <c r="BB417" s="44" t="n"/>
      <c r="BC417" s="87" t="n"/>
      <c r="BD417" s="44" t="n"/>
      <c r="BE417" s="87" t="n"/>
      <c r="BF417" s="85" t="n"/>
      <c r="BG417" s="44" t="n"/>
      <c r="BH417" s="44" t="n"/>
      <c r="BI417" s="85" t="n"/>
      <c r="BJ417" s="44" t="n"/>
      <c r="BK417" s="45" t="n"/>
      <c r="BL417" s="44" t="n"/>
      <c r="BM417" s="85" t="n"/>
      <c r="BN417" s="44" t="n"/>
      <c r="BO417" s="85" t="n"/>
      <c r="BP417" s="86" t="n"/>
      <c r="BQ417" s="44" t="n"/>
      <c r="BR417" s="50" t="n"/>
      <c r="BS417" s="89" t="n"/>
      <c r="BT417" s="50">
        <f>IF(OR(K417="",L417="",M417=""),"",IF(ABS(ROUND(((ROUND(N(K417)*100,0))-(0))*(100+N(M417))/100,0)-(ROUND(N(L417)*100,0)))&lt;=0+IF(((ROUND(N(K417)*100,0))-(0))*(100+N(M417))/100&lt;&gt;ROUND(((ROUND(N(K417)*100,0))-(0))*(100+N(M417))/100,0),1,0),"OK","ABWEICHUNG"))</f>
        <v/>
      </c>
    </row>
    <row r="418">
      <c r="A418" s="50" t="n"/>
      <c r="B418" s="44" t="n"/>
      <c r="C418" s="44" t="n"/>
      <c r="D418" s="44" t="n"/>
      <c r="E418" s="44" t="n"/>
      <c r="F418" s="44" t="n"/>
      <c r="G418" s="44" t="n"/>
      <c r="H418" s="44" t="n"/>
      <c r="I418" s="45" t="n"/>
      <c r="J418" s="45" t="n"/>
      <c r="K418" s="85" t="n"/>
      <c r="L418" s="85" t="n"/>
      <c r="M418" s="88" t="n"/>
      <c r="N418" s="88" t="n"/>
      <c r="O418" s="44" t="n"/>
      <c r="P418" s="45" t="n"/>
      <c r="Q418" s="45" t="n"/>
      <c r="R418" s="44" t="n"/>
      <c r="S418" s="45" t="n"/>
      <c r="T418" s="45" t="n"/>
      <c r="U418" s="85" t="n"/>
      <c r="V418" s="44" t="n"/>
      <c r="W418" s="45" t="n"/>
      <c r="X418" s="45" t="n"/>
      <c r="Y418" s="44" t="n"/>
      <c r="Z418" s="85" t="n"/>
      <c r="AA418" s="44" t="n"/>
      <c r="AB418" s="44" t="n"/>
      <c r="AC418" s="44" t="n"/>
      <c r="AD418" s="44" t="n"/>
      <c r="AE418" s="44" t="n"/>
      <c r="AF418" s="88" t="n"/>
      <c r="AG418" s="85" t="n"/>
      <c r="AH418" s="85" t="n"/>
      <c r="AI418" s="85" t="n"/>
      <c r="AJ418" s="85" t="n"/>
      <c r="AK418" s="85" t="n"/>
      <c r="AL418" s="85" t="n"/>
      <c r="AM418" s="85" t="n"/>
      <c r="AN418" s="85" t="n"/>
      <c r="AO418" s="85" t="n"/>
      <c r="AP418" s="85" t="n"/>
      <c r="AQ418" s="85" t="n"/>
      <c r="AR418" s="85" t="n"/>
      <c r="AS418" s="85" t="n"/>
      <c r="AT418" s="85" t="n"/>
      <c r="AU418" s="85" t="n"/>
      <c r="AV418" s="85" t="n"/>
      <c r="AW418" s="44" t="n"/>
      <c r="AX418" s="85" t="n"/>
      <c r="AY418" s="88" t="n"/>
      <c r="AZ418" s="86" t="n"/>
      <c r="BA418" s="44" t="n"/>
      <c r="BB418" s="44" t="n"/>
      <c r="BC418" s="87" t="n"/>
      <c r="BD418" s="44" t="n"/>
      <c r="BE418" s="87" t="n"/>
      <c r="BF418" s="85" t="n"/>
      <c r="BG418" s="44" t="n"/>
      <c r="BH418" s="44" t="n"/>
      <c r="BI418" s="85" t="n"/>
      <c r="BJ418" s="44" t="n"/>
      <c r="BK418" s="45" t="n"/>
      <c r="BL418" s="44" t="n"/>
      <c r="BM418" s="85" t="n"/>
      <c r="BN418" s="44" t="n"/>
      <c r="BO418" s="85" t="n"/>
      <c r="BP418" s="86" t="n"/>
      <c r="BQ418" s="44" t="n"/>
      <c r="BR418" s="50" t="n"/>
      <c r="BS418" s="89" t="n"/>
      <c r="BT418" s="50">
        <f>IF(OR(K418="",L418="",M418=""),"",IF(ABS(ROUND(((ROUND(N(K418)*100,0))-(0))*(100+N(M418))/100,0)-(ROUND(N(L418)*100,0)))&lt;=0+IF(((ROUND(N(K418)*100,0))-(0))*(100+N(M418))/100&lt;&gt;ROUND(((ROUND(N(K418)*100,0))-(0))*(100+N(M418))/100,0),1,0),"OK","ABWEICHUNG"))</f>
        <v/>
      </c>
    </row>
    <row r="419">
      <c r="A419" s="50" t="n"/>
      <c r="B419" s="44" t="n"/>
      <c r="C419" s="44" t="n"/>
      <c r="D419" s="44" t="n"/>
      <c r="E419" s="44" t="n"/>
      <c r="F419" s="44" t="n"/>
      <c r="G419" s="44" t="n"/>
      <c r="H419" s="44" t="n"/>
      <c r="I419" s="45" t="n"/>
      <c r="J419" s="45" t="n"/>
      <c r="K419" s="85" t="n"/>
      <c r="L419" s="85" t="n"/>
      <c r="M419" s="88" t="n"/>
      <c r="N419" s="88" t="n"/>
      <c r="O419" s="44" t="n"/>
      <c r="P419" s="45" t="n"/>
      <c r="Q419" s="45" t="n"/>
      <c r="R419" s="44" t="n"/>
      <c r="S419" s="45" t="n"/>
      <c r="T419" s="45" t="n"/>
      <c r="U419" s="85" t="n"/>
      <c r="V419" s="44" t="n"/>
      <c r="W419" s="45" t="n"/>
      <c r="X419" s="45" t="n"/>
      <c r="Y419" s="44" t="n"/>
      <c r="Z419" s="85" t="n"/>
      <c r="AA419" s="44" t="n"/>
      <c r="AB419" s="44" t="n"/>
      <c r="AC419" s="44" t="n"/>
      <c r="AD419" s="44" t="n"/>
      <c r="AE419" s="44" t="n"/>
      <c r="AF419" s="88" t="n"/>
      <c r="AG419" s="85" t="n"/>
      <c r="AH419" s="85" t="n"/>
      <c r="AI419" s="85" t="n"/>
      <c r="AJ419" s="85" t="n"/>
      <c r="AK419" s="85" t="n"/>
      <c r="AL419" s="85" t="n"/>
      <c r="AM419" s="85" t="n"/>
      <c r="AN419" s="85" t="n"/>
      <c r="AO419" s="85" t="n"/>
      <c r="AP419" s="85" t="n"/>
      <c r="AQ419" s="85" t="n"/>
      <c r="AR419" s="85" t="n"/>
      <c r="AS419" s="85" t="n"/>
      <c r="AT419" s="85" t="n"/>
      <c r="AU419" s="85" t="n"/>
      <c r="AV419" s="85" t="n"/>
      <c r="AW419" s="44" t="n"/>
      <c r="AX419" s="85" t="n"/>
      <c r="AY419" s="88" t="n"/>
      <c r="AZ419" s="86" t="n"/>
      <c r="BA419" s="44" t="n"/>
      <c r="BB419" s="44" t="n"/>
      <c r="BC419" s="87" t="n"/>
      <c r="BD419" s="44" t="n"/>
      <c r="BE419" s="87" t="n"/>
      <c r="BF419" s="85" t="n"/>
      <c r="BG419" s="44" t="n"/>
      <c r="BH419" s="44" t="n"/>
      <c r="BI419" s="85" t="n"/>
      <c r="BJ419" s="44" t="n"/>
      <c r="BK419" s="45" t="n"/>
      <c r="BL419" s="44" t="n"/>
      <c r="BM419" s="85" t="n"/>
      <c r="BN419" s="44" t="n"/>
      <c r="BO419" s="85" t="n"/>
      <c r="BP419" s="86" t="n"/>
      <c r="BQ419" s="44" t="n"/>
      <c r="BR419" s="50" t="n"/>
      <c r="BS419" s="89" t="n"/>
      <c r="BT419" s="50">
        <f>IF(OR(K419="",L419="",M419=""),"",IF(ABS(ROUND(((ROUND(N(K419)*100,0))-(0))*(100+N(M419))/100,0)-(ROUND(N(L419)*100,0)))&lt;=0+IF(((ROUND(N(K419)*100,0))-(0))*(100+N(M419))/100&lt;&gt;ROUND(((ROUND(N(K419)*100,0))-(0))*(100+N(M419))/100,0),1,0),"OK","ABWEICHUNG"))</f>
        <v/>
      </c>
    </row>
    <row r="420">
      <c r="A420" s="50" t="n"/>
      <c r="B420" s="44" t="n"/>
      <c r="C420" s="44" t="n"/>
      <c r="D420" s="44" t="n"/>
      <c r="E420" s="44" t="n"/>
      <c r="F420" s="44" t="n"/>
      <c r="G420" s="44" t="n"/>
      <c r="H420" s="44" t="n"/>
      <c r="I420" s="45" t="n"/>
      <c r="J420" s="45" t="n"/>
      <c r="K420" s="85" t="n"/>
      <c r="L420" s="85" t="n"/>
      <c r="M420" s="88" t="n"/>
      <c r="N420" s="88" t="n"/>
      <c r="O420" s="44" t="n"/>
      <c r="P420" s="45" t="n"/>
      <c r="Q420" s="45" t="n"/>
      <c r="R420" s="44" t="n"/>
      <c r="S420" s="45" t="n"/>
      <c r="T420" s="45" t="n"/>
      <c r="U420" s="85" t="n"/>
      <c r="V420" s="44" t="n"/>
      <c r="W420" s="45" t="n"/>
      <c r="X420" s="45" t="n"/>
      <c r="Y420" s="44" t="n"/>
      <c r="Z420" s="85" t="n"/>
      <c r="AA420" s="44" t="n"/>
      <c r="AB420" s="44" t="n"/>
      <c r="AC420" s="44" t="n"/>
      <c r="AD420" s="44" t="n"/>
      <c r="AE420" s="44" t="n"/>
      <c r="AF420" s="88" t="n"/>
      <c r="AG420" s="85" t="n"/>
      <c r="AH420" s="85" t="n"/>
      <c r="AI420" s="85" t="n"/>
      <c r="AJ420" s="85" t="n"/>
      <c r="AK420" s="85" t="n"/>
      <c r="AL420" s="85" t="n"/>
      <c r="AM420" s="85" t="n"/>
      <c r="AN420" s="85" t="n"/>
      <c r="AO420" s="85" t="n"/>
      <c r="AP420" s="85" t="n"/>
      <c r="AQ420" s="85" t="n"/>
      <c r="AR420" s="85" t="n"/>
      <c r="AS420" s="85" t="n"/>
      <c r="AT420" s="85" t="n"/>
      <c r="AU420" s="85" t="n"/>
      <c r="AV420" s="85" t="n"/>
      <c r="AW420" s="44" t="n"/>
      <c r="AX420" s="85" t="n"/>
      <c r="AY420" s="88" t="n"/>
      <c r="AZ420" s="86" t="n"/>
      <c r="BA420" s="44" t="n"/>
      <c r="BB420" s="44" t="n"/>
      <c r="BC420" s="87" t="n"/>
      <c r="BD420" s="44" t="n"/>
      <c r="BE420" s="87" t="n"/>
      <c r="BF420" s="85" t="n"/>
      <c r="BG420" s="44" t="n"/>
      <c r="BH420" s="44" t="n"/>
      <c r="BI420" s="85" t="n"/>
      <c r="BJ420" s="44" t="n"/>
      <c r="BK420" s="45" t="n"/>
      <c r="BL420" s="44" t="n"/>
      <c r="BM420" s="85" t="n"/>
      <c r="BN420" s="44" t="n"/>
      <c r="BO420" s="85" t="n"/>
      <c r="BP420" s="86" t="n"/>
      <c r="BQ420" s="44" t="n"/>
      <c r="BR420" s="50" t="n"/>
      <c r="BS420" s="89" t="n"/>
      <c r="BT420" s="50">
        <f>IF(OR(K420="",L420="",M420=""),"",IF(ABS(ROUND(((ROUND(N(K420)*100,0))-(0))*(100+N(M420))/100,0)-(ROUND(N(L420)*100,0)))&lt;=0+IF(((ROUND(N(K420)*100,0))-(0))*(100+N(M420))/100&lt;&gt;ROUND(((ROUND(N(K420)*100,0))-(0))*(100+N(M420))/100,0),1,0),"OK","ABWEICHUNG"))</f>
        <v/>
      </c>
    </row>
    <row r="421">
      <c r="A421" s="50" t="n"/>
      <c r="B421" s="44" t="n"/>
      <c r="C421" s="44" t="n"/>
      <c r="D421" s="44" t="n"/>
      <c r="E421" s="44" t="n"/>
      <c r="F421" s="44" t="n"/>
      <c r="G421" s="44" t="n"/>
      <c r="H421" s="44" t="n"/>
      <c r="I421" s="45" t="n"/>
      <c r="J421" s="45" t="n"/>
      <c r="K421" s="85" t="n"/>
      <c r="L421" s="85" t="n"/>
      <c r="M421" s="88" t="n"/>
      <c r="N421" s="88" t="n"/>
      <c r="O421" s="44" t="n"/>
      <c r="P421" s="45" t="n"/>
      <c r="Q421" s="45" t="n"/>
      <c r="R421" s="44" t="n"/>
      <c r="S421" s="45" t="n"/>
      <c r="T421" s="45" t="n"/>
      <c r="U421" s="85" t="n"/>
      <c r="V421" s="44" t="n"/>
      <c r="W421" s="45" t="n"/>
      <c r="X421" s="45" t="n"/>
      <c r="Y421" s="44" t="n"/>
      <c r="Z421" s="85" t="n"/>
      <c r="AA421" s="44" t="n"/>
      <c r="AB421" s="44" t="n"/>
      <c r="AC421" s="44" t="n"/>
      <c r="AD421" s="44" t="n"/>
      <c r="AE421" s="44" t="n"/>
      <c r="AF421" s="88" t="n"/>
      <c r="AG421" s="85" t="n"/>
      <c r="AH421" s="85" t="n"/>
      <c r="AI421" s="85" t="n"/>
      <c r="AJ421" s="85" t="n"/>
      <c r="AK421" s="85" t="n"/>
      <c r="AL421" s="85" t="n"/>
      <c r="AM421" s="85" t="n"/>
      <c r="AN421" s="85" t="n"/>
      <c r="AO421" s="85" t="n"/>
      <c r="AP421" s="85" t="n"/>
      <c r="AQ421" s="85" t="n"/>
      <c r="AR421" s="85" t="n"/>
      <c r="AS421" s="85" t="n"/>
      <c r="AT421" s="85" t="n"/>
      <c r="AU421" s="85" t="n"/>
      <c r="AV421" s="85" t="n"/>
      <c r="AW421" s="44" t="n"/>
      <c r="AX421" s="85" t="n"/>
      <c r="AY421" s="88" t="n"/>
      <c r="AZ421" s="86" t="n"/>
      <c r="BA421" s="44" t="n"/>
      <c r="BB421" s="44" t="n"/>
      <c r="BC421" s="87" t="n"/>
      <c r="BD421" s="44" t="n"/>
      <c r="BE421" s="87" t="n"/>
      <c r="BF421" s="85" t="n"/>
      <c r="BG421" s="44" t="n"/>
      <c r="BH421" s="44" t="n"/>
      <c r="BI421" s="85" t="n"/>
      <c r="BJ421" s="44" t="n"/>
      <c r="BK421" s="45" t="n"/>
      <c r="BL421" s="44" t="n"/>
      <c r="BM421" s="85" t="n"/>
      <c r="BN421" s="44" t="n"/>
      <c r="BO421" s="85" t="n"/>
      <c r="BP421" s="86" t="n"/>
      <c r="BQ421" s="44" t="n"/>
      <c r="BR421" s="50" t="n"/>
      <c r="BS421" s="89" t="n"/>
      <c r="BT421" s="50">
        <f>IF(OR(K421="",L421="",M421=""),"",IF(ABS(ROUND(((ROUND(N(K421)*100,0))-(0))*(100+N(M421))/100,0)-(ROUND(N(L421)*100,0)))&lt;=0+IF(((ROUND(N(K421)*100,0))-(0))*(100+N(M421))/100&lt;&gt;ROUND(((ROUND(N(K421)*100,0))-(0))*(100+N(M421))/100,0),1,0),"OK","ABWEICHUNG"))</f>
        <v/>
      </c>
    </row>
    <row r="422">
      <c r="A422" s="50" t="n"/>
      <c r="B422" s="44" t="n"/>
      <c r="C422" s="44" t="n"/>
      <c r="D422" s="44" t="n"/>
      <c r="E422" s="44" t="n"/>
      <c r="F422" s="44" t="n"/>
      <c r="G422" s="44" t="n"/>
      <c r="H422" s="44" t="n"/>
      <c r="I422" s="45" t="n"/>
      <c r="J422" s="45" t="n"/>
      <c r="K422" s="85" t="n"/>
      <c r="L422" s="85" t="n"/>
      <c r="M422" s="88" t="n"/>
      <c r="N422" s="88" t="n"/>
      <c r="O422" s="44" t="n"/>
      <c r="P422" s="45" t="n"/>
      <c r="Q422" s="45" t="n"/>
      <c r="R422" s="44" t="n"/>
      <c r="S422" s="45" t="n"/>
      <c r="T422" s="45" t="n"/>
      <c r="U422" s="85" t="n"/>
      <c r="V422" s="44" t="n"/>
      <c r="W422" s="45" t="n"/>
      <c r="X422" s="45" t="n"/>
      <c r="Y422" s="44" t="n"/>
      <c r="Z422" s="85" t="n"/>
      <c r="AA422" s="44" t="n"/>
      <c r="AB422" s="44" t="n"/>
      <c r="AC422" s="44" t="n"/>
      <c r="AD422" s="44" t="n"/>
      <c r="AE422" s="44" t="n"/>
      <c r="AF422" s="88" t="n"/>
      <c r="AG422" s="85" t="n"/>
      <c r="AH422" s="85" t="n"/>
      <c r="AI422" s="85" t="n"/>
      <c r="AJ422" s="85" t="n"/>
      <c r="AK422" s="85" t="n"/>
      <c r="AL422" s="85" t="n"/>
      <c r="AM422" s="85" t="n"/>
      <c r="AN422" s="85" t="n"/>
      <c r="AO422" s="85" t="n"/>
      <c r="AP422" s="85" t="n"/>
      <c r="AQ422" s="85" t="n"/>
      <c r="AR422" s="85" t="n"/>
      <c r="AS422" s="85" t="n"/>
      <c r="AT422" s="85" t="n"/>
      <c r="AU422" s="85" t="n"/>
      <c r="AV422" s="85" t="n"/>
      <c r="AW422" s="44" t="n"/>
      <c r="AX422" s="85" t="n"/>
      <c r="AY422" s="88" t="n"/>
      <c r="AZ422" s="86" t="n"/>
      <c r="BA422" s="44" t="n"/>
      <c r="BB422" s="44" t="n"/>
      <c r="BC422" s="87" t="n"/>
      <c r="BD422" s="44" t="n"/>
      <c r="BE422" s="87" t="n"/>
      <c r="BF422" s="85" t="n"/>
      <c r="BG422" s="44" t="n"/>
      <c r="BH422" s="44" t="n"/>
      <c r="BI422" s="85" t="n"/>
      <c r="BJ422" s="44" t="n"/>
      <c r="BK422" s="45" t="n"/>
      <c r="BL422" s="44" t="n"/>
      <c r="BM422" s="85" t="n"/>
      <c r="BN422" s="44" t="n"/>
      <c r="BO422" s="85" t="n"/>
      <c r="BP422" s="86" t="n"/>
      <c r="BQ422" s="44" t="n"/>
      <c r="BR422" s="50" t="n"/>
      <c r="BS422" s="89" t="n"/>
      <c r="BT422" s="50">
        <f>IF(OR(K422="",L422="",M422=""),"",IF(ABS(ROUND(((ROUND(N(K422)*100,0))-(0))*(100+N(M422))/100,0)-(ROUND(N(L422)*100,0)))&lt;=0+IF(((ROUND(N(K422)*100,0))-(0))*(100+N(M422))/100&lt;&gt;ROUND(((ROUND(N(K422)*100,0))-(0))*(100+N(M422))/100,0),1,0),"OK","ABWEICHUNG"))</f>
        <v/>
      </c>
    </row>
    <row r="423">
      <c r="A423" s="50" t="n"/>
      <c r="B423" s="44" t="n"/>
      <c r="C423" s="44" t="n"/>
      <c r="D423" s="44" t="n"/>
      <c r="E423" s="44" t="n"/>
      <c r="F423" s="44" t="n"/>
      <c r="G423" s="44" t="n"/>
      <c r="H423" s="44" t="n"/>
      <c r="I423" s="45" t="n"/>
      <c r="J423" s="45" t="n"/>
      <c r="K423" s="85" t="n"/>
      <c r="L423" s="85" t="n"/>
      <c r="M423" s="88" t="n"/>
      <c r="N423" s="88" t="n"/>
      <c r="O423" s="44" t="n"/>
      <c r="P423" s="45" t="n"/>
      <c r="Q423" s="45" t="n"/>
      <c r="R423" s="44" t="n"/>
      <c r="S423" s="45" t="n"/>
      <c r="T423" s="45" t="n"/>
      <c r="U423" s="85" t="n"/>
      <c r="V423" s="44" t="n"/>
      <c r="W423" s="45" t="n"/>
      <c r="X423" s="45" t="n"/>
      <c r="Y423" s="44" t="n"/>
      <c r="Z423" s="85" t="n"/>
      <c r="AA423" s="44" t="n"/>
      <c r="AB423" s="44" t="n"/>
      <c r="AC423" s="44" t="n"/>
      <c r="AD423" s="44" t="n"/>
      <c r="AE423" s="44" t="n"/>
      <c r="AF423" s="88" t="n"/>
      <c r="AG423" s="85" t="n"/>
      <c r="AH423" s="85" t="n"/>
      <c r="AI423" s="85" t="n"/>
      <c r="AJ423" s="85" t="n"/>
      <c r="AK423" s="85" t="n"/>
      <c r="AL423" s="85" t="n"/>
      <c r="AM423" s="85" t="n"/>
      <c r="AN423" s="85" t="n"/>
      <c r="AO423" s="85" t="n"/>
      <c r="AP423" s="85" t="n"/>
      <c r="AQ423" s="85" t="n"/>
      <c r="AR423" s="85" t="n"/>
      <c r="AS423" s="85" t="n"/>
      <c r="AT423" s="85" t="n"/>
      <c r="AU423" s="85" t="n"/>
      <c r="AV423" s="85" t="n"/>
      <c r="AW423" s="44" t="n"/>
      <c r="AX423" s="85" t="n"/>
      <c r="AY423" s="88" t="n"/>
      <c r="AZ423" s="86" t="n"/>
      <c r="BA423" s="44" t="n"/>
      <c r="BB423" s="44" t="n"/>
      <c r="BC423" s="87" t="n"/>
      <c r="BD423" s="44" t="n"/>
      <c r="BE423" s="87" t="n"/>
      <c r="BF423" s="85" t="n"/>
      <c r="BG423" s="44" t="n"/>
      <c r="BH423" s="44" t="n"/>
      <c r="BI423" s="85" t="n"/>
      <c r="BJ423" s="44" t="n"/>
      <c r="BK423" s="45" t="n"/>
      <c r="BL423" s="44" t="n"/>
      <c r="BM423" s="85" t="n"/>
      <c r="BN423" s="44" t="n"/>
      <c r="BO423" s="85" t="n"/>
      <c r="BP423" s="86" t="n"/>
      <c r="BQ423" s="44" t="n"/>
      <c r="BR423" s="50" t="n"/>
      <c r="BS423" s="89" t="n"/>
      <c r="BT423" s="50">
        <f>IF(OR(K423="",L423="",M423=""),"",IF(ABS(ROUND(((ROUND(N(K423)*100,0))-(0))*(100+N(M423))/100,0)-(ROUND(N(L423)*100,0)))&lt;=0+IF(((ROUND(N(K423)*100,0))-(0))*(100+N(M423))/100&lt;&gt;ROUND(((ROUND(N(K423)*100,0))-(0))*(100+N(M423))/100,0),1,0),"OK","ABWEICHUNG"))</f>
        <v/>
      </c>
    </row>
    <row r="424">
      <c r="A424" s="50" t="n"/>
      <c r="B424" s="44" t="n"/>
      <c r="C424" s="44" t="n"/>
      <c r="D424" s="44" t="n"/>
      <c r="E424" s="44" t="n"/>
      <c r="F424" s="44" t="n"/>
      <c r="G424" s="44" t="n"/>
      <c r="H424" s="44" t="n"/>
      <c r="I424" s="45" t="n"/>
      <c r="J424" s="45" t="n"/>
      <c r="K424" s="85" t="n"/>
      <c r="L424" s="85" t="n"/>
      <c r="M424" s="88" t="n"/>
      <c r="N424" s="88" t="n"/>
      <c r="O424" s="44" t="n"/>
      <c r="P424" s="45" t="n"/>
      <c r="Q424" s="45" t="n"/>
      <c r="R424" s="44" t="n"/>
      <c r="S424" s="45" t="n"/>
      <c r="T424" s="45" t="n"/>
      <c r="U424" s="85" t="n"/>
      <c r="V424" s="44" t="n"/>
      <c r="W424" s="45" t="n"/>
      <c r="X424" s="45" t="n"/>
      <c r="Y424" s="44" t="n"/>
      <c r="Z424" s="85" t="n"/>
      <c r="AA424" s="44" t="n"/>
      <c r="AB424" s="44" t="n"/>
      <c r="AC424" s="44" t="n"/>
      <c r="AD424" s="44" t="n"/>
      <c r="AE424" s="44" t="n"/>
      <c r="AF424" s="88" t="n"/>
      <c r="AG424" s="85" t="n"/>
      <c r="AH424" s="85" t="n"/>
      <c r="AI424" s="85" t="n"/>
      <c r="AJ424" s="85" t="n"/>
      <c r="AK424" s="85" t="n"/>
      <c r="AL424" s="85" t="n"/>
      <c r="AM424" s="85" t="n"/>
      <c r="AN424" s="85" t="n"/>
      <c r="AO424" s="85" t="n"/>
      <c r="AP424" s="85" t="n"/>
      <c r="AQ424" s="85" t="n"/>
      <c r="AR424" s="85" t="n"/>
      <c r="AS424" s="85" t="n"/>
      <c r="AT424" s="85" t="n"/>
      <c r="AU424" s="85" t="n"/>
      <c r="AV424" s="85" t="n"/>
      <c r="AW424" s="44" t="n"/>
      <c r="AX424" s="85" t="n"/>
      <c r="AY424" s="88" t="n"/>
      <c r="AZ424" s="86" t="n"/>
      <c r="BA424" s="44" t="n"/>
      <c r="BB424" s="44" t="n"/>
      <c r="BC424" s="87" t="n"/>
      <c r="BD424" s="44" t="n"/>
      <c r="BE424" s="87" t="n"/>
      <c r="BF424" s="85" t="n"/>
      <c r="BG424" s="44" t="n"/>
      <c r="BH424" s="44" t="n"/>
      <c r="BI424" s="85" t="n"/>
      <c r="BJ424" s="44" t="n"/>
      <c r="BK424" s="45" t="n"/>
      <c r="BL424" s="44" t="n"/>
      <c r="BM424" s="85" t="n"/>
      <c r="BN424" s="44" t="n"/>
      <c r="BO424" s="85" t="n"/>
      <c r="BP424" s="86" t="n"/>
      <c r="BQ424" s="44" t="n"/>
      <c r="BR424" s="50" t="n"/>
      <c r="BS424" s="89" t="n"/>
      <c r="BT424" s="50">
        <f>IF(OR(K424="",L424="",M424=""),"",IF(ABS(ROUND(((ROUND(N(K424)*100,0))-(0))*(100+N(M424))/100,0)-(ROUND(N(L424)*100,0)))&lt;=0+IF(((ROUND(N(K424)*100,0))-(0))*(100+N(M424))/100&lt;&gt;ROUND(((ROUND(N(K424)*100,0))-(0))*(100+N(M424))/100,0),1,0),"OK","ABWEICHUNG"))</f>
        <v/>
      </c>
    </row>
    <row r="425">
      <c r="A425" s="50" t="n"/>
      <c r="B425" s="44" t="n"/>
      <c r="C425" s="44" t="n"/>
      <c r="D425" s="44" t="n"/>
      <c r="E425" s="44" t="n"/>
      <c r="F425" s="44" t="n"/>
      <c r="G425" s="44" t="n"/>
      <c r="H425" s="44" t="n"/>
      <c r="I425" s="45" t="n"/>
      <c r="J425" s="45" t="n"/>
      <c r="K425" s="85" t="n"/>
      <c r="L425" s="85" t="n"/>
      <c r="M425" s="88" t="n"/>
      <c r="N425" s="88" t="n"/>
      <c r="O425" s="44" t="n"/>
      <c r="P425" s="45" t="n"/>
      <c r="Q425" s="45" t="n"/>
      <c r="R425" s="44" t="n"/>
      <c r="S425" s="45" t="n"/>
      <c r="T425" s="45" t="n"/>
      <c r="U425" s="85" t="n"/>
      <c r="V425" s="44" t="n"/>
      <c r="W425" s="45" t="n"/>
      <c r="X425" s="45" t="n"/>
      <c r="Y425" s="44" t="n"/>
      <c r="Z425" s="85" t="n"/>
      <c r="AA425" s="44" t="n"/>
      <c r="AB425" s="44" t="n"/>
      <c r="AC425" s="44" t="n"/>
      <c r="AD425" s="44" t="n"/>
      <c r="AE425" s="44" t="n"/>
      <c r="AF425" s="88" t="n"/>
      <c r="AG425" s="85" t="n"/>
      <c r="AH425" s="85" t="n"/>
      <c r="AI425" s="85" t="n"/>
      <c r="AJ425" s="85" t="n"/>
      <c r="AK425" s="85" t="n"/>
      <c r="AL425" s="85" t="n"/>
      <c r="AM425" s="85" t="n"/>
      <c r="AN425" s="85" t="n"/>
      <c r="AO425" s="85" t="n"/>
      <c r="AP425" s="85" t="n"/>
      <c r="AQ425" s="85" t="n"/>
      <c r="AR425" s="85" t="n"/>
      <c r="AS425" s="85" t="n"/>
      <c r="AT425" s="85" t="n"/>
      <c r="AU425" s="85" t="n"/>
      <c r="AV425" s="85" t="n"/>
      <c r="AW425" s="44" t="n"/>
      <c r="AX425" s="85" t="n"/>
      <c r="AY425" s="88" t="n"/>
      <c r="AZ425" s="86" t="n"/>
      <c r="BA425" s="44" t="n"/>
      <c r="BB425" s="44" t="n"/>
      <c r="BC425" s="87" t="n"/>
      <c r="BD425" s="44" t="n"/>
      <c r="BE425" s="87" t="n"/>
      <c r="BF425" s="85" t="n"/>
      <c r="BG425" s="44" t="n"/>
      <c r="BH425" s="44" t="n"/>
      <c r="BI425" s="85" t="n"/>
      <c r="BJ425" s="44" t="n"/>
      <c r="BK425" s="45" t="n"/>
      <c r="BL425" s="44" t="n"/>
      <c r="BM425" s="85" t="n"/>
      <c r="BN425" s="44" t="n"/>
      <c r="BO425" s="85" t="n"/>
      <c r="BP425" s="86" t="n"/>
      <c r="BQ425" s="44" t="n"/>
      <c r="BR425" s="50" t="n"/>
      <c r="BS425" s="89" t="n"/>
      <c r="BT425" s="50">
        <f>IF(OR(K425="",L425="",M425=""),"",IF(ABS(ROUND(((ROUND(N(K425)*100,0))-(0))*(100+N(M425))/100,0)-(ROUND(N(L425)*100,0)))&lt;=0+IF(((ROUND(N(K425)*100,0))-(0))*(100+N(M425))/100&lt;&gt;ROUND(((ROUND(N(K425)*100,0))-(0))*(100+N(M425))/100,0),1,0),"OK","ABWEICHUNG"))</f>
        <v/>
      </c>
    </row>
    <row r="426">
      <c r="A426" s="50" t="n"/>
      <c r="B426" s="44" t="n"/>
      <c r="C426" s="44" t="n"/>
      <c r="D426" s="44" t="n"/>
      <c r="E426" s="44" t="n"/>
      <c r="F426" s="44" t="n"/>
      <c r="G426" s="44" t="n"/>
      <c r="H426" s="44" t="n"/>
      <c r="I426" s="45" t="n"/>
      <c r="J426" s="45" t="n"/>
      <c r="K426" s="85" t="n"/>
      <c r="L426" s="85" t="n"/>
      <c r="M426" s="88" t="n"/>
      <c r="N426" s="88" t="n"/>
      <c r="O426" s="44" t="n"/>
      <c r="P426" s="45" t="n"/>
      <c r="Q426" s="45" t="n"/>
      <c r="R426" s="44" t="n"/>
      <c r="S426" s="45" t="n"/>
      <c r="T426" s="45" t="n"/>
      <c r="U426" s="85" t="n"/>
      <c r="V426" s="44" t="n"/>
      <c r="W426" s="45" t="n"/>
      <c r="X426" s="45" t="n"/>
      <c r="Y426" s="44" t="n"/>
      <c r="Z426" s="85" t="n"/>
      <c r="AA426" s="44" t="n"/>
      <c r="AB426" s="44" t="n"/>
      <c r="AC426" s="44" t="n"/>
      <c r="AD426" s="44" t="n"/>
      <c r="AE426" s="44" t="n"/>
      <c r="AF426" s="88" t="n"/>
      <c r="AG426" s="85" t="n"/>
      <c r="AH426" s="85" t="n"/>
      <c r="AI426" s="85" t="n"/>
      <c r="AJ426" s="85" t="n"/>
      <c r="AK426" s="85" t="n"/>
      <c r="AL426" s="85" t="n"/>
      <c r="AM426" s="85" t="n"/>
      <c r="AN426" s="85" t="n"/>
      <c r="AO426" s="85" t="n"/>
      <c r="AP426" s="85" t="n"/>
      <c r="AQ426" s="85" t="n"/>
      <c r="AR426" s="85" t="n"/>
      <c r="AS426" s="85" t="n"/>
      <c r="AT426" s="85" t="n"/>
      <c r="AU426" s="85" t="n"/>
      <c r="AV426" s="85" t="n"/>
      <c r="AW426" s="44" t="n"/>
      <c r="AX426" s="85" t="n"/>
      <c r="AY426" s="88" t="n"/>
      <c r="AZ426" s="86" t="n"/>
      <c r="BA426" s="44" t="n"/>
      <c r="BB426" s="44" t="n"/>
      <c r="BC426" s="87" t="n"/>
      <c r="BD426" s="44" t="n"/>
      <c r="BE426" s="87" t="n"/>
      <c r="BF426" s="85" t="n"/>
      <c r="BG426" s="44" t="n"/>
      <c r="BH426" s="44" t="n"/>
      <c r="BI426" s="85" t="n"/>
      <c r="BJ426" s="44" t="n"/>
      <c r="BK426" s="45" t="n"/>
      <c r="BL426" s="44" t="n"/>
      <c r="BM426" s="85" t="n"/>
      <c r="BN426" s="44" t="n"/>
      <c r="BO426" s="85" t="n"/>
      <c r="BP426" s="86" t="n"/>
      <c r="BQ426" s="44" t="n"/>
      <c r="BR426" s="50" t="n"/>
      <c r="BS426" s="89" t="n"/>
      <c r="BT426" s="50">
        <f>IF(OR(K426="",L426="",M426=""),"",IF(ABS(ROUND(((ROUND(N(K426)*100,0))-(0))*(100+N(M426))/100,0)-(ROUND(N(L426)*100,0)))&lt;=0+IF(((ROUND(N(K426)*100,0))-(0))*(100+N(M426))/100&lt;&gt;ROUND(((ROUND(N(K426)*100,0))-(0))*(100+N(M426))/100,0),1,0),"OK","ABWEICHUNG"))</f>
        <v/>
      </c>
    </row>
    <row r="427">
      <c r="A427" s="50" t="n"/>
      <c r="B427" s="44" t="n"/>
      <c r="C427" s="44" t="n"/>
      <c r="D427" s="44" t="n"/>
      <c r="E427" s="44" t="n"/>
      <c r="F427" s="44" t="n"/>
      <c r="G427" s="44" t="n"/>
      <c r="H427" s="44" t="n"/>
      <c r="I427" s="45" t="n"/>
      <c r="J427" s="45" t="n"/>
      <c r="K427" s="85" t="n"/>
      <c r="L427" s="85" t="n"/>
      <c r="M427" s="88" t="n"/>
      <c r="N427" s="88" t="n"/>
      <c r="O427" s="44" t="n"/>
      <c r="P427" s="45" t="n"/>
      <c r="Q427" s="45" t="n"/>
      <c r="R427" s="44" t="n"/>
      <c r="S427" s="45" t="n"/>
      <c r="T427" s="45" t="n"/>
      <c r="U427" s="85" t="n"/>
      <c r="V427" s="44" t="n"/>
      <c r="W427" s="45" t="n"/>
      <c r="X427" s="45" t="n"/>
      <c r="Y427" s="44" t="n"/>
      <c r="Z427" s="85" t="n"/>
      <c r="AA427" s="44" t="n"/>
      <c r="AB427" s="44" t="n"/>
      <c r="AC427" s="44" t="n"/>
      <c r="AD427" s="44" t="n"/>
      <c r="AE427" s="44" t="n"/>
      <c r="AF427" s="88" t="n"/>
      <c r="AG427" s="85" t="n"/>
      <c r="AH427" s="85" t="n"/>
      <c r="AI427" s="85" t="n"/>
      <c r="AJ427" s="85" t="n"/>
      <c r="AK427" s="85" t="n"/>
      <c r="AL427" s="85" t="n"/>
      <c r="AM427" s="85" t="n"/>
      <c r="AN427" s="85" t="n"/>
      <c r="AO427" s="85" t="n"/>
      <c r="AP427" s="85" t="n"/>
      <c r="AQ427" s="85" t="n"/>
      <c r="AR427" s="85" t="n"/>
      <c r="AS427" s="85" t="n"/>
      <c r="AT427" s="85" t="n"/>
      <c r="AU427" s="85" t="n"/>
      <c r="AV427" s="85" t="n"/>
      <c r="AW427" s="44" t="n"/>
      <c r="AX427" s="85" t="n"/>
      <c r="AY427" s="88" t="n"/>
      <c r="AZ427" s="86" t="n"/>
      <c r="BA427" s="44" t="n"/>
      <c r="BB427" s="44" t="n"/>
      <c r="BC427" s="87" t="n"/>
      <c r="BD427" s="44" t="n"/>
      <c r="BE427" s="87" t="n"/>
      <c r="BF427" s="85" t="n"/>
      <c r="BG427" s="44" t="n"/>
      <c r="BH427" s="44" t="n"/>
      <c r="BI427" s="85" t="n"/>
      <c r="BJ427" s="44" t="n"/>
      <c r="BK427" s="45" t="n"/>
      <c r="BL427" s="44" t="n"/>
      <c r="BM427" s="85" t="n"/>
      <c r="BN427" s="44" t="n"/>
      <c r="BO427" s="85" t="n"/>
      <c r="BP427" s="86" t="n"/>
      <c r="BQ427" s="44" t="n"/>
      <c r="BR427" s="50" t="n"/>
      <c r="BS427" s="89" t="n"/>
      <c r="BT427" s="50">
        <f>IF(OR(K427="",L427="",M427=""),"",IF(ABS(ROUND(((ROUND(N(K427)*100,0))-(0))*(100+N(M427))/100,0)-(ROUND(N(L427)*100,0)))&lt;=0+IF(((ROUND(N(K427)*100,0))-(0))*(100+N(M427))/100&lt;&gt;ROUND(((ROUND(N(K427)*100,0))-(0))*(100+N(M427))/100,0),1,0),"OK","ABWEICHUNG"))</f>
        <v/>
      </c>
    </row>
    <row r="428">
      <c r="A428" s="50" t="n"/>
      <c r="B428" s="44" t="n"/>
      <c r="C428" s="44" t="n"/>
      <c r="D428" s="44" t="n"/>
      <c r="E428" s="44" t="n"/>
      <c r="F428" s="44" t="n"/>
      <c r="G428" s="44" t="n"/>
      <c r="H428" s="44" t="n"/>
      <c r="I428" s="45" t="n"/>
      <c r="J428" s="45" t="n"/>
      <c r="K428" s="85" t="n"/>
      <c r="L428" s="85" t="n"/>
      <c r="M428" s="88" t="n"/>
      <c r="N428" s="88" t="n"/>
      <c r="O428" s="44" t="n"/>
      <c r="P428" s="45" t="n"/>
      <c r="Q428" s="45" t="n"/>
      <c r="R428" s="44" t="n"/>
      <c r="S428" s="45" t="n"/>
      <c r="T428" s="45" t="n"/>
      <c r="U428" s="85" t="n"/>
      <c r="V428" s="44" t="n"/>
      <c r="W428" s="45" t="n"/>
      <c r="X428" s="45" t="n"/>
      <c r="Y428" s="44" t="n"/>
      <c r="Z428" s="85" t="n"/>
      <c r="AA428" s="44" t="n"/>
      <c r="AB428" s="44" t="n"/>
      <c r="AC428" s="44" t="n"/>
      <c r="AD428" s="44" t="n"/>
      <c r="AE428" s="44" t="n"/>
      <c r="AF428" s="88" t="n"/>
      <c r="AG428" s="85" t="n"/>
      <c r="AH428" s="85" t="n"/>
      <c r="AI428" s="85" t="n"/>
      <c r="AJ428" s="85" t="n"/>
      <c r="AK428" s="85" t="n"/>
      <c r="AL428" s="85" t="n"/>
      <c r="AM428" s="85" t="n"/>
      <c r="AN428" s="85" t="n"/>
      <c r="AO428" s="85" t="n"/>
      <c r="AP428" s="85" t="n"/>
      <c r="AQ428" s="85" t="n"/>
      <c r="AR428" s="85" t="n"/>
      <c r="AS428" s="85" t="n"/>
      <c r="AT428" s="85" t="n"/>
      <c r="AU428" s="85" t="n"/>
      <c r="AV428" s="85" t="n"/>
      <c r="AW428" s="44" t="n"/>
      <c r="AX428" s="85" t="n"/>
      <c r="AY428" s="88" t="n"/>
      <c r="AZ428" s="86" t="n"/>
      <c r="BA428" s="44" t="n"/>
      <c r="BB428" s="44" t="n"/>
      <c r="BC428" s="87" t="n"/>
      <c r="BD428" s="44" t="n"/>
      <c r="BE428" s="87" t="n"/>
      <c r="BF428" s="85" t="n"/>
      <c r="BG428" s="44" t="n"/>
      <c r="BH428" s="44" t="n"/>
      <c r="BI428" s="85" t="n"/>
      <c r="BJ428" s="44" t="n"/>
      <c r="BK428" s="45" t="n"/>
      <c r="BL428" s="44" t="n"/>
      <c r="BM428" s="85" t="n"/>
      <c r="BN428" s="44" t="n"/>
      <c r="BO428" s="85" t="n"/>
      <c r="BP428" s="86" t="n"/>
      <c r="BQ428" s="44" t="n"/>
      <c r="BR428" s="50" t="n"/>
      <c r="BS428" s="89" t="n"/>
      <c r="BT428" s="50">
        <f>IF(OR(K428="",L428="",M428=""),"",IF(ABS(ROUND(((ROUND(N(K428)*100,0))-(0))*(100+N(M428))/100,0)-(ROUND(N(L428)*100,0)))&lt;=0+IF(((ROUND(N(K428)*100,0))-(0))*(100+N(M428))/100&lt;&gt;ROUND(((ROUND(N(K428)*100,0))-(0))*(100+N(M428))/100,0),1,0),"OK","ABWEICHUNG"))</f>
        <v/>
      </c>
    </row>
    <row r="429">
      <c r="A429" s="50" t="n"/>
      <c r="B429" s="44" t="n"/>
      <c r="C429" s="44" t="n"/>
      <c r="D429" s="44" t="n"/>
      <c r="E429" s="44" t="n"/>
      <c r="F429" s="44" t="n"/>
      <c r="G429" s="44" t="n"/>
      <c r="H429" s="44" t="n"/>
      <c r="I429" s="45" t="n"/>
      <c r="J429" s="45" t="n"/>
      <c r="K429" s="85" t="n"/>
      <c r="L429" s="85" t="n"/>
      <c r="M429" s="88" t="n"/>
      <c r="N429" s="88" t="n"/>
      <c r="O429" s="44" t="n"/>
      <c r="P429" s="45" t="n"/>
      <c r="Q429" s="45" t="n"/>
      <c r="R429" s="44" t="n"/>
      <c r="S429" s="45" t="n"/>
      <c r="T429" s="45" t="n"/>
      <c r="U429" s="85" t="n"/>
      <c r="V429" s="44" t="n"/>
      <c r="W429" s="45" t="n"/>
      <c r="X429" s="45" t="n"/>
      <c r="Y429" s="44" t="n"/>
      <c r="Z429" s="85" t="n"/>
      <c r="AA429" s="44" t="n"/>
      <c r="AB429" s="44" t="n"/>
      <c r="AC429" s="44" t="n"/>
      <c r="AD429" s="44" t="n"/>
      <c r="AE429" s="44" t="n"/>
      <c r="AF429" s="88" t="n"/>
      <c r="AG429" s="85" t="n"/>
      <c r="AH429" s="85" t="n"/>
      <c r="AI429" s="85" t="n"/>
      <c r="AJ429" s="85" t="n"/>
      <c r="AK429" s="85" t="n"/>
      <c r="AL429" s="85" t="n"/>
      <c r="AM429" s="85" t="n"/>
      <c r="AN429" s="85" t="n"/>
      <c r="AO429" s="85" t="n"/>
      <c r="AP429" s="85" t="n"/>
      <c r="AQ429" s="85" t="n"/>
      <c r="AR429" s="85" t="n"/>
      <c r="AS429" s="85" t="n"/>
      <c r="AT429" s="85" t="n"/>
      <c r="AU429" s="85" t="n"/>
      <c r="AV429" s="85" t="n"/>
      <c r="AW429" s="44" t="n"/>
      <c r="AX429" s="85" t="n"/>
      <c r="AY429" s="88" t="n"/>
      <c r="AZ429" s="86" t="n"/>
      <c r="BA429" s="44" t="n"/>
      <c r="BB429" s="44" t="n"/>
      <c r="BC429" s="87" t="n"/>
      <c r="BD429" s="44" t="n"/>
      <c r="BE429" s="87" t="n"/>
      <c r="BF429" s="85" t="n"/>
      <c r="BG429" s="44" t="n"/>
      <c r="BH429" s="44" t="n"/>
      <c r="BI429" s="85" t="n"/>
      <c r="BJ429" s="44" t="n"/>
      <c r="BK429" s="45" t="n"/>
      <c r="BL429" s="44" t="n"/>
      <c r="BM429" s="85" t="n"/>
      <c r="BN429" s="44" t="n"/>
      <c r="BO429" s="85" t="n"/>
      <c r="BP429" s="86" t="n"/>
      <c r="BQ429" s="44" t="n"/>
      <c r="BR429" s="50" t="n"/>
      <c r="BS429" s="89" t="n"/>
      <c r="BT429" s="50">
        <f>IF(OR(K429="",L429="",M429=""),"",IF(ABS(ROUND(((ROUND(N(K429)*100,0))-(0))*(100+N(M429))/100,0)-(ROUND(N(L429)*100,0)))&lt;=0+IF(((ROUND(N(K429)*100,0))-(0))*(100+N(M429))/100&lt;&gt;ROUND(((ROUND(N(K429)*100,0))-(0))*(100+N(M429))/100,0),1,0),"OK","ABWEICHUNG"))</f>
        <v/>
      </c>
    </row>
    <row r="430">
      <c r="A430" s="50" t="n"/>
      <c r="B430" s="44" t="n"/>
      <c r="C430" s="44" t="n"/>
      <c r="D430" s="44" t="n"/>
      <c r="E430" s="44" t="n"/>
      <c r="F430" s="44" t="n"/>
      <c r="G430" s="44" t="n"/>
      <c r="H430" s="44" t="n"/>
      <c r="I430" s="45" t="n"/>
      <c r="J430" s="45" t="n"/>
      <c r="K430" s="85" t="n"/>
      <c r="L430" s="85" t="n"/>
      <c r="M430" s="88" t="n"/>
      <c r="N430" s="88" t="n"/>
      <c r="O430" s="44" t="n"/>
      <c r="P430" s="45" t="n"/>
      <c r="Q430" s="45" t="n"/>
      <c r="R430" s="44" t="n"/>
      <c r="S430" s="45" t="n"/>
      <c r="T430" s="45" t="n"/>
      <c r="U430" s="85" t="n"/>
      <c r="V430" s="44" t="n"/>
      <c r="W430" s="45" t="n"/>
      <c r="X430" s="45" t="n"/>
      <c r="Y430" s="44" t="n"/>
      <c r="Z430" s="85" t="n"/>
      <c r="AA430" s="44" t="n"/>
      <c r="AB430" s="44" t="n"/>
      <c r="AC430" s="44" t="n"/>
      <c r="AD430" s="44" t="n"/>
      <c r="AE430" s="44" t="n"/>
      <c r="AF430" s="88" t="n"/>
      <c r="AG430" s="85" t="n"/>
      <c r="AH430" s="85" t="n"/>
      <c r="AI430" s="85" t="n"/>
      <c r="AJ430" s="85" t="n"/>
      <c r="AK430" s="85" t="n"/>
      <c r="AL430" s="85" t="n"/>
      <c r="AM430" s="85" t="n"/>
      <c r="AN430" s="85" t="n"/>
      <c r="AO430" s="85" t="n"/>
      <c r="AP430" s="85" t="n"/>
      <c r="AQ430" s="85" t="n"/>
      <c r="AR430" s="85" t="n"/>
      <c r="AS430" s="85" t="n"/>
      <c r="AT430" s="85" t="n"/>
      <c r="AU430" s="85" t="n"/>
      <c r="AV430" s="85" t="n"/>
      <c r="AW430" s="44" t="n"/>
      <c r="AX430" s="85" t="n"/>
      <c r="AY430" s="88" t="n"/>
      <c r="AZ430" s="86" t="n"/>
      <c r="BA430" s="44" t="n"/>
      <c r="BB430" s="44" t="n"/>
      <c r="BC430" s="87" t="n"/>
      <c r="BD430" s="44" t="n"/>
      <c r="BE430" s="87" t="n"/>
      <c r="BF430" s="85" t="n"/>
      <c r="BG430" s="44" t="n"/>
      <c r="BH430" s="44" t="n"/>
      <c r="BI430" s="85" t="n"/>
      <c r="BJ430" s="44" t="n"/>
      <c r="BK430" s="45" t="n"/>
      <c r="BL430" s="44" t="n"/>
      <c r="BM430" s="85" t="n"/>
      <c r="BN430" s="44" t="n"/>
      <c r="BO430" s="85" t="n"/>
      <c r="BP430" s="86" t="n"/>
      <c r="BQ430" s="44" t="n"/>
      <c r="BR430" s="50" t="n"/>
      <c r="BS430" s="89" t="n"/>
      <c r="BT430" s="50">
        <f>IF(OR(K430="",L430="",M430=""),"",IF(ABS(ROUND(((ROUND(N(K430)*100,0))-(0))*(100+N(M430))/100,0)-(ROUND(N(L430)*100,0)))&lt;=0+IF(((ROUND(N(K430)*100,0))-(0))*(100+N(M430))/100&lt;&gt;ROUND(((ROUND(N(K430)*100,0))-(0))*(100+N(M430))/100,0),1,0),"OK","ABWEICHUNG"))</f>
        <v/>
      </c>
    </row>
    <row r="431">
      <c r="A431" s="50" t="n"/>
      <c r="B431" s="44" t="n"/>
      <c r="C431" s="44" t="n"/>
      <c r="D431" s="44" t="n"/>
      <c r="E431" s="44" t="n"/>
      <c r="F431" s="44" t="n"/>
      <c r="G431" s="44" t="n"/>
      <c r="H431" s="44" t="n"/>
      <c r="I431" s="45" t="n"/>
      <c r="J431" s="45" t="n"/>
      <c r="K431" s="85" t="n"/>
      <c r="L431" s="85" t="n"/>
      <c r="M431" s="88" t="n"/>
      <c r="N431" s="88" t="n"/>
      <c r="O431" s="44" t="n"/>
      <c r="P431" s="45" t="n"/>
      <c r="Q431" s="45" t="n"/>
      <c r="R431" s="44" t="n"/>
      <c r="S431" s="45" t="n"/>
      <c r="T431" s="45" t="n"/>
      <c r="U431" s="85" t="n"/>
      <c r="V431" s="44" t="n"/>
      <c r="W431" s="45" t="n"/>
      <c r="X431" s="45" t="n"/>
      <c r="Y431" s="44" t="n"/>
      <c r="Z431" s="85" t="n"/>
      <c r="AA431" s="44" t="n"/>
      <c r="AB431" s="44" t="n"/>
      <c r="AC431" s="44" t="n"/>
      <c r="AD431" s="44" t="n"/>
      <c r="AE431" s="44" t="n"/>
      <c r="AF431" s="88" t="n"/>
      <c r="AG431" s="85" t="n"/>
      <c r="AH431" s="85" t="n"/>
      <c r="AI431" s="85" t="n"/>
      <c r="AJ431" s="85" t="n"/>
      <c r="AK431" s="85" t="n"/>
      <c r="AL431" s="85" t="n"/>
      <c r="AM431" s="85" t="n"/>
      <c r="AN431" s="85" t="n"/>
      <c r="AO431" s="85" t="n"/>
      <c r="AP431" s="85" t="n"/>
      <c r="AQ431" s="85" t="n"/>
      <c r="AR431" s="85" t="n"/>
      <c r="AS431" s="85" t="n"/>
      <c r="AT431" s="85" t="n"/>
      <c r="AU431" s="85" t="n"/>
      <c r="AV431" s="85" t="n"/>
      <c r="AW431" s="44" t="n"/>
      <c r="AX431" s="85" t="n"/>
      <c r="AY431" s="88" t="n"/>
      <c r="AZ431" s="86" t="n"/>
      <c r="BA431" s="44" t="n"/>
      <c r="BB431" s="44" t="n"/>
      <c r="BC431" s="87" t="n"/>
      <c r="BD431" s="44" t="n"/>
      <c r="BE431" s="87" t="n"/>
      <c r="BF431" s="85" t="n"/>
      <c r="BG431" s="44" t="n"/>
      <c r="BH431" s="44" t="n"/>
      <c r="BI431" s="85" t="n"/>
      <c r="BJ431" s="44" t="n"/>
      <c r="BK431" s="45" t="n"/>
      <c r="BL431" s="44" t="n"/>
      <c r="BM431" s="85" t="n"/>
      <c r="BN431" s="44" t="n"/>
      <c r="BO431" s="85" t="n"/>
      <c r="BP431" s="86" t="n"/>
      <c r="BQ431" s="44" t="n"/>
      <c r="BR431" s="50" t="n"/>
      <c r="BS431" s="89" t="n"/>
      <c r="BT431" s="50">
        <f>IF(OR(K431="",L431="",M431=""),"",IF(ABS(ROUND(((ROUND(N(K431)*100,0))-(0))*(100+N(M431))/100,0)-(ROUND(N(L431)*100,0)))&lt;=0+IF(((ROUND(N(K431)*100,0))-(0))*(100+N(M431))/100&lt;&gt;ROUND(((ROUND(N(K431)*100,0))-(0))*(100+N(M431))/100,0),1,0),"OK","ABWEICHUNG"))</f>
        <v/>
      </c>
    </row>
    <row r="432">
      <c r="A432" s="50" t="n"/>
      <c r="B432" s="44" t="n"/>
      <c r="C432" s="44" t="n"/>
      <c r="D432" s="44" t="n"/>
      <c r="E432" s="44" t="n"/>
      <c r="F432" s="44" t="n"/>
      <c r="G432" s="44" t="n"/>
      <c r="H432" s="44" t="n"/>
      <c r="I432" s="45" t="n"/>
      <c r="J432" s="45" t="n"/>
      <c r="K432" s="85" t="n"/>
      <c r="L432" s="85" t="n"/>
      <c r="M432" s="88" t="n"/>
      <c r="N432" s="88" t="n"/>
      <c r="O432" s="44" t="n"/>
      <c r="P432" s="45" t="n"/>
      <c r="Q432" s="45" t="n"/>
      <c r="R432" s="44" t="n"/>
      <c r="S432" s="45" t="n"/>
      <c r="T432" s="45" t="n"/>
      <c r="U432" s="85" t="n"/>
      <c r="V432" s="44" t="n"/>
      <c r="W432" s="45" t="n"/>
      <c r="X432" s="45" t="n"/>
      <c r="Y432" s="44" t="n"/>
      <c r="Z432" s="85" t="n"/>
      <c r="AA432" s="44" t="n"/>
      <c r="AB432" s="44" t="n"/>
      <c r="AC432" s="44" t="n"/>
      <c r="AD432" s="44" t="n"/>
      <c r="AE432" s="44" t="n"/>
      <c r="AF432" s="88" t="n"/>
      <c r="AG432" s="85" t="n"/>
      <c r="AH432" s="85" t="n"/>
      <c r="AI432" s="85" t="n"/>
      <c r="AJ432" s="85" t="n"/>
      <c r="AK432" s="85" t="n"/>
      <c r="AL432" s="85" t="n"/>
      <c r="AM432" s="85" t="n"/>
      <c r="AN432" s="85" t="n"/>
      <c r="AO432" s="85" t="n"/>
      <c r="AP432" s="85" t="n"/>
      <c r="AQ432" s="85" t="n"/>
      <c r="AR432" s="85" t="n"/>
      <c r="AS432" s="85" t="n"/>
      <c r="AT432" s="85" t="n"/>
      <c r="AU432" s="85" t="n"/>
      <c r="AV432" s="85" t="n"/>
      <c r="AW432" s="44" t="n"/>
      <c r="AX432" s="85" t="n"/>
      <c r="AY432" s="88" t="n"/>
      <c r="AZ432" s="86" t="n"/>
      <c r="BA432" s="44" t="n"/>
      <c r="BB432" s="44" t="n"/>
      <c r="BC432" s="87" t="n"/>
      <c r="BD432" s="44" t="n"/>
      <c r="BE432" s="87" t="n"/>
      <c r="BF432" s="85" t="n"/>
      <c r="BG432" s="44" t="n"/>
      <c r="BH432" s="44" t="n"/>
      <c r="BI432" s="85" t="n"/>
      <c r="BJ432" s="44" t="n"/>
      <c r="BK432" s="45" t="n"/>
      <c r="BL432" s="44" t="n"/>
      <c r="BM432" s="85" t="n"/>
      <c r="BN432" s="44" t="n"/>
      <c r="BO432" s="85" t="n"/>
      <c r="BP432" s="86" t="n"/>
      <c r="BQ432" s="44" t="n"/>
      <c r="BR432" s="50" t="n"/>
      <c r="BS432" s="89" t="n"/>
      <c r="BT432" s="50">
        <f>IF(OR(K432="",L432="",M432=""),"",IF(ABS(ROUND(((ROUND(N(K432)*100,0))-(0))*(100+N(M432))/100,0)-(ROUND(N(L432)*100,0)))&lt;=0+IF(((ROUND(N(K432)*100,0))-(0))*(100+N(M432))/100&lt;&gt;ROUND(((ROUND(N(K432)*100,0))-(0))*(100+N(M432))/100,0),1,0),"OK","ABWEICHUNG"))</f>
        <v/>
      </c>
    </row>
    <row r="433">
      <c r="A433" s="50" t="n"/>
      <c r="B433" s="44" t="n"/>
      <c r="C433" s="44" t="n"/>
      <c r="D433" s="44" t="n"/>
      <c r="E433" s="44" t="n"/>
      <c r="F433" s="44" t="n"/>
      <c r="G433" s="44" t="n"/>
      <c r="H433" s="44" t="n"/>
      <c r="I433" s="45" t="n"/>
      <c r="J433" s="45" t="n"/>
      <c r="K433" s="85" t="n"/>
      <c r="L433" s="85" t="n"/>
      <c r="M433" s="88" t="n"/>
      <c r="N433" s="88" t="n"/>
      <c r="O433" s="44" t="n"/>
      <c r="P433" s="45" t="n"/>
      <c r="Q433" s="45" t="n"/>
      <c r="R433" s="44" t="n"/>
      <c r="S433" s="45" t="n"/>
      <c r="T433" s="45" t="n"/>
      <c r="U433" s="85" t="n"/>
      <c r="V433" s="44" t="n"/>
      <c r="W433" s="45" t="n"/>
      <c r="X433" s="45" t="n"/>
      <c r="Y433" s="44" t="n"/>
      <c r="Z433" s="85" t="n"/>
      <c r="AA433" s="44" t="n"/>
      <c r="AB433" s="44" t="n"/>
      <c r="AC433" s="44" t="n"/>
      <c r="AD433" s="44" t="n"/>
      <c r="AE433" s="44" t="n"/>
      <c r="AF433" s="88" t="n"/>
      <c r="AG433" s="85" t="n"/>
      <c r="AH433" s="85" t="n"/>
      <c r="AI433" s="85" t="n"/>
      <c r="AJ433" s="85" t="n"/>
      <c r="AK433" s="85" t="n"/>
      <c r="AL433" s="85" t="n"/>
      <c r="AM433" s="85" t="n"/>
      <c r="AN433" s="85" t="n"/>
      <c r="AO433" s="85" t="n"/>
      <c r="AP433" s="85" t="n"/>
      <c r="AQ433" s="85" t="n"/>
      <c r="AR433" s="85" t="n"/>
      <c r="AS433" s="85" t="n"/>
      <c r="AT433" s="85" t="n"/>
      <c r="AU433" s="85" t="n"/>
      <c r="AV433" s="85" t="n"/>
      <c r="AW433" s="44" t="n"/>
      <c r="AX433" s="85" t="n"/>
      <c r="AY433" s="88" t="n"/>
      <c r="AZ433" s="86" t="n"/>
      <c r="BA433" s="44" t="n"/>
      <c r="BB433" s="44" t="n"/>
      <c r="BC433" s="87" t="n"/>
      <c r="BD433" s="44" t="n"/>
      <c r="BE433" s="87" t="n"/>
      <c r="BF433" s="85" t="n"/>
      <c r="BG433" s="44" t="n"/>
      <c r="BH433" s="44" t="n"/>
      <c r="BI433" s="85" t="n"/>
      <c r="BJ433" s="44" t="n"/>
      <c r="BK433" s="45" t="n"/>
      <c r="BL433" s="44" t="n"/>
      <c r="BM433" s="85" t="n"/>
      <c r="BN433" s="44" t="n"/>
      <c r="BO433" s="85" t="n"/>
      <c r="BP433" s="86" t="n"/>
      <c r="BQ433" s="44" t="n"/>
      <c r="BR433" s="50" t="n"/>
      <c r="BS433" s="89" t="n"/>
      <c r="BT433" s="50">
        <f>IF(OR(K433="",L433="",M433=""),"",IF(ABS(ROUND(((ROUND(N(K433)*100,0))-(0))*(100+N(M433))/100,0)-(ROUND(N(L433)*100,0)))&lt;=0+IF(((ROUND(N(K433)*100,0))-(0))*(100+N(M433))/100&lt;&gt;ROUND(((ROUND(N(K433)*100,0))-(0))*(100+N(M433))/100,0),1,0),"OK","ABWEICHUNG"))</f>
        <v/>
      </c>
    </row>
    <row r="434">
      <c r="A434" s="50" t="n"/>
      <c r="B434" s="44" t="n"/>
      <c r="C434" s="44" t="n"/>
      <c r="D434" s="44" t="n"/>
      <c r="E434" s="44" t="n"/>
      <c r="F434" s="44" t="n"/>
      <c r="G434" s="44" t="n"/>
      <c r="H434" s="44" t="n"/>
      <c r="I434" s="45" t="n"/>
      <c r="J434" s="45" t="n"/>
      <c r="K434" s="85" t="n"/>
      <c r="L434" s="85" t="n"/>
      <c r="M434" s="88" t="n"/>
      <c r="N434" s="88" t="n"/>
      <c r="O434" s="44" t="n"/>
      <c r="P434" s="45" t="n"/>
      <c r="Q434" s="45" t="n"/>
      <c r="R434" s="44" t="n"/>
      <c r="S434" s="45" t="n"/>
      <c r="T434" s="45" t="n"/>
      <c r="U434" s="85" t="n"/>
      <c r="V434" s="44" t="n"/>
      <c r="W434" s="45" t="n"/>
      <c r="X434" s="45" t="n"/>
      <c r="Y434" s="44" t="n"/>
      <c r="Z434" s="85" t="n"/>
      <c r="AA434" s="44" t="n"/>
      <c r="AB434" s="44" t="n"/>
      <c r="AC434" s="44" t="n"/>
      <c r="AD434" s="44" t="n"/>
      <c r="AE434" s="44" t="n"/>
      <c r="AF434" s="88" t="n"/>
      <c r="AG434" s="85" t="n"/>
      <c r="AH434" s="85" t="n"/>
      <c r="AI434" s="85" t="n"/>
      <c r="AJ434" s="85" t="n"/>
      <c r="AK434" s="85" t="n"/>
      <c r="AL434" s="85" t="n"/>
      <c r="AM434" s="85" t="n"/>
      <c r="AN434" s="85" t="n"/>
      <c r="AO434" s="85" t="n"/>
      <c r="AP434" s="85" t="n"/>
      <c r="AQ434" s="85" t="n"/>
      <c r="AR434" s="85" t="n"/>
      <c r="AS434" s="85" t="n"/>
      <c r="AT434" s="85" t="n"/>
      <c r="AU434" s="85" t="n"/>
      <c r="AV434" s="85" t="n"/>
      <c r="AW434" s="44" t="n"/>
      <c r="AX434" s="85" t="n"/>
      <c r="AY434" s="88" t="n"/>
      <c r="AZ434" s="86" t="n"/>
      <c r="BA434" s="44" t="n"/>
      <c r="BB434" s="44" t="n"/>
      <c r="BC434" s="87" t="n"/>
      <c r="BD434" s="44" t="n"/>
      <c r="BE434" s="87" t="n"/>
      <c r="BF434" s="85" t="n"/>
      <c r="BG434" s="44" t="n"/>
      <c r="BH434" s="44" t="n"/>
      <c r="BI434" s="85" t="n"/>
      <c r="BJ434" s="44" t="n"/>
      <c r="BK434" s="45" t="n"/>
      <c r="BL434" s="44" t="n"/>
      <c r="BM434" s="85" t="n"/>
      <c r="BN434" s="44" t="n"/>
      <c r="BO434" s="85" t="n"/>
      <c r="BP434" s="86" t="n"/>
      <c r="BQ434" s="44" t="n"/>
      <c r="BR434" s="50" t="n"/>
      <c r="BS434" s="89" t="n"/>
      <c r="BT434" s="50">
        <f>IF(OR(K434="",L434="",M434=""),"",IF(ABS(ROUND(((ROUND(N(K434)*100,0))-(0))*(100+N(M434))/100,0)-(ROUND(N(L434)*100,0)))&lt;=0+IF(((ROUND(N(K434)*100,0))-(0))*(100+N(M434))/100&lt;&gt;ROUND(((ROUND(N(K434)*100,0))-(0))*(100+N(M434))/100,0),1,0),"OK","ABWEICHUNG"))</f>
        <v/>
      </c>
    </row>
    <row r="435">
      <c r="A435" s="50" t="n"/>
      <c r="B435" s="44" t="n"/>
      <c r="C435" s="44" t="n"/>
      <c r="D435" s="44" t="n"/>
      <c r="E435" s="44" t="n"/>
      <c r="F435" s="44" t="n"/>
      <c r="G435" s="44" t="n"/>
      <c r="H435" s="44" t="n"/>
      <c r="I435" s="45" t="n"/>
      <c r="J435" s="45" t="n"/>
      <c r="K435" s="85" t="n"/>
      <c r="L435" s="85" t="n"/>
      <c r="M435" s="88" t="n"/>
      <c r="N435" s="88" t="n"/>
      <c r="O435" s="44" t="n"/>
      <c r="P435" s="45" t="n"/>
      <c r="Q435" s="45" t="n"/>
      <c r="R435" s="44" t="n"/>
      <c r="S435" s="45" t="n"/>
      <c r="T435" s="45" t="n"/>
      <c r="U435" s="85" t="n"/>
      <c r="V435" s="44" t="n"/>
      <c r="W435" s="45" t="n"/>
      <c r="X435" s="45" t="n"/>
      <c r="Y435" s="44" t="n"/>
      <c r="Z435" s="85" t="n"/>
      <c r="AA435" s="44" t="n"/>
      <c r="AB435" s="44" t="n"/>
      <c r="AC435" s="44" t="n"/>
      <c r="AD435" s="44" t="n"/>
      <c r="AE435" s="44" t="n"/>
      <c r="AF435" s="88" t="n"/>
      <c r="AG435" s="85" t="n"/>
      <c r="AH435" s="85" t="n"/>
      <c r="AI435" s="85" t="n"/>
      <c r="AJ435" s="85" t="n"/>
      <c r="AK435" s="85" t="n"/>
      <c r="AL435" s="85" t="n"/>
      <c r="AM435" s="85" t="n"/>
      <c r="AN435" s="85" t="n"/>
      <c r="AO435" s="85" t="n"/>
      <c r="AP435" s="85" t="n"/>
      <c r="AQ435" s="85" t="n"/>
      <c r="AR435" s="85" t="n"/>
      <c r="AS435" s="85" t="n"/>
      <c r="AT435" s="85" t="n"/>
      <c r="AU435" s="85" t="n"/>
      <c r="AV435" s="85" t="n"/>
      <c r="AW435" s="44" t="n"/>
      <c r="AX435" s="85" t="n"/>
      <c r="AY435" s="88" t="n"/>
      <c r="AZ435" s="86" t="n"/>
      <c r="BA435" s="44" t="n"/>
      <c r="BB435" s="44" t="n"/>
      <c r="BC435" s="87" t="n"/>
      <c r="BD435" s="44" t="n"/>
      <c r="BE435" s="87" t="n"/>
      <c r="BF435" s="85" t="n"/>
      <c r="BG435" s="44" t="n"/>
      <c r="BH435" s="44" t="n"/>
      <c r="BI435" s="85" t="n"/>
      <c r="BJ435" s="44" t="n"/>
      <c r="BK435" s="45" t="n"/>
      <c r="BL435" s="44" t="n"/>
      <c r="BM435" s="85" t="n"/>
      <c r="BN435" s="44" t="n"/>
      <c r="BO435" s="85" t="n"/>
      <c r="BP435" s="86" t="n"/>
      <c r="BQ435" s="44" t="n"/>
      <c r="BR435" s="50" t="n"/>
      <c r="BS435" s="89" t="n"/>
      <c r="BT435" s="50">
        <f>IF(OR(K435="",L435="",M435=""),"",IF(ABS(ROUND(((ROUND(N(K435)*100,0))-(0))*(100+N(M435))/100,0)-(ROUND(N(L435)*100,0)))&lt;=0+IF(((ROUND(N(K435)*100,0))-(0))*(100+N(M435))/100&lt;&gt;ROUND(((ROUND(N(K435)*100,0))-(0))*(100+N(M435))/100,0),1,0),"OK","ABWEICHUNG"))</f>
        <v/>
      </c>
    </row>
    <row r="436">
      <c r="A436" s="50" t="n"/>
      <c r="B436" s="44" t="n"/>
      <c r="C436" s="44" t="n"/>
      <c r="D436" s="44" t="n"/>
      <c r="E436" s="44" t="n"/>
      <c r="F436" s="44" t="n"/>
      <c r="G436" s="44" t="n"/>
      <c r="H436" s="44" t="n"/>
      <c r="I436" s="45" t="n"/>
      <c r="J436" s="45" t="n"/>
      <c r="K436" s="85" t="n"/>
      <c r="L436" s="85" t="n"/>
      <c r="M436" s="88" t="n"/>
      <c r="N436" s="88" t="n"/>
      <c r="O436" s="44" t="n"/>
      <c r="P436" s="45" t="n"/>
      <c r="Q436" s="45" t="n"/>
      <c r="R436" s="44" t="n"/>
      <c r="S436" s="45" t="n"/>
      <c r="T436" s="45" t="n"/>
      <c r="U436" s="85" t="n"/>
      <c r="V436" s="44" t="n"/>
      <c r="W436" s="45" t="n"/>
      <c r="X436" s="45" t="n"/>
      <c r="Y436" s="44" t="n"/>
      <c r="Z436" s="85" t="n"/>
      <c r="AA436" s="44" t="n"/>
      <c r="AB436" s="44" t="n"/>
      <c r="AC436" s="44" t="n"/>
      <c r="AD436" s="44" t="n"/>
      <c r="AE436" s="44" t="n"/>
      <c r="AF436" s="88" t="n"/>
      <c r="AG436" s="85" t="n"/>
      <c r="AH436" s="85" t="n"/>
      <c r="AI436" s="85" t="n"/>
      <c r="AJ436" s="85" t="n"/>
      <c r="AK436" s="85" t="n"/>
      <c r="AL436" s="85" t="n"/>
      <c r="AM436" s="85" t="n"/>
      <c r="AN436" s="85" t="n"/>
      <c r="AO436" s="85" t="n"/>
      <c r="AP436" s="85" t="n"/>
      <c r="AQ436" s="85" t="n"/>
      <c r="AR436" s="85" t="n"/>
      <c r="AS436" s="85" t="n"/>
      <c r="AT436" s="85" t="n"/>
      <c r="AU436" s="85" t="n"/>
      <c r="AV436" s="85" t="n"/>
      <c r="AW436" s="44" t="n"/>
      <c r="AX436" s="85" t="n"/>
      <c r="AY436" s="88" t="n"/>
      <c r="AZ436" s="86" t="n"/>
      <c r="BA436" s="44" t="n"/>
      <c r="BB436" s="44" t="n"/>
      <c r="BC436" s="87" t="n"/>
      <c r="BD436" s="44" t="n"/>
      <c r="BE436" s="87" t="n"/>
      <c r="BF436" s="85" t="n"/>
      <c r="BG436" s="44" t="n"/>
      <c r="BH436" s="44" t="n"/>
      <c r="BI436" s="85" t="n"/>
      <c r="BJ436" s="44" t="n"/>
      <c r="BK436" s="45" t="n"/>
      <c r="BL436" s="44" t="n"/>
      <c r="BM436" s="85" t="n"/>
      <c r="BN436" s="44" t="n"/>
      <c r="BO436" s="85" t="n"/>
      <c r="BP436" s="86" t="n"/>
      <c r="BQ436" s="44" t="n"/>
      <c r="BR436" s="50" t="n"/>
      <c r="BS436" s="89" t="n"/>
      <c r="BT436" s="50">
        <f>IF(OR(K436="",L436="",M436=""),"",IF(ABS(ROUND(((ROUND(N(K436)*100,0))-(0))*(100+N(M436))/100,0)-(ROUND(N(L436)*100,0)))&lt;=0+IF(((ROUND(N(K436)*100,0))-(0))*(100+N(M436))/100&lt;&gt;ROUND(((ROUND(N(K436)*100,0))-(0))*(100+N(M436))/100,0),1,0),"OK","ABWEICHUNG"))</f>
        <v/>
      </c>
    </row>
    <row r="437">
      <c r="A437" s="50" t="n"/>
      <c r="B437" s="44" t="n"/>
      <c r="C437" s="44" t="n"/>
      <c r="D437" s="44" t="n"/>
      <c r="E437" s="44" t="n"/>
      <c r="F437" s="44" t="n"/>
      <c r="G437" s="44" t="n"/>
      <c r="H437" s="44" t="n"/>
      <c r="I437" s="45" t="n"/>
      <c r="J437" s="45" t="n"/>
      <c r="K437" s="85" t="n"/>
      <c r="L437" s="85" t="n"/>
      <c r="M437" s="88" t="n"/>
      <c r="N437" s="88" t="n"/>
      <c r="O437" s="44" t="n"/>
      <c r="P437" s="45" t="n"/>
      <c r="Q437" s="45" t="n"/>
      <c r="R437" s="44" t="n"/>
      <c r="S437" s="45" t="n"/>
      <c r="T437" s="45" t="n"/>
      <c r="U437" s="85" t="n"/>
      <c r="V437" s="44" t="n"/>
      <c r="W437" s="45" t="n"/>
      <c r="X437" s="45" t="n"/>
      <c r="Y437" s="44" t="n"/>
      <c r="Z437" s="85" t="n"/>
      <c r="AA437" s="44" t="n"/>
      <c r="AB437" s="44" t="n"/>
      <c r="AC437" s="44" t="n"/>
      <c r="AD437" s="44" t="n"/>
      <c r="AE437" s="44" t="n"/>
      <c r="AF437" s="88" t="n"/>
      <c r="AG437" s="85" t="n"/>
      <c r="AH437" s="85" t="n"/>
      <c r="AI437" s="85" t="n"/>
      <c r="AJ437" s="85" t="n"/>
      <c r="AK437" s="85" t="n"/>
      <c r="AL437" s="85" t="n"/>
      <c r="AM437" s="85" t="n"/>
      <c r="AN437" s="85" t="n"/>
      <c r="AO437" s="85" t="n"/>
      <c r="AP437" s="85" t="n"/>
      <c r="AQ437" s="85" t="n"/>
      <c r="AR437" s="85" t="n"/>
      <c r="AS437" s="85" t="n"/>
      <c r="AT437" s="85" t="n"/>
      <c r="AU437" s="85" t="n"/>
      <c r="AV437" s="85" t="n"/>
      <c r="AW437" s="44" t="n"/>
      <c r="AX437" s="85" t="n"/>
      <c r="AY437" s="88" t="n"/>
      <c r="AZ437" s="86" t="n"/>
      <c r="BA437" s="44" t="n"/>
      <c r="BB437" s="44" t="n"/>
      <c r="BC437" s="87" t="n"/>
      <c r="BD437" s="44" t="n"/>
      <c r="BE437" s="87" t="n"/>
      <c r="BF437" s="85" t="n"/>
      <c r="BG437" s="44" t="n"/>
      <c r="BH437" s="44" t="n"/>
      <c r="BI437" s="85" t="n"/>
      <c r="BJ437" s="44" t="n"/>
      <c r="BK437" s="45" t="n"/>
      <c r="BL437" s="44" t="n"/>
      <c r="BM437" s="85" t="n"/>
      <c r="BN437" s="44" t="n"/>
      <c r="BO437" s="85" t="n"/>
      <c r="BP437" s="86" t="n"/>
      <c r="BQ437" s="44" t="n"/>
      <c r="BR437" s="50" t="n"/>
      <c r="BS437" s="89" t="n"/>
      <c r="BT437" s="50">
        <f>IF(OR(K437="",L437="",M437=""),"",IF(ABS(ROUND(((ROUND(N(K437)*100,0))-(0))*(100+N(M437))/100,0)-(ROUND(N(L437)*100,0)))&lt;=0+IF(((ROUND(N(K437)*100,0))-(0))*(100+N(M437))/100&lt;&gt;ROUND(((ROUND(N(K437)*100,0))-(0))*(100+N(M437))/100,0),1,0),"OK","ABWEICHUNG"))</f>
        <v/>
      </c>
    </row>
    <row r="438">
      <c r="A438" s="50" t="n"/>
      <c r="B438" s="44" t="n"/>
      <c r="C438" s="44" t="n"/>
      <c r="D438" s="44" t="n"/>
      <c r="E438" s="44" t="n"/>
      <c r="F438" s="44" t="n"/>
      <c r="G438" s="44" t="n"/>
      <c r="H438" s="44" t="n"/>
      <c r="I438" s="45" t="n"/>
      <c r="J438" s="45" t="n"/>
      <c r="K438" s="85" t="n"/>
      <c r="L438" s="85" t="n"/>
      <c r="M438" s="88" t="n"/>
      <c r="N438" s="88" t="n"/>
      <c r="O438" s="44" t="n"/>
      <c r="P438" s="45" t="n"/>
      <c r="Q438" s="45" t="n"/>
      <c r="R438" s="44" t="n"/>
      <c r="S438" s="45" t="n"/>
      <c r="T438" s="45" t="n"/>
      <c r="U438" s="85" t="n"/>
      <c r="V438" s="44" t="n"/>
      <c r="W438" s="45" t="n"/>
      <c r="X438" s="45" t="n"/>
      <c r="Y438" s="44" t="n"/>
      <c r="Z438" s="85" t="n"/>
      <c r="AA438" s="44" t="n"/>
      <c r="AB438" s="44" t="n"/>
      <c r="AC438" s="44" t="n"/>
      <c r="AD438" s="44" t="n"/>
      <c r="AE438" s="44" t="n"/>
      <c r="AF438" s="88" t="n"/>
      <c r="AG438" s="85" t="n"/>
      <c r="AH438" s="85" t="n"/>
      <c r="AI438" s="85" t="n"/>
      <c r="AJ438" s="85" t="n"/>
      <c r="AK438" s="85" t="n"/>
      <c r="AL438" s="85" t="n"/>
      <c r="AM438" s="85" t="n"/>
      <c r="AN438" s="85" t="n"/>
      <c r="AO438" s="85" t="n"/>
      <c r="AP438" s="85" t="n"/>
      <c r="AQ438" s="85" t="n"/>
      <c r="AR438" s="85" t="n"/>
      <c r="AS438" s="85" t="n"/>
      <c r="AT438" s="85" t="n"/>
      <c r="AU438" s="85" t="n"/>
      <c r="AV438" s="85" t="n"/>
      <c r="AW438" s="44" t="n"/>
      <c r="AX438" s="85" t="n"/>
      <c r="AY438" s="88" t="n"/>
      <c r="AZ438" s="86" t="n"/>
      <c r="BA438" s="44" t="n"/>
      <c r="BB438" s="44" t="n"/>
      <c r="BC438" s="87" t="n"/>
      <c r="BD438" s="44" t="n"/>
      <c r="BE438" s="87" t="n"/>
      <c r="BF438" s="85" t="n"/>
      <c r="BG438" s="44" t="n"/>
      <c r="BH438" s="44" t="n"/>
      <c r="BI438" s="85" t="n"/>
      <c r="BJ438" s="44" t="n"/>
      <c r="BK438" s="45" t="n"/>
      <c r="BL438" s="44" t="n"/>
      <c r="BM438" s="85" t="n"/>
      <c r="BN438" s="44" t="n"/>
      <c r="BO438" s="85" t="n"/>
      <c r="BP438" s="86" t="n"/>
      <c r="BQ438" s="44" t="n"/>
      <c r="BR438" s="50" t="n"/>
      <c r="BS438" s="89" t="n"/>
      <c r="BT438" s="50">
        <f>IF(OR(K438="",L438="",M438=""),"",IF(ABS(ROUND(((ROUND(N(K438)*100,0))-(0))*(100+N(M438))/100,0)-(ROUND(N(L438)*100,0)))&lt;=0+IF(((ROUND(N(K438)*100,0))-(0))*(100+N(M438))/100&lt;&gt;ROUND(((ROUND(N(K438)*100,0))-(0))*(100+N(M438))/100,0),1,0),"OK","ABWEICHUNG"))</f>
        <v/>
      </c>
    </row>
    <row r="439">
      <c r="A439" s="50" t="n"/>
      <c r="B439" s="44" t="n"/>
      <c r="C439" s="44" t="n"/>
      <c r="D439" s="44" t="n"/>
      <c r="E439" s="44" t="n"/>
      <c r="F439" s="44" t="n"/>
      <c r="G439" s="44" t="n"/>
      <c r="H439" s="44" t="n"/>
      <c r="I439" s="45" t="n"/>
      <c r="J439" s="45" t="n"/>
      <c r="K439" s="85" t="n"/>
      <c r="L439" s="85" t="n"/>
      <c r="M439" s="88" t="n"/>
      <c r="N439" s="88" t="n"/>
      <c r="O439" s="44" t="n"/>
      <c r="P439" s="45" t="n"/>
      <c r="Q439" s="45" t="n"/>
      <c r="R439" s="44" t="n"/>
      <c r="S439" s="45" t="n"/>
      <c r="T439" s="45" t="n"/>
      <c r="U439" s="85" t="n"/>
      <c r="V439" s="44" t="n"/>
      <c r="W439" s="45" t="n"/>
      <c r="X439" s="45" t="n"/>
      <c r="Y439" s="44" t="n"/>
      <c r="Z439" s="85" t="n"/>
      <c r="AA439" s="44" t="n"/>
      <c r="AB439" s="44" t="n"/>
      <c r="AC439" s="44" t="n"/>
      <c r="AD439" s="44" t="n"/>
      <c r="AE439" s="44" t="n"/>
      <c r="AF439" s="88" t="n"/>
      <c r="AG439" s="85" t="n"/>
      <c r="AH439" s="85" t="n"/>
      <c r="AI439" s="85" t="n"/>
      <c r="AJ439" s="85" t="n"/>
      <c r="AK439" s="85" t="n"/>
      <c r="AL439" s="85" t="n"/>
      <c r="AM439" s="85" t="n"/>
      <c r="AN439" s="85" t="n"/>
      <c r="AO439" s="85" t="n"/>
      <c r="AP439" s="85" t="n"/>
      <c r="AQ439" s="85" t="n"/>
      <c r="AR439" s="85" t="n"/>
      <c r="AS439" s="85" t="n"/>
      <c r="AT439" s="85" t="n"/>
      <c r="AU439" s="85" t="n"/>
      <c r="AV439" s="85" t="n"/>
      <c r="AW439" s="44" t="n"/>
      <c r="AX439" s="85" t="n"/>
      <c r="AY439" s="88" t="n"/>
      <c r="AZ439" s="86" t="n"/>
      <c r="BA439" s="44" t="n"/>
      <c r="BB439" s="44" t="n"/>
      <c r="BC439" s="87" t="n"/>
      <c r="BD439" s="44" t="n"/>
      <c r="BE439" s="87" t="n"/>
      <c r="BF439" s="85" t="n"/>
      <c r="BG439" s="44" t="n"/>
      <c r="BH439" s="44" t="n"/>
      <c r="BI439" s="85" t="n"/>
      <c r="BJ439" s="44" t="n"/>
      <c r="BK439" s="45" t="n"/>
      <c r="BL439" s="44" t="n"/>
      <c r="BM439" s="85" t="n"/>
      <c r="BN439" s="44" t="n"/>
      <c r="BO439" s="85" t="n"/>
      <c r="BP439" s="86" t="n"/>
      <c r="BQ439" s="44" t="n"/>
      <c r="BR439" s="50" t="n"/>
      <c r="BS439" s="89" t="n"/>
      <c r="BT439" s="50">
        <f>IF(OR(K439="",L439="",M439=""),"",IF(ABS(ROUND(((ROUND(N(K439)*100,0))-(0))*(100+N(M439))/100,0)-(ROUND(N(L439)*100,0)))&lt;=0+IF(((ROUND(N(K439)*100,0))-(0))*(100+N(M439))/100&lt;&gt;ROUND(((ROUND(N(K439)*100,0))-(0))*(100+N(M439))/100,0),1,0),"OK","ABWEICHUNG"))</f>
        <v/>
      </c>
    </row>
    <row r="440">
      <c r="A440" s="50" t="n"/>
      <c r="B440" s="44" t="n"/>
      <c r="C440" s="44" t="n"/>
      <c r="D440" s="44" t="n"/>
      <c r="E440" s="44" t="n"/>
      <c r="F440" s="44" t="n"/>
      <c r="G440" s="44" t="n"/>
      <c r="H440" s="44" t="n"/>
      <c r="I440" s="45" t="n"/>
      <c r="J440" s="45" t="n"/>
      <c r="K440" s="85" t="n"/>
      <c r="L440" s="85" t="n"/>
      <c r="M440" s="88" t="n"/>
      <c r="N440" s="88" t="n"/>
      <c r="O440" s="44" t="n"/>
      <c r="P440" s="45" t="n"/>
      <c r="Q440" s="45" t="n"/>
      <c r="R440" s="44" t="n"/>
      <c r="S440" s="45" t="n"/>
      <c r="T440" s="45" t="n"/>
      <c r="U440" s="85" t="n"/>
      <c r="V440" s="44" t="n"/>
      <c r="W440" s="45" t="n"/>
      <c r="X440" s="45" t="n"/>
      <c r="Y440" s="44" t="n"/>
      <c r="Z440" s="85" t="n"/>
      <c r="AA440" s="44" t="n"/>
      <c r="AB440" s="44" t="n"/>
      <c r="AC440" s="44" t="n"/>
      <c r="AD440" s="44" t="n"/>
      <c r="AE440" s="44" t="n"/>
      <c r="AF440" s="88" t="n"/>
      <c r="AG440" s="85" t="n"/>
      <c r="AH440" s="85" t="n"/>
      <c r="AI440" s="85" t="n"/>
      <c r="AJ440" s="85" t="n"/>
      <c r="AK440" s="85" t="n"/>
      <c r="AL440" s="85" t="n"/>
      <c r="AM440" s="85" t="n"/>
      <c r="AN440" s="85" t="n"/>
      <c r="AO440" s="85" t="n"/>
      <c r="AP440" s="85" t="n"/>
      <c r="AQ440" s="85" t="n"/>
      <c r="AR440" s="85" t="n"/>
      <c r="AS440" s="85" t="n"/>
      <c r="AT440" s="85" t="n"/>
      <c r="AU440" s="85" t="n"/>
      <c r="AV440" s="85" t="n"/>
      <c r="AW440" s="44" t="n"/>
      <c r="AX440" s="85" t="n"/>
      <c r="AY440" s="88" t="n"/>
      <c r="AZ440" s="86" t="n"/>
      <c r="BA440" s="44" t="n"/>
      <c r="BB440" s="44" t="n"/>
      <c r="BC440" s="87" t="n"/>
      <c r="BD440" s="44" t="n"/>
      <c r="BE440" s="87" t="n"/>
      <c r="BF440" s="85" t="n"/>
      <c r="BG440" s="44" t="n"/>
      <c r="BH440" s="44" t="n"/>
      <c r="BI440" s="85" t="n"/>
      <c r="BJ440" s="44" t="n"/>
      <c r="BK440" s="45" t="n"/>
      <c r="BL440" s="44" t="n"/>
      <c r="BM440" s="85" t="n"/>
      <c r="BN440" s="44" t="n"/>
      <c r="BO440" s="85" t="n"/>
      <c r="BP440" s="86" t="n"/>
      <c r="BQ440" s="44" t="n"/>
      <c r="BR440" s="50" t="n"/>
      <c r="BS440" s="89" t="n"/>
      <c r="BT440" s="50">
        <f>IF(OR(K440="",L440="",M440=""),"",IF(ABS(ROUND(((ROUND(N(K440)*100,0))-(0))*(100+N(M440))/100,0)-(ROUND(N(L440)*100,0)))&lt;=0+IF(((ROUND(N(K440)*100,0))-(0))*(100+N(M440))/100&lt;&gt;ROUND(((ROUND(N(K440)*100,0))-(0))*(100+N(M440))/100,0),1,0),"OK","ABWEICHUNG"))</f>
        <v/>
      </c>
    </row>
    <row r="441">
      <c r="A441" s="50" t="n"/>
      <c r="B441" s="44" t="n"/>
      <c r="C441" s="44" t="n"/>
      <c r="D441" s="44" t="n"/>
      <c r="E441" s="44" t="n"/>
      <c r="F441" s="44" t="n"/>
      <c r="G441" s="44" t="n"/>
      <c r="H441" s="44" t="n"/>
      <c r="I441" s="45" t="n"/>
      <c r="J441" s="45" t="n"/>
      <c r="K441" s="85" t="n"/>
      <c r="L441" s="85" t="n"/>
      <c r="M441" s="88" t="n"/>
      <c r="N441" s="88" t="n"/>
      <c r="O441" s="44" t="n"/>
      <c r="P441" s="45" t="n"/>
      <c r="Q441" s="45" t="n"/>
      <c r="R441" s="44" t="n"/>
      <c r="S441" s="45" t="n"/>
      <c r="T441" s="45" t="n"/>
      <c r="U441" s="85" t="n"/>
      <c r="V441" s="44" t="n"/>
      <c r="W441" s="45" t="n"/>
      <c r="X441" s="45" t="n"/>
      <c r="Y441" s="44" t="n"/>
      <c r="Z441" s="85" t="n"/>
      <c r="AA441" s="44" t="n"/>
      <c r="AB441" s="44" t="n"/>
      <c r="AC441" s="44" t="n"/>
      <c r="AD441" s="44" t="n"/>
      <c r="AE441" s="44" t="n"/>
      <c r="AF441" s="88" t="n"/>
      <c r="AG441" s="85" t="n"/>
      <c r="AH441" s="85" t="n"/>
      <c r="AI441" s="85" t="n"/>
      <c r="AJ441" s="85" t="n"/>
      <c r="AK441" s="85" t="n"/>
      <c r="AL441" s="85" t="n"/>
      <c r="AM441" s="85" t="n"/>
      <c r="AN441" s="85" t="n"/>
      <c r="AO441" s="85" t="n"/>
      <c r="AP441" s="85" t="n"/>
      <c r="AQ441" s="85" t="n"/>
      <c r="AR441" s="85" t="n"/>
      <c r="AS441" s="85" t="n"/>
      <c r="AT441" s="85" t="n"/>
      <c r="AU441" s="85" t="n"/>
      <c r="AV441" s="85" t="n"/>
      <c r="AW441" s="44" t="n"/>
      <c r="AX441" s="85" t="n"/>
      <c r="AY441" s="88" t="n"/>
      <c r="AZ441" s="86" t="n"/>
      <c r="BA441" s="44" t="n"/>
      <c r="BB441" s="44" t="n"/>
      <c r="BC441" s="87" t="n"/>
      <c r="BD441" s="44" t="n"/>
      <c r="BE441" s="87" t="n"/>
      <c r="BF441" s="85" t="n"/>
      <c r="BG441" s="44" t="n"/>
      <c r="BH441" s="44" t="n"/>
      <c r="BI441" s="85" t="n"/>
      <c r="BJ441" s="44" t="n"/>
      <c r="BK441" s="45" t="n"/>
      <c r="BL441" s="44" t="n"/>
      <c r="BM441" s="85" t="n"/>
      <c r="BN441" s="44" t="n"/>
      <c r="BO441" s="85" t="n"/>
      <c r="BP441" s="86" t="n"/>
      <c r="BQ441" s="44" t="n"/>
      <c r="BR441" s="50" t="n"/>
      <c r="BS441" s="89" t="n"/>
      <c r="BT441" s="50">
        <f>IF(OR(K441="",L441="",M441=""),"",IF(ABS(ROUND(((ROUND(N(K441)*100,0))-(0))*(100+N(M441))/100,0)-(ROUND(N(L441)*100,0)))&lt;=0+IF(((ROUND(N(K441)*100,0))-(0))*(100+N(M441))/100&lt;&gt;ROUND(((ROUND(N(K441)*100,0))-(0))*(100+N(M441))/100,0),1,0),"OK","ABWEICHUNG"))</f>
        <v/>
      </c>
    </row>
    <row r="442">
      <c r="A442" s="50" t="n"/>
      <c r="B442" s="44" t="n"/>
      <c r="C442" s="44" t="n"/>
      <c r="D442" s="44" t="n"/>
      <c r="E442" s="44" t="n"/>
      <c r="F442" s="44" t="n"/>
      <c r="G442" s="44" t="n"/>
      <c r="H442" s="44" t="n"/>
      <c r="I442" s="45" t="n"/>
      <c r="J442" s="45" t="n"/>
      <c r="K442" s="85" t="n"/>
      <c r="L442" s="85" t="n"/>
      <c r="M442" s="88" t="n"/>
      <c r="N442" s="88" t="n"/>
      <c r="O442" s="44" t="n"/>
      <c r="P442" s="45" t="n"/>
      <c r="Q442" s="45" t="n"/>
      <c r="R442" s="44" t="n"/>
      <c r="S442" s="45" t="n"/>
      <c r="T442" s="45" t="n"/>
      <c r="U442" s="85" t="n"/>
      <c r="V442" s="44" t="n"/>
      <c r="W442" s="45" t="n"/>
      <c r="X442" s="45" t="n"/>
      <c r="Y442" s="44" t="n"/>
      <c r="Z442" s="85" t="n"/>
      <c r="AA442" s="44" t="n"/>
      <c r="AB442" s="44" t="n"/>
      <c r="AC442" s="44" t="n"/>
      <c r="AD442" s="44" t="n"/>
      <c r="AE442" s="44" t="n"/>
      <c r="AF442" s="88" t="n"/>
      <c r="AG442" s="85" t="n"/>
      <c r="AH442" s="85" t="n"/>
      <c r="AI442" s="85" t="n"/>
      <c r="AJ442" s="85" t="n"/>
      <c r="AK442" s="85" t="n"/>
      <c r="AL442" s="85" t="n"/>
      <c r="AM442" s="85" t="n"/>
      <c r="AN442" s="85" t="n"/>
      <c r="AO442" s="85" t="n"/>
      <c r="AP442" s="85" t="n"/>
      <c r="AQ442" s="85" t="n"/>
      <c r="AR442" s="85" t="n"/>
      <c r="AS442" s="85" t="n"/>
      <c r="AT442" s="85" t="n"/>
      <c r="AU442" s="85" t="n"/>
      <c r="AV442" s="85" t="n"/>
      <c r="AW442" s="44" t="n"/>
      <c r="AX442" s="85" t="n"/>
      <c r="AY442" s="88" t="n"/>
      <c r="AZ442" s="86" t="n"/>
      <c r="BA442" s="44" t="n"/>
      <c r="BB442" s="44" t="n"/>
      <c r="BC442" s="87" t="n"/>
      <c r="BD442" s="44" t="n"/>
      <c r="BE442" s="87" t="n"/>
      <c r="BF442" s="85" t="n"/>
      <c r="BG442" s="44" t="n"/>
      <c r="BH442" s="44" t="n"/>
      <c r="BI442" s="85" t="n"/>
      <c r="BJ442" s="44" t="n"/>
      <c r="BK442" s="45" t="n"/>
      <c r="BL442" s="44" t="n"/>
      <c r="BM442" s="85" t="n"/>
      <c r="BN442" s="44" t="n"/>
      <c r="BO442" s="85" t="n"/>
      <c r="BP442" s="86" t="n"/>
      <c r="BQ442" s="44" t="n"/>
      <c r="BR442" s="50" t="n"/>
      <c r="BS442" s="89" t="n"/>
      <c r="BT442" s="50">
        <f>IF(OR(K442="",L442="",M442=""),"",IF(ABS(ROUND(((ROUND(N(K442)*100,0))-(0))*(100+N(M442))/100,0)-(ROUND(N(L442)*100,0)))&lt;=0+IF(((ROUND(N(K442)*100,0))-(0))*(100+N(M442))/100&lt;&gt;ROUND(((ROUND(N(K442)*100,0))-(0))*(100+N(M442))/100,0),1,0),"OK","ABWEICHUNG"))</f>
        <v/>
      </c>
    </row>
    <row r="443">
      <c r="A443" s="50" t="n"/>
      <c r="B443" s="44" t="n"/>
      <c r="C443" s="44" t="n"/>
      <c r="D443" s="44" t="n"/>
      <c r="E443" s="44" t="n"/>
      <c r="F443" s="44" t="n"/>
      <c r="G443" s="44" t="n"/>
      <c r="H443" s="44" t="n"/>
      <c r="I443" s="45" t="n"/>
      <c r="J443" s="45" t="n"/>
      <c r="K443" s="85" t="n"/>
      <c r="L443" s="85" t="n"/>
      <c r="M443" s="88" t="n"/>
      <c r="N443" s="88" t="n"/>
      <c r="O443" s="44" t="n"/>
      <c r="P443" s="45" t="n"/>
      <c r="Q443" s="45" t="n"/>
      <c r="R443" s="44" t="n"/>
      <c r="S443" s="45" t="n"/>
      <c r="T443" s="45" t="n"/>
      <c r="U443" s="85" t="n"/>
      <c r="V443" s="44" t="n"/>
      <c r="W443" s="45" t="n"/>
      <c r="X443" s="45" t="n"/>
      <c r="Y443" s="44" t="n"/>
      <c r="Z443" s="85" t="n"/>
      <c r="AA443" s="44" t="n"/>
      <c r="AB443" s="44" t="n"/>
      <c r="AC443" s="44" t="n"/>
      <c r="AD443" s="44" t="n"/>
      <c r="AE443" s="44" t="n"/>
      <c r="AF443" s="88" t="n"/>
      <c r="AG443" s="85" t="n"/>
      <c r="AH443" s="85" t="n"/>
      <c r="AI443" s="85" t="n"/>
      <c r="AJ443" s="85" t="n"/>
      <c r="AK443" s="85" t="n"/>
      <c r="AL443" s="85" t="n"/>
      <c r="AM443" s="85" t="n"/>
      <c r="AN443" s="85" t="n"/>
      <c r="AO443" s="85" t="n"/>
      <c r="AP443" s="85" t="n"/>
      <c r="AQ443" s="85" t="n"/>
      <c r="AR443" s="85" t="n"/>
      <c r="AS443" s="85" t="n"/>
      <c r="AT443" s="85" t="n"/>
      <c r="AU443" s="85" t="n"/>
      <c r="AV443" s="85" t="n"/>
      <c r="AW443" s="44" t="n"/>
      <c r="AX443" s="85" t="n"/>
      <c r="AY443" s="88" t="n"/>
      <c r="AZ443" s="86" t="n"/>
      <c r="BA443" s="44" t="n"/>
      <c r="BB443" s="44" t="n"/>
      <c r="BC443" s="87" t="n"/>
      <c r="BD443" s="44" t="n"/>
      <c r="BE443" s="87" t="n"/>
      <c r="BF443" s="85" t="n"/>
      <c r="BG443" s="44" t="n"/>
      <c r="BH443" s="44" t="n"/>
      <c r="BI443" s="85" t="n"/>
      <c r="BJ443" s="44" t="n"/>
      <c r="BK443" s="45" t="n"/>
      <c r="BL443" s="44" t="n"/>
      <c r="BM443" s="85" t="n"/>
      <c r="BN443" s="44" t="n"/>
      <c r="BO443" s="85" t="n"/>
      <c r="BP443" s="86" t="n"/>
      <c r="BQ443" s="44" t="n"/>
      <c r="BR443" s="50" t="n"/>
      <c r="BS443" s="89" t="n"/>
      <c r="BT443" s="50">
        <f>IF(OR(K443="",L443="",M443=""),"",IF(ABS(ROUND(((ROUND(N(K443)*100,0))-(0))*(100+N(M443))/100,0)-(ROUND(N(L443)*100,0)))&lt;=0+IF(((ROUND(N(K443)*100,0))-(0))*(100+N(M443))/100&lt;&gt;ROUND(((ROUND(N(K443)*100,0))-(0))*(100+N(M443))/100,0),1,0),"OK","ABWEICHUNG"))</f>
        <v/>
      </c>
    </row>
    <row r="444">
      <c r="A444" s="50" t="n"/>
      <c r="B444" s="44" t="n"/>
      <c r="C444" s="44" t="n"/>
      <c r="D444" s="44" t="n"/>
      <c r="E444" s="44" t="n"/>
      <c r="F444" s="44" t="n"/>
      <c r="G444" s="44" t="n"/>
      <c r="H444" s="44" t="n"/>
      <c r="I444" s="45" t="n"/>
      <c r="J444" s="45" t="n"/>
      <c r="K444" s="85" t="n"/>
      <c r="L444" s="85" t="n"/>
      <c r="M444" s="88" t="n"/>
      <c r="N444" s="88" t="n"/>
      <c r="O444" s="44" t="n"/>
      <c r="P444" s="45" t="n"/>
      <c r="Q444" s="45" t="n"/>
      <c r="R444" s="44" t="n"/>
      <c r="S444" s="45" t="n"/>
      <c r="T444" s="45" t="n"/>
      <c r="U444" s="85" t="n"/>
      <c r="V444" s="44" t="n"/>
      <c r="W444" s="45" t="n"/>
      <c r="X444" s="45" t="n"/>
      <c r="Y444" s="44" t="n"/>
      <c r="Z444" s="85" t="n"/>
      <c r="AA444" s="44" t="n"/>
      <c r="AB444" s="44" t="n"/>
      <c r="AC444" s="44" t="n"/>
      <c r="AD444" s="44" t="n"/>
      <c r="AE444" s="44" t="n"/>
      <c r="AF444" s="88" t="n"/>
      <c r="AG444" s="85" t="n"/>
      <c r="AH444" s="85" t="n"/>
      <c r="AI444" s="85" t="n"/>
      <c r="AJ444" s="85" t="n"/>
      <c r="AK444" s="85" t="n"/>
      <c r="AL444" s="85" t="n"/>
      <c r="AM444" s="85" t="n"/>
      <c r="AN444" s="85" t="n"/>
      <c r="AO444" s="85" t="n"/>
      <c r="AP444" s="85" t="n"/>
      <c r="AQ444" s="85" t="n"/>
      <c r="AR444" s="85" t="n"/>
      <c r="AS444" s="85" t="n"/>
      <c r="AT444" s="85" t="n"/>
      <c r="AU444" s="85" t="n"/>
      <c r="AV444" s="85" t="n"/>
      <c r="AW444" s="44" t="n"/>
      <c r="AX444" s="85" t="n"/>
      <c r="AY444" s="88" t="n"/>
      <c r="AZ444" s="86" t="n"/>
      <c r="BA444" s="44" t="n"/>
      <c r="BB444" s="44" t="n"/>
      <c r="BC444" s="87" t="n"/>
      <c r="BD444" s="44" t="n"/>
      <c r="BE444" s="87" t="n"/>
      <c r="BF444" s="85" t="n"/>
      <c r="BG444" s="44" t="n"/>
      <c r="BH444" s="44" t="n"/>
      <c r="BI444" s="85" t="n"/>
      <c r="BJ444" s="44" t="n"/>
      <c r="BK444" s="45" t="n"/>
      <c r="BL444" s="44" t="n"/>
      <c r="BM444" s="85" t="n"/>
      <c r="BN444" s="44" t="n"/>
      <c r="BO444" s="85" t="n"/>
      <c r="BP444" s="86" t="n"/>
      <c r="BQ444" s="44" t="n"/>
      <c r="BR444" s="50" t="n"/>
      <c r="BS444" s="89" t="n"/>
      <c r="BT444" s="50">
        <f>IF(OR(K444="",L444="",M444=""),"",IF(ABS(ROUND(((ROUND(N(K444)*100,0))-(0))*(100+N(M444))/100,0)-(ROUND(N(L444)*100,0)))&lt;=0+IF(((ROUND(N(K444)*100,0))-(0))*(100+N(M444))/100&lt;&gt;ROUND(((ROUND(N(K444)*100,0))-(0))*(100+N(M444))/100,0),1,0),"OK","ABWEICHUNG"))</f>
        <v/>
      </c>
    </row>
    <row r="445">
      <c r="A445" s="50" t="n"/>
      <c r="B445" s="44" t="n"/>
      <c r="C445" s="44" t="n"/>
      <c r="D445" s="44" t="n"/>
      <c r="E445" s="44" t="n"/>
      <c r="F445" s="44" t="n"/>
      <c r="G445" s="44" t="n"/>
      <c r="H445" s="44" t="n"/>
      <c r="I445" s="45" t="n"/>
      <c r="J445" s="45" t="n"/>
      <c r="K445" s="85" t="n"/>
      <c r="L445" s="85" t="n"/>
      <c r="M445" s="88" t="n"/>
      <c r="N445" s="88" t="n"/>
      <c r="O445" s="44" t="n"/>
      <c r="P445" s="45" t="n"/>
      <c r="Q445" s="45" t="n"/>
      <c r="R445" s="44" t="n"/>
      <c r="S445" s="45" t="n"/>
      <c r="T445" s="45" t="n"/>
      <c r="U445" s="85" t="n"/>
      <c r="V445" s="44" t="n"/>
      <c r="W445" s="45" t="n"/>
      <c r="X445" s="45" t="n"/>
      <c r="Y445" s="44" t="n"/>
      <c r="Z445" s="85" t="n"/>
      <c r="AA445" s="44" t="n"/>
      <c r="AB445" s="44" t="n"/>
      <c r="AC445" s="44" t="n"/>
      <c r="AD445" s="44" t="n"/>
      <c r="AE445" s="44" t="n"/>
      <c r="AF445" s="88" t="n"/>
      <c r="AG445" s="85" t="n"/>
      <c r="AH445" s="85" t="n"/>
      <c r="AI445" s="85" t="n"/>
      <c r="AJ445" s="85" t="n"/>
      <c r="AK445" s="85" t="n"/>
      <c r="AL445" s="85" t="n"/>
      <c r="AM445" s="85" t="n"/>
      <c r="AN445" s="85" t="n"/>
      <c r="AO445" s="85" t="n"/>
      <c r="AP445" s="85" t="n"/>
      <c r="AQ445" s="85" t="n"/>
      <c r="AR445" s="85" t="n"/>
      <c r="AS445" s="85" t="n"/>
      <c r="AT445" s="85" t="n"/>
      <c r="AU445" s="85" t="n"/>
      <c r="AV445" s="85" t="n"/>
      <c r="AW445" s="44" t="n"/>
      <c r="AX445" s="85" t="n"/>
      <c r="AY445" s="88" t="n"/>
      <c r="AZ445" s="86" t="n"/>
      <c r="BA445" s="44" t="n"/>
      <c r="BB445" s="44" t="n"/>
      <c r="BC445" s="87" t="n"/>
      <c r="BD445" s="44" t="n"/>
      <c r="BE445" s="87" t="n"/>
      <c r="BF445" s="85" t="n"/>
      <c r="BG445" s="44" t="n"/>
      <c r="BH445" s="44" t="n"/>
      <c r="BI445" s="85" t="n"/>
      <c r="BJ445" s="44" t="n"/>
      <c r="BK445" s="45" t="n"/>
      <c r="BL445" s="44" t="n"/>
      <c r="BM445" s="85" t="n"/>
      <c r="BN445" s="44" t="n"/>
      <c r="BO445" s="85" t="n"/>
      <c r="BP445" s="86" t="n"/>
      <c r="BQ445" s="44" t="n"/>
      <c r="BR445" s="50" t="n"/>
      <c r="BS445" s="89" t="n"/>
      <c r="BT445" s="50">
        <f>IF(OR(K445="",L445="",M445=""),"",IF(ABS(ROUND(((ROUND(N(K445)*100,0))-(0))*(100+N(M445))/100,0)-(ROUND(N(L445)*100,0)))&lt;=0+IF(((ROUND(N(K445)*100,0))-(0))*(100+N(M445))/100&lt;&gt;ROUND(((ROUND(N(K445)*100,0))-(0))*(100+N(M445))/100,0),1,0),"OK","ABWEICHUNG"))</f>
        <v/>
      </c>
    </row>
    <row r="446">
      <c r="A446" s="50" t="n"/>
      <c r="B446" s="44" t="n"/>
      <c r="C446" s="44" t="n"/>
      <c r="D446" s="44" t="n"/>
      <c r="E446" s="44" t="n"/>
      <c r="F446" s="44" t="n"/>
      <c r="G446" s="44" t="n"/>
      <c r="H446" s="44" t="n"/>
      <c r="I446" s="45" t="n"/>
      <c r="J446" s="45" t="n"/>
      <c r="K446" s="85" t="n"/>
      <c r="L446" s="85" t="n"/>
      <c r="M446" s="88" t="n"/>
      <c r="N446" s="88" t="n"/>
      <c r="O446" s="44" t="n"/>
      <c r="P446" s="45" t="n"/>
      <c r="Q446" s="45" t="n"/>
      <c r="R446" s="44" t="n"/>
      <c r="S446" s="45" t="n"/>
      <c r="T446" s="45" t="n"/>
      <c r="U446" s="85" t="n"/>
      <c r="V446" s="44" t="n"/>
      <c r="W446" s="45" t="n"/>
      <c r="X446" s="45" t="n"/>
      <c r="Y446" s="44" t="n"/>
      <c r="Z446" s="85" t="n"/>
      <c r="AA446" s="44" t="n"/>
      <c r="AB446" s="44" t="n"/>
      <c r="AC446" s="44" t="n"/>
      <c r="AD446" s="44" t="n"/>
      <c r="AE446" s="44" t="n"/>
      <c r="AF446" s="88" t="n"/>
      <c r="AG446" s="85" t="n"/>
      <c r="AH446" s="85" t="n"/>
      <c r="AI446" s="85" t="n"/>
      <c r="AJ446" s="85" t="n"/>
      <c r="AK446" s="85" t="n"/>
      <c r="AL446" s="85" t="n"/>
      <c r="AM446" s="85" t="n"/>
      <c r="AN446" s="85" t="n"/>
      <c r="AO446" s="85" t="n"/>
      <c r="AP446" s="85" t="n"/>
      <c r="AQ446" s="85" t="n"/>
      <c r="AR446" s="85" t="n"/>
      <c r="AS446" s="85" t="n"/>
      <c r="AT446" s="85" t="n"/>
      <c r="AU446" s="85" t="n"/>
      <c r="AV446" s="85" t="n"/>
      <c r="AW446" s="44" t="n"/>
      <c r="AX446" s="85" t="n"/>
      <c r="AY446" s="88" t="n"/>
      <c r="AZ446" s="86" t="n"/>
      <c r="BA446" s="44" t="n"/>
      <c r="BB446" s="44" t="n"/>
      <c r="BC446" s="87" t="n"/>
      <c r="BD446" s="44" t="n"/>
      <c r="BE446" s="87" t="n"/>
      <c r="BF446" s="85" t="n"/>
      <c r="BG446" s="44" t="n"/>
      <c r="BH446" s="44" t="n"/>
      <c r="BI446" s="85" t="n"/>
      <c r="BJ446" s="44" t="n"/>
      <c r="BK446" s="45" t="n"/>
      <c r="BL446" s="44" t="n"/>
      <c r="BM446" s="85" t="n"/>
      <c r="BN446" s="44" t="n"/>
      <c r="BO446" s="85" t="n"/>
      <c r="BP446" s="86" t="n"/>
      <c r="BQ446" s="44" t="n"/>
      <c r="BR446" s="50" t="n"/>
      <c r="BS446" s="89" t="n"/>
      <c r="BT446" s="50">
        <f>IF(OR(K446="",L446="",M446=""),"",IF(ABS(ROUND(((ROUND(N(K446)*100,0))-(0))*(100+N(M446))/100,0)-(ROUND(N(L446)*100,0)))&lt;=0+IF(((ROUND(N(K446)*100,0))-(0))*(100+N(M446))/100&lt;&gt;ROUND(((ROUND(N(K446)*100,0))-(0))*(100+N(M446))/100,0),1,0),"OK","ABWEICHUNG"))</f>
        <v/>
      </c>
    </row>
    <row r="447">
      <c r="A447" s="50" t="n"/>
      <c r="B447" s="44" t="n"/>
      <c r="C447" s="44" t="n"/>
      <c r="D447" s="44" t="n"/>
      <c r="E447" s="44" t="n"/>
      <c r="F447" s="44" t="n"/>
      <c r="G447" s="44" t="n"/>
      <c r="H447" s="44" t="n"/>
      <c r="I447" s="45" t="n"/>
      <c r="J447" s="45" t="n"/>
      <c r="K447" s="85" t="n"/>
      <c r="L447" s="85" t="n"/>
      <c r="M447" s="88" t="n"/>
      <c r="N447" s="88" t="n"/>
      <c r="O447" s="44" t="n"/>
      <c r="P447" s="45" t="n"/>
      <c r="Q447" s="45" t="n"/>
      <c r="R447" s="44" t="n"/>
      <c r="S447" s="45" t="n"/>
      <c r="T447" s="45" t="n"/>
      <c r="U447" s="85" t="n"/>
      <c r="V447" s="44" t="n"/>
      <c r="W447" s="45" t="n"/>
      <c r="X447" s="45" t="n"/>
      <c r="Y447" s="44" t="n"/>
      <c r="Z447" s="85" t="n"/>
      <c r="AA447" s="44" t="n"/>
      <c r="AB447" s="44" t="n"/>
      <c r="AC447" s="44" t="n"/>
      <c r="AD447" s="44" t="n"/>
      <c r="AE447" s="44" t="n"/>
      <c r="AF447" s="88" t="n"/>
      <c r="AG447" s="85" t="n"/>
      <c r="AH447" s="85" t="n"/>
      <c r="AI447" s="85" t="n"/>
      <c r="AJ447" s="85" t="n"/>
      <c r="AK447" s="85" t="n"/>
      <c r="AL447" s="85" t="n"/>
      <c r="AM447" s="85" t="n"/>
      <c r="AN447" s="85" t="n"/>
      <c r="AO447" s="85" t="n"/>
      <c r="AP447" s="85" t="n"/>
      <c r="AQ447" s="85" t="n"/>
      <c r="AR447" s="85" t="n"/>
      <c r="AS447" s="85" t="n"/>
      <c r="AT447" s="85" t="n"/>
      <c r="AU447" s="85" t="n"/>
      <c r="AV447" s="85" t="n"/>
      <c r="AW447" s="44" t="n"/>
      <c r="AX447" s="85" t="n"/>
      <c r="AY447" s="88" t="n"/>
      <c r="AZ447" s="86" t="n"/>
      <c r="BA447" s="44" t="n"/>
      <c r="BB447" s="44" t="n"/>
      <c r="BC447" s="87" t="n"/>
      <c r="BD447" s="44" t="n"/>
      <c r="BE447" s="87" t="n"/>
      <c r="BF447" s="85" t="n"/>
      <c r="BG447" s="44" t="n"/>
      <c r="BH447" s="44" t="n"/>
      <c r="BI447" s="85" t="n"/>
      <c r="BJ447" s="44" t="n"/>
      <c r="BK447" s="45" t="n"/>
      <c r="BL447" s="44" t="n"/>
      <c r="BM447" s="85" t="n"/>
      <c r="BN447" s="44" t="n"/>
      <c r="BO447" s="85" t="n"/>
      <c r="BP447" s="86" t="n"/>
      <c r="BQ447" s="44" t="n"/>
      <c r="BR447" s="50" t="n"/>
      <c r="BS447" s="89" t="n"/>
      <c r="BT447" s="50">
        <f>IF(OR(K447="",L447="",M447=""),"",IF(ABS(ROUND(((ROUND(N(K447)*100,0))-(0))*(100+N(M447))/100,0)-(ROUND(N(L447)*100,0)))&lt;=0+IF(((ROUND(N(K447)*100,0))-(0))*(100+N(M447))/100&lt;&gt;ROUND(((ROUND(N(K447)*100,0))-(0))*(100+N(M447))/100,0),1,0),"OK","ABWEICHUNG"))</f>
        <v/>
      </c>
    </row>
    <row r="448">
      <c r="A448" s="50" t="n"/>
      <c r="B448" s="44" t="n"/>
      <c r="C448" s="44" t="n"/>
      <c r="D448" s="44" t="n"/>
      <c r="E448" s="44" t="n"/>
      <c r="F448" s="44" t="n"/>
      <c r="G448" s="44" t="n"/>
      <c r="H448" s="44" t="n"/>
      <c r="I448" s="45" t="n"/>
      <c r="J448" s="45" t="n"/>
      <c r="K448" s="85" t="n"/>
      <c r="L448" s="85" t="n"/>
      <c r="M448" s="88" t="n"/>
      <c r="N448" s="88" t="n"/>
      <c r="O448" s="44" t="n"/>
      <c r="P448" s="45" t="n"/>
      <c r="Q448" s="45" t="n"/>
      <c r="R448" s="44" t="n"/>
      <c r="S448" s="45" t="n"/>
      <c r="T448" s="45" t="n"/>
      <c r="U448" s="85" t="n"/>
      <c r="V448" s="44" t="n"/>
      <c r="W448" s="45" t="n"/>
      <c r="X448" s="45" t="n"/>
      <c r="Y448" s="44" t="n"/>
      <c r="Z448" s="85" t="n"/>
      <c r="AA448" s="44" t="n"/>
      <c r="AB448" s="44" t="n"/>
      <c r="AC448" s="44" t="n"/>
      <c r="AD448" s="44" t="n"/>
      <c r="AE448" s="44" t="n"/>
      <c r="AF448" s="88" t="n"/>
      <c r="AG448" s="85" t="n"/>
      <c r="AH448" s="85" t="n"/>
      <c r="AI448" s="85" t="n"/>
      <c r="AJ448" s="85" t="n"/>
      <c r="AK448" s="85" t="n"/>
      <c r="AL448" s="85" t="n"/>
      <c r="AM448" s="85" t="n"/>
      <c r="AN448" s="85" t="n"/>
      <c r="AO448" s="85" t="n"/>
      <c r="AP448" s="85" t="n"/>
      <c r="AQ448" s="85" t="n"/>
      <c r="AR448" s="85" t="n"/>
      <c r="AS448" s="85" t="n"/>
      <c r="AT448" s="85" t="n"/>
      <c r="AU448" s="85" t="n"/>
      <c r="AV448" s="85" t="n"/>
      <c r="AW448" s="44" t="n"/>
      <c r="AX448" s="85" t="n"/>
      <c r="AY448" s="88" t="n"/>
      <c r="AZ448" s="86" t="n"/>
      <c r="BA448" s="44" t="n"/>
      <c r="BB448" s="44" t="n"/>
      <c r="BC448" s="87" t="n"/>
      <c r="BD448" s="44" t="n"/>
      <c r="BE448" s="87" t="n"/>
      <c r="BF448" s="85" t="n"/>
      <c r="BG448" s="44" t="n"/>
      <c r="BH448" s="44" t="n"/>
      <c r="BI448" s="85" t="n"/>
      <c r="BJ448" s="44" t="n"/>
      <c r="BK448" s="45" t="n"/>
      <c r="BL448" s="44" t="n"/>
      <c r="BM448" s="85" t="n"/>
      <c r="BN448" s="44" t="n"/>
      <c r="BO448" s="85" t="n"/>
      <c r="BP448" s="86" t="n"/>
      <c r="BQ448" s="44" t="n"/>
      <c r="BR448" s="50" t="n"/>
      <c r="BS448" s="89" t="n"/>
      <c r="BT448" s="50">
        <f>IF(OR(K448="",L448="",M448=""),"",IF(ABS(ROUND(((ROUND(N(K448)*100,0))-(0))*(100+N(M448))/100,0)-(ROUND(N(L448)*100,0)))&lt;=0+IF(((ROUND(N(K448)*100,0))-(0))*(100+N(M448))/100&lt;&gt;ROUND(((ROUND(N(K448)*100,0))-(0))*(100+N(M448))/100,0),1,0),"OK","ABWEICHUNG"))</f>
        <v/>
      </c>
    </row>
    <row r="449">
      <c r="A449" s="50" t="n"/>
      <c r="B449" s="44" t="n"/>
      <c r="C449" s="44" t="n"/>
      <c r="D449" s="44" t="n"/>
      <c r="E449" s="44" t="n"/>
      <c r="F449" s="44" t="n"/>
      <c r="G449" s="44" t="n"/>
      <c r="H449" s="44" t="n"/>
      <c r="I449" s="45" t="n"/>
      <c r="J449" s="45" t="n"/>
      <c r="K449" s="85" t="n"/>
      <c r="L449" s="85" t="n"/>
      <c r="M449" s="88" t="n"/>
      <c r="N449" s="88" t="n"/>
      <c r="O449" s="44" t="n"/>
      <c r="P449" s="45" t="n"/>
      <c r="Q449" s="45" t="n"/>
      <c r="R449" s="44" t="n"/>
      <c r="S449" s="45" t="n"/>
      <c r="T449" s="45" t="n"/>
      <c r="U449" s="85" t="n"/>
      <c r="V449" s="44" t="n"/>
      <c r="W449" s="45" t="n"/>
      <c r="X449" s="45" t="n"/>
      <c r="Y449" s="44" t="n"/>
      <c r="Z449" s="85" t="n"/>
      <c r="AA449" s="44" t="n"/>
      <c r="AB449" s="44" t="n"/>
      <c r="AC449" s="44" t="n"/>
      <c r="AD449" s="44" t="n"/>
      <c r="AE449" s="44" t="n"/>
      <c r="AF449" s="88" t="n"/>
      <c r="AG449" s="85" t="n"/>
      <c r="AH449" s="85" t="n"/>
      <c r="AI449" s="85" t="n"/>
      <c r="AJ449" s="85" t="n"/>
      <c r="AK449" s="85" t="n"/>
      <c r="AL449" s="85" t="n"/>
      <c r="AM449" s="85" t="n"/>
      <c r="AN449" s="85" t="n"/>
      <c r="AO449" s="85" t="n"/>
      <c r="AP449" s="85" t="n"/>
      <c r="AQ449" s="85" t="n"/>
      <c r="AR449" s="85" t="n"/>
      <c r="AS449" s="85" t="n"/>
      <c r="AT449" s="85" t="n"/>
      <c r="AU449" s="85" t="n"/>
      <c r="AV449" s="85" t="n"/>
      <c r="AW449" s="44" t="n"/>
      <c r="AX449" s="85" t="n"/>
      <c r="AY449" s="88" t="n"/>
      <c r="AZ449" s="86" t="n"/>
      <c r="BA449" s="44" t="n"/>
      <c r="BB449" s="44" t="n"/>
      <c r="BC449" s="87" t="n"/>
      <c r="BD449" s="44" t="n"/>
      <c r="BE449" s="87" t="n"/>
      <c r="BF449" s="85" t="n"/>
      <c r="BG449" s="44" t="n"/>
      <c r="BH449" s="44" t="n"/>
      <c r="BI449" s="85" t="n"/>
      <c r="BJ449" s="44" t="n"/>
      <c r="BK449" s="45" t="n"/>
      <c r="BL449" s="44" t="n"/>
      <c r="BM449" s="85" t="n"/>
      <c r="BN449" s="44" t="n"/>
      <c r="BO449" s="85" t="n"/>
      <c r="BP449" s="86" t="n"/>
      <c r="BQ449" s="44" t="n"/>
      <c r="BR449" s="50" t="n"/>
      <c r="BS449" s="89" t="n"/>
      <c r="BT449" s="50">
        <f>IF(OR(K449="",L449="",M449=""),"",IF(ABS(ROUND(((ROUND(N(K449)*100,0))-(0))*(100+N(M449))/100,0)-(ROUND(N(L449)*100,0)))&lt;=0+IF(((ROUND(N(K449)*100,0))-(0))*(100+N(M449))/100&lt;&gt;ROUND(((ROUND(N(K449)*100,0))-(0))*(100+N(M449))/100,0),1,0),"OK","ABWEICHUNG"))</f>
        <v/>
      </c>
    </row>
    <row r="450">
      <c r="A450" s="50" t="n"/>
      <c r="B450" s="44" t="n"/>
      <c r="C450" s="44" t="n"/>
      <c r="D450" s="44" t="n"/>
      <c r="E450" s="44" t="n"/>
      <c r="F450" s="44" t="n"/>
      <c r="G450" s="44" t="n"/>
      <c r="H450" s="44" t="n"/>
      <c r="I450" s="45" t="n"/>
      <c r="J450" s="45" t="n"/>
      <c r="K450" s="85" t="n"/>
      <c r="L450" s="85" t="n"/>
      <c r="M450" s="88" t="n"/>
      <c r="N450" s="88" t="n"/>
      <c r="O450" s="44" t="n"/>
      <c r="P450" s="45" t="n"/>
      <c r="Q450" s="45" t="n"/>
      <c r="R450" s="44" t="n"/>
      <c r="S450" s="45" t="n"/>
      <c r="T450" s="45" t="n"/>
      <c r="U450" s="85" t="n"/>
      <c r="V450" s="44" t="n"/>
      <c r="W450" s="45" t="n"/>
      <c r="X450" s="45" t="n"/>
      <c r="Y450" s="44" t="n"/>
      <c r="Z450" s="85" t="n"/>
      <c r="AA450" s="44" t="n"/>
      <c r="AB450" s="44" t="n"/>
      <c r="AC450" s="44" t="n"/>
      <c r="AD450" s="44" t="n"/>
      <c r="AE450" s="44" t="n"/>
      <c r="AF450" s="88" t="n"/>
      <c r="AG450" s="85" t="n"/>
      <c r="AH450" s="85" t="n"/>
      <c r="AI450" s="85" t="n"/>
      <c r="AJ450" s="85" t="n"/>
      <c r="AK450" s="85" t="n"/>
      <c r="AL450" s="85" t="n"/>
      <c r="AM450" s="85" t="n"/>
      <c r="AN450" s="85" t="n"/>
      <c r="AO450" s="85" t="n"/>
      <c r="AP450" s="85" t="n"/>
      <c r="AQ450" s="85" t="n"/>
      <c r="AR450" s="85" t="n"/>
      <c r="AS450" s="85" t="n"/>
      <c r="AT450" s="85" t="n"/>
      <c r="AU450" s="85" t="n"/>
      <c r="AV450" s="85" t="n"/>
      <c r="AW450" s="44" t="n"/>
      <c r="AX450" s="85" t="n"/>
      <c r="AY450" s="88" t="n"/>
      <c r="AZ450" s="86" t="n"/>
      <c r="BA450" s="44" t="n"/>
      <c r="BB450" s="44" t="n"/>
      <c r="BC450" s="87" t="n"/>
      <c r="BD450" s="44" t="n"/>
      <c r="BE450" s="87" t="n"/>
      <c r="BF450" s="85" t="n"/>
      <c r="BG450" s="44" t="n"/>
      <c r="BH450" s="44" t="n"/>
      <c r="BI450" s="85" t="n"/>
      <c r="BJ450" s="44" t="n"/>
      <c r="BK450" s="45" t="n"/>
      <c r="BL450" s="44" t="n"/>
      <c r="BM450" s="85" t="n"/>
      <c r="BN450" s="44" t="n"/>
      <c r="BO450" s="85" t="n"/>
      <c r="BP450" s="86" t="n"/>
      <c r="BQ450" s="44" t="n"/>
      <c r="BR450" s="50" t="n"/>
      <c r="BS450" s="89" t="n"/>
      <c r="BT450" s="50">
        <f>IF(OR(K450="",L450="",M450=""),"",IF(ABS(ROUND(((ROUND(N(K450)*100,0))-(0))*(100+N(M450))/100,0)-(ROUND(N(L450)*100,0)))&lt;=0+IF(((ROUND(N(K450)*100,0))-(0))*(100+N(M450))/100&lt;&gt;ROUND(((ROUND(N(K450)*100,0))-(0))*(100+N(M450))/100,0),1,0),"OK","ABWEICHUNG"))</f>
        <v/>
      </c>
    </row>
    <row r="451">
      <c r="A451" s="50" t="n"/>
      <c r="B451" s="44" t="n"/>
      <c r="C451" s="44" t="n"/>
      <c r="D451" s="44" t="n"/>
      <c r="E451" s="44" t="n"/>
      <c r="F451" s="44" t="n"/>
      <c r="G451" s="44" t="n"/>
      <c r="H451" s="44" t="n"/>
      <c r="I451" s="45" t="n"/>
      <c r="J451" s="45" t="n"/>
      <c r="K451" s="85" t="n"/>
      <c r="L451" s="85" t="n"/>
      <c r="M451" s="88" t="n"/>
      <c r="N451" s="88" t="n"/>
      <c r="O451" s="44" t="n"/>
      <c r="P451" s="45" t="n"/>
      <c r="Q451" s="45" t="n"/>
      <c r="R451" s="44" t="n"/>
      <c r="S451" s="45" t="n"/>
      <c r="T451" s="45" t="n"/>
      <c r="U451" s="85" t="n"/>
      <c r="V451" s="44" t="n"/>
      <c r="W451" s="45" t="n"/>
      <c r="X451" s="45" t="n"/>
      <c r="Y451" s="44" t="n"/>
      <c r="Z451" s="85" t="n"/>
      <c r="AA451" s="44" t="n"/>
      <c r="AB451" s="44" t="n"/>
      <c r="AC451" s="44" t="n"/>
      <c r="AD451" s="44" t="n"/>
      <c r="AE451" s="44" t="n"/>
      <c r="AF451" s="88" t="n"/>
      <c r="AG451" s="85" t="n"/>
      <c r="AH451" s="85" t="n"/>
      <c r="AI451" s="85" t="n"/>
      <c r="AJ451" s="85" t="n"/>
      <c r="AK451" s="85" t="n"/>
      <c r="AL451" s="85" t="n"/>
      <c r="AM451" s="85" t="n"/>
      <c r="AN451" s="85" t="n"/>
      <c r="AO451" s="85" t="n"/>
      <c r="AP451" s="85" t="n"/>
      <c r="AQ451" s="85" t="n"/>
      <c r="AR451" s="85" t="n"/>
      <c r="AS451" s="85" t="n"/>
      <c r="AT451" s="85" t="n"/>
      <c r="AU451" s="85" t="n"/>
      <c r="AV451" s="85" t="n"/>
      <c r="AW451" s="44" t="n"/>
      <c r="AX451" s="85" t="n"/>
      <c r="AY451" s="88" t="n"/>
      <c r="AZ451" s="86" t="n"/>
      <c r="BA451" s="44" t="n"/>
      <c r="BB451" s="44" t="n"/>
      <c r="BC451" s="87" t="n"/>
      <c r="BD451" s="44" t="n"/>
      <c r="BE451" s="87" t="n"/>
      <c r="BF451" s="85" t="n"/>
      <c r="BG451" s="44" t="n"/>
      <c r="BH451" s="44" t="n"/>
      <c r="BI451" s="85" t="n"/>
      <c r="BJ451" s="44" t="n"/>
      <c r="BK451" s="45" t="n"/>
      <c r="BL451" s="44" t="n"/>
      <c r="BM451" s="85" t="n"/>
      <c r="BN451" s="44" t="n"/>
      <c r="BO451" s="85" t="n"/>
      <c r="BP451" s="86" t="n"/>
      <c r="BQ451" s="44" t="n"/>
      <c r="BR451" s="50" t="n"/>
      <c r="BS451" s="89" t="n"/>
      <c r="BT451" s="50">
        <f>IF(OR(K451="",L451="",M451=""),"",IF(ABS(ROUND(((ROUND(N(K451)*100,0))-(0))*(100+N(M451))/100,0)-(ROUND(N(L451)*100,0)))&lt;=0+IF(((ROUND(N(K451)*100,0))-(0))*(100+N(M451))/100&lt;&gt;ROUND(((ROUND(N(K451)*100,0))-(0))*(100+N(M451))/100,0),1,0),"OK","ABWEICHUNG"))</f>
        <v/>
      </c>
    </row>
    <row r="452">
      <c r="A452" s="50" t="n"/>
      <c r="B452" s="44" t="n"/>
      <c r="C452" s="44" t="n"/>
      <c r="D452" s="44" t="n"/>
      <c r="E452" s="44" t="n"/>
      <c r="F452" s="44" t="n"/>
      <c r="G452" s="44" t="n"/>
      <c r="H452" s="44" t="n"/>
      <c r="I452" s="45" t="n"/>
      <c r="J452" s="45" t="n"/>
      <c r="K452" s="85" t="n"/>
      <c r="L452" s="85" t="n"/>
      <c r="M452" s="88" t="n"/>
      <c r="N452" s="88" t="n"/>
      <c r="O452" s="44" t="n"/>
      <c r="P452" s="45" t="n"/>
      <c r="Q452" s="45" t="n"/>
      <c r="R452" s="44" t="n"/>
      <c r="S452" s="45" t="n"/>
      <c r="T452" s="45" t="n"/>
      <c r="U452" s="85" t="n"/>
      <c r="V452" s="44" t="n"/>
      <c r="W452" s="45" t="n"/>
      <c r="X452" s="45" t="n"/>
      <c r="Y452" s="44" t="n"/>
      <c r="Z452" s="85" t="n"/>
      <c r="AA452" s="44" t="n"/>
      <c r="AB452" s="44" t="n"/>
      <c r="AC452" s="44" t="n"/>
      <c r="AD452" s="44" t="n"/>
      <c r="AE452" s="44" t="n"/>
      <c r="AF452" s="88" t="n"/>
      <c r="AG452" s="85" t="n"/>
      <c r="AH452" s="85" t="n"/>
      <c r="AI452" s="85" t="n"/>
      <c r="AJ452" s="85" t="n"/>
      <c r="AK452" s="85" t="n"/>
      <c r="AL452" s="85" t="n"/>
      <c r="AM452" s="85" t="n"/>
      <c r="AN452" s="85" t="n"/>
      <c r="AO452" s="85" t="n"/>
      <c r="AP452" s="85" t="n"/>
      <c r="AQ452" s="85" t="n"/>
      <c r="AR452" s="85" t="n"/>
      <c r="AS452" s="85" t="n"/>
      <c r="AT452" s="85" t="n"/>
      <c r="AU452" s="85" t="n"/>
      <c r="AV452" s="85" t="n"/>
      <c r="AW452" s="44" t="n"/>
      <c r="AX452" s="85" t="n"/>
      <c r="AY452" s="88" t="n"/>
      <c r="AZ452" s="86" t="n"/>
      <c r="BA452" s="44" t="n"/>
      <c r="BB452" s="44" t="n"/>
      <c r="BC452" s="87" t="n"/>
      <c r="BD452" s="44" t="n"/>
      <c r="BE452" s="87" t="n"/>
      <c r="BF452" s="85" t="n"/>
      <c r="BG452" s="44" t="n"/>
      <c r="BH452" s="44" t="n"/>
      <c r="BI452" s="85" t="n"/>
      <c r="BJ452" s="44" t="n"/>
      <c r="BK452" s="45" t="n"/>
      <c r="BL452" s="44" t="n"/>
      <c r="BM452" s="85" t="n"/>
      <c r="BN452" s="44" t="n"/>
      <c r="BO452" s="85" t="n"/>
      <c r="BP452" s="86" t="n"/>
      <c r="BQ452" s="44" t="n"/>
      <c r="BR452" s="50" t="n"/>
      <c r="BS452" s="89" t="n"/>
      <c r="BT452" s="50">
        <f>IF(OR(K452="",L452="",M452=""),"",IF(ABS(ROUND(((ROUND(N(K452)*100,0))-(0))*(100+N(M452))/100,0)-(ROUND(N(L452)*100,0)))&lt;=0+IF(((ROUND(N(K452)*100,0))-(0))*(100+N(M452))/100&lt;&gt;ROUND(((ROUND(N(K452)*100,0))-(0))*(100+N(M452))/100,0),1,0),"OK","ABWEICHUNG"))</f>
        <v/>
      </c>
    </row>
    <row r="453">
      <c r="A453" s="50" t="n"/>
      <c r="B453" s="44" t="n"/>
      <c r="C453" s="44" t="n"/>
      <c r="D453" s="44" t="n"/>
      <c r="E453" s="44" t="n"/>
      <c r="F453" s="44" t="n"/>
      <c r="G453" s="44" t="n"/>
      <c r="H453" s="44" t="n"/>
      <c r="I453" s="45" t="n"/>
      <c r="J453" s="45" t="n"/>
      <c r="K453" s="85" t="n"/>
      <c r="L453" s="85" t="n"/>
      <c r="M453" s="88" t="n"/>
      <c r="N453" s="88" t="n"/>
      <c r="O453" s="44" t="n"/>
      <c r="P453" s="45" t="n"/>
      <c r="Q453" s="45" t="n"/>
      <c r="R453" s="44" t="n"/>
      <c r="S453" s="45" t="n"/>
      <c r="T453" s="45" t="n"/>
      <c r="U453" s="85" t="n"/>
      <c r="V453" s="44" t="n"/>
      <c r="W453" s="45" t="n"/>
      <c r="X453" s="45" t="n"/>
      <c r="Y453" s="44" t="n"/>
      <c r="Z453" s="85" t="n"/>
      <c r="AA453" s="44" t="n"/>
      <c r="AB453" s="44" t="n"/>
      <c r="AC453" s="44" t="n"/>
      <c r="AD453" s="44" t="n"/>
      <c r="AE453" s="44" t="n"/>
      <c r="AF453" s="88" t="n"/>
      <c r="AG453" s="85" t="n"/>
      <c r="AH453" s="85" t="n"/>
      <c r="AI453" s="85" t="n"/>
      <c r="AJ453" s="85" t="n"/>
      <c r="AK453" s="85" t="n"/>
      <c r="AL453" s="85" t="n"/>
      <c r="AM453" s="85" t="n"/>
      <c r="AN453" s="85" t="n"/>
      <c r="AO453" s="85" t="n"/>
      <c r="AP453" s="85" t="n"/>
      <c r="AQ453" s="85" t="n"/>
      <c r="AR453" s="85" t="n"/>
      <c r="AS453" s="85" t="n"/>
      <c r="AT453" s="85" t="n"/>
      <c r="AU453" s="85" t="n"/>
      <c r="AV453" s="85" t="n"/>
      <c r="AW453" s="44" t="n"/>
      <c r="AX453" s="85" t="n"/>
      <c r="AY453" s="88" t="n"/>
      <c r="AZ453" s="86" t="n"/>
      <c r="BA453" s="44" t="n"/>
      <c r="BB453" s="44" t="n"/>
      <c r="BC453" s="87" t="n"/>
      <c r="BD453" s="44" t="n"/>
      <c r="BE453" s="87" t="n"/>
      <c r="BF453" s="85" t="n"/>
      <c r="BG453" s="44" t="n"/>
      <c r="BH453" s="44" t="n"/>
      <c r="BI453" s="85" t="n"/>
      <c r="BJ453" s="44" t="n"/>
      <c r="BK453" s="45" t="n"/>
      <c r="BL453" s="44" t="n"/>
      <c r="BM453" s="85" t="n"/>
      <c r="BN453" s="44" t="n"/>
      <c r="BO453" s="85" t="n"/>
      <c r="BP453" s="86" t="n"/>
      <c r="BQ453" s="44" t="n"/>
      <c r="BR453" s="50" t="n"/>
      <c r="BS453" s="89" t="n"/>
      <c r="BT453" s="50">
        <f>IF(OR(K453="",L453="",M453=""),"",IF(ABS(ROUND(((ROUND(N(K453)*100,0))-(0))*(100+N(M453))/100,0)-(ROUND(N(L453)*100,0)))&lt;=0+IF(((ROUND(N(K453)*100,0))-(0))*(100+N(M453))/100&lt;&gt;ROUND(((ROUND(N(K453)*100,0))-(0))*(100+N(M453))/100,0),1,0),"OK","ABWEICHUNG"))</f>
        <v/>
      </c>
    </row>
    <row r="454">
      <c r="A454" s="50" t="n"/>
      <c r="B454" s="44" t="n"/>
      <c r="C454" s="44" t="n"/>
      <c r="D454" s="44" t="n"/>
      <c r="E454" s="44" t="n"/>
      <c r="F454" s="44" t="n"/>
      <c r="G454" s="44" t="n"/>
      <c r="H454" s="44" t="n"/>
      <c r="I454" s="45" t="n"/>
      <c r="J454" s="45" t="n"/>
      <c r="K454" s="85" t="n"/>
      <c r="L454" s="85" t="n"/>
      <c r="M454" s="88" t="n"/>
      <c r="N454" s="88" t="n"/>
      <c r="O454" s="44" t="n"/>
      <c r="P454" s="45" t="n"/>
      <c r="Q454" s="45" t="n"/>
      <c r="R454" s="44" t="n"/>
      <c r="S454" s="45" t="n"/>
      <c r="T454" s="45" t="n"/>
      <c r="U454" s="85" t="n"/>
      <c r="V454" s="44" t="n"/>
      <c r="W454" s="45" t="n"/>
      <c r="X454" s="45" t="n"/>
      <c r="Y454" s="44" t="n"/>
      <c r="Z454" s="85" t="n"/>
      <c r="AA454" s="44" t="n"/>
      <c r="AB454" s="44" t="n"/>
      <c r="AC454" s="44" t="n"/>
      <c r="AD454" s="44" t="n"/>
      <c r="AE454" s="44" t="n"/>
      <c r="AF454" s="88" t="n"/>
      <c r="AG454" s="85" t="n"/>
      <c r="AH454" s="85" t="n"/>
      <c r="AI454" s="85" t="n"/>
      <c r="AJ454" s="85" t="n"/>
      <c r="AK454" s="85" t="n"/>
      <c r="AL454" s="85" t="n"/>
      <c r="AM454" s="85" t="n"/>
      <c r="AN454" s="85" t="n"/>
      <c r="AO454" s="85" t="n"/>
      <c r="AP454" s="85" t="n"/>
      <c r="AQ454" s="85" t="n"/>
      <c r="AR454" s="85" t="n"/>
      <c r="AS454" s="85" t="n"/>
      <c r="AT454" s="85" t="n"/>
      <c r="AU454" s="85" t="n"/>
      <c r="AV454" s="85" t="n"/>
      <c r="AW454" s="44" t="n"/>
      <c r="AX454" s="85" t="n"/>
      <c r="AY454" s="88" t="n"/>
      <c r="AZ454" s="86" t="n"/>
      <c r="BA454" s="44" t="n"/>
      <c r="BB454" s="44" t="n"/>
      <c r="BC454" s="87" t="n"/>
      <c r="BD454" s="44" t="n"/>
      <c r="BE454" s="87" t="n"/>
      <c r="BF454" s="85" t="n"/>
      <c r="BG454" s="44" t="n"/>
      <c r="BH454" s="44" t="n"/>
      <c r="BI454" s="85" t="n"/>
      <c r="BJ454" s="44" t="n"/>
      <c r="BK454" s="45" t="n"/>
      <c r="BL454" s="44" t="n"/>
      <c r="BM454" s="85" t="n"/>
      <c r="BN454" s="44" t="n"/>
      <c r="BO454" s="85" t="n"/>
      <c r="BP454" s="86" t="n"/>
      <c r="BQ454" s="44" t="n"/>
      <c r="BR454" s="50" t="n"/>
      <c r="BS454" s="89" t="n"/>
      <c r="BT454" s="50">
        <f>IF(OR(K454="",L454="",M454=""),"",IF(ABS(ROUND(((ROUND(N(K454)*100,0))-(0))*(100+N(M454))/100,0)-(ROUND(N(L454)*100,0)))&lt;=0+IF(((ROUND(N(K454)*100,0))-(0))*(100+N(M454))/100&lt;&gt;ROUND(((ROUND(N(K454)*100,0))-(0))*(100+N(M454))/100,0),1,0),"OK","ABWEICHUNG"))</f>
        <v/>
      </c>
    </row>
    <row r="455">
      <c r="A455" s="50" t="n"/>
      <c r="B455" s="44" t="n"/>
      <c r="C455" s="44" t="n"/>
      <c r="D455" s="44" t="n"/>
      <c r="E455" s="44" t="n"/>
      <c r="F455" s="44" t="n"/>
      <c r="G455" s="44" t="n"/>
      <c r="H455" s="44" t="n"/>
      <c r="I455" s="45" t="n"/>
      <c r="J455" s="45" t="n"/>
      <c r="K455" s="85" t="n"/>
      <c r="L455" s="85" t="n"/>
      <c r="M455" s="88" t="n"/>
      <c r="N455" s="88" t="n"/>
      <c r="O455" s="44" t="n"/>
      <c r="P455" s="45" t="n"/>
      <c r="Q455" s="45" t="n"/>
      <c r="R455" s="44" t="n"/>
      <c r="S455" s="45" t="n"/>
      <c r="T455" s="45" t="n"/>
      <c r="U455" s="85" t="n"/>
      <c r="V455" s="44" t="n"/>
      <c r="W455" s="45" t="n"/>
      <c r="X455" s="45" t="n"/>
      <c r="Y455" s="44" t="n"/>
      <c r="Z455" s="85" t="n"/>
      <c r="AA455" s="44" t="n"/>
      <c r="AB455" s="44" t="n"/>
      <c r="AC455" s="44" t="n"/>
      <c r="AD455" s="44" t="n"/>
      <c r="AE455" s="44" t="n"/>
      <c r="AF455" s="88" t="n"/>
      <c r="AG455" s="85" t="n"/>
      <c r="AH455" s="85" t="n"/>
      <c r="AI455" s="85" t="n"/>
      <c r="AJ455" s="85" t="n"/>
      <c r="AK455" s="85" t="n"/>
      <c r="AL455" s="85" t="n"/>
      <c r="AM455" s="85" t="n"/>
      <c r="AN455" s="85" t="n"/>
      <c r="AO455" s="85" t="n"/>
      <c r="AP455" s="85" t="n"/>
      <c r="AQ455" s="85" t="n"/>
      <c r="AR455" s="85" t="n"/>
      <c r="AS455" s="85" t="n"/>
      <c r="AT455" s="85" t="n"/>
      <c r="AU455" s="85" t="n"/>
      <c r="AV455" s="85" t="n"/>
      <c r="AW455" s="44" t="n"/>
      <c r="AX455" s="85" t="n"/>
      <c r="AY455" s="88" t="n"/>
      <c r="AZ455" s="86" t="n"/>
      <c r="BA455" s="44" t="n"/>
      <c r="BB455" s="44" t="n"/>
      <c r="BC455" s="87" t="n"/>
      <c r="BD455" s="44" t="n"/>
      <c r="BE455" s="87" t="n"/>
      <c r="BF455" s="85" t="n"/>
      <c r="BG455" s="44" t="n"/>
      <c r="BH455" s="44" t="n"/>
      <c r="BI455" s="85" t="n"/>
      <c r="BJ455" s="44" t="n"/>
      <c r="BK455" s="45" t="n"/>
      <c r="BL455" s="44" t="n"/>
      <c r="BM455" s="85" t="n"/>
      <c r="BN455" s="44" t="n"/>
      <c r="BO455" s="85" t="n"/>
      <c r="BP455" s="86" t="n"/>
      <c r="BQ455" s="44" t="n"/>
      <c r="BR455" s="50" t="n"/>
      <c r="BS455" s="89" t="n"/>
      <c r="BT455" s="50">
        <f>IF(OR(K455="",L455="",M455=""),"",IF(ABS(ROUND(((ROUND(N(K455)*100,0))-(0))*(100+N(M455))/100,0)-(ROUND(N(L455)*100,0)))&lt;=0+IF(((ROUND(N(K455)*100,0))-(0))*(100+N(M455))/100&lt;&gt;ROUND(((ROUND(N(K455)*100,0))-(0))*(100+N(M455))/100,0),1,0),"OK","ABWEICHUNG"))</f>
        <v/>
      </c>
    </row>
    <row r="456">
      <c r="A456" s="50" t="n"/>
      <c r="B456" s="44" t="n"/>
      <c r="C456" s="44" t="n"/>
      <c r="D456" s="44" t="n"/>
      <c r="E456" s="44" t="n"/>
      <c r="F456" s="44" t="n"/>
      <c r="G456" s="44" t="n"/>
      <c r="H456" s="44" t="n"/>
      <c r="I456" s="45" t="n"/>
      <c r="J456" s="45" t="n"/>
      <c r="K456" s="85" t="n"/>
      <c r="L456" s="85" t="n"/>
      <c r="M456" s="88" t="n"/>
      <c r="N456" s="88" t="n"/>
      <c r="O456" s="44" t="n"/>
      <c r="P456" s="45" t="n"/>
      <c r="Q456" s="45" t="n"/>
      <c r="R456" s="44" t="n"/>
      <c r="S456" s="45" t="n"/>
      <c r="T456" s="45" t="n"/>
      <c r="U456" s="85" t="n"/>
      <c r="V456" s="44" t="n"/>
      <c r="W456" s="45" t="n"/>
      <c r="X456" s="45" t="n"/>
      <c r="Y456" s="44" t="n"/>
      <c r="Z456" s="85" t="n"/>
      <c r="AA456" s="44" t="n"/>
      <c r="AB456" s="44" t="n"/>
      <c r="AC456" s="44" t="n"/>
      <c r="AD456" s="44" t="n"/>
      <c r="AE456" s="44" t="n"/>
      <c r="AF456" s="88" t="n"/>
      <c r="AG456" s="85" t="n"/>
      <c r="AH456" s="85" t="n"/>
      <c r="AI456" s="85" t="n"/>
      <c r="AJ456" s="85" t="n"/>
      <c r="AK456" s="85" t="n"/>
      <c r="AL456" s="85" t="n"/>
      <c r="AM456" s="85" t="n"/>
      <c r="AN456" s="85" t="n"/>
      <c r="AO456" s="85" t="n"/>
      <c r="AP456" s="85" t="n"/>
      <c r="AQ456" s="85" t="n"/>
      <c r="AR456" s="85" t="n"/>
      <c r="AS456" s="85" t="n"/>
      <c r="AT456" s="85" t="n"/>
      <c r="AU456" s="85" t="n"/>
      <c r="AV456" s="85" t="n"/>
      <c r="AW456" s="44" t="n"/>
      <c r="AX456" s="85" t="n"/>
      <c r="AY456" s="88" t="n"/>
      <c r="AZ456" s="86" t="n"/>
      <c r="BA456" s="44" t="n"/>
      <c r="BB456" s="44" t="n"/>
      <c r="BC456" s="87" t="n"/>
      <c r="BD456" s="44" t="n"/>
      <c r="BE456" s="87" t="n"/>
      <c r="BF456" s="85" t="n"/>
      <c r="BG456" s="44" t="n"/>
      <c r="BH456" s="44" t="n"/>
      <c r="BI456" s="85" t="n"/>
      <c r="BJ456" s="44" t="n"/>
      <c r="BK456" s="45" t="n"/>
      <c r="BL456" s="44" t="n"/>
      <c r="BM456" s="85" t="n"/>
      <c r="BN456" s="44" t="n"/>
      <c r="BO456" s="85" t="n"/>
      <c r="BP456" s="86" t="n"/>
      <c r="BQ456" s="44" t="n"/>
      <c r="BR456" s="50" t="n"/>
      <c r="BS456" s="89" t="n"/>
      <c r="BT456" s="50">
        <f>IF(OR(K456="",L456="",M456=""),"",IF(ABS(ROUND(((ROUND(N(K456)*100,0))-(0))*(100+N(M456))/100,0)-(ROUND(N(L456)*100,0)))&lt;=0+IF(((ROUND(N(K456)*100,0))-(0))*(100+N(M456))/100&lt;&gt;ROUND(((ROUND(N(K456)*100,0))-(0))*(100+N(M456))/100,0),1,0),"OK","ABWEICHUNG"))</f>
        <v/>
      </c>
    </row>
    <row r="457">
      <c r="A457" s="50" t="n"/>
      <c r="B457" s="44" t="n"/>
      <c r="C457" s="44" t="n"/>
      <c r="D457" s="44" t="n"/>
      <c r="E457" s="44" t="n"/>
      <c r="F457" s="44" t="n"/>
      <c r="G457" s="44" t="n"/>
      <c r="H457" s="44" t="n"/>
      <c r="I457" s="45" t="n"/>
      <c r="J457" s="45" t="n"/>
      <c r="K457" s="85" t="n"/>
      <c r="L457" s="85" t="n"/>
      <c r="M457" s="88" t="n"/>
      <c r="N457" s="88" t="n"/>
      <c r="O457" s="44" t="n"/>
      <c r="P457" s="45" t="n"/>
      <c r="Q457" s="45" t="n"/>
      <c r="R457" s="44" t="n"/>
      <c r="S457" s="45" t="n"/>
      <c r="T457" s="45" t="n"/>
      <c r="U457" s="85" t="n"/>
      <c r="V457" s="44" t="n"/>
      <c r="W457" s="45" t="n"/>
      <c r="X457" s="45" t="n"/>
      <c r="Y457" s="44" t="n"/>
      <c r="Z457" s="85" t="n"/>
      <c r="AA457" s="44" t="n"/>
      <c r="AB457" s="44" t="n"/>
      <c r="AC457" s="44" t="n"/>
      <c r="AD457" s="44" t="n"/>
      <c r="AE457" s="44" t="n"/>
      <c r="AF457" s="88" t="n"/>
      <c r="AG457" s="85" t="n"/>
      <c r="AH457" s="85" t="n"/>
      <c r="AI457" s="85" t="n"/>
      <c r="AJ457" s="85" t="n"/>
      <c r="AK457" s="85" t="n"/>
      <c r="AL457" s="85" t="n"/>
      <c r="AM457" s="85" t="n"/>
      <c r="AN457" s="85" t="n"/>
      <c r="AO457" s="85" t="n"/>
      <c r="AP457" s="85" t="n"/>
      <c r="AQ457" s="85" t="n"/>
      <c r="AR457" s="85" t="n"/>
      <c r="AS457" s="85" t="n"/>
      <c r="AT457" s="85" t="n"/>
      <c r="AU457" s="85" t="n"/>
      <c r="AV457" s="85" t="n"/>
      <c r="AW457" s="44" t="n"/>
      <c r="AX457" s="85" t="n"/>
      <c r="AY457" s="88" t="n"/>
      <c r="AZ457" s="86" t="n"/>
      <c r="BA457" s="44" t="n"/>
      <c r="BB457" s="44" t="n"/>
      <c r="BC457" s="87" t="n"/>
      <c r="BD457" s="44" t="n"/>
      <c r="BE457" s="87" t="n"/>
      <c r="BF457" s="85" t="n"/>
      <c r="BG457" s="44" t="n"/>
      <c r="BH457" s="44" t="n"/>
      <c r="BI457" s="85" t="n"/>
      <c r="BJ457" s="44" t="n"/>
      <c r="BK457" s="45" t="n"/>
      <c r="BL457" s="44" t="n"/>
      <c r="BM457" s="85" t="n"/>
      <c r="BN457" s="44" t="n"/>
      <c r="BO457" s="85" t="n"/>
      <c r="BP457" s="86" t="n"/>
      <c r="BQ457" s="44" t="n"/>
      <c r="BR457" s="50" t="n"/>
      <c r="BS457" s="89" t="n"/>
      <c r="BT457" s="50">
        <f>IF(OR(K457="",L457="",M457=""),"",IF(ABS(ROUND(((ROUND(N(K457)*100,0))-(0))*(100+N(M457))/100,0)-(ROUND(N(L457)*100,0)))&lt;=0+IF(((ROUND(N(K457)*100,0))-(0))*(100+N(M457))/100&lt;&gt;ROUND(((ROUND(N(K457)*100,0))-(0))*(100+N(M457))/100,0),1,0),"OK","ABWEICHUNG"))</f>
        <v/>
      </c>
    </row>
    <row r="458">
      <c r="A458" s="50" t="n"/>
      <c r="B458" s="44" t="n"/>
      <c r="C458" s="44" t="n"/>
      <c r="D458" s="44" t="n"/>
      <c r="E458" s="44" t="n"/>
      <c r="F458" s="44" t="n"/>
      <c r="G458" s="44" t="n"/>
      <c r="H458" s="44" t="n"/>
      <c r="I458" s="45" t="n"/>
      <c r="J458" s="45" t="n"/>
      <c r="K458" s="85" t="n"/>
      <c r="L458" s="85" t="n"/>
      <c r="M458" s="88" t="n"/>
      <c r="N458" s="88" t="n"/>
      <c r="O458" s="44" t="n"/>
      <c r="P458" s="45" t="n"/>
      <c r="Q458" s="45" t="n"/>
      <c r="R458" s="44" t="n"/>
      <c r="S458" s="45" t="n"/>
      <c r="T458" s="45" t="n"/>
      <c r="U458" s="85" t="n"/>
      <c r="V458" s="44" t="n"/>
      <c r="W458" s="45" t="n"/>
      <c r="X458" s="45" t="n"/>
      <c r="Y458" s="44" t="n"/>
      <c r="Z458" s="85" t="n"/>
      <c r="AA458" s="44" t="n"/>
      <c r="AB458" s="44" t="n"/>
      <c r="AC458" s="44" t="n"/>
      <c r="AD458" s="44" t="n"/>
      <c r="AE458" s="44" t="n"/>
      <c r="AF458" s="88" t="n"/>
      <c r="AG458" s="85" t="n"/>
      <c r="AH458" s="85" t="n"/>
      <c r="AI458" s="85" t="n"/>
      <c r="AJ458" s="85" t="n"/>
      <c r="AK458" s="85" t="n"/>
      <c r="AL458" s="85" t="n"/>
      <c r="AM458" s="85" t="n"/>
      <c r="AN458" s="85" t="n"/>
      <c r="AO458" s="85" t="n"/>
      <c r="AP458" s="85" t="n"/>
      <c r="AQ458" s="85" t="n"/>
      <c r="AR458" s="85" t="n"/>
      <c r="AS458" s="85" t="n"/>
      <c r="AT458" s="85" t="n"/>
      <c r="AU458" s="85" t="n"/>
      <c r="AV458" s="85" t="n"/>
      <c r="AW458" s="44" t="n"/>
      <c r="AX458" s="85" t="n"/>
      <c r="AY458" s="88" t="n"/>
      <c r="AZ458" s="86" t="n"/>
      <c r="BA458" s="44" t="n"/>
      <c r="BB458" s="44" t="n"/>
      <c r="BC458" s="87" t="n"/>
      <c r="BD458" s="44" t="n"/>
      <c r="BE458" s="87" t="n"/>
      <c r="BF458" s="85" t="n"/>
      <c r="BG458" s="44" t="n"/>
      <c r="BH458" s="44" t="n"/>
      <c r="BI458" s="85" t="n"/>
      <c r="BJ458" s="44" t="n"/>
      <c r="BK458" s="45" t="n"/>
      <c r="BL458" s="44" t="n"/>
      <c r="BM458" s="85" t="n"/>
      <c r="BN458" s="44" t="n"/>
      <c r="BO458" s="85" t="n"/>
      <c r="BP458" s="86" t="n"/>
      <c r="BQ458" s="44" t="n"/>
      <c r="BR458" s="50" t="n"/>
      <c r="BS458" s="89" t="n"/>
      <c r="BT458" s="50">
        <f>IF(OR(K458="",L458="",M458=""),"",IF(ABS(ROUND(((ROUND(N(K458)*100,0))-(0))*(100+N(M458))/100,0)-(ROUND(N(L458)*100,0)))&lt;=0+IF(((ROUND(N(K458)*100,0))-(0))*(100+N(M458))/100&lt;&gt;ROUND(((ROUND(N(K458)*100,0))-(0))*(100+N(M458))/100,0),1,0),"OK","ABWEICHUNG"))</f>
        <v/>
      </c>
    </row>
    <row r="459">
      <c r="A459" s="50" t="n"/>
      <c r="B459" s="44" t="n"/>
      <c r="C459" s="44" t="n"/>
      <c r="D459" s="44" t="n"/>
      <c r="E459" s="44" t="n"/>
      <c r="F459" s="44" t="n"/>
      <c r="G459" s="44" t="n"/>
      <c r="H459" s="44" t="n"/>
      <c r="I459" s="45" t="n"/>
      <c r="J459" s="45" t="n"/>
      <c r="K459" s="85" t="n"/>
      <c r="L459" s="85" t="n"/>
      <c r="M459" s="88" t="n"/>
      <c r="N459" s="88" t="n"/>
      <c r="O459" s="44" t="n"/>
      <c r="P459" s="45" t="n"/>
      <c r="Q459" s="45" t="n"/>
      <c r="R459" s="44" t="n"/>
      <c r="S459" s="45" t="n"/>
      <c r="T459" s="45" t="n"/>
      <c r="U459" s="85" t="n"/>
      <c r="V459" s="44" t="n"/>
      <c r="W459" s="45" t="n"/>
      <c r="X459" s="45" t="n"/>
      <c r="Y459" s="44" t="n"/>
      <c r="Z459" s="85" t="n"/>
      <c r="AA459" s="44" t="n"/>
      <c r="AB459" s="44" t="n"/>
      <c r="AC459" s="44" t="n"/>
      <c r="AD459" s="44" t="n"/>
      <c r="AE459" s="44" t="n"/>
      <c r="AF459" s="88" t="n"/>
      <c r="AG459" s="85" t="n"/>
      <c r="AH459" s="85" t="n"/>
      <c r="AI459" s="85" t="n"/>
      <c r="AJ459" s="85" t="n"/>
      <c r="AK459" s="85" t="n"/>
      <c r="AL459" s="85" t="n"/>
      <c r="AM459" s="85" t="n"/>
      <c r="AN459" s="85" t="n"/>
      <c r="AO459" s="85" t="n"/>
      <c r="AP459" s="85" t="n"/>
      <c r="AQ459" s="85" t="n"/>
      <c r="AR459" s="85" t="n"/>
      <c r="AS459" s="85" t="n"/>
      <c r="AT459" s="85" t="n"/>
      <c r="AU459" s="85" t="n"/>
      <c r="AV459" s="85" t="n"/>
      <c r="AW459" s="44" t="n"/>
      <c r="AX459" s="85" t="n"/>
      <c r="AY459" s="88" t="n"/>
      <c r="AZ459" s="86" t="n"/>
      <c r="BA459" s="44" t="n"/>
      <c r="BB459" s="44" t="n"/>
      <c r="BC459" s="87" t="n"/>
      <c r="BD459" s="44" t="n"/>
      <c r="BE459" s="87" t="n"/>
      <c r="BF459" s="85" t="n"/>
      <c r="BG459" s="44" t="n"/>
      <c r="BH459" s="44" t="n"/>
      <c r="BI459" s="85" t="n"/>
      <c r="BJ459" s="44" t="n"/>
      <c r="BK459" s="45" t="n"/>
      <c r="BL459" s="44" t="n"/>
      <c r="BM459" s="85" t="n"/>
      <c r="BN459" s="44" t="n"/>
      <c r="BO459" s="85" t="n"/>
      <c r="BP459" s="86" t="n"/>
      <c r="BQ459" s="44" t="n"/>
      <c r="BR459" s="50" t="n"/>
      <c r="BS459" s="89" t="n"/>
      <c r="BT459" s="50">
        <f>IF(OR(K459="",L459="",M459=""),"",IF(ABS(ROUND(((ROUND(N(K459)*100,0))-(0))*(100+N(M459))/100,0)-(ROUND(N(L459)*100,0)))&lt;=0+IF(((ROUND(N(K459)*100,0))-(0))*(100+N(M459))/100&lt;&gt;ROUND(((ROUND(N(K459)*100,0))-(0))*(100+N(M459))/100,0),1,0),"OK","ABWEICHUNG"))</f>
        <v/>
      </c>
    </row>
    <row r="460">
      <c r="A460" s="50" t="n"/>
      <c r="B460" s="44" t="n"/>
      <c r="C460" s="44" t="n"/>
      <c r="D460" s="44" t="n"/>
      <c r="E460" s="44" t="n"/>
      <c r="F460" s="44" t="n"/>
      <c r="G460" s="44" t="n"/>
      <c r="H460" s="44" t="n"/>
      <c r="I460" s="45" t="n"/>
      <c r="J460" s="45" t="n"/>
      <c r="K460" s="85" t="n"/>
      <c r="L460" s="85" t="n"/>
      <c r="M460" s="88" t="n"/>
      <c r="N460" s="88" t="n"/>
      <c r="O460" s="44" t="n"/>
      <c r="P460" s="45" t="n"/>
      <c r="Q460" s="45" t="n"/>
      <c r="R460" s="44" t="n"/>
      <c r="S460" s="45" t="n"/>
      <c r="T460" s="45" t="n"/>
      <c r="U460" s="85" t="n"/>
      <c r="V460" s="44" t="n"/>
      <c r="W460" s="45" t="n"/>
      <c r="X460" s="45" t="n"/>
      <c r="Y460" s="44" t="n"/>
      <c r="Z460" s="85" t="n"/>
      <c r="AA460" s="44" t="n"/>
      <c r="AB460" s="44" t="n"/>
      <c r="AC460" s="44" t="n"/>
      <c r="AD460" s="44" t="n"/>
      <c r="AE460" s="44" t="n"/>
      <c r="AF460" s="88" t="n"/>
      <c r="AG460" s="85" t="n"/>
      <c r="AH460" s="85" t="n"/>
      <c r="AI460" s="85" t="n"/>
      <c r="AJ460" s="85" t="n"/>
      <c r="AK460" s="85" t="n"/>
      <c r="AL460" s="85" t="n"/>
      <c r="AM460" s="85" t="n"/>
      <c r="AN460" s="85" t="n"/>
      <c r="AO460" s="85" t="n"/>
      <c r="AP460" s="85" t="n"/>
      <c r="AQ460" s="85" t="n"/>
      <c r="AR460" s="85" t="n"/>
      <c r="AS460" s="85" t="n"/>
      <c r="AT460" s="85" t="n"/>
      <c r="AU460" s="85" t="n"/>
      <c r="AV460" s="85" t="n"/>
      <c r="AW460" s="44" t="n"/>
      <c r="AX460" s="85" t="n"/>
      <c r="AY460" s="88" t="n"/>
      <c r="AZ460" s="86" t="n"/>
      <c r="BA460" s="44" t="n"/>
      <c r="BB460" s="44" t="n"/>
      <c r="BC460" s="87" t="n"/>
      <c r="BD460" s="44" t="n"/>
      <c r="BE460" s="87" t="n"/>
      <c r="BF460" s="85" t="n"/>
      <c r="BG460" s="44" t="n"/>
      <c r="BH460" s="44" t="n"/>
      <c r="BI460" s="85" t="n"/>
      <c r="BJ460" s="44" t="n"/>
      <c r="BK460" s="45" t="n"/>
      <c r="BL460" s="44" t="n"/>
      <c r="BM460" s="85" t="n"/>
      <c r="BN460" s="44" t="n"/>
      <c r="BO460" s="85" t="n"/>
      <c r="BP460" s="86" t="n"/>
      <c r="BQ460" s="44" t="n"/>
      <c r="BR460" s="50" t="n"/>
      <c r="BS460" s="89" t="n"/>
      <c r="BT460" s="50">
        <f>IF(OR(K460="",L460="",M460=""),"",IF(ABS(ROUND(((ROUND(N(K460)*100,0))-(0))*(100+N(M460))/100,0)-(ROUND(N(L460)*100,0)))&lt;=0+IF(((ROUND(N(K460)*100,0))-(0))*(100+N(M460))/100&lt;&gt;ROUND(((ROUND(N(K460)*100,0))-(0))*(100+N(M460))/100,0),1,0),"OK","ABWEICHUNG"))</f>
        <v/>
      </c>
    </row>
    <row r="461">
      <c r="A461" s="50" t="n"/>
      <c r="B461" s="44" t="n"/>
      <c r="C461" s="44" t="n"/>
      <c r="D461" s="44" t="n"/>
      <c r="E461" s="44" t="n"/>
      <c r="F461" s="44" t="n"/>
      <c r="G461" s="44" t="n"/>
      <c r="H461" s="44" t="n"/>
      <c r="I461" s="45" t="n"/>
      <c r="J461" s="45" t="n"/>
      <c r="K461" s="85" t="n"/>
      <c r="L461" s="85" t="n"/>
      <c r="M461" s="88" t="n"/>
      <c r="N461" s="88" t="n"/>
      <c r="O461" s="44" t="n"/>
      <c r="P461" s="45" t="n"/>
      <c r="Q461" s="45" t="n"/>
      <c r="R461" s="44" t="n"/>
      <c r="S461" s="45" t="n"/>
      <c r="T461" s="45" t="n"/>
      <c r="U461" s="85" t="n"/>
      <c r="V461" s="44" t="n"/>
      <c r="W461" s="45" t="n"/>
      <c r="X461" s="45" t="n"/>
      <c r="Y461" s="44" t="n"/>
      <c r="Z461" s="85" t="n"/>
      <c r="AA461" s="44" t="n"/>
      <c r="AB461" s="44" t="n"/>
      <c r="AC461" s="44" t="n"/>
      <c r="AD461" s="44" t="n"/>
      <c r="AE461" s="44" t="n"/>
      <c r="AF461" s="88" t="n"/>
      <c r="AG461" s="85" t="n"/>
      <c r="AH461" s="85" t="n"/>
      <c r="AI461" s="85" t="n"/>
      <c r="AJ461" s="85" t="n"/>
      <c r="AK461" s="85" t="n"/>
      <c r="AL461" s="85" t="n"/>
      <c r="AM461" s="85" t="n"/>
      <c r="AN461" s="85" t="n"/>
      <c r="AO461" s="85" t="n"/>
      <c r="AP461" s="85" t="n"/>
      <c r="AQ461" s="85" t="n"/>
      <c r="AR461" s="85" t="n"/>
      <c r="AS461" s="85" t="n"/>
      <c r="AT461" s="85" t="n"/>
      <c r="AU461" s="85" t="n"/>
      <c r="AV461" s="85" t="n"/>
      <c r="AW461" s="44" t="n"/>
      <c r="AX461" s="85" t="n"/>
      <c r="AY461" s="88" t="n"/>
      <c r="AZ461" s="86" t="n"/>
      <c r="BA461" s="44" t="n"/>
      <c r="BB461" s="44" t="n"/>
      <c r="BC461" s="87" t="n"/>
      <c r="BD461" s="44" t="n"/>
      <c r="BE461" s="87" t="n"/>
      <c r="BF461" s="85" t="n"/>
      <c r="BG461" s="44" t="n"/>
      <c r="BH461" s="44" t="n"/>
      <c r="BI461" s="85" t="n"/>
      <c r="BJ461" s="44" t="n"/>
      <c r="BK461" s="45" t="n"/>
      <c r="BL461" s="44" t="n"/>
      <c r="BM461" s="85" t="n"/>
      <c r="BN461" s="44" t="n"/>
      <c r="BO461" s="85" t="n"/>
      <c r="BP461" s="86" t="n"/>
      <c r="BQ461" s="44" t="n"/>
      <c r="BR461" s="50" t="n"/>
      <c r="BS461" s="89" t="n"/>
      <c r="BT461" s="50">
        <f>IF(OR(K461="",L461="",M461=""),"",IF(ABS(ROUND(((ROUND(N(K461)*100,0))-(0))*(100+N(M461))/100,0)-(ROUND(N(L461)*100,0)))&lt;=0+IF(((ROUND(N(K461)*100,0))-(0))*(100+N(M461))/100&lt;&gt;ROUND(((ROUND(N(K461)*100,0))-(0))*(100+N(M461))/100,0),1,0),"OK","ABWEICHUNG"))</f>
        <v/>
      </c>
    </row>
    <row r="462">
      <c r="A462" s="50" t="n"/>
      <c r="B462" s="44" t="n"/>
      <c r="C462" s="44" t="n"/>
      <c r="D462" s="44" t="n"/>
      <c r="E462" s="44" t="n"/>
      <c r="F462" s="44" t="n"/>
      <c r="G462" s="44" t="n"/>
      <c r="H462" s="44" t="n"/>
      <c r="I462" s="45" t="n"/>
      <c r="J462" s="45" t="n"/>
      <c r="K462" s="85" t="n"/>
      <c r="L462" s="85" t="n"/>
      <c r="M462" s="88" t="n"/>
      <c r="N462" s="88" t="n"/>
      <c r="O462" s="44" t="n"/>
      <c r="P462" s="45" t="n"/>
      <c r="Q462" s="45" t="n"/>
      <c r="R462" s="44" t="n"/>
      <c r="S462" s="45" t="n"/>
      <c r="T462" s="45" t="n"/>
      <c r="U462" s="85" t="n"/>
      <c r="V462" s="44" t="n"/>
      <c r="W462" s="45" t="n"/>
      <c r="X462" s="45" t="n"/>
      <c r="Y462" s="44" t="n"/>
      <c r="Z462" s="85" t="n"/>
      <c r="AA462" s="44" t="n"/>
      <c r="AB462" s="44" t="n"/>
      <c r="AC462" s="44" t="n"/>
      <c r="AD462" s="44" t="n"/>
      <c r="AE462" s="44" t="n"/>
      <c r="AF462" s="88" t="n"/>
      <c r="AG462" s="85" t="n"/>
      <c r="AH462" s="85" t="n"/>
      <c r="AI462" s="85" t="n"/>
      <c r="AJ462" s="85" t="n"/>
      <c r="AK462" s="85" t="n"/>
      <c r="AL462" s="85" t="n"/>
      <c r="AM462" s="85" t="n"/>
      <c r="AN462" s="85" t="n"/>
      <c r="AO462" s="85" t="n"/>
      <c r="AP462" s="85" t="n"/>
      <c r="AQ462" s="85" t="n"/>
      <c r="AR462" s="85" t="n"/>
      <c r="AS462" s="85" t="n"/>
      <c r="AT462" s="85" t="n"/>
      <c r="AU462" s="85" t="n"/>
      <c r="AV462" s="85" t="n"/>
      <c r="AW462" s="44" t="n"/>
      <c r="AX462" s="85" t="n"/>
      <c r="AY462" s="88" t="n"/>
      <c r="AZ462" s="86" t="n"/>
      <c r="BA462" s="44" t="n"/>
      <c r="BB462" s="44" t="n"/>
      <c r="BC462" s="87" t="n"/>
      <c r="BD462" s="44" t="n"/>
      <c r="BE462" s="87" t="n"/>
      <c r="BF462" s="85" t="n"/>
      <c r="BG462" s="44" t="n"/>
      <c r="BH462" s="44" t="n"/>
      <c r="BI462" s="85" t="n"/>
      <c r="BJ462" s="44" t="n"/>
      <c r="BK462" s="45" t="n"/>
      <c r="BL462" s="44" t="n"/>
      <c r="BM462" s="85" t="n"/>
      <c r="BN462" s="44" t="n"/>
      <c r="BO462" s="85" t="n"/>
      <c r="BP462" s="86" t="n"/>
      <c r="BQ462" s="44" t="n"/>
      <c r="BR462" s="50" t="n"/>
      <c r="BS462" s="89" t="n"/>
      <c r="BT462" s="50">
        <f>IF(OR(K462="",L462="",M462=""),"",IF(ABS(ROUND(((ROUND(N(K462)*100,0))-(0))*(100+N(M462))/100,0)-(ROUND(N(L462)*100,0)))&lt;=0+IF(((ROUND(N(K462)*100,0))-(0))*(100+N(M462))/100&lt;&gt;ROUND(((ROUND(N(K462)*100,0))-(0))*(100+N(M462))/100,0),1,0),"OK","ABWEICHUNG"))</f>
        <v/>
      </c>
    </row>
    <row r="463">
      <c r="A463" s="50" t="n"/>
      <c r="B463" s="44" t="n"/>
      <c r="C463" s="44" t="n"/>
      <c r="D463" s="44" t="n"/>
      <c r="E463" s="44" t="n"/>
      <c r="F463" s="44" t="n"/>
      <c r="G463" s="44" t="n"/>
      <c r="H463" s="44" t="n"/>
      <c r="I463" s="45" t="n"/>
      <c r="J463" s="45" t="n"/>
      <c r="K463" s="85" t="n"/>
      <c r="L463" s="85" t="n"/>
      <c r="M463" s="88" t="n"/>
      <c r="N463" s="88" t="n"/>
      <c r="O463" s="44" t="n"/>
      <c r="P463" s="45" t="n"/>
      <c r="Q463" s="45" t="n"/>
      <c r="R463" s="44" t="n"/>
      <c r="S463" s="45" t="n"/>
      <c r="T463" s="45" t="n"/>
      <c r="U463" s="85" t="n"/>
      <c r="V463" s="44" t="n"/>
      <c r="W463" s="45" t="n"/>
      <c r="X463" s="45" t="n"/>
      <c r="Y463" s="44" t="n"/>
      <c r="Z463" s="85" t="n"/>
      <c r="AA463" s="44" t="n"/>
      <c r="AB463" s="44" t="n"/>
      <c r="AC463" s="44" t="n"/>
      <c r="AD463" s="44" t="n"/>
      <c r="AE463" s="44" t="n"/>
      <c r="AF463" s="88" t="n"/>
      <c r="AG463" s="85" t="n"/>
      <c r="AH463" s="85" t="n"/>
      <c r="AI463" s="85" t="n"/>
      <c r="AJ463" s="85" t="n"/>
      <c r="AK463" s="85" t="n"/>
      <c r="AL463" s="85" t="n"/>
      <c r="AM463" s="85" t="n"/>
      <c r="AN463" s="85" t="n"/>
      <c r="AO463" s="85" t="n"/>
      <c r="AP463" s="85" t="n"/>
      <c r="AQ463" s="85" t="n"/>
      <c r="AR463" s="85" t="n"/>
      <c r="AS463" s="85" t="n"/>
      <c r="AT463" s="85" t="n"/>
      <c r="AU463" s="85" t="n"/>
      <c r="AV463" s="85" t="n"/>
      <c r="AW463" s="44" t="n"/>
      <c r="AX463" s="85" t="n"/>
      <c r="AY463" s="88" t="n"/>
      <c r="AZ463" s="86" t="n"/>
      <c r="BA463" s="44" t="n"/>
      <c r="BB463" s="44" t="n"/>
      <c r="BC463" s="87" t="n"/>
      <c r="BD463" s="44" t="n"/>
      <c r="BE463" s="87" t="n"/>
      <c r="BF463" s="85" t="n"/>
      <c r="BG463" s="44" t="n"/>
      <c r="BH463" s="44" t="n"/>
      <c r="BI463" s="85" t="n"/>
      <c r="BJ463" s="44" t="n"/>
      <c r="BK463" s="45" t="n"/>
      <c r="BL463" s="44" t="n"/>
      <c r="BM463" s="85" t="n"/>
      <c r="BN463" s="44" t="n"/>
      <c r="BO463" s="85" t="n"/>
      <c r="BP463" s="86" t="n"/>
      <c r="BQ463" s="44" t="n"/>
      <c r="BR463" s="50" t="n"/>
      <c r="BS463" s="89" t="n"/>
      <c r="BT463" s="50">
        <f>IF(OR(K463="",L463="",M463=""),"",IF(ABS(ROUND(((ROUND(N(K463)*100,0))-(0))*(100+N(M463))/100,0)-(ROUND(N(L463)*100,0)))&lt;=0+IF(((ROUND(N(K463)*100,0))-(0))*(100+N(M463))/100&lt;&gt;ROUND(((ROUND(N(K463)*100,0))-(0))*(100+N(M463))/100,0),1,0),"OK","ABWEICHUNG"))</f>
        <v/>
      </c>
    </row>
    <row r="464">
      <c r="A464" s="50" t="n"/>
      <c r="B464" s="44" t="n"/>
      <c r="C464" s="44" t="n"/>
      <c r="D464" s="44" t="n"/>
      <c r="E464" s="44" t="n"/>
      <c r="F464" s="44" t="n"/>
      <c r="G464" s="44" t="n"/>
      <c r="H464" s="44" t="n"/>
      <c r="I464" s="45" t="n"/>
      <c r="J464" s="45" t="n"/>
      <c r="K464" s="85" t="n"/>
      <c r="L464" s="85" t="n"/>
      <c r="M464" s="88" t="n"/>
      <c r="N464" s="88" t="n"/>
      <c r="O464" s="44" t="n"/>
      <c r="P464" s="45" t="n"/>
      <c r="Q464" s="45" t="n"/>
      <c r="R464" s="44" t="n"/>
      <c r="S464" s="45" t="n"/>
      <c r="T464" s="45" t="n"/>
      <c r="U464" s="85" t="n"/>
      <c r="V464" s="44" t="n"/>
      <c r="W464" s="45" t="n"/>
      <c r="X464" s="45" t="n"/>
      <c r="Y464" s="44" t="n"/>
      <c r="Z464" s="85" t="n"/>
      <c r="AA464" s="44" t="n"/>
      <c r="AB464" s="44" t="n"/>
      <c r="AC464" s="44" t="n"/>
      <c r="AD464" s="44" t="n"/>
      <c r="AE464" s="44" t="n"/>
      <c r="AF464" s="88" t="n"/>
      <c r="AG464" s="85" t="n"/>
      <c r="AH464" s="85" t="n"/>
      <c r="AI464" s="85" t="n"/>
      <c r="AJ464" s="85" t="n"/>
      <c r="AK464" s="85" t="n"/>
      <c r="AL464" s="85" t="n"/>
      <c r="AM464" s="85" t="n"/>
      <c r="AN464" s="85" t="n"/>
      <c r="AO464" s="85" t="n"/>
      <c r="AP464" s="85" t="n"/>
      <c r="AQ464" s="85" t="n"/>
      <c r="AR464" s="85" t="n"/>
      <c r="AS464" s="85" t="n"/>
      <c r="AT464" s="85" t="n"/>
      <c r="AU464" s="85" t="n"/>
      <c r="AV464" s="85" t="n"/>
      <c r="AW464" s="44" t="n"/>
      <c r="AX464" s="85" t="n"/>
      <c r="AY464" s="88" t="n"/>
      <c r="AZ464" s="86" t="n"/>
      <c r="BA464" s="44" t="n"/>
      <c r="BB464" s="44" t="n"/>
      <c r="BC464" s="87" t="n"/>
      <c r="BD464" s="44" t="n"/>
      <c r="BE464" s="87" t="n"/>
      <c r="BF464" s="85" t="n"/>
      <c r="BG464" s="44" t="n"/>
      <c r="BH464" s="44" t="n"/>
      <c r="BI464" s="85" t="n"/>
      <c r="BJ464" s="44" t="n"/>
      <c r="BK464" s="45" t="n"/>
      <c r="BL464" s="44" t="n"/>
      <c r="BM464" s="85" t="n"/>
      <c r="BN464" s="44" t="n"/>
      <c r="BO464" s="85" t="n"/>
      <c r="BP464" s="86" t="n"/>
      <c r="BQ464" s="44" t="n"/>
      <c r="BR464" s="50" t="n"/>
      <c r="BS464" s="89" t="n"/>
      <c r="BT464" s="50">
        <f>IF(OR(K464="",L464="",M464=""),"",IF(ABS(ROUND(((ROUND(N(K464)*100,0))-(0))*(100+N(M464))/100,0)-(ROUND(N(L464)*100,0)))&lt;=0+IF(((ROUND(N(K464)*100,0))-(0))*(100+N(M464))/100&lt;&gt;ROUND(((ROUND(N(K464)*100,0))-(0))*(100+N(M464))/100,0),1,0),"OK","ABWEICHUNG"))</f>
        <v/>
      </c>
    </row>
    <row r="465">
      <c r="A465" s="50" t="n"/>
      <c r="B465" s="44" t="n"/>
      <c r="C465" s="44" t="n"/>
      <c r="D465" s="44" t="n"/>
      <c r="E465" s="44" t="n"/>
      <c r="F465" s="44" t="n"/>
      <c r="G465" s="44" t="n"/>
      <c r="H465" s="44" t="n"/>
      <c r="I465" s="45" t="n"/>
      <c r="J465" s="45" t="n"/>
      <c r="K465" s="85" t="n"/>
      <c r="L465" s="85" t="n"/>
      <c r="M465" s="88" t="n"/>
      <c r="N465" s="88" t="n"/>
      <c r="O465" s="44" t="n"/>
      <c r="P465" s="45" t="n"/>
      <c r="Q465" s="45" t="n"/>
      <c r="R465" s="44" t="n"/>
      <c r="S465" s="45" t="n"/>
      <c r="T465" s="45" t="n"/>
      <c r="U465" s="85" t="n"/>
      <c r="V465" s="44" t="n"/>
      <c r="W465" s="45" t="n"/>
      <c r="X465" s="45" t="n"/>
      <c r="Y465" s="44" t="n"/>
      <c r="Z465" s="85" t="n"/>
      <c r="AA465" s="44" t="n"/>
      <c r="AB465" s="44" t="n"/>
      <c r="AC465" s="44" t="n"/>
      <c r="AD465" s="44" t="n"/>
      <c r="AE465" s="44" t="n"/>
      <c r="AF465" s="88" t="n"/>
      <c r="AG465" s="85" t="n"/>
      <c r="AH465" s="85" t="n"/>
      <c r="AI465" s="85" t="n"/>
      <c r="AJ465" s="85" t="n"/>
      <c r="AK465" s="85" t="n"/>
      <c r="AL465" s="85" t="n"/>
      <c r="AM465" s="85" t="n"/>
      <c r="AN465" s="85" t="n"/>
      <c r="AO465" s="85" t="n"/>
      <c r="AP465" s="85" t="n"/>
      <c r="AQ465" s="85" t="n"/>
      <c r="AR465" s="85" t="n"/>
      <c r="AS465" s="85" t="n"/>
      <c r="AT465" s="85" t="n"/>
      <c r="AU465" s="85" t="n"/>
      <c r="AV465" s="85" t="n"/>
      <c r="AW465" s="44" t="n"/>
      <c r="AX465" s="85" t="n"/>
      <c r="AY465" s="88" t="n"/>
      <c r="AZ465" s="86" t="n"/>
      <c r="BA465" s="44" t="n"/>
      <c r="BB465" s="44" t="n"/>
      <c r="BC465" s="87" t="n"/>
      <c r="BD465" s="44" t="n"/>
      <c r="BE465" s="87" t="n"/>
      <c r="BF465" s="85" t="n"/>
      <c r="BG465" s="44" t="n"/>
      <c r="BH465" s="44" t="n"/>
      <c r="BI465" s="85" t="n"/>
      <c r="BJ465" s="44" t="n"/>
      <c r="BK465" s="45" t="n"/>
      <c r="BL465" s="44" t="n"/>
      <c r="BM465" s="85" t="n"/>
      <c r="BN465" s="44" t="n"/>
      <c r="BO465" s="85" t="n"/>
      <c r="BP465" s="86" t="n"/>
      <c r="BQ465" s="44" t="n"/>
      <c r="BR465" s="50" t="n"/>
      <c r="BS465" s="89" t="n"/>
      <c r="BT465" s="50">
        <f>IF(OR(K465="",L465="",M465=""),"",IF(ABS(ROUND(((ROUND(N(K465)*100,0))-(0))*(100+N(M465))/100,0)-(ROUND(N(L465)*100,0)))&lt;=0+IF(((ROUND(N(K465)*100,0))-(0))*(100+N(M465))/100&lt;&gt;ROUND(((ROUND(N(K465)*100,0))-(0))*(100+N(M465))/100,0),1,0),"OK","ABWEICHUNG"))</f>
        <v/>
      </c>
    </row>
    <row r="466">
      <c r="A466" s="50" t="n"/>
      <c r="B466" s="44" t="n"/>
      <c r="C466" s="44" t="n"/>
      <c r="D466" s="44" t="n"/>
      <c r="E466" s="44" t="n"/>
      <c r="F466" s="44" t="n"/>
      <c r="G466" s="44" t="n"/>
      <c r="H466" s="44" t="n"/>
      <c r="I466" s="45" t="n"/>
      <c r="J466" s="45" t="n"/>
      <c r="K466" s="85" t="n"/>
      <c r="L466" s="85" t="n"/>
      <c r="M466" s="88" t="n"/>
      <c r="N466" s="88" t="n"/>
      <c r="O466" s="44" t="n"/>
      <c r="P466" s="45" t="n"/>
      <c r="Q466" s="45" t="n"/>
      <c r="R466" s="44" t="n"/>
      <c r="S466" s="45" t="n"/>
      <c r="T466" s="45" t="n"/>
      <c r="U466" s="85" t="n"/>
      <c r="V466" s="44" t="n"/>
      <c r="W466" s="45" t="n"/>
      <c r="X466" s="45" t="n"/>
      <c r="Y466" s="44" t="n"/>
      <c r="Z466" s="85" t="n"/>
      <c r="AA466" s="44" t="n"/>
      <c r="AB466" s="44" t="n"/>
      <c r="AC466" s="44" t="n"/>
      <c r="AD466" s="44" t="n"/>
      <c r="AE466" s="44" t="n"/>
      <c r="AF466" s="88" t="n"/>
      <c r="AG466" s="85" t="n"/>
      <c r="AH466" s="85" t="n"/>
      <c r="AI466" s="85" t="n"/>
      <c r="AJ466" s="85" t="n"/>
      <c r="AK466" s="85" t="n"/>
      <c r="AL466" s="85" t="n"/>
      <c r="AM466" s="85" t="n"/>
      <c r="AN466" s="85" t="n"/>
      <c r="AO466" s="85" t="n"/>
      <c r="AP466" s="85" t="n"/>
      <c r="AQ466" s="85" t="n"/>
      <c r="AR466" s="85" t="n"/>
      <c r="AS466" s="85" t="n"/>
      <c r="AT466" s="85" t="n"/>
      <c r="AU466" s="85" t="n"/>
      <c r="AV466" s="85" t="n"/>
      <c r="AW466" s="44" t="n"/>
      <c r="AX466" s="85" t="n"/>
      <c r="AY466" s="88" t="n"/>
      <c r="AZ466" s="86" t="n"/>
      <c r="BA466" s="44" t="n"/>
      <c r="BB466" s="44" t="n"/>
      <c r="BC466" s="87" t="n"/>
      <c r="BD466" s="44" t="n"/>
      <c r="BE466" s="87" t="n"/>
      <c r="BF466" s="85" t="n"/>
      <c r="BG466" s="44" t="n"/>
      <c r="BH466" s="44" t="n"/>
      <c r="BI466" s="85" t="n"/>
      <c r="BJ466" s="44" t="n"/>
      <c r="BK466" s="45" t="n"/>
      <c r="BL466" s="44" t="n"/>
      <c r="BM466" s="85" t="n"/>
      <c r="BN466" s="44" t="n"/>
      <c r="BO466" s="85" t="n"/>
      <c r="BP466" s="86" t="n"/>
      <c r="BQ466" s="44" t="n"/>
      <c r="BR466" s="50" t="n"/>
      <c r="BS466" s="89" t="n"/>
      <c r="BT466" s="50">
        <f>IF(OR(K466="",L466="",M466=""),"",IF(ABS(ROUND(((ROUND(N(K466)*100,0))-(0))*(100+N(M466))/100,0)-(ROUND(N(L466)*100,0)))&lt;=0+IF(((ROUND(N(K466)*100,0))-(0))*(100+N(M466))/100&lt;&gt;ROUND(((ROUND(N(K466)*100,0))-(0))*(100+N(M466))/100,0),1,0),"OK","ABWEICHUNG"))</f>
        <v/>
      </c>
    </row>
    <row r="467">
      <c r="A467" s="50" t="n"/>
      <c r="B467" s="44" t="n"/>
      <c r="C467" s="44" t="n"/>
      <c r="D467" s="44" t="n"/>
      <c r="E467" s="44" t="n"/>
      <c r="F467" s="44" t="n"/>
      <c r="G467" s="44" t="n"/>
      <c r="H467" s="44" t="n"/>
      <c r="I467" s="45" t="n"/>
      <c r="J467" s="45" t="n"/>
      <c r="K467" s="85" t="n"/>
      <c r="L467" s="85" t="n"/>
      <c r="M467" s="88" t="n"/>
      <c r="N467" s="88" t="n"/>
      <c r="O467" s="44" t="n"/>
      <c r="P467" s="45" t="n"/>
      <c r="Q467" s="45" t="n"/>
      <c r="R467" s="44" t="n"/>
      <c r="S467" s="45" t="n"/>
      <c r="T467" s="45" t="n"/>
      <c r="U467" s="85" t="n"/>
      <c r="V467" s="44" t="n"/>
      <c r="W467" s="45" t="n"/>
      <c r="X467" s="45" t="n"/>
      <c r="Y467" s="44" t="n"/>
      <c r="Z467" s="85" t="n"/>
      <c r="AA467" s="44" t="n"/>
      <c r="AB467" s="44" t="n"/>
      <c r="AC467" s="44" t="n"/>
      <c r="AD467" s="44" t="n"/>
      <c r="AE467" s="44" t="n"/>
      <c r="AF467" s="88" t="n"/>
      <c r="AG467" s="85" t="n"/>
      <c r="AH467" s="85" t="n"/>
      <c r="AI467" s="85" t="n"/>
      <c r="AJ467" s="85" t="n"/>
      <c r="AK467" s="85" t="n"/>
      <c r="AL467" s="85" t="n"/>
      <c r="AM467" s="85" t="n"/>
      <c r="AN467" s="85" t="n"/>
      <c r="AO467" s="85" t="n"/>
      <c r="AP467" s="85" t="n"/>
      <c r="AQ467" s="85" t="n"/>
      <c r="AR467" s="85" t="n"/>
      <c r="AS467" s="85" t="n"/>
      <c r="AT467" s="85" t="n"/>
      <c r="AU467" s="85" t="n"/>
      <c r="AV467" s="85" t="n"/>
      <c r="AW467" s="44" t="n"/>
      <c r="AX467" s="85" t="n"/>
      <c r="AY467" s="88" t="n"/>
      <c r="AZ467" s="86" t="n"/>
      <c r="BA467" s="44" t="n"/>
      <c r="BB467" s="44" t="n"/>
      <c r="BC467" s="87" t="n"/>
      <c r="BD467" s="44" t="n"/>
      <c r="BE467" s="87" t="n"/>
      <c r="BF467" s="85" t="n"/>
      <c r="BG467" s="44" t="n"/>
      <c r="BH467" s="44" t="n"/>
      <c r="BI467" s="85" t="n"/>
      <c r="BJ467" s="44" t="n"/>
      <c r="BK467" s="45" t="n"/>
      <c r="BL467" s="44" t="n"/>
      <c r="BM467" s="85" t="n"/>
      <c r="BN467" s="44" t="n"/>
      <c r="BO467" s="85" t="n"/>
      <c r="BP467" s="86" t="n"/>
      <c r="BQ467" s="44" t="n"/>
      <c r="BR467" s="50" t="n"/>
      <c r="BS467" s="89" t="n"/>
      <c r="BT467" s="50">
        <f>IF(OR(K467="",L467="",M467=""),"",IF(ABS(ROUND(((ROUND(N(K467)*100,0))-(0))*(100+N(M467))/100,0)-(ROUND(N(L467)*100,0)))&lt;=0+IF(((ROUND(N(K467)*100,0))-(0))*(100+N(M467))/100&lt;&gt;ROUND(((ROUND(N(K467)*100,0))-(0))*(100+N(M467))/100,0),1,0),"OK","ABWEICHUNG"))</f>
        <v/>
      </c>
    </row>
    <row r="468">
      <c r="A468" s="50" t="n"/>
      <c r="B468" s="44" t="n"/>
      <c r="C468" s="44" t="n"/>
      <c r="D468" s="44" t="n"/>
      <c r="E468" s="44" t="n"/>
      <c r="F468" s="44" t="n"/>
      <c r="G468" s="44" t="n"/>
      <c r="H468" s="44" t="n"/>
      <c r="I468" s="45" t="n"/>
      <c r="J468" s="45" t="n"/>
      <c r="K468" s="85" t="n"/>
      <c r="L468" s="85" t="n"/>
      <c r="M468" s="88" t="n"/>
      <c r="N468" s="88" t="n"/>
      <c r="O468" s="44" t="n"/>
      <c r="P468" s="45" t="n"/>
      <c r="Q468" s="45" t="n"/>
      <c r="R468" s="44" t="n"/>
      <c r="S468" s="45" t="n"/>
      <c r="T468" s="45" t="n"/>
      <c r="U468" s="85" t="n"/>
      <c r="V468" s="44" t="n"/>
      <c r="W468" s="45" t="n"/>
      <c r="X468" s="45" t="n"/>
      <c r="Y468" s="44" t="n"/>
      <c r="Z468" s="85" t="n"/>
      <c r="AA468" s="44" t="n"/>
      <c r="AB468" s="44" t="n"/>
      <c r="AC468" s="44" t="n"/>
      <c r="AD468" s="44" t="n"/>
      <c r="AE468" s="44" t="n"/>
      <c r="AF468" s="88" t="n"/>
      <c r="AG468" s="85" t="n"/>
      <c r="AH468" s="85" t="n"/>
      <c r="AI468" s="85" t="n"/>
      <c r="AJ468" s="85" t="n"/>
      <c r="AK468" s="85" t="n"/>
      <c r="AL468" s="85" t="n"/>
      <c r="AM468" s="85" t="n"/>
      <c r="AN468" s="85" t="n"/>
      <c r="AO468" s="85" t="n"/>
      <c r="AP468" s="85" t="n"/>
      <c r="AQ468" s="85" t="n"/>
      <c r="AR468" s="85" t="n"/>
      <c r="AS468" s="85" t="n"/>
      <c r="AT468" s="85" t="n"/>
      <c r="AU468" s="85" t="n"/>
      <c r="AV468" s="85" t="n"/>
      <c r="AW468" s="44" t="n"/>
      <c r="AX468" s="85" t="n"/>
      <c r="AY468" s="88" t="n"/>
      <c r="AZ468" s="86" t="n"/>
      <c r="BA468" s="44" t="n"/>
      <c r="BB468" s="44" t="n"/>
      <c r="BC468" s="87" t="n"/>
      <c r="BD468" s="44" t="n"/>
      <c r="BE468" s="87" t="n"/>
      <c r="BF468" s="85" t="n"/>
      <c r="BG468" s="44" t="n"/>
      <c r="BH468" s="44" t="n"/>
      <c r="BI468" s="85" t="n"/>
      <c r="BJ468" s="44" t="n"/>
      <c r="BK468" s="45" t="n"/>
      <c r="BL468" s="44" t="n"/>
      <c r="BM468" s="85" t="n"/>
      <c r="BN468" s="44" t="n"/>
      <c r="BO468" s="85" t="n"/>
      <c r="BP468" s="86" t="n"/>
      <c r="BQ468" s="44" t="n"/>
      <c r="BR468" s="50" t="n"/>
      <c r="BS468" s="89" t="n"/>
      <c r="BT468" s="50">
        <f>IF(OR(K468="",L468="",M468=""),"",IF(ABS(ROUND(((ROUND(N(K468)*100,0))-(0))*(100+N(M468))/100,0)-(ROUND(N(L468)*100,0)))&lt;=0+IF(((ROUND(N(K468)*100,0))-(0))*(100+N(M468))/100&lt;&gt;ROUND(((ROUND(N(K468)*100,0))-(0))*(100+N(M468))/100,0),1,0),"OK","ABWEICHUNG"))</f>
        <v/>
      </c>
    </row>
    <row r="469">
      <c r="A469" s="50" t="n"/>
      <c r="B469" s="44" t="n"/>
      <c r="C469" s="44" t="n"/>
      <c r="D469" s="44" t="n"/>
      <c r="E469" s="44" t="n"/>
      <c r="F469" s="44" t="n"/>
      <c r="G469" s="44" t="n"/>
      <c r="H469" s="44" t="n"/>
      <c r="I469" s="45" t="n"/>
      <c r="J469" s="45" t="n"/>
      <c r="K469" s="85" t="n"/>
      <c r="L469" s="85" t="n"/>
      <c r="M469" s="88" t="n"/>
      <c r="N469" s="88" t="n"/>
      <c r="O469" s="44" t="n"/>
      <c r="P469" s="45" t="n"/>
      <c r="Q469" s="45" t="n"/>
      <c r="R469" s="44" t="n"/>
      <c r="S469" s="45" t="n"/>
      <c r="T469" s="45" t="n"/>
      <c r="U469" s="85" t="n"/>
      <c r="V469" s="44" t="n"/>
      <c r="W469" s="45" t="n"/>
      <c r="X469" s="45" t="n"/>
      <c r="Y469" s="44" t="n"/>
      <c r="Z469" s="85" t="n"/>
      <c r="AA469" s="44" t="n"/>
      <c r="AB469" s="44" t="n"/>
      <c r="AC469" s="44" t="n"/>
      <c r="AD469" s="44" t="n"/>
      <c r="AE469" s="44" t="n"/>
      <c r="AF469" s="88" t="n"/>
      <c r="AG469" s="85" t="n"/>
      <c r="AH469" s="85" t="n"/>
      <c r="AI469" s="85" t="n"/>
      <c r="AJ469" s="85" t="n"/>
      <c r="AK469" s="85" t="n"/>
      <c r="AL469" s="85" t="n"/>
      <c r="AM469" s="85" t="n"/>
      <c r="AN469" s="85" t="n"/>
      <c r="AO469" s="85" t="n"/>
      <c r="AP469" s="85" t="n"/>
      <c r="AQ469" s="85" t="n"/>
      <c r="AR469" s="85" t="n"/>
      <c r="AS469" s="85" t="n"/>
      <c r="AT469" s="85" t="n"/>
      <c r="AU469" s="85" t="n"/>
      <c r="AV469" s="85" t="n"/>
      <c r="AW469" s="44" t="n"/>
      <c r="AX469" s="85" t="n"/>
      <c r="AY469" s="88" t="n"/>
      <c r="AZ469" s="86" t="n"/>
      <c r="BA469" s="44" t="n"/>
      <c r="BB469" s="44" t="n"/>
      <c r="BC469" s="87" t="n"/>
      <c r="BD469" s="44" t="n"/>
      <c r="BE469" s="87" t="n"/>
      <c r="BF469" s="85" t="n"/>
      <c r="BG469" s="44" t="n"/>
      <c r="BH469" s="44" t="n"/>
      <c r="BI469" s="85" t="n"/>
      <c r="BJ469" s="44" t="n"/>
      <c r="BK469" s="45" t="n"/>
      <c r="BL469" s="44" t="n"/>
      <c r="BM469" s="85" t="n"/>
      <c r="BN469" s="44" t="n"/>
      <c r="BO469" s="85" t="n"/>
      <c r="BP469" s="86" t="n"/>
      <c r="BQ469" s="44" t="n"/>
      <c r="BR469" s="50" t="n"/>
      <c r="BS469" s="89" t="n"/>
      <c r="BT469" s="50">
        <f>IF(OR(K469="",L469="",M469=""),"",IF(ABS(ROUND(((ROUND(N(K469)*100,0))-(0))*(100+N(M469))/100,0)-(ROUND(N(L469)*100,0)))&lt;=0+IF(((ROUND(N(K469)*100,0))-(0))*(100+N(M469))/100&lt;&gt;ROUND(((ROUND(N(K469)*100,0))-(0))*(100+N(M469))/100,0),1,0),"OK","ABWEICHUNG"))</f>
        <v/>
      </c>
    </row>
    <row r="470">
      <c r="A470" s="50" t="n"/>
      <c r="B470" s="44" t="n"/>
      <c r="C470" s="44" t="n"/>
      <c r="D470" s="44" t="n"/>
      <c r="E470" s="44" t="n"/>
      <c r="F470" s="44" t="n"/>
      <c r="G470" s="44" t="n"/>
      <c r="H470" s="44" t="n"/>
      <c r="I470" s="45" t="n"/>
      <c r="J470" s="45" t="n"/>
      <c r="K470" s="85" t="n"/>
      <c r="L470" s="85" t="n"/>
      <c r="M470" s="88" t="n"/>
      <c r="N470" s="88" t="n"/>
      <c r="O470" s="44" t="n"/>
      <c r="P470" s="45" t="n"/>
      <c r="Q470" s="45" t="n"/>
      <c r="R470" s="44" t="n"/>
      <c r="S470" s="45" t="n"/>
      <c r="T470" s="45" t="n"/>
      <c r="U470" s="85" t="n"/>
      <c r="V470" s="44" t="n"/>
      <c r="W470" s="45" t="n"/>
      <c r="X470" s="45" t="n"/>
      <c r="Y470" s="44" t="n"/>
      <c r="Z470" s="85" t="n"/>
      <c r="AA470" s="44" t="n"/>
      <c r="AB470" s="44" t="n"/>
      <c r="AC470" s="44" t="n"/>
      <c r="AD470" s="44" t="n"/>
      <c r="AE470" s="44" t="n"/>
      <c r="AF470" s="88" t="n"/>
      <c r="AG470" s="85" t="n"/>
      <c r="AH470" s="85" t="n"/>
      <c r="AI470" s="85" t="n"/>
      <c r="AJ470" s="85" t="n"/>
      <c r="AK470" s="85" t="n"/>
      <c r="AL470" s="85" t="n"/>
      <c r="AM470" s="85" t="n"/>
      <c r="AN470" s="85" t="n"/>
      <c r="AO470" s="85" t="n"/>
      <c r="AP470" s="85" t="n"/>
      <c r="AQ470" s="85" t="n"/>
      <c r="AR470" s="85" t="n"/>
      <c r="AS470" s="85" t="n"/>
      <c r="AT470" s="85" t="n"/>
      <c r="AU470" s="85" t="n"/>
      <c r="AV470" s="85" t="n"/>
      <c r="AW470" s="44" t="n"/>
      <c r="AX470" s="85" t="n"/>
      <c r="AY470" s="88" t="n"/>
      <c r="AZ470" s="86" t="n"/>
      <c r="BA470" s="44" t="n"/>
      <c r="BB470" s="44" t="n"/>
      <c r="BC470" s="87" t="n"/>
      <c r="BD470" s="44" t="n"/>
      <c r="BE470" s="87" t="n"/>
      <c r="BF470" s="85" t="n"/>
      <c r="BG470" s="44" t="n"/>
      <c r="BH470" s="44" t="n"/>
      <c r="BI470" s="85" t="n"/>
      <c r="BJ470" s="44" t="n"/>
      <c r="BK470" s="45" t="n"/>
      <c r="BL470" s="44" t="n"/>
      <c r="BM470" s="85" t="n"/>
      <c r="BN470" s="44" t="n"/>
      <c r="BO470" s="85" t="n"/>
      <c r="BP470" s="86" t="n"/>
      <c r="BQ470" s="44" t="n"/>
      <c r="BR470" s="50" t="n"/>
      <c r="BS470" s="89" t="n"/>
      <c r="BT470" s="50">
        <f>IF(OR(K470="",L470="",M470=""),"",IF(ABS(ROUND(((ROUND(N(K470)*100,0))-(0))*(100+N(M470))/100,0)-(ROUND(N(L470)*100,0)))&lt;=0+IF(((ROUND(N(K470)*100,0))-(0))*(100+N(M470))/100&lt;&gt;ROUND(((ROUND(N(K470)*100,0))-(0))*(100+N(M470))/100,0),1,0),"OK","ABWEICHUNG"))</f>
        <v/>
      </c>
    </row>
    <row r="471">
      <c r="A471" s="50" t="n"/>
      <c r="B471" s="44" t="n"/>
      <c r="C471" s="44" t="n"/>
      <c r="D471" s="44" t="n"/>
      <c r="E471" s="44" t="n"/>
      <c r="F471" s="44" t="n"/>
      <c r="G471" s="44" t="n"/>
      <c r="H471" s="44" t="n"/>
      <c r="I471" s="45" t="n"/>
      <c r="J471" s="45" t="n"/>
      <c r="K471" s="85" t="n"/>
      <c r="L471" s="85" t="n"/>
      <c r="M471" s="88" t="n"/>
      <c r="N471" s="88" t="n"/>
      <c r="O471" s="44" t="n"/>
      <c r="P471" s="45" t="n"/>
      <c r="Q471" s="45" t="n"/>
      <c r="R471" s="44" t="n"/>
      <c r="S471" s="45" t="n"/>
      <c r="T471" s="45" t="n"/>
      <c r="U471" s="85" t="n"/>
      <c r="V471" s="44" t="n"/>
      <c r="W471" s="45" t="n"/>
      <c r="X471" s="45" t="n"/>
      <c r="Y471" s="44" t="n"/>
      <c r="Z471" s="85" t="n"/>
      <c r="AA471" s="44" t="n"/>
      <c r="AB471" s="44" t="n"/>
      <c r="AC471" s="44" t="n"/>
      <c r="AD471" s="44" t="n"/>
      <c r="AE471" s="44" t="n"/>
      <c r="AF471" s="88" t="n"/>
      <c r="AG471" s="85" t="n"/>
      <c r="AH471" s="85" t="n"/>
      <c r="AI471" s="85" t="n"/>
      <c r="AJ471" s="85" t="n"/>
      <c r="AK471" s="85" t="n"/>
      <c r="AL471" s="85" t="n"/>
      <c r="AM471" s="85" t="n"/>
      <c r="AN471" s="85" t="n"/>
      <c r="AO471" s="85" t="n"/>
      <c r="AP471" s="85" t="n"/>
      <c r="AQ471" s="85" t="n"/>
      <c r="AR471" s="85" t="n"/>
      <c r="AS471" s="85" t="n"/>
      <c r="AT471" s="85" t="n"/>
      <c r="AU471" s="85" t="n"/>
      <c r="AV471" s="85" t="n"/>
      <c r="AW471" s="44" t="n"/>
      <c r="AX471" s="85" t="n"/>
      <c r="AY471" s="88" t="n"/>
      <c r="AZ471" s="86" t="n"/>
      <c r="BA471" s="44" t="n"/>
      <c r="BB471" s="44" t="n"/>
      <c r="BC471" s="87" t="n"/>
      <c r="BD471" s="44" t="n"/>
      <c r="BE471" s="87" t="n"/>
      <c r="BF471" s="85" t="n"/>
      <c r="BG471" s="44" t="n"/>
      <c r="BH471" s="44" t="n"/>
      <c r="BI471" s="85" t="n"/>
      <c r="BJ471" s="44" t="n"/>
      <c r="BK471" s="45" t="n"/>
      <c r="BL471" s="44" t="n"/>
      <c r="BM471" s="85" t="n"/>
      <c r="BN471" s="44" t="n"/>
      <c r="BO471" s="85" t="n"/>
      <c r="BP471" s="86" t="n"/>
      <c r="BQ471" s="44" t="n"/>
      <c r="BR471" s="50" t="n"/>
      <c r="BS471" s="89" t="n"/>
      <c r="BT471" s="50">
        <f>IF(OR(K471="",L471="",M471=""),"",IF(ABS(ROUND(((ROUND(N(K471)*100,0))-(0))*(100+N(M471))/100,0)-(ROUND(N(L471)*100,0)))&lt;=0+IF(((ROUND(N(K471)*100,0))-(0))*(100+N(M471))/100&lt;&gt;ROUND(((ROUND(N(K471)*100,0))-(0))*(100+N(M471))/100,0),1,0),"OK","ABWEICHUNG"))</f>
        <v/>
      </c>
    </row>
    <row r="472">
      <c r="A472" s="50" t="n"/>
      <c r="B472" s="44" t="n"/>
      <c r="C472" s="44" t="n"/>
      <c r="D472" s="44" t="n"/>
      <c r="E472" s="44" t="n"/>
      <c r="F472" s="44" t="n"/>
      <c r="G472" s="44" t="n"/>
      <c r="H472" s="44" t="n"/>
      <c r="I472" s="45" t="n"/>
      <c r="J472" s="45" t="n"/>
      <c r="K472" s="85" t="n"/>
      <c r="L472" s="85" t="n"/>
      <c r="M472" s="88" t="n"/>
      <c r="N472" s="88" t="n"/>
      <c r="O472" s="44" t="n"/>
      <c r="P472" s="45" t="n"/>
      <c r="Q472" s="45" t="n"/>
      <c r="R472" s="44" t="n"/>
      <c r="S472" s="45" t="n"/>
      <c r="T472" s="45" t="n"/>
      <c r="U472" s="85" t="n"/>
      <c r="V472" s="44" t="n"/>
      <c r="W472" s="45" t="n"/>
      <c r="X472" s="45" t="n"/>
      <c r="Y472" s="44" t="n"/>
      <c r="Z472" s="85" t="n"/>
      <c r="AA472" s="44" t="n"/>
      <c r="AB472" s="44" t="n"/>
      <c r="AC472" s="44" t="n"/>
      <c r="AD472" s="44" t="n"/>
      <c r="AE472" s="44" t="n"/>
      <c r="AF472" s="88" t="n"/>
      <c r="AG472" s="85" t="n"/>
      <c r="AH472" s="85" t="n"/>
      <c r="AI472" s="85" t="n"/>
      <c r="AJ472" s="85" t="n"/>
      <c r="AK472" s="85" t="n"/>
      <c r="AL472" s="85" t="n"/>
      <c r="AM472" s="85" t="n"/>
      <c r="AN472" s="85" t="n"/>
      <c r="AO472" s="85" t="n"/>
      <c r="AP472" s="85" t="n"/>
      <c r="AQ472" s="85" t="n"/>
      <c r="AR472" s="85" t="n"/>
      <c r="AS472" s="85" t="n"/>
      <c r="AT472" s="85" t="n"/>
      <c r="AU472" s="85" t="n"/>
      <c r="AV472" s="85" t="n"/>
      <c r="AW472" s="44" t="n"/>
      <c r="AX472" s="85" t="n"/>
      <c r="AY472" s="88" t="n"/>
      <c r="AZ472" s="86" t="n"/>
      <c r="BA472" s="44" t="n"/>
      <c r="BB472" s="44" t="n"/>
      <c r="BC472" s="87" t="n"/>
      <c r="BD472" s="44" t="n"/>
      <c r="BE472" s="87" t="n"/>
      <c r="BF472" s="85" t="n"/>
      <c r="BG472" s="44" t="n"/>
      <c r="BH472" s="44" t="n"/>
      <c r="BI472" s="85" t="n"/>
      <c r="BJ472" s="44" t="n"/>
      <c r="BK472" s="45" t="n"/>
      <c r="BL472" s="44" t="n"/>
      <c r="BM472" s="85" t="n"/>
      <c r="BN472" s="44" t="n"/>
      <c r="BO472" s="85" t="n"/>
      <c r="BP472" s="86" t="n"/>
      <c r="BQ472" s="44" t="n"/>
      <c r="BR472" s="50" t="n"/>
      <c r="BS472" s="89" t="n"/>
      <c r="BT472" s="50">
        <f>IF(OR(K472="",L472="",M472=""),"",IF(ABS(ROUND(((ROUND(N(K472)*100,0))-(0))*(100+N(M472))/100,0)-(ROUND(N(L472)*100,0)))&lt;=0+IF(((ROUND(N(K472)*100,0))-(0))*(100+N(M472))/100&lt;&gt;ROUND(((ROUND(N(K472)*100,0))-(0))*(100+N(M472))/100,0),1,0),"OK","ABWEICHUNG"))</f>
        <v/>
      </c>
    </row>
    <row r="473">
      <c r="A473" s="50" t="n"/>
      <c r="B473" s="44" t="n"/>
      <c r="C473" s="44" t="n"/>
      <c r="D473" s="44" t="n"/>
      <c r="E473" s="44" t="n"/>
      <c r="F473" s="44" t="n"/>
      <c r="G473" s="44" t="n"/>
      <c r="H473" s="44" t="n"/>
      <c r="I473" s="45" t="n"/>
      <c r="J473" s="45" t="n"/>
      <c r="K473" s="85" t="n"/>
      <c r="L473" s="85" t="n"/>
      <c r="M473" s="88" t="n"/>
      <c r="N473" s="88" t="n"/>
      <c r="O473" s="44" t="n"/>
      <c r="P473" s="45" t="n"/>
      <c r="Q473" s="45" t="n"/>
      <c r="R473" s="44" t="n"/>
      <c r="S473" s="45" t="n"/>
      <c r="T473" s="45" t="n"/>
      <c r="U473" s="85" t="n"/>
      <c r="V473" s="44" t="n"/>
      <c r="W473" s="45" t="n"/>
      <c r="X473" s="45" t="n"/>
      <c r="Y473" s="44" t="n"/>
      <c r="Z473" s="85" t="n"/>
      <c r="AA473" s="44" t="n"/>
      <c r="AB473" s="44" t="n"/>
      <c r="AC473" s="44" t="n"/>
      <c r="AD473" s="44" t="n"/>
      <c r="AE473" s="44" t="n"/>
      <c r="AF473" s="88" t="n"/>
      <c r="AG473" s="85" t="n"/>
      <c r="AH473" s="85" t="n"/>
      <c r="AI473" s="85" t="n"/>
      <c r="AJ473" s="85" t="n"/>
      <c r="AK473" s="85" t="n"/>
      <c r="AL473" s="85" t="n"/>
      <c r="AM473" s="85" t="n"/>
      <c r="AN473" s="85" t="n"/>
      <c r="AO473" s="85" t="n"/>
      <c r="AP473" s="85" t="n"/>
      <c r="AQ473" s="85" t="n"/>
      <c r="AR473" s="85" t="n"/>
      <c r="AS473" s="85" t="n"/>
      <c r="AT473" s="85" t="n"/>
      <c r="AU473" s="85" t="n"/>
      <c r="AV473" s="85" t="n"/>
      <c r="AW473" s="44" t="n"/>
      <c r="AX473" s="85" t="n"/>
      <c r="AY473" s="88" t="n"/>
      <c r="AZ473" s="86" t="n"/>
      <c r="BA473" s="44" t="n"/>
      <c r="BB473" s="44" t="n"/>
      <c r="BC473" s="87" t="n"/>
      <c r="BD473" s="44" t="n"/>
      <c r="BE473" s="87" t="n"/>
      <c r="BF473" s="85" t="n"/>
      <c r="BG473" s="44" t="n"/>
      <c r="BH473" s="44" t="n"/>
      <c r="BI473" s="85" t="n"/>
      <c r="BJ473" s="44" t="n"/>
      <c r="BK473" s="45" t="n"/>
      <c r="BL473" s="44" t="n"/>
      <c r="BM473" s="85" t="n"/>
      <c r="BN473" s="44" t="n"/>
      <c r="BO473" s="85" t="n"/>
      <c r="BP473" s="86" t="n"/>
      <c r="BQ473" s="44" t="n"/>
      <c r="BR473" s="50" t="n"/>
      <c r="BS473" s="89" t="n"/>
      <c r="BT473" s="50">
        <f>IF(OR(K473="",L473="",M473=""),"",IF(ABS(ROUND(((ROUND(N(K473)*100,0))-(0))*(100+N(M473))/100,0)-(ROUND(N(L473)*100,0)))&lt;=0+IF(((ROUND(N(K473)*100,0))-(0))*(100+N(M473))/100&lt;&gt;ROUND(((ROUND(N(K473)*100,0))-(0))*(100+N(M473))/100,0),1,0),"OK","ABWEICHUNG"))</f>
        <v/>
      </c>
    </row>
    <row r="474">
      <c r="A474" s="50" t="n"/>
      <c r="B474" s="44" t="n"/>
      <c r="C474" s="44" t="n"/>
      <c r="D474" s="44" t="n"/>
      <c r="E474" s="44" t="n"/>
      <c r="F474" s="44" t="n"/>
      <c r="G474" s="44" t="n"/>
      <c r="H474" s="44" t="n"/>
      <c r="I474" s="45" t="n"/>
      <c r="J474" s="45" t="n"/>
      <c r="K474" s="85" t="n"/>
      <c r="L474" s="85" t="n"/>
      <c r="M474" s="88" t="n"/>
      <c r="N474" s="88" t="n"/>
      <c r="O474" s="44" t="n"/>
      <c r="P474" s="45" t="n"/>
      <c r="Q474" s="45" t="n"/>
      <c r="R474" s="44" t="n"/>
      <c r="S474" s="45" t="n"/>
      <c r="T474" s="45" t="n"/>
      <c r="U474" s="85" t="n"/>
      <c r="V474" s="44" t="n"/>
      <c r="W474" s="45" t="n"/>
      <c r="X474" s="45" t="n"/>
      <c r="Y474" s="44" t="n"/>
      <c r="Z474" s="85" t="n"/>
      <c r="AA474" s="44" t="n"/>
      <c r="AB474" s="44" t="n"/>
      <c r="AC474" s="44" t="n"/>
      <c r="AD474" s="44" t="n"/>
      <c r="AE474" s="44" t="n"/>
      <c r="AF474" s="88" t="n"/>
      <c r="AG474" s="85" t="n"/>
      <c r="AH474" s="85" t="n"/>
      <c r="AI474" s="85" t="n"/>
      <c r="AJ474" s="85" t="n"/>
      <c r="AK474" s="85" t="n"/>
      <c r="AL474" s="85" t="n"/>
      <c r="AM474" s="85" t="n"/>
      <c r="AN474" s="85" t="n"/>
      <c r="AO474" s="85" t="n"/>
      <c r="AP474" s="85" t="n"/>
      <c r="AQ474" s="85" t="n"/>
      <c r="AR474" s="85" t="n"/>
      <c r="AS474" s="85" t="n"/>
      <c r="AT474" s="85" t="n"/>
      <c r="AU474" s="85" t="n"/>
      <c r="AV474" s="85" t="n"/>
      <c r="AW474" s="44" t="n"/>
      <c r="AX474" s="85" t="n"/>
      <c r="AY474" s="88" t="n"/>
      <c r="AZ474" s="86" t="n"/>
      <c r="BA474" s="44" t="n"/>
      <c r="BB474" s="44" t="n"/>
      <c r="BC474" s="87" t="n"/>
      <c r="BD474" s="44" t="n"/>
      <c r="BE474" s="87" t="n"/>
      <c r="BF474" s="85" t="n"/>
      <c r="BG474" s="44" t="n"/>
      <c r="BH474" s="44" t="n"/>
      <c r="BI474" s="85" t="n"/>
      <c r="BJ474" s="44" t="n"/>
      <c r="BK474" s="45" t="n"/>
      <c r="BL474" s="44" t="n"/>
      <c r="BM474" s="85" t="n"/>
      <c r="BN474" s="44" t="n"/>
      <c r="BO474" s="85" t="n"/>
      <c r="BP474" s="86" t="n"/>
      <c r="BQ474" s="44" t="n"/>
      <c r="BR474" s="50" t="n"/>
      <c r="BS474" s="89" t="n"/>
      <c r="BT474" s="50">
        <f>IF(OR(K474="",L474="",M474=""),"",IF(ABS(ROUND(((ROUND(N(K474)*100,0))-(0))*(100+N(M474))/100,0)-(ROUND(N(L474)*100,0)))&lt;=0+IF(((ROUND(N(K474)*100,0))-(0))*(100+N(M474))/100&lt;&gt;ROUND(((ROUND(N(K474)*100,0))-(0))*(100+N(M474))/100,0),1,0),"OK","ABWEICHUNG"))</f>
        <v/>
      </c>
    </row>
    <row r="475">
      <c r="A475" s="50" t="n"/>
      <c r="B475" s="44" t="n"/>
      <c r="C475" s="44" t="n"/>
      <c r="D475" s="44" t="n"/>
      <c r="E475" s="44" t="n"/>
      <c r="F475" s="44" t="n"/>
      <c r="G475" s="44" t="n"/>
      <c r="H475" s="44" t="n"/>
      <c r="I475" s="45" t="n"/>
      <c r="J475" s="45" t="n"/>
      <c r="K475" s="85" t="n"/>
      <c r="L475" s="85" t="n"/>
      <c r="M475" s="88" t="n"/>
      <c r="N475" s="88" t="n"/>
      <c r="O475" s="44" t="n"/>
      <c r="P475" s="45" t="n"/>
      <c r="Q475" s="45" t="n"/>
      <c r="R475" s="44" t="n"/>
      <c r="S475" s="45" t="n"/>
      <c r="T475" s="45" t="n"/>
      <c r="U475" s="85" t="n"/>
      <c r="V475" s="44" t="n"/>
      <c r="W475" s="45" t="n"/>
      <c r="X475" s="45" t="n"/>
      <c r="Y475" s="44" t="n"/>
      <c r="Z475" s="85" t="n"/>
      <c r="AA475" s="44" t="n"/>
      <c r="AB475" s="44" t="n"/>
      <c r="AC475" s="44" t="n"/>
      <c r="AD475" s="44" t="n"/>
      <c r="AE475" s="44" t="n"/>
      <c r="AF475" s="88" t="n"/>
      <c r="AG475" s="85" t="n"/>
      <c r="AH475" s="85" t="n"/>
      <c r="AI475" s="85" t="n"/>
      <c r="AJ475" s="85" t="n"/>
      <c r="AK475" s="85" t="n"/>
      <c r="AL475" s="85" t="n"/>
      <c r="AM475" s="85" t="n"/>
      <c r="AN475" s="85" t="n"/>
      <c r="AO475" s="85" t="n"/>
      <c r="AP475" s="85" t="n"/>
      <c r="AQ475" s="85" t="n"/>
      <c r="AR475" s="85" t="n"/>
      <c r="AS475" s="85" t="n"/>
      <c r="AT475" s="85" t="n"/>
      <c r="AU475" s="85" t="n"/>
      <c r="AV475" s="85" t="n"/>
      <c r="AW475" s="44" t="n"/>
      <c r="AX475" s="85" t="n"/>
      <c r="AY475" s="88" t="n"/>
      <c r="AZ475" s="86" t="n"/>
      <c r="BA475" s="44" t="n"/>
      <c r="BB475" s="44" t="n"/>
      <c r="BC475" s="87" t="n"/>
      <c r="BD475" s="44" t="n"/>
      <c r="BE475" s="87" t="n"/>
      <c r="BF475" s="85" t="n"/>
      <c r="BG475" s="44" t="n"/>
      <c r="BH475" s="44" t="n"/>
      <c r="BI475" s="85" t="n"/>
      <c r="BJ475" s="44" t="n"/>
      <c r="BK475" s="45" t="n"/>
      <c r="BL475" s="44" t="n"/>
      <c r="BM475" s="85" t="n"/>
      <c r="BN475" s="44" t="n"/>
      <c r="BO475" s="85" t="n"/>
      <c r="BP475" s="86" t="n"/>
      <c r="BQ475" s="44" t="n"/>
      <c r="BR475" s="50" t="n"/>
      <c r="BS475" s="89" t="n"/>
      <c r="BT475" s="50">
        <f>IF(OR(K475="",L475="",M475=""),"",IF(ABS(ROUND(((ROUND(N(K475)*100,0))-(0))*(100+N(M475))/100,0)-(ROUND(N(L475)*100,0)))&lt;=0+IF(((ROUND(N(K475)*100,0))-(0))*(100+N(M475))/100&lt;&gt;ROUND(((ROUND(N(K475)*100,0))-(0))*(100+N(M475))/100,0),1,0),"OK","ABWEICHUNG"))</f>
        <v/>
      </c>
    </row>
    <row r="476">
      <c r="A476" s="50" t="n"/>
      <c r="B476" s="44" t="n"/>
      <c r="C476" s="44" t="n"/>
      <c r="D476" s="44" t="n"/>
      <c r="E476" s="44" t="n"/>
      <c r="F476" s="44" t="n"/>
      <c r="G476" s="44" t="n"/>
      <c r="H476" s="44" t="n"/>
      <c r="I476" s="45" t="n"/>
      <c r="J476" s="45" t="n"/>
      <c r="K476" s="85" t="n"/>
      <c r="L476" s="85" t="n"/>
      <c r="M476" s="88" t="n"/>
      <c r="N476" s="88" t="n"/>
      <c r="O476" s="44" t="n"/>
      <c r="P476" s="45" t="n"/>
      <c r="Q476" s="45" t="n"/>
      <c r="R476" s="44" t="n"/>
      <c r="S476" s="45" t="n"/>
      <c r="T476" s="45" t="n"/>
      <c r="U476" s="85" t="n"/>
      <c r="V476" s="44" t="n"/>
      <c r="W476" s="45" t="n"/>
      <c r="X476" s="45" t="n"/>
      <c r="Y476" s="44" t="n"/>
      <c r="Z476" s="85" t="n"/>
      <c r="AA476" s="44" t="n"/>
      <c r="AB476" s="44" t="n"/>
      <c r="AC476" s="44" t="n"/>
      <c r="AD476" s="44" t="n"/>
      <c r="AE476" s="44" t="n"/>
      <c r="AF476" s="88" t="n"/>
      <c r="AG476" s="85" t="n"/>
      <c r="AH476" s="85" t="n"/>
      <c r="AI476" s="85" t="n"/>
      <c r="AJ476" s="85" t="n"/>
      <c r="AK476" s="85" t="n"/>
      <c r="AL476" s="85" t="n"/>
      <c r="AM476" s="85" t="n"/>
      <c r="AN476" s="85" t="n"/>
      <c r="AO476" s="85" t="n"/>
      <c r="AP476" s="85" t="n"/>
      <c r="AQ476" s="85" t="n"/>
      <c r="AR476" s="85" t="n"/>
      <c r="AS476" s="85" t="n"/>
      <c r="AT476" s="85" t="n"/>
      <c r="AU476" s="85" t="n"/>
      <c r="AV476" s="85" t="n"/>
      <c r="AW476" s="44" t="n"/>
      <c r="AX476" s="85" t="n"/>
      <c r="AY476" s="88" t="n"/>
      <c r="AZ476" s="86" t="n"/>
      <c r="BA476" s="44" t="n"/>
      <c r="BB476" s="44" t="n"/>
      <c r="BC476" s="87" t="n"/>
      <c r="BD476" s="44" t="n"/>
      <c r="BE476" s="87" t="n"/>
      <c r="BF476" s="85" t="n"/>
      <c r="BG476" s="44" t="n"/>
      <c r="BH476" s="44" t="n"/>
      <c r="BI476" s="85" t="n"/>
      <c r="BJ476" s="44" t="n"/>
      <c r="BK476" s="45" t="n"/>
      <c r="BL476" s="44" t="n"/>
      <c r="BM476" s="85" t="n"/>
      <c r="BN476" s="44" t="n"/>
      <c r="BO476" s="85" t="n"/>
      <c r="BP476" s="86" t="n"/>
      <c r="BQ476" s="44" t="n"/>
      <c r="BR476" s="50" t="n"/>
      <c r="BS476" s="89" t="n"/>
      <c r="BT476" s="50">
        <f>IF(OR(K476="",L476="",M476=""),"",IF(ABS(ROUND(((ROUND(N(K476)*100,0))-(0))*(100+N(M476))/100,0)-(ROUND(N(L476)*100,0)))&lt;=0+IF(((ROUND(N(K476)*100,0))-(0))*(100+N(M476))/100&lt;&gt;ROUND(((ROUND(N(K476)*100,0))-(0))*(100+N(M476))/100,0),1,0),"OK","ABWEICHUNG"))</f>
        <v/>
      </c>
    </row>
    <row r="477">
      <c r="A477" s="50" t="n"/>
      <c r="B477" s="44" t="n"/>
      <c r="C477" s="44" t="n"/>
      <c r="D477" s="44" t="n"/>
      <c r="E477" s="44" t="n"/>
      <c r="F477" s="44" t="n"/>
      <c r="G477" s="44" t="n"/>
      <c r="H477" s="44" t="n"/>
      <c r="I477" s="45" t="n"/>
      <c r="J477" s="45" t="n"/>
      <c r="K477" s="85" t="n"/>
      <c r="L477" s="85" t="n"/>
      <c r="M477" s="88" t="n"/>
      <c r="N477" s="88" t="n"/>
      <c r="O477" s="44" t="n"/>
      <c r="P477" s="45" t="n"/>
      <c r="Q477" s="45" t="n"/>
      <c r="R477" s="44" t="n"/>
      <c r="S477" s="45" t="n"/>
      <c r="T477" s="45" t="n"/>
      <c r="U477" s="85" t="n"/>
      <c r="V477" s="44" t="n"/>
      <c r="W477" s="45" t="n"/>
      <c r="X477" s="45" t="n"/>
      <c r="Y477" s="44" t="n"/>
      <c r="Z477" s="85" t="n"/>
      <c r="AA477" s="44" t="n"/>
      <c r="AB477" s="44" t="n"/>
      <c r="AC477" s="44" t="n"/>
      <c r="AD477" s="44" t="n"/>
      <c r="AE477" s="44" t="n"/>
      <c r="AF477" s="88" t="n"/>
      <c r="AG477" s="85" t="n"/>
      <c r="AH477" s="85" t="n"/>
      <c r="AI477" s="85" t="n"/>
      <c r="AJ477" s="85" t="n"/>
      <c r="AK477" s="85" t="n"/>
      <c r="AL477" s="85" t="n"/>
      <c r="AM477" s="85" t="n"/>
      <c r="AN477" s="85" t="n"/>
      <c r="AO477" s="85" t="n"/>
      <c r="AP477" s="85" t="n"/>
      <c r="AQ477" s="85" t="n"/>
      <c r="AR477" s="85" t="n"/>
      <c r="AS477" s="85" t="n"/>
      <c r="AT477" s="85" t="n"/>
      <c r="AU477" s="85" t="n"/>
      <c r="AV477" s="85" t="n"/>
      <c r="AW477" s="44" t="n"/>
      <c r="AX477" s="85" t="n"/>
      <c r="AY477" s="88" t="n"/>
      <c r="AZ477" s="86" t="n"/>
      <c r="BA477" s="44" t="n"/>
      <c r="BB477" s="44" t="n"/>
      <c r="BC477" s="87" t="n"/>
      <c r="BD477" s="44" t="n"/>
      <c r="BE477" s="87" t="n"/>
      <c r="BF477" s="85" t="n"/>
      <c r="BG477" s="44" t="n"/>
      <c r="BH477" s="44" t="n"/>
      <c r="BI477" s="85" t="n"/>
      <c r="BJ477" s="44" t="n"/>
      <c r="BK477" s="45" t="n"/>
      <c r="BL477" s="44" t="n"/>
      <c r="BM477" s="85" t="n"/>
      <c r="BN477" s="44" t="n"/>
      <c r="BO477" s="85" t="n"/>
      <c r="BP477" s="86" t="n"/>
      <c r="BQ477" s="44" t="n"/>
      <c r="BR477" s="50" t="n"/>
      <c r="BS477" s="89" t="n"/>
      <c r="BT477" s="50">
        <f>IF(OR(K477="",L477="",M477=""),"",IF(ABS(ROUND(((ROUND(N(K477)*100,0))-(0))*(100+N(M477))/100,0)-(ROUND(N(L477)*100,0)))&lt;=0+IF(((ROUND(N(K477)*100,0))-(0))*(100+N(M477))/100&lt;&gt;ROUND(((ROUND(N(K477)*100,0))-(0))*(100+N(M477))/100,0),1,0),"OK","ABWEICHUNG"))</f>
        <v/>
      </c>
    </row>
    <row r="478">
      <c r="A478" s="50" t="n"/>
      <c r="B478" s="44" t="n"/>
      <c r="C478" s="44" t="n"/>
      <c r="D478" s="44" t="n"/>
      <c r="E478" s="44" t="n"/>
      <c r="F478" s="44" t="n"/>
      <c r="G478" s="44" t="n"/>
      <c r="H478" s="44" t="n"/>
      <c r="I478" s="45" t="n"/>
      <c r="J478" s="45" t="n"/>
      <c r="K478" s="85" t="n"/>
      <c r="L478" s="85" t="n"/>
      <c r="M478" s="88" t="n"/>
      <c r="N478" s="88" t="n"/>
      <c r="O478" s="44" t="n"/>
      <c r="P478" s="45" t="n"/>
      <c r="Q478" s="45" t="n"/>
      <c r="R478" s="44" t="n"/>
      <c r="S478" s="45" t="n"/>
      <c r="T478" s="45" t="n"/>
      <c r="U478" s="85" t="n"/>
      <c r="V478" s="44" t="n"/>
      <c r="W478" s="45" t="n"/>
      <c r="X478" s="45" t="n"/>
      <c r="Y478" s="44" t="n"/>
      <c r="Z478" s="85" t="n"/>
      <c r="AA478" s="44" t="n"/>
      <c r="AB478" s="44" t="n"/>
      <c r="AC478" s="44" t="n"/>
      <c r="AD478" s="44" t="n"/>
      <c r="AE478" s="44" t="n"/>
      <c r="AF478" s="88" t="n"/>
      <c r="AG478" s="85" t="n"/>
      <c r="AH478" s="85" t="n"/>
      <c r="AI478" s="85" t="n"/>
      <c r="AJ478" s="85" t="n"/>
      <c r="AK478" s="85" t="n"/>
      <c r="AL478" s="85" t="n"/>
      <c r="AM478" s="85" t="n"/>
      <c r="AN478" s="85" t="n"/>
      <c r="AO478" s="85" t="n"/>
      <c r="AP478" s="85" t="n"/>
      <c r="AQ478" s="85" t="n"/>
      <c r="AR478" s="85" t="n"/>
      <c r="AS478" s="85" t="n"/>
      <c r="AT478" s="85" t="n"/>
      <c r="AU478" s="85" t="n"/>
      <c r="AV478" s="85" t="n"/>
      <c r="AW478" s="44" t="n"/>
      <c r="AX478" s="85" t="n"/>
      <c r="AY478" s="88" t="n"/>
      <c r="AZ478" s="86" t="n"/>
      <c r="BA478" s="44" t="n"/>
      <c r="BB478" s="44" t="n"/>
      <c r="BC478" s="87" t="n"/>
      <c r="BD478" s="44" t="n"/>
      <c r="BE478" s="87" t="n"/>
      <c r="BF478" s="85" t="n"/>
      <c r="BG478" s="44" t="n"/>
      <c r="BH478" s="44" t="n"/>
      <c r="BI478" s="85" t="n"/>
      <c r="BJ478" s="44" t="n"/>
      <c r="BK478" s="45" t="n"/>
      <c r="BL478" s="44" t="n"/>
      <c r="BM478" s="85" t="n"/>
      <c r="BN478" s="44" t="n"/>
      <c r="BO478" s="85" t="n"/>
      <c r="BP478" s="86" t="n"/>
      <c r="BQ478" s="44" t="n"/>
      <c r="BR478" s="50" t="n"/>
      <c r="BS478" s="89" t="n"/>
      <c r="BT478" s="50">
        <f>IF(OR(K478="",L478="",M478=""),"",IF(ABS(ROUND(((ROUND(N(K478)*100,0))-(0))*(100+N(M478))/100,0)-(ROUND(N(L478)*100,0)))&lt;=0+IF(((ROUND(N(K478)*100,0))-(0))*(100+N(M478))/100&lt;&gt;ROUND(((ROUND(N(K478)*100,0))-(0))*(100+N(M478))/100,0),1,0),"OK","ABWEICHUNG"))</f>
        <v/>
      </c>
    </row>
    <row r="479">
      <c r="A479" s="50" t="n"/>
      <c r="B479" s="44" t="n"/>
      <c r="C479" s="44" t="n"/>
      <c r="D479" s="44" t="n"/>
      <c r="E479" s="44" t="n"/>
      <c r="F479" s="44" t="n"/>
      <c r="G479" s="44" t="n"/>
      <c r="H479" s="44" t="n"/>
      <c r="I479" s="45" t="n"/>
      <c r="J479" s="45" t="n"/>
      <c r="K479" s="85" t="n"/>
      <c r="L479" s="85" t="n"/>
      <c r="M479" s="88" t="n"/>
      <c r="N479" s="88" t="n"/>
      <c r="O479" s="44" t="n"/>
      <c r="P479" s="45" t="n"/>
      <c r="Q479" s="45" t="n"/>
      <c r="R479" s="44" t="n"/>
      <c r="S479" s="45" t="n"/>
      <c r="T479" s="45" t="n"/>
      <c r="U479" s="85" t="n"/>
      <c r="V479" s="44" t="n"/>
      <c r="W479" s="45" t="n"/>
      <c r="X479" s="45" t="n"/>
      <c r="Y479" s="44" t="n"/>
      <c r="Z479" s="85" t="n"/>
      <c r="AA479" s="44" t="n"/>
      <c r="AB479" s="44" t="n"/>
      <c r="AC479" s="44" t="n"/>
      <c r="AD479" s="44" t="n"/>
      <c r="AE479" s="44" t="n"/>
      <c r="AF479" s="88" t="n"/>
      <c r="AG479" s="85" t="n"/>
      <c r="AH479" s="85" t="n"/>
      <c r="AI479" s="85" t="n"/>
      <c r="AJ479" s="85" t="n"/>
      <c r="AK479" s="85" t="n"/>
      <c r="AL479" s="85" t="n"/>
      <c r="AM479" s="85" t="n"/>
      <c r="AN479" s="85" t="n"/>
      <c r="AO479" s="85" t="n"/>
      <c r="AP479" s="85" t="n"/>
      <c r="AQ479" s="85" t="n"/>
      <c r="AR479" s="85" t="n"/>
      <c r="AS479" s="85" t="n"/>
      <c r="AT479" s="85" t="n"/>
      <c r="AU479" s="85" t="n"/>
      <c r="AV479" s="85" t="n"/>
      <c r="AW479" s="44" t="n"/>
      <c r="AX479" s="85" t="n"/>
      <c r="AY479" s="88" t="n"/>
      <c r="AZ479" s="86" t="n"/>
      <c r="BA479" s="44" t="n"/>
      <c r="BB479" s="44" t="n"/>
      <c r="BC479" s="87" t="n"/>
      <c r="BD479" s="44" t="n"/>
      <c r="BE479" s="87" t="n"/>
      <c r="BF479" s="85" t="n"/>
      <c r="BG479" s="44" t="n"/>
      <c r="BH479" s="44" t="n"/>
      <c r="BI479" s="85" t="n"/>
      <c r="BJ479" s="44" t="n"/>
      <c r="BK479" s="45" t="n"/>
      <c r="BL479" s="44" t="n"/>
      <c r="BM479" s="85" t="n"/>
      <c r="BN479" s="44" t="n"/>
      <c r="BO479" s="85" t="n"/>
      <c r="BP479" s="86" t="n"/>
      <c r="BQ479" s="44" t="n"/>
      <c r="BR479" s="50" t="n"/>
      <c r="BS479" s="89" t="n"/>
      <c r="BT479" s="50">
        <f>IF(OR(K479="",L479="",M479=""),"",IF(ABS(ROUND(((ROUND(N(K479)*100,0))-(0))*(100+N(M479))/100,0)-(ROUND(N(L479)*100,0)))&lt;=0+IF(((ROUND(N(K479)*100,0))-(0))*(100+N(M479))/100&lt;&gt;ROUND(((ROUND(N(K479)*100,0))-(0))*(100+N(M479))/100,0),1,0),"OK","ABWEICHUNG"))</f>
        <v/>
      </c>
    </row>
    <row r="480">
      <c r="A480" s="50" t="n"/>
      <c r="B480" s="44" t="n"/>
      <c r="C480" s="44" t="n"/>
      <c r="D480" s="44" t="n"/>
      <c r="E480" s="44" t="n"/>
      <c r="F480" s="44" t="n"/>
      <c r="G480" s="44" t="n"/>
      <c r="H480" s="44" t="n"/>
      <c r="I480" s="45" t="n"/>
      <c r="J480" s="45" t="n"/>
      <c r="K480" s="85" t="n"/>
      <c r="L480" s="85" t="n"/>
      <c r="M480" s="88" t="n"/>
      <c r="N480" s="88" t="n"/>
      <c r="O480" s="44" t="n"/>
      <c r="P480" s="45" t="n"/>
      <c r="Q480" s="45" t="n"/>
      <c r="R480" s="44" t="n"/>
      <c r="S480" s="45" t="n"/>
      <c r="T480" s="45" t="n"/>
      <c r="U480" s="85" t="n"/>
      <c r="V480" s="44" t="n"/>
      <c r="W480" s="45" t="n"/>
      <c r="X480" s="45" t="n"/>
      <c r="Y480" s="44" t="n"/>
      <c r="Z480" s="85" t="n"/>
      <c r="AA480" s="44" t="n"/>
      <c r="AB480" s="44" t="n"/>
      <c r="AC480" s="44" t="n"/>
      <c r="AD480" s="44" t="n"/>
      <c r="AE480" s="44" t="n"/>
      <c r="AF480" s="88" t="n"/>
      <c r="AG480" s="85" t="n"/>
      <c r="AH480" s="85" t="n"/>
      <c r="AI480" s="85" t="n"/>
      <c r="AJ480" s="85" t="n"/>
      <c r="AK480" s="85" t="n"/>
      <c r="AL480" s="85" t="n"/>
      <c r="AM480" s="85" t="n"/>
      <c r="AN480" s="85" t="n"/>
      <c r="AO480" s="85" t="n"/>
      <c r="AP480" s="85" t="n"/>
      <c r="AQ480" s="85" t="n"/>
      <c r="AR480" s="85" t="n"/>
      <c r="AS480" s="85" t="n"/>
      <c r="AT480" s="85" t="n"/>
      <c r="AU480" s="85" t="n"/>
      <c r="AV480" s="85" t="n"/>
      <c r="AW480" s="44" t="n"/>
      <c r="AX480" s="85" t="n"/>
      <c r="AY480" s="88" t="n"/>
      <c r="AZ480" s="86" t="n"/>
      <c r="BA480" s="44" t="n"/>
      <c r="BB480" s="44" t="n"/>
      <c r="BC480" s="87" t="n"/>
      <c r="BD480" s="44" t="n"/>
      <c r="BE480" s="87" t="n"/>
      <c r="BF480" s="85" t="n"/>
      <c r="BG480" s="44" t="n"/>
      <c r="BH480" s="44" t="n"/>
      <c r="BI480" s="85" t="n"/>
      <c r="BJ480" s="44" t="n"/>
      <c r="BK480" s="45" t="n"/>
      <c r="BL480" s="44" t="n"/>
      <c r="BM480" s="85" t="n"/>
      <c r="BN480" s="44" t="n"/>
      <c r="BO480" s="85" t="n"/>
      <c r="BP480" s="86" t="n"/>
      <c r="BQ480" s="44" t="n"/>
      <c r="BR480" s="50" t="n"/>
      <c r="BS480" s="89" t="n"/>
      <c r="BT480" s="50">
        <f>IF(OR(K480="",L480="",M480=""),"",IF(ABS(ROUND(((ROUND(N(K480)*100,0))-(0))*(100+N(M480))/100,0)-(ROUND(N(L480)*100,0)))&lt;=0+IF(((ROUND(N(K480)*100,0))-(0))*(100+N(M480))/100&lt;&gt;ROUND(((ROUND(N(K480)*100,0))-(0))*(100+N(M480))/100,0),1,0),"OK","ABWEICHUNG"))</f>
        <v/>
      </c>
    </row>
    <row r="481">
      <c r="A481" s="50" t="n"/>
      <c r="B481" s="44" t="n"/>
      <c r="C481" s="44" t="n"/>
      <c r="D481" s="44" t="n"/>
      <c r="E481" s="44" t="n"/>
      <c r="F481" s="44" t="n"/>
      <c r="G481" s="44" t="n"/>
      <c r="H481" s="44" t="n"/>
      <c r="I481" s="45" t="n"/>
      <c r="J481" s="45" t="n"/>
      <c r="K481" s="85" t="n"/>
      <c r="L481" s="85" t="n"/>
      <c r="M481" s="88" t="n"/>
      <c r="N481" s="88" t="n"/>
      <c r="O481" s="44" t="n"/>
      <c r="P481" s="45" t="n"/>
      <c r="Q481" s="45" t="n"/>
      <c r="R481" s="44" t="n"/>
      <c r="S481" s="45" t="n"/>
      <c r="T481" s="45" t="n"/>
      <c r="U481" s="85" t="n"/>
      <c r="V481" s="44" t="n"/>
      <c r="W481" s="45" t="n"/>
      <c r="X481" s="45" t="n"/>
      <c r="Y481" s="44" t="n"/>
      <c r="Z481" s="85" t="n"/>
      <c r="AA481" s="44" t="n"/>
      <c r="AB481" s="44" t="n"/>
      <c r="AC481" s="44" t="n"/>
      <c r="AD481" s="44" t="n"/>
      <c r="AE481" s="44" t="n"/>
      <c r="AF481" s="88" t="n"/>
      <c r="AG481" s="85" t="n"/>
      <c r="AH481" s="85" t="n"/>
      <c r="AI481" s="85" t="n"/>
      <c r="AJ481" s="85" t="n"/>
      <c r="AK481" s="85" t="n"/>
      <c r="AL481" s="85" t="n"/>
      <c r="AM481" s="85" t="n"/>
      <c r="AN481" s="85" t="n"/>
      <c r="AO481" s="85" t="n"/>
      <c r="AP481" s="85" t="n"/>
      <c r="AQ481" s="85" t="n"/>
      <c r="AR481" s="85" t="n"/>
      <c r="AS481" s="85" t="n"/>
      <c r="AT481" s="85" t="n"/>
      <c r="AU481" s="85" t="n"/>
      <c r="AV481" s="85" t="n"/>
      <c r="AW481" s="44" t="n"/>
      <c r="AX481" s="85" t="n"/>
      <c r="AY481" s="88" t="n"/>
      <c r="AZ481" s="86" t="n"/>
      <c r="BA481" s="44" t="n"/>
      <c r="BB481" s="44" t="n"/>
      <c r="BC481" s="87" t="n"/>
      <c r="BD481" s="44" t="n"/>
      <c r="BE481" s="87" t="n"/>
      <c r="BF481" s="85" t="n"/>
      <c r="BG481" s="44" t="n"/>
      <c r="BH481" s="44" t="n"/>
      <c r="BI481" s="85" t="n"/>
      <c r="BJ481" s="44" t="n"/>
      <c r="BK481" s="45" t="n"/>
      <c r="BL481" s="44" t="n"/>
      <c r="BM481" s="85" t="n"/>
      <c r="BN481" s="44" t="n"/>
      <c r="BO481" s="85" t="n"/>
      <c r="BP481" s="86" t="n"/>
      <c r="BQ481" s="44" t="n"/>
      <c r="BR481" s="50" t="n"/>
      <c r="BS481" s="89" t="n"/>
      <c r="BT481" s="50">
        <f>IF(OR(K481="",L481="",M481=""),"",IF(ABS(ROUND(((ROUND(N(K481)*100,0))-(0))*(100+N(M481))/100,0)-(ROUND(N(L481)*100,0)))&lt;=0+IF(((ROUND(N(K481)*100,0))-(0))*(100+N(M481))/100&lt;&gt;ROUND(((ROUND(N(K481)*100,0))-(0))*(100+N(M481))/100,0),1,0),"OK","ABWEICHUNG"))</f>
        <v/>
      </c>
    </row>
    <row r="482">
      <c r="A482" s="50" t="n"/>
      <c r="B482" s="44" t="n"/>
      <c r="C482" s="44" t="n"/>
      <c r="D482" s="44" t="n"/>
      <c r="E482" s="44" t="n"/>
      <c r="F482" s="44" t="n"/>
      <c r="G482" s="44" t="n"/>
      <c r="H482" s="44" t="n"/>
      <c r="I482" s="45" t="n"/>
      <c r="J482" s="45" t="n"/>
      <c r="K482" s="85" t="n"/>
      <c r="L482" s="85" t="n"/>
      <c r="M482" s="88" t="n"/>
      <c r="N482" s="88" t="n"/>
      <c r="O482" s="44" t="n"/>
      <c r="P482" s="45" t="n"/>
      <c r="Q482" s="45" t="n"/>
      <c r="R482" s="44" t="n"/>
      <c r="S482" s="45" t="n"/>
      <c r="T482" s="45" t="n"/>
      <c r="U482" s="85" t="n"/>
      <c r="V482" s="44" t="n"/>
      <c r="W482" s="45" t="n"/>
      <c r="X482" s="45" t="n"/>
      <c r="Y482" s="44" t="n"/>
      <c r="Z482" s="85" t="n"/>
      <c r="AA482" s="44" t="n"/>
      <c r="AB482" s="44" t="n"/>
      <c r="AC482" s="44" t="n"/>
      <c r="AD482" s="44" t="n"/>
      <c r="AE482" s="44" t="n"/>
      <c r="AF482" s="88" t="n"/>
      <c r="AG482" s="85" t="n"/>
      <c r="AH482" s="85" t="n"/>
      <c r="AI482" s="85" t="n"/>
      <c r="AJ482" s="85" t="n"/>
      <c r="AK482" s="85" t="n"/>
      <c r="AL482" s="85" t="n"/>
      <c r="AM482" s="85" t="n"/>
      <c r="AN482" s="85" t="n"/>
      <c r="AO482" s="85" t="n"/>
      <c r="AP482" s="85" t="n"/>
      <c r="AQ482" s="85" t="n"/>
      <c r="AR482" s="85" t="n"/>
      <c r="AS482" s="85" t="n"/>
      <c r="AT482" s="85" t="n"/>
      <c r="AU482" s="85" t="n"/>
      <c r="AV482" s="85" t="n"/>
      <c r="AW482" s="44" t="n"/>
      <c r="AX482" s="85" t="n"/>
      <c r="AY482" s="88" t="n"/>
      <c r="AZ482" s="86" t="n"/>
      <c r="BA482" s="44" t="n"/>
      <c r="BB482" s="44" t="n"/>
      <c r="BC482" s="87" t="n"/>
      <c r="BD482" s="44" t="n"/>
      <c r="BE482" s="87" t="n"/>
      <c r="BF482" s="85" t="n"/>
      <c r="BG482" s="44" t="n"/>
      <c r="BH482" s="44" t="n"/>
      <c r="BI482" s="85" t="n"/>
      <c r="BJ482" s="44" t="n"/>
      <c r="BK482" s="45" t="n"/>
      <c r="BL482" s="44" t="n"/>
      <c r="BM482" s="85" t="n"/>
      <c r="BN482" s="44" t="n"/>
      <c r="BO482" s="85" t="n"/>
      <c r="BP482" s="86" t="n"/>
      <c r="BQ482" s="44" t="n"/>
      <c r="BR482" s="50" t="n"/>
      <c r="BS482" s="89" t="n"/>
      <c r="BT482" s="50">
        <f>IF(OR(K482="",L482="",M482=""),"",IF(ABS(ROUND(((ROUND(N(K482)*100,0))-(0))*(100+N(M482))/100,0)-(ROUND(N(L482)*100,0)))&lt;=0+IF(((ROUND(N(K482)*100,0))-(0))*(100+N(M482))/100&lt;&gt;ROUND(((ROUND(N(K482)*100,0))-(0))*(100+N(M482))/100,0),1,0),"OK","ABWEICHUNG"))</f>
        <v/>
      </c>
    </row>
    <row r="483">
      <c r="A483" s="50" t="n"/>
      <c r="B483" s="44" t="n"/>
      <c r="C483" s="44" t="n"/>
      <c r="D483" s="44" t="n"/>
      <c r="E483" s="44" t="n"/>
      <c r="F483" s="44" t="n"/>
      <c r="G483" s="44" t="n"/>
      <c r="H483" s="44" t="n"/>
      <c r="I483" s="45" t="n"/>
      <c r="J483" s="45" t="n"/>
      <c r="K483" s="85" t="n"/>
      <c r="L483" s="85" t="n"/>
      <c r="M483" s="88" t="n"/>
      <c r="N483" s="88" t="n"/>
      <c r="O483" s="44" t="n"/>
      <c r="P483" s="45" t="n"/>
      <c r="Q483" s="45" t="n"/>
      <c r="R483" s="44" t="n"/>
      <c r="S483" s="45" t="n"/>
      <c r="T483" s="45" t="n"/>
      <c r="U483" s="85" t="n"/>
      <c r="V483" s="44" t="n"/>
      <c r="W483" s="45" t="n"/>
      <c r="X483" s="45" t="n"/>
      <c r="Y483" s="44" t="n"/>
      <c r="Z483" s="85" t="n"/>
      <c r="AA483" s="44" t="n"/>
      <c r="AB483" s="44" t="n"/>
      <c r="AC483" s="44" t="n"/>
      <c r="AD483" s="44" t="n"/>
      <c r="AE483" s="44" t="n"/>
      <c r="AF483" s="88" t="n"/>
      <c r="AG483" s="85" t="n"/>
      <c r="AH483" s="85" t="n"/>
      <c r="AI483" s="85" t="n"/>
      <c r="AJ483" s="85" t="n"/>
      <c r="AK483" s="85" t="n"/>
      <c r="AL483" s="85" t="n"/>
      <c r="AM483" s="85" t="n"/>
      <c r="AN483" s="85" t="n"/>
      <c r="AO483" s="85" t="n"/>
      <c r="AP483" s="85" t="n"/>
      <c r="AQ483" s="85" t="n"/>
      <c r="AR483" s="85" t="n"/>
      <c r="AS483" s="85" t="n"/>
      <c r="AT483" s="85" t="n"/>
      <c r="AU483" s="85" t="n"/>
      <c r="AV483" s="85" t="n"/>
      <c r="AW483" s="44" t="n"/>
      <c r="AX483" s="85" t="n"/>
      <c r="AY483" s="88" t="n"/>
      <c r="AZ483" s="86" t="n"/>
      <c r="BA483" s="44" t="n"/>
      <c r="BB483" s="44" t="n"/>
      <c r="BC483" s="87" t="n"/>
      <c r="BD483" s="44" t="n"/>
      <c r="BE483" s="87" t="n"/>
      <c r="BF483" s="85" t="n"/>
      <c r="BG483" s="44" t="n"/>
      <c r="BH483" s="44" t="n"/>
      <c r="BI483" s="85" t="n"/>
      <c r="BJ483" s="44" t="n"/>
      <c r="BK483" s="45" t="n"/>
      <c r="BL483" s="44" t="n"/>
      <c r="BM483" s="85" t="n"/>
      <c r="BN483" s="44" t="n"/>
      <c r="BO483" s="85" t="n"/>
      <c r="BP483" s="86" t="n"/>
      <c r="BQ483" s="44" t="n"/>
      <c r="BR483" s="50" t="n"/>
      <c r="BS483" s="89" t="n"/>
      <c r="BT483" s="50">
        <f>IF(OR(K483="",L483="",M483=""),"",IF(ABS(ROUND(((ROUND(N(K483)*100,0))-(0))*(100+N(M483))/100,0)-(ROUND(N(L483)*100,0)))&lt;=0+IF(((ROUND(N(K483)*100,0))-(0))*(100+N(M483))/100&lt;&gt;ROUND(((ROUND(N(K483)*100,0))-(0))*(100+N(M483))/100,0),1,0),"OK","ABWEICHUNG"))</f>
        <v/>
      </c>
    </row>
    <row r="484">
      <c r="A484" s="50" t="n"/>
      <c r="B484" s="44" t="n"/>
      <c r="C484" s="44" t="n"/>
      <c r="D484" s="44" t="n"/>
      <c r="E484" s="44" t="n"/>
      <c r="F484" s="44" t="n"/>
      <c r="G484" s="44" t="n"/>
      <c r="H484" s="44" t="n"/>
      <c r="I484" s="45" t="n"/>
      <c r="J484" s="45" t="n"/>
      <c r="K484" s="85" t="n"/>
      <c r="L484" s="85" t="n"/>
      <c r="M484" s="88" t="n"/>
      <c r="N484" s="88" t="n"/>
      <c r="O484" s="44" t="n"/>
      <c r="P484" s="45" t="n"/>
      <c r="Q484" s="45" t="n"/>
      <c r="R484" s="44" t="n"/>
      <c r="S484" s="45" t="n"/>
      <c r="T484" s="45" t="n"/>
      <c r="U484" s="85" t="n"/>
      <c r="V484" s="44" t="n"/>
      <c r="W484" s="45" t="n"/>
      <c r="X484" s="45" t="n"/>
      <c r="Y484" s="44" t="n"/>
      <c r="Z484" s="85" t="n"/>
      <c r="AA484" s="44" t="n"/>
      <c r="AB484" s="44" t="n"/>
      <c r="AC484" s="44" t="n"/>
      <c r="AD484" s="44" t="n"/>
      <c r="AE484" s="44" t="n"/>
      <c r="AF484" s="88" t="n"/>
      <c r="AG484" s="85" t="n"/>
      <c r="AH484" s="85" t="n"/>
      <c r="AI484" s="85" t="n"/>
      <c r="AJ484" s="85" t="n"/>
      <c r="AK484" s="85" t="n"/>
      <c r="AL484" s="85" t="n"/>
      <c r="AM484" s="85" t="n"/>
      <c r="AN484" s="85" t="n"/>
      <c r="AO484" s="85" t="n"/>
      <c r="AP484" s="85" t="n"/>
      <c r="AQ484" s="85" t="n"/>
      <c r="AR484" s="85" t="n"/>
      <c r="AS484" s="85" t="n"/>
      <c r="AT484" s="85" t="n"/>
      <c r="AU484" s="85" t="n"/>
      <c r="AV484" s="85" t="n"/>
      <c r="AW484" s="44" t="n"/>
      <c r="AX484" s="85" t="n"/>
      <c r="AY484" s="88" t="n"/>
      <c r="AZ484" s="86" t="n"/>
      <c r="BA484" s="44" t="n"/>
      <c r="BB484" s="44" t="n"/>
      <c r="BC484" s="87" t="n"/>
      <c r="BD484" s="44" t="n"/>
      <c r="BE484" s="87" t="n"/>
      <c r="BF484" s="85" t="n"/>
      <c r="BG484" s="44" t="n"/>
      <c r="BH484" s="44" t="n"/>
      <c r="BI484" s="85" t="n"/>
      <c r="BJ484" s="44" t="n"/>
      <c r="BK484" s="45" t="n"/>
      <c r="BL484" s="44" t="n"/>
      <c r="BM484" s="85" t="n"/>
      <c r="BN484" s="44" t="n"/>
      <c r="BO484" s="85" t="n"/>
      <c r="BP484" s="86" t="n"/>
      <c r="BQ484" s="44" t="n"/>
      <c r="BR484" s="50" t="n"/>
      <c r="BS484" s="89" t="n"/>
      <c r="BT484" s="50">
        <f>IF(OR(K484="",L484="",M484=""),"",IF(ABS(ROUND(((ROUND(N(K484)*100,0))-(0))*(100+N(M484))/100,0)-(ROUND(N(L484)*100,0)))&lt;=0+IF(((ROUND(N(K484)*100,0))-(0))*(100+N(M484))/100&lt;&gt;ROUND(((ROUND(N(K484)*100,0))-(0))*(100+N(M484))/100,0),1,0),"OK","ABWEICHUNG"))</f>
        <v/>
      </c>
    </row>
    <row r="485">
      <c r="A485" s="50" t="n"/>
      <c r="B485" s="44" t="n"/>
      <c r="C485" s="44" t="n"/>
      <c r="D485" s="44" t="n"/>
      <c r="E485" s="44" t="n"/>
      <c r="F485" s="44" t="n"/>
      <c r="G485" s="44" t="n"/>
      <c r="H485" s="44" t="n"/>
      <c r="I485" s="45" t="n"/>
      <c r="J485" s="45" t="n"/>
      <c r="K485" s="85" t="n"/>
      <c r="L485" s="85" t="n"/>
      <c r="M485" s="88" t="n"/>
      <c r="N485" s="88" t="n"/>
      <c r="O485" s="44" t="n"/>
      <c r="P485" s="45" t="n"/>
      <c r="Q485" s="45" t="n"/>
      <c r="R485" s="44" t="n"/>
      <c r="S485" s="45" t="n"/>
      <c r="T485" s="45" t="n"/>
      <c r="U485" s="85" t="n"/>
      <c r="V485" s="44" t="n"/>
      <c r="W485" s="45" t="n"/>
      <c r="X485" s="45" t="n"/>
      <c r="Y485" s="44" t="n"/>
      <c r="Z485" s="85" t="n"/>
      <c r="AA485" s="44" t="n"/>
      <c r="AB485" s="44" t="n"/>
      <c r="AC485" s="44" t="n"/>
      <c r="AD485" s="44" t="n"/>
      <c r="AE485" s="44" t="n"/>
      <c r="AF485" s="88" t="n"/>
      <c r="AG485" s="85" t="n"/>
      <c r="AH485" s="85" t="n"/>
      <c r="AI485" s="85" t="n"/>
      <c r="AJ485" s="85" t="n"/>
      <c r="AK485" s="85" t="n"/>
      <c r="AL485" s="85" t="n"/>
      <c r="AM485" s="85" t="n"/>
      <c r="AN485" s="85" t="n"/>
      <c r="AO485" s="85" t="n"/>
      <c r="AP485" s="85" t="n"/>
      <c r="AQ485" s="85" t="n"/>
      <c r="AR485" s="85" t="n"/>
      <c r="AS485" s="85" t="n"/>
      <c r="AT485" s="85" t="n"/>
      <c r="AU485" s="85" t="n"/>
      <c r="AV485" s="85" t="n"/>
      <c r="AW485" s="44" t="n"/>
      <c r="AX485" s="85" t="n"/>
      <c r="AY485" s="88" t="n"/>
      <c r="AZ485" s="86" t="n"/>
      <c r="BA485" s="44" t="n"/>
      <c r="BB485" s="44" t="n"/>
      <c r="BC485" s="87" t="n"/>
      <c r="BD485" s="44" t="n"/>
      <c r="BE485" s="87" t="n"/>
      <c r="BF485" s="85" t="n"/>
      <c r="BG485" s="44" t="n"/>
      <c r="BH485" s="44" t="n"/>
      <c r="BI485" s="85" t="n"/>
      <c r="BJ485" s="44" t="n"/>
      <c r="BK485" s="45" t="n"/>
      <c r="BL485" s="44" t="n"/>
      <c r="BM485" s="85" t="n"/>
      <c r="BN485" s="44" t="n"/>
      <c r="BO485" s="85" t="n"/>
      <c r="BP485" s="86" t="n"/>
      <c r="BQ485" s="44" t="n"/>
      <c r="BR485" s="50" t="n"/>
      <c r="BS485" s="89" t="n"/>
      <c r="BT485" s="50">
        <f>IF(OR(K485="",L485="",M485=""),"",IF(ABS(ROUND(((ROUND(N(K485)*100,0))-(0))*(100+N(M485))/100,0)-(ROUND(N(L485)*100,0)))&lt;=0+IF(((ROUND(N(K485)*100,0))-(0))*(100+N(M485))/100&lt;&gt;ROUND(((ROUND(N(K485)*100,0))-(0))*(100+N(M485))/100,0),1,0),"OK","ABWEICHUNG"))</f>
        <v/>
      </c>
    </row>
    <row r="486">
      <c r="A486" s="50" t="n"/>
      <c r="B486" s="44" t="n"/>
      <c r="C486" s="44" t="n"/>
      <c r="D486" s="44" t="n"/>
      <c r="E486" s="44" t="n"/>
      <c r="F486" s="44" t="n"/>
      <c r="G486" s="44" t="n"/>
      <c r="H486" s="44" t="n"/>
      <c r="I486" s="45" t="n"/>
      <c r="J486" s="45" t="n"/>
      <c r="K486" s="85" t="n"/>
      <c r="L486" s="85" t="n"/>
      <c r="M486" s="88" t="n"/>
      <c r="N486" s="88" t="n"/>
      <c r="O486" s="44" t="n"/>
      <c r="P486" s="45" t="n"/>
      <c r="Q486" s="45" t="n"/>
      <c r="R486" s="44" t="n"/>
      <c r="S486" s="45" t="n"/>
      <c r="T486" s="45" t="n"/>
      <c r="U486" s="85" t="n"/>
      <c r="V486" s="44" t="n"/>
      <c r="W486" s="45" t="n"/>
      <c r="X486" s="45" t="n"/>
      <c r="Y486" s="44" t="n"/>
      <c r="Z486" s="85" t="n"/>
      <c r="AA486" s="44" t="n"/>
      <c r="AB486" s="44" t="n"/>
      <c r="AC486" s="44" t="n"/>
      <c r="AD486" s="44" t="n"/>
      <c r="AE486" s="44" t="n"/>
      <c r="AF486" s="88" t="n"/>
      <c r="AG486" s="85" t="n"/>
      <c r="AH486" s="85" t="n"/>
      <c r="AI486" s="85" t="n"/>
      <c r="AJ486" s="85" t="n"/>
      <c r="AK486" s="85" t="n"/>
      <c r="AL486" s="85" t="n"/>
      <c r="AM486" s="85" t="n"/>
      <c r="AN486" s="85" t="n"/>
      <c r="AO486" s="85" t="n"/>
      <c r="AP486" s="85" t="n"/>
      <c r="AQ486" s="85" t="n"/>
      <c r="AR486" s="85" t="n"/>
      <c r="AS486" s="85" t="n"/>
      <c r="AT486" s="85" t="n"/>
      <c r="AU486" s="85" t="n"/>
      <c r="AV486" s="85" t="n"/>
      <c r="AW486" s="44" t="n"/>
      <c r="AX486" s="85" t="n"/>
      <c r="AY486" s="88" t="n"/>
      <c r="AZ486" s="86" t="n"/>
      <c r="BA486" s="44" t="n"/>
      <c r="BB486" s="44" t="n"/>
      <c r="BC486" s="87" t="n"/>
      <c r="BD486" s="44" t="n"/>
      <c r="BE486" s="87" t="n"/>
      <c r="BF486" s="85" t="n"/>
      <c r="BG486" s="44" t="n"/>
      <c r="BH486" s="44" t="n"/>
      <c r="BI486" s="85" t="n"/>
      <c r="BJ486" s="44" t="n"/>
      <c r="BK486" s="45" t="n"/>
      <c r="BL486" s="44" t="n"/>
      <c r="BM486" s="85" t="n"/>
      <c r="BN486" s="44" t="n"/>
      <c r="BO486" s="85" t="n"/>
      <c r="BP486" s="86" t="n"/>
      <c r="BQ486" s="44" t="n"/>
      <c r="BR486" s="50" t="n"/>
      <c r="BS486" s="89" t="n"/>
      <c r="BT486" s="50">
        <f>IF(OR(K486="",L486="",M486=""),"",IF(ABS(ROUND(((ROUND(N(K486)*100,0))-(0))*(100+N(M486))/100,0)-(ROUND(N(L486)*100,0)))&lt;=0+IF(((ROUND(N(K486)*100,0))-(0))*(100+N(M486))/100&lt;&gt;ROUND(((ROUND(N(K486)*100,0))-(0))*(100+N(M486))/100,0),1,0),"OK","ABWEICHUNG"))</f>
        <v/>
      </c>
    </row>
    <row r="487">
      <c r="A487" s="50" t="n"/>
      <c r="B487" s="44" t="n"/>
      <c r="C487" s="44" t="n"/>
      <c r="D487" s="44" t="n"/>
      <c r="E487" s="44" t="n"/>
      <c r="F487" s="44" t="n"/>
      <c r="G487" s="44" t="n"/>
      <c r="H487" s="44" t="n"/>
      <c r="I487" s="45" t="n"/>
      <c r="J487" s="45" t="n"/>
      <c r="K487" s="85" t="n"/>
      <c r="L487" s="85" t="n"/>
      <c r="M487" s="88" t="n"/>
      <c r="N487" s="88" t="n"/>
      <c r="O487" s="44" t="n"/>
      <c r="P487" s="45" t="n"/>
      <c r="Q487" s="45" t="n"/>
      <c r="R487" s="44" t="n"/>
      <c r="S487" s="45" t="n"/>
      <c r="T487" s="45" t="n"/>
      <c r="U487" s="85" t="n"/>
      <c r="V487" s="44" t="n"/>
      <c r="W487" s="45" t="n"/>
      <c r="X487" s="45" t="n"/>
      <c r="Y487" s="44" t="n"/>
      <c r="Z487" s="85" t="n"/>
      <c r="AA487" s="44" t="n"/>
      <c r="AB487" s="44" t="n"/>
      <c r="AC487" s="44" t="n"/>
      <c r="AD487" s="44" t="n"/>
      <c r="AE487" s="44" t="n"/>
      <c r="AF487" s="88" t="n"/>
      <c r="AG487" s="85" t="n"/>
      <c r="AH487" s="85" t="n"/>
      <c r="AI487" s="85" t="n"/>
      <c r="AJ487" s="85" t="n"/>
      <c r="AK487" s="85" t="n"/>
      <c r="AL487" s="85" t="n"/>
      <c r="AM487" s="85" t="n"/>
      <c r="AN487" s="85" t="n"/>
      <c r="AO487" s="85" t="n"/>
      <c r="AP487" s="85" t="n"/>
      <c r="AQ487" s="85" t="n"/>
      <c r="AR487" s="85" t="n"/>
      <c r="AS487" s="85" t="n"/>
      <c r="AT487" s="85" t="n"/>
      <c r="AU487" s="85" t="n"/>
      <c r="AV487" s="85" t="n"/>
      <c r="AW487" s="44" t="n"/>
      <c r="AX487" s="85" t="n"/>
      <c r="AY487" s="88" t="n"/>
      <c r="AZ487" s="86" t="n"/>
      <c r="BA487" s="44" t="n"/>
      <c r="BB487" s="44" t="n"/>
      <c r="BC487" s="87" t="n"/>
      <c r="BD487" s="44" t="n"/>
      <c r="BE487" s="87" t="n"/>
      <c r="BF487" s="85" t="n"/>
      <c r="BG487" s="44" t="n"/>
      <c r="BH487" s="44" t="n"/>
      <c r="BI487" s="85" t="n"/>
      <c r="BJ487" s="44" t="n"/>
      <c r="BK487" s="45" t="n"/>
      <c r="BL487" s="44" t="n"/>
      <c r="BM487" s="85" t="n"/>
      <c r="BN487" s="44" t="n"/>
      <c r="BO487" s="85" t="n"/>
      <c r="BP487" s="86" t="n"/>
      <c r="BQ487" s="44" t="n"/>
      <c r="BR487" s="50" t="n"/>
      <c r="BS487" s="89" t="n"/>
      <c r="BT487" s="50">
        <f>IF(OR(K487="",L487="",M487=""),"",IF(ABS(ROUND(((ROUND(N(K487)*100,0))-(0))*(100+N(M487))/100,0)-(ROUND(N(L487)*100,0)))&lt;=0+IF(((ROUND(N(K487)*100,0))-(0))*(100+N(M487))/100&lt;&gt;ROUND(((ROUND(N(K487)*100,0))-(0))*(100+N(M487))/100,0),1,0),"OK","ABWEICHUNG"))</f>
        <v/>
      </c>
    </row>
    <row r="488">
      <c r="A488" s="50" t="n"/>
      <c r="B488" s="44" t="n"/>
      <c r="C488" s="44" t="n"/>
      <c r="D488" s="44" t="n"/>
      <c r="E488" s="44" t="n"/>
      <c r="F488" s="44" t="n"/>
      <c r="G488" s="44" t="n"/>
      <c r="H488" s="44" t="n"/>
      <c r="I488" s="45" t="n"/>
      <c r="J488" s="45" t="n"/>
      <c r="K488" s="85" t="n"/>
      <c r="L488" s="85" t="n"/>
      <c r="M488" s="88" t="n"/>
      <c r="N488" s="88" t="n"/>
      <c r="O488" s="44" t="n"/>
      <c r="P488" s="45" t="n"/>
      <c r="Q488" s="45" t="n"/>
      <c r="R488" s="44" t="n"/>
      <c r="S488" s="45" t="n"/>
      <c r="T488" s="45" t="n"/>
      <c r="U488" s="85" t="n"/>
      <c r="V488" s="44" t="n"/>
      <c r="W488" s="45" t="n"/>
      <c r="X488" s="45" t="n"/>
      <c r="Y488" s="44" t="n"/>
      <c r="Z488" s="85" t="n"/>
      <c r="AA488" s="44" t="n"/>
      <c r="AB488" s="44" t="n"/>
      <c r="AC488" s="44" t="n"/>
      <c r="AD488" s="44" t="n"/>
      <c r="AE488" s="44" t="n"/>
      <c r="AF488" s="88" t="n"/>
      <c r="AG488" s="85" t="n"/>
      <c r="AH488" s="85" t="n"/>
      <c r="AI488" s="85" t="n"/>
      <c r="AJ488" s="85" t="n"/>
      <c r="AK488" s="85" t="n"/>
      <c r="AL488" s="85" t="n"/>
      <c r="AM488" s="85" t="n"/>
      <c r="AN488" s="85" t="n"/>
      <c r="AO488" s="85" t="n"/>
      <c r="AP488" s="85" t="n"/>
      <c r="AQ488" s="85" t="n"/>
      <c r="AR488" s="85" t="n"/>
      <c r="AS488" s="85" t="n"/>
      <c r="AT488" s="85" t="n"/>
      <c r="AU488" s="85" t="n"/>
      <c r="AV488" s="85" t="n"/>
      <c r="AW488" s="44" t="n"/>
      <c r="AX488" s="85" t="n"/>
      <c r="AY488" s="88" t="n"/>
      <c r="AZ488" s="86" t="n"/>
      <c r="BA488" s="44" t="n"/>
      <c r="BB488" s="44" t="n"/>
      <c r="BC488" s="87" t="n"/>
      <c r="BD488" s="44" t="n"/>
      <c r="BE488" s="87" t="n"/>
      <c r="BF488" s="85" t="n"/>
      <c r="BG488" s="44" t="n"/>
      <c r="BH488" s="44" t="n"/>
      <c r="BI488" s="85" t="n"/>
      <c r="BJ488" s="44" t="n"/>
      <c r="BK488" s="45" t="n"/>
      <c r="BL488" s="44" t="n"/>
      <c r="BM488" s="85" t="n"/>
      <c r="BN488" s="44" t="n"/>
      <c r="BO488" s="85" t="n"/>
      <c r="BP488" s="86" t="n"/>
      <c r="BQ488" s="44" t="n"/>
      <c r="BR488" s="50" t="n"/>
      <c r="BS488" s="89" t="n"/>
      <c r="BT488" s="50">
        <f>IF(OR(K488="",L488="",M488=""),"",IF(ABS(ROUND(((ROUND(N(K488)*100,0))-(0))*(100+N(M488))/100,0)-(ROUND(N(L488)*100,0)))&lt;=0+IF(((ROUND(N(K488)*100,0))-(0))*(100+N(M488))/100&lt;&gt;ROUND(((ROUND(N(K488)*100,0))-(0))*(100+N(M488))/100,0),1,0),"OK","ABWEICHUNG"))</f>
        <v/>
      </c>
    </row>
    <row r="489">
      <c r="A489" s="50" t="n"/>
      <c r="B489" s="44" t="n"/>
      <c r="C489" s="44" t="n"/>
      <c r="D489" s="44" t="n"/>
      <c r="E489" s="44" t="n"/>
      <c r="F489" s="44" t="n"/>
      <c r="G489" s="44" t="n"/>
      <c r="H489" s="44" t="n"/>
      <c r="I489" s="45" t="n"/>
      <c r="J489" s="45" t="n"/>
      <c r="K489" s="85" t="n"/>
      <c r="L489" s="85" t="n"/>
      <c r="M489" s="88" t="n"/>
      <c r="N489" s="88" t="n"/>
      <c r="O489" s="44" t="n"/>
      <c r="P489" s="45" t="n"/>
      <c r="Q489" s="45" t="n"/>
      <c r="R489" s="44" t="n"/>
      <c r="S489" s="45" t="n"/>
      <c r="T489" s="45" t="n"/>
      <c r="U489" s="85" t="n"/>
      <c r="V489" s="44" t="n"/>
      <c r="W489" s="45" t="n"/>
      <c r="X489" s="45" t="n"/>
      <c r="Y489" s="44" t="n"/>
      <c r="Z489" s="85" t="n"/>
      <c r="AA489" s="44" t="n"/>
      <c r="AB489" s="44" t="n"/>
      <c r="AC489" s="44" t="n"/>
      <c r="AD489" s="44" t="n"/>
      <c r="AE489" s="44" t="n"/>
      <c r="AF489" s="88" t="n"/>
      <c r="AG489" s="85" t="n"/>
      <c r="AH489" s="85" t="n"/>
      <c r="AI489" s="85" t="n"/>
      <c r="AJ489" s="85" t="n"/>
      <c r="AK489" s="85" t="n"/>
      <c r="AL489" s="85" t="n"/>
      <c r="AM489" s="85" t="n"/>
      <c r="AN489" s="85" t="n"/>
      <c r="AO489" s="85" t="n"/>
      <c r="AP489" s="85" t="n"/>
      <c r="AQ489" s="85" t="n"/>
      <c r="AR489" s="85" t="n"/>
      <c r="AS489" s="85" t="n"/>
      <c r="AT489" s="85" t="n"/>
      <c r="AU489" s="85" t="n"/>
      <c r="AV489" s="85" t="n"/>
      <c r="AW489" s="44" t="n"/>
      <c r="AX489" s="85" t="n"/>
      <c r="AY489" s="88" t="n"/>
      <c r="AZ489" s="86" t="n"/>
      <c r="BA489" s="44" t="n"/>
      <c r="BB489" s="44" t="n"/>
      <c r="BC489" s="87" t="n"/>
      <c r="BD489" s="44" t="n"/>
      <c r="BE489" s="87" t="n"/>
      <c r="BF489" s="85" t="n"/>
      <c r="BG489" s="44" t="n"/>
      <c r="BH489" s="44" t="n"/>
      <c r="BI489" s="85" t="n"/>
      <c r="BJ489" s="44" t="n"/>
      <c r="BK489" s="45" t="n"/>
      <c r="BL489" s="44" t="n"/>
      <c r="BM489" s="85" t="n"/>
      <c r="BN489" s="44" t="n"/>
      <c r="BO489" s="85" t="n"/>
      <c r="BP489" s="86" t="n"/>
      <c r="BQ489" s="44" t="n"/>
      <c r="BR489" s="50" t="n"/>
      <c r="BS489" s="89" t="n"/>
      <c r="BT489" s="50">
        <f>IF(OR(K489="",L489="",M489=""),"",IF(ABS(ROUND(((ROUND(N(K489)*100,0))-(0))*(100+N(M489))/100,0)-(ROUND(N(L489)*100,0)))&lt;=0+IF(((ROUND(N(K489)*100,0))-(0))*(100+N(M489))/100&lt;&gt;ROUND(((ROUND(N(K489)*100,0))-(0))*(100+N(M489))/100,0),1,0),"OK","ABWEICHUNG"))</f>
        <v/>
      </c>
    </row>
    <row r="490">
      <c r="A490" s="50" t="n"/>
      <c r="B490" s="44" t="n"/>
      <c r="C490" s="44" t="n"/>
      <c r="D490" s="44" t="n"/>
      <c r="E490" s="44" t="n"/>
      <c r="F490" s="44" t="n"/>
      <c r="G490" s="44" t="n"/>
      <c r="H490" s="44" t="n"/>
      <c r="I490" s="45" t="n"/>
      <c r="J490" s="45" t="n"/>
      <c r="K490" s="85" t="n"/>
      <c r="L490" s="85" t="n"/>
      <c r="M490" s="88" t="n"/>
      <c r="N490" s="88" t="n"/>
      <c r="O490" s="44" t="n"/>
      <c r="P490" s="45" t="n"/>
      <c r="Q490" s="45" t="n"/>
      <c r="R490" s="44" t="n"/>
      <c r="S490" s="45" t="n"/>
      <c r="T490" s="45" t="n"/>
      <c r="U490" s="85" t="n"/>
      <c r="V490" s="44" t="n"/>
      <c r="W490" s="45" t="n"/>
      <c r="X490" s="45" t="n"/>
      <c r="Y490" s="44" t="n"/>
      <c r="Z490" s="85" t="n"/>
      <c r="AA490" s="44" t="n"/>
      <c r="AB490" s="44" t="n"/>
      <c r="AC490" s="44" t="n"/>
      <c r="AD490" s="44" t="n"/>
      <c r="AE490" s="44" t="n"/>
      <c r="AF490" s="88" t="n"/>
      <c r="AG490" s="85" t="n"/>
      <c r="AH490" s="85" t="n"/>
      <c r="AI490" s="85" t="n"/>
      <c r="AJ490" s="85" t="n"/>
      <c r="AK490" s="85" t="n"/>
      <c r="AL490" s="85" t="n"/>
      <c r="AM490" s="85" t="n"/>
      <c r="AN490" s="85" t="n"/>
      <c r="AO490" s="85" t="n"/>
      <c r="AP490" s="85" t="n"/>
      <c r="AQ490" s="85" t="n"/>
      <c r="AR490" s="85" t="n"/>
      <c r="AS490" s="85" t="n"/>
      <c r="AT490" s="85" t="n"/>
      <c r="AU490" s="85" t="n"/>
      <c r="AV490" s="85" t="n"/>
      <c r="AW490" s="44" t="n"/>
      <c r="AX490" s="85" t="n"/>
      <c r="AY490" s="88" t="n"/>
      <c r="AZ490" s="86" t="n"/>
      <c r="BA490" s="44" t="n"/>
      <c r="BB490" s="44" t="n"/>
      <c r="BC490" s="87" t="n"/>
      <c r="BD490" s="44" t="n"/>
      <c r="BE490" s="87" t="n"/>
      <c r="BF490" s="85" t="n"/>
      <c r="BG490" s="44" t="n"/>
      <c r="BH490" s="44" t="n"/>
      <c r="BI490" s="85" t="n"/>
      <c r="BJ490" s="44" t="n"/>
      <c r="BK490" s="45" t="n"/>
      <c r="BL490" s="44" t="n"/>
      <c r="BM490" s="85" t="n"/>
      <c r="BN490" s="44" t="n"/>
      <c r="BO490" s="85" t="n"/>
      <c r="BP490" s="86" t="n"/>
      <c r="BQ490" s="44" t="n"/>
      <c r="BR490" s="50" t="n"/>
      <c r="BS490" s="89" t="n"/>
      <c r="BT490" s="50">
        <f>IF(OR(K490="",L490="",M490=""),"",IF(ABS(ROUND(((ROUND(N(K490)*100,0))-(0))*(100+N(M490))/100,0)-(ROUND(N(L490)*100,0)))&lt;=0+IF(((ROUND(N(K490)*100,0))-(0))*(100+N(M490))/100&lt;&gt;ROUND(((ROUND(N(K490)*100,0))-(0))*(100+N(M490))/100,0),1,0),"OK","ABWEICHUNG"))</f>
        <v/>
      </c>
    </row>
    <row r="491">
      <c r="A491" s="50" t="n"/>
      <c r="B491" s="44" t="n"/>
      <c r="C491" s="44" t="n"/>
      <c r="D491" s="44" t="n"/>
      <c r="E491" s="44" t="n"/>
      <c r="F491" s="44" t="n"/>
      <c r="G491" s="44" t="n"/>
      <c r="H491" s="44" t="n"/>
      <c r="I491" s="45" t="n"/>
      <c r="J491" s="45" t="n"/>
      <c r="K491" s="85" t="n"/>
      <c r="L491" s="85" t="n"/>
      <c r="M491" s="88" t="n"/>
      <c r="N491" s="88" t="n"/>
      <c r="O491" s="44" t="n"/>
      <c r="P491" s="45" t="n"/>
      <c r="Q491" s="45" t="n"/>
      <c r="R491" s="44" t="n"/>
      <c r="S491" s="45" t="n"/>
      <c r="T491" s="45" t="n"/>
      <c r="U491" s="85" t="n"/>
      <c r="V491" s="44" t="n"/>
      <c r="W491" s="45" t="n"/>
      <c r="X491" s="45" t="n"/>
      <c r="Y491" s="44" t="n"/>
      <c r="Z491" s="85" t="n"/>
      <c r="AA491" s="44" t="n"/>
      <c r="AB491" s="44" t="n"/>
      <c r="AC491" s="44" t="n"/>
      <c r="AD491" s="44" t="n"/>
      <c r="AE491" s="44" t="n"/>
      <c r="AF491" s="88" t="n"/>
      <c r="AG491" s="85" t="n"/>
      <c r="AH491" s="85" t="n"/>
      <c r="AI491" s="85" t="n"/>
      <c r="AJ491" s="85" t="n"/>
      <c r="AK491" s="85" t="n"/>
      <c r="AL491" s="85" t="n"/>
      <c r="AM491" s="85" t="n"/>
      <c r="AN491" s="85" t="n"/>
      <c r="AO491" s="85" t="n"/>
      <c r="AP491" s="85" t="n"/>
      <c r="AQ491" s="85" t="n"/>
      <c r="AR491" s="85" t="n"/>
      <c r="AS491" s="85" t="n"/>
      <c r="AT491" s="85" t="n"/>
      <c r="AU491" s="85" t="n"/>
      <c r="AV491" s="85" t="n"/>
      <c r="AW491" s="44" t="n"/>
      <c r="AX491" s="85" t="n"/>
      <c r="AY491" s="88" t="n"/>
      <c r="AZ491" s="86" t="n"/>
      <c r="BA491" s="44" t="n"/>
      <c r="BB491" s="44" t="n"/>
      <c r="BC491" s="87" t="n"/>
      <c r="BD491" s="44" t="n"/>
      <c r="BE491" s="87" t="n"/>
      <c r="BF491" s="85" t="n"/>
      <c r="BG491" s="44" t="n"/>
      <c r="BH491" s="44" t="n"/>
      <c r="BI491" s="85" t="n"/>
      <c r="BJ491" s="44" t="n"/>
      <c r="BK491" s="45" t="n"/>
      <c r="BL491" s="44" t="n"/>
      <c r="BM491" s="85" t="n"/>
      <c r="BN491" s="44" t="n"/>
      <c r="BO491" s="85" t="n"/>
      <c r="BP491" s="86" t="n"/>
      <c r="BQ491" s="44" t="n"/>
      <c r="BR491" s="50" t="n"/>
      <c r="BS491" s="89" t="n"/>
      <c r="BT491" s="50">
        <f>IF(OR(K491="",L491="",M491=""),"",IF(ABS(ROUND(((ROUND(N(K491)*100,0))-(0))*(100+N(M491))/100,0)-(ROUND(N(L491)*100,0)))&lt;=0+IF(((ROUND(N(K491)*100,0))-(0))*(100+N(M491))/100&lt;&gt;ROUND(((ROUND(N(K491)*100,0))-(0))*(100+N(M491))/100,0),1,0),"OK","ABWEICHUNG"))</f>
        <v/>
      </c>
    </row>
    <row r="492">
      <c r="A492" s="50" t="n"/>
      <c r="B492" s="44" t="n"/>
      <c r="C492" s="44" t="n"/>
      <c r="D492" s="44" t="n"/>
      <c r="E492" s="44" t="n"/>
      <c r="F492" s="44" t="n"/>
      <c r="G492" s="44" t="n"/>
      <c r="H492" s="44" t="n"/>
      <c r="I492" s="45" t="n"/>
      <c r="J492" s="45" t="n"/>
      <c r="K492" s="85" t="n"/>
      <c r="L492" s="85" t="n"/>
      <c r="M492" s="88" t="n"/>
      <c r="N492" s="88" t="n"/>
      <c r="O492" s="44" t="n"/>
      <c r="P492" s="45" t="n"/>
      <c r="Q492" s="45" t="n"/>
      <c r="R492" s="44" t="n"/>
      <c r="S492" s="45" t="n"/>
      <c r="T492" s="45" t="n"/>
      <c r="U492" s="85" t="n"/>
      <c r="V492" s="44" t="n"/>
      <c r="W492" s="45" t="n"/>
      <c r="X492" s="45" t="n"/>
      <c r="Y492" s="44" t="n"/>
      <c r="Z492" s="85" t="n"/>
      <c r="AA492" s="44" t="n"/>
      <c r="AB492" s="44" t="n"/>
      <c r="AC492" s="44" t="n"/>
      <c r="AD492" s="44" t="n"/>
      <c r="AE492" s="44" t="n"/>
      <c r="AF492" s="88" t="n"/>
      <c r="AG492" s="85" t="n"/>
      <c r="AH492" s="85" t="n"/>
      <c r="AI492" s="85" t="n"/>
      <c r="AJ492" s="85" t="n"/>
      <c r="AK492" s="85" t="n"/>
      <c r="AL492" s="85" t="n"/>
      <c r="AM492" s="85" t="n"/>
      <c r="AN492" s="85" t="n"/>
      <c r="AO492" s="85" t="n"/>
      <c r="AP492" s="85" t="n"/>
      <c r="AQ492" s="85" t="n"/>
      <c r="AR492" s="85" t="n"/>
      <c r="AS492" s="85" t="n"/>
      <c r="AT492" s="85" t="n"/>
      <c r="AU492" s="85" t="n"/>
      <c r="AV492" s="85" t="n"/>
      <c r="AW492" s="44" t="n"/>
      <c r="AX492" s="85" t="n"/>
      <c r="AY492" s="88" t="n"/>
      <c r="AZ492" s="86" t="n"/>
      <c r="BA492" s="44" t="n"/>
      <c r="BB492" s="44" t="n"/>
      <c r="BC492" s="87" t="n"/>
      <c r="BD492" s="44" t="n"/>
      <c r="BE492" s="87" t="n"/>
      <c r="BF492" s="85" t="n"/>
      <c r="BG492" s="44" t="n"/>
      <c r="BH492" s="44" t="n"/>
      <c r="BI492" s="85" t="n"/>
      <c r="BJ492" s="44" t="n"/>
      <c r="BK492" s="45" t="n"/>
      <c r="BL492" s="44" t="n"/>
      <c r="BM492" s="85" t="n"/>
      <c r="BN492" s="44" t="n"/>
      <c r="BO492" s="85" t="n"/>
      <c r="BP492" s="86" t="n"/>
      <c r="BQ492" s="44" t="n"/>
      <c r="BR492" s="50" t="n"/>
      <c r="BS492" s="89" t="n"/>
      <c r="BT492" s="50">
        <f>IF(OR(K492="",L492="",M492=""),"",IF(ABS(ROUND(((ROUND(N(K492)*100,0))-(0))*(100+N(M492))/100,0)-(ROUND(N(L492)*100,0)))&lt;=0+IF(((ROUND(N(K492)*100,0))-(0))*(100+N(M492))/100&lt;&gt;ROUND(((ROUND(N(K492)*100,0))-(0))*(100+N(M492))/100,0),1,0),"OK","ABWEICHUNG"))</f>
        <v/>
      </c>
    </row>
    <row r="493">
      <c r="A493" s="50" t="n"/>
      <c r="B493" s="44" t="n"/>
      <c r="C493" s="44" t="n"/>
      <c r="D493" s="44" t="n"/>
      <c r="E493" s="44" t="n"/>
      <c r="F493" s="44" t="n"/>
      <c r="G493" s="44" t="n"/>
      <c r="H493" s="44" t="n"/>
      <c r="I493" s="45" t="n"/>
      <c r="J493" s="45" t="n"/>
      <c r="K493" s="85" t="n"/>
      <c r="L493" s="85" t="n"/>
      <c r="M493" s="88" t="n"/>
      <c r="N493" s="88" t="n"/>
      <c r="O493" s="44" t="n"/>
      <c r="P493" s="45" t="n"/>
      <c r="Q493" s="45" t="n"/>
      <c r="R493" s="44" t="n"/>
      <c r="S493" s="45" t="n"/>
      <c r="T493" s="45" t="n"/>
      <c r="U493" s="85" t="n"/>
      <c r="V493" s="44" t="n"/>
      <c r="W493" s="45" t="n"/>
      <c r="X493" s="45" t="n"/>
      <c r="Y493" s="44" t="n"/>
      <c r="Z493" s="85" t="n"/>
      <c r="AA493" s="44" t="n"/>
      <c r="AB493" s="44" t="n"/>
      <c r="AC493" s="44" t="n"/>
      <c r="AD493" s="44" t="n"/>
      <c r="AE493" s="44" t="n"/>
      <c r="AF493" s="88" t="n"/>
      <c r="AG493" s="85" t="n"/>
      <c r="AH493" s="85" t="n"/>
      <c r="AI493" s="85" t="n"/>
      <c r="AJ493" s="85" t="n"/>
      <c r="AK493" s="85" t="n"/>
      <c r="AL493" s="85" t="n"/>
      <c r="AM493" s="85" t="n"/>
      <c r="AN493" s="85" t="n"/>
      <c r="AO493" s="85" t="n"/>
      <c r="AP493" s="85" t="n"/>
      <c r="AQ493" s="85" t="n"/>
      <c r="AR493" s="85" t="n"/>
      <c r="AS493" s="85" t="n"/>
      <c r="AT493" s="85" t="n"/>
      <c r="AU493" s="85" t="n"/>
      <c r="AV493" s="85" t="n"/>
      <c r="AW493" s="44" t="n"/>
      <c r="AX493" s="85" t="n"/>
      <c r="AY493" s="88" t="n"/>
      <c r="AZ493" s="86" t="n"/>
      <c r="BA493" s="44" t="n"/>
      <c r="BB493" s="44" t="n"/>
      <c r="BC493" s="87" t="n"/>
      <c r="BD493" s="44" t="n"/>
      <c r="BE493" s="87" t="n"/>
      <c r="BF493" s="85" t="n"/>
      <c r="BG493" s="44" t="n"/>
      <c r="BH493" s="44" t="n"/>
      <c r="BI493" s="85" t="n"/>
      <c r="BJ493" s="44" t="n"/>
      <c r="BK493" s="45" t="n"/>
      <c r="BL493" s="44" t="n"/>
      <c r="BM493" s="85" t="n"/>
      <c r="BN493" s="44" t="n"/>
      <c r="BO493" s="85" t="n"/>
      <c r="BP493" s="86" t="n"/>
      <c r="BQ493" s="44" t="n"/>
      <c r="BR493" s="50" t="n"/>
      <c r="BS493" s="89" t="n"/>
      <c r="BT493" s="50">
        <f>IF(OR(K493="",L493="",M493=""),"",IF(ABS(ROUND(((ROUND(N(K493)*100,0))-(0))*(100+N(M493))/100,0)-(ROUND(N(L493)*100,0)))&lt;=0+IF(((ROUND(N(K493)*100,0))-(0))*(100+N(M493))/100&lt;&gt;ROUND(((ROUND(N(K493)*100,0))-(0))*(100+N(M493))/100,0),1,0),"OK","ABWEICHUNG"))</f>
        <v/>
      </c>
    </row>
    <row r="494">
      <c r="A494" s="50" t="n"/>
      <c r="B494" s="44" t="n"/>
      <c r="C494" s="44" t="n"/>
      <c r="D494" s="44" t="n"/>
      <c r="E494" s="44" t="n"/>
      <c r="F494" s="44" t="n"/>
      <c r="G494" s="44" t="n"/>
      <c r="H494" s="44" t="n"/>
      <c r="I494" s="45" t="n"/>
      <c r="J494" s="45" t="n"/>
      <c r="K494" s="85" t="n"/>
      <c r="L494" s="85" t="n"/>
      <c r="M494" s="88" t="n"/>
      <c r="N494" s="88" t="n"/>
      <c r="O494" s="44" t="n"/>
      <c r="P494" s="45" t="n"/>
      <c r="Q494" s="45" t="n"/>
      <c r="R494" s="44" t="n"/>
      <c r="S494" s="45" t="n"/>
      <c r="T494" s="45" t="n"/>
      <c r="U494" s="85" t="n"/>
      <c r="V494" s="44" t="n"/>
      <c r="W494" s="45" t="n"/>
      <c r="X494" s="45" t="n"/>
      <c r="Y494" s="44" t="n"/>
      <c r="Z494" s="85" t="n"/>
      <c r="AA494" s="44" t="n"/>
      <c r="AB494" s="44" t="n"/>
      <c r="AC494" s="44" t="n"/>
      <c r="AD494" s="44" t="n"/>
      <c r="AE494" s="44" t="n"/>
      <c r="AF494" s="88" t="n"/>
      <c r="AG494" s="85" t="n"/>
      <c r="AH494" s="85" t="n"/>
      <c r="AI494" s="85" t="n"/>
      <c r="AJ494" s="85" t="n"/>
      <c r="AK494" s="85" t="n"/>
      <c r="AL494" s="85" t="n"/>
      <c r="AM494" s="85" t="n"/>
      <c r="AN494" s="85" t="n"/>
      <c r="AO494" s="85" t="n"/>
      <c r="AP494" s="85" t="n"/>
      <c r="AQ494" s="85" t="n"/>
      <c r="AR494" s="85" t="n"/>
      <c r="AS494" s="85" t="n"/>
      <c r="AT494" s="85" t="n"/>
      <c r="AU494" s="85" t="n"/>
      <c r="AV494" s="85" t="n"/>
      <c r="AW494" s="44" t="n"/>
      <c r="AX494" s="85" t="n"/>
      <c r="AY494" s="88" t="n"/>
      <c r="AZ494" s="86" t="n"/>
      <c r="BA494" s="44" t="n"/>
      <c r="BB494" s="44" t="n"/>
      <c r="BC494" s="87" t="n"/>
      <c r="BD494" s="44" t="n"/>
      <c r="BE494" s="87" t="n"/>
      <c r="BF494" s="85" t="n"/>
      <c r="BG494" s="44" t="n"/>
      <c r="BH494" s="44" t="n"/>
      <c r="BI494" s="85" t="n"/>
      <c r="BJ494" s="44" t="n"/>
      <c r="BK494" s="45" t="n"/>
      <c r="BL494" s="44" t="n"/>
      <c r="BM494" s="85" t="n"/>
      <c r="BN494" s="44" t="n"/>
      <c r="BO494" s="85" t="n"/>
      <c r="BP494" s="86" t="n"/>
      <c r="BQ494" s="44" t="n"/>
      <c r="BR494" s="50" t="n"/>
      <c r="BS494" s="89" t="n"/>
      <c r="BT494" s="50">
        <f>IF(OR(K494="",L494="",M494=""),"",IF(ABS(ROUND(((ROUND(N(K494)*100,0))-(0))*(100+N(M494))/100,0)-(ROUND(N(L494)*100,0)))&lt;=0+IF(((ROUND(N(K494)*100,0))-(0))*(100+N(M494))/100&lt;&gt;ROUND(((ROUND(N(K494)*100,0))-(0))*(100+N(M494))/100,0),1,0),"OK","ABWEICHUNG"))</f>
        <v/>
      </c>
    </row>
    <row r="495">
      <c r="A495" s="50" t="n"/>
      <c r="B495" s="44" t="n"/>
      <c r="C495" s="44" t="n"/>
      <c r="D495" s="44" t="n"/>
      <c r="E495" s="44" t="n"/>
      <c r="F495" s="44" t="n"/>
      <c r="G495" s="44" t="n"/>
      <c r="H495" s="44" t="n"/>
      <c r="I495" s="45" t="n"/>
      <c r="J495" s="45" t="n"/>
      <c r="K495" s="85" t="n"/>
      <c r="L495" s="85" t="n"/>
      <c r="M495" s="88" t="n"/>
      <c r="N495" s="88" t="n"/>
      <c r="O495" s="44" t="n"/>
      <c r="P495" s="45" t="n"/>
      <c r="Q495" s="45" t="n"/>
      <c r="R495" s="44" t="n"/>
      <c r="S495" s="45" t="n"/>
      <c r="T495" s="45" t="n"/>
      <c r="U495" s="85" t="n"/>
      <c r="V495" s="44" t="n"/>
      <c r="W495" s="45" t="n"/>
      <c r="X495" s="45" t="n"/>
      <c r="Y495" s="44" t="n"/>
      <c r="Z495" s="85" t="n"/>
      <c r="AA495" s="44" t="n"/>
      <c r="AB495" s="44" t="n"/>
      <c r="AC495" s="44" t="n"/>
      <c r="AD495" s="44" t="n"/>
      <c r="AE495" s="44" t="n"/>
      <c r="AF495" s="88" t="n"/>
      <c r="AG495" s="85" t="n"/>
      <c r="AH495" s="85" t="n"/>
      <c r="AI495" s="85" t="n"/>
      <c r="AJ495" s="85" t="n"/>
      <c r="AK495" s="85" t="n"/>
      <c r="AL495" s="85" t="n"/>
      <c r="AM495" s="85" t="n"/>
      <c r="AN495" s="85" t="n"/>
      <c r="AO495" s="85" t="n"/>
      <c r="AP495" s="85" t="n"/>
      <c r="AQ495" s="85" t="n"/>
      <c r="AR495" s="85" t="n"/>
      <c r="AS495" s="85" t="n"/>
      <c r="AT495" s="85" t="n"/>
      <c r="AU495" s="85" t="n"/>
      <c r="AV495" s="85" t="n"/>
      <c r="AW495" s="44" t="n"/>
      <c r="AX495" s="85" t="n"/>
      <c r="AY495" s="88" t="n"/>
      <c r="AZ495" s="86" t="n"/>
      <c r="BA495" s="44" t="n"/>
      <c r="BB495" s="44" t="n"/>
      <c r="BC495" s="87" t="n"/>
      <c r="BD495" s="44" t="n"/>
      <c r="BE495" s="87" t="n"/>
      <c r="BF495" s="85" t="n"/>
      <c r="BG495" s="44" t="n"/>
      <c r="BH495" s="44" t="n"/>
      <c r="BI495" s="85" t="n"/>
      <c r="BJ495" s="44" t="n"/>
      <c r="BK495" s="45" t="n"/>
      <c r="BL495" s="44" t="n"/>
      <c r="BM495" s="85" t="n"/>
      <c r="BN495" s="44" t="n"/>
      <c r="BO495" s="85" t="n"/>
      <c r="BP495" s="86" t="n"/>
      <c r="BQ495" s="44" t="n"/>
      <c r="BR495" s="50" t="n"/>
      <c r="BS495" s="89" t="n"/>
      <c r="BT495" s="50">
        <f>IF(OR(K495="",L495="",M495=""),"",IF(ABS(ROUND(((ROUND(N(K495)*100,0))-(0))*(100+N(M495))/100,0)-(ROUND(N(L495)*100,0)))&lt;=0+IF(((ROUND(N(K495)*100,0))-(0))*(100+N(M495))/100&lt;&gt;ROUND(((ROUND(N(K495)*100,0))-(0))*(100+N(M495))/100,0),1,0),"OK","ABWEICHUNG"))</f>
        <v/>
      </c>
    </row>
    <row r="496">
      <c r="A496" s="50" t="n"/>
      <c r="B496" s="44" t="n"/>
      <c r="C496" s="44" t="n"/>
      <c r="D496" s="44" t="n"/>
      <c r="E496" s="44" t="n"/>
      <c r="F496" s="44" t="n"/>
      <c r="G496" s="44" t="n"/>
      <c r="H496" s="44" t="n"/>
      <c r="I496" s="45" t="n"/>
      <c r="J496" s="45" t="n"/>
      <c r="K496" s="85" t="n"/>
      <c r="L496" s="85" t="n"/>
      <c r="M496" s="88" t="n"/>
      <c r="N496" s="88" t="n"/>
      <c r="O496" s="44" t="n"/>
      <c r="P496" s="45" t="n"/>
      <c r="Q496" s="45" t="n"/>
      <c r="R496" s="44" t="n"/>
      <c r="S496" s="45" t="n"/>
      <c r="T496" s="45" t="n"/>
      <c r="U496" s="85" t="n"/>
      <c r="V496" s="44" t="n"/>
      <c r="W496" s="45" t="n"/>
      <c r="X496" s="45" t="n"/>
      <c r="Y496" s="44" t="n"/>
      <c r="Z496" s="85" t="n"/>
      <c r="AA496" s="44" t="n"/>
      <c r="AB496" s="44" t="n"/>
      <c r="AC496" s="44" t="n"/>
      <c r="AD496" s="44" t="n"/>
      <c r="AE496" s="44" t="n"/>
      <c r="AF496" s="88" t="n"/>
      <c r="AG496" s="85" t="n"/>
      <c r="AH496" s="85" t="n"/>
      <c r="AI496" s="85" t="n"/>
      <c r="AJ496" s="85" t="n"/>
      <c r="AK496" s="85" t="n"/>
      <c r="AL496" s="85" t="n"/>
      <c r="AM496" s="85" t="n"/>
      <c r="AN496" s="85" t="n"/>
      <c r="AO496" s="85" t="n"/>
      <c r="AP496" s="85" t="n"/>
      <c r="AQ496" s="85" t="n"/>
      <c r="AR496" s="85" t="n"/>
      <c r="AS496" s="85" t="n"/>
      <c r="AT496" s="85" t="n"/>
      <c r="AU496" s="85" t="n"/>
      <c r="AV496" s="85" t="n"/>
      <c r="AW496" s="44" t="n"/>
      <c r="AX496" s="85" t="n"/>
      <c r="AY496" s="88" t="n"/>
      <c r="AZ496" s="86" t="n"/>
      <c r="BA496" s="44" t="n"/>
      <c r="BB496" s="44" t="n"/>
      <c r="BC496" s="87" t="n"/>
      <c r="BD496" s="44" t="n"/>
      <c r="BE496" s="87" t="n"/>
      <c r="BF496" s="85" t="n"/>
      <c r="BG496" s="44" t="n"/>
      <c r="BH496" s="44" t="n"/>
      <c r="BI496" s="85" t="n"/>
      <c r="BJ496" s="44" t="n"/>
      <c r="BK496" s="45" t="n"/>
      <c r="BL496" s="44" t="n"/>
      <c r="BM496" s="85" t="n"/>
      <c r="BN496" s="44" t="n"/>
      <c r="BO496" s="85" t="n"/>
      <c r="BP496" s="86" t="n"/>
      <c r="BQ496" s="44" t="n"/>
      <c r="BR496" s="50" t="n"/>
      <c r="BS496" s="89" t="n"/>
      <c r="BT496" s="50">
        <f>IF(OR(K496="",L496="",M496=""),"",IF(ABS(ROUND(((ROUND(N(K496)*100,0))-(0))*(100+N(M496))/100,0)-(ROUND(N(L496)*100,0)))&lt;=0+IF(((ROUND(N(K496)*100,0))-(0))*(100+N(M496))/100&lt;&gt;ROUND(((ROUND(N(K496)*100,0))-(0))*(100+N(M496))/100,0),1,0),"OK","ABWEICHUNG"))</f>
        <v/>
      </c>
    </row>
    <row r="497">
      <c r="A497" s="50" t="n"/>
      <c r="B497" s="44" t="n"/>
      <c r="C497" s="44" t="n"/>
      <c r="D497" s="44" t="n"/>
      <c r="E497" s="44" t="n"/>
      <c r="F497" s="44" t="n"/>
      <c r="G497" s="44" t="n"/>
      <c r="H497" s="44" t="n"/>
      <c r="I497" s="45" t="n"/>
      <c r="J497" s="45" t="n"/>
      <c r="K497" s="85" t="n"/>
      <c r="L497" s="85" t="n"/>
      <c r="M497" s="88" t="n"/>
      <c r="N497" s="88" t="n"/>
      <c r="O497" s="44" t="n"/>
      <c r="P497" s="45" t="n"/>
      <c r="Q497" s="45" t="n"/>
      <c r="R497" s="44" t="n"/>
      <c r="S497" s="45" t="n"/>
      <c r="T497" s="45" t="n"/>
      <c r="U497" s="85" t="n"/>
      <c r="V497" s="44" t="n"/>
      <c r="W497" s="45" t="n"/>
      <c r="X497" s="45" t="n"/>
      <c r="Y497" s="44" t="n"/>
      <c r="Z497" s="85" t="n"/>
      <c r="AA497" s="44" t="n"/>
      <c r="AB497" s="44" t="n"/>
      <c r="AC497" s="44" t="n"/>
      <c r="AD497" s="44" t="n"/>
      <c r="AE497" s="44" t="n"/>
      <c r="AF497" s="88" t="n"/>
      <c r="AG497" s="85" t="n"/>
      <c r="AH497" s="85" t="n"/>
      <c r="AI497" s="85" t="n"/>
      <c r="AJ497" s="85" t="n"/>
      <c r="AK497" s="85" t="n"/>
      <c r="AL497" s="85" t="n"/>
      <c r="AM497" s="85" t="n"/>
      <c r="AN497" s="85" t="n"/>
      <c r="AO497" s="85" t="n"/>
      <c r="AP497" s="85" t="n"/>
      <c r="AQ497" s="85" t="n"/>
      <c r="AR497" s="85" t="n"/>
      <c r="AS497" s="85" t="n"/>
      <c r="AT497" s="85" t="n"/>
      <c r="AU497" s="85" t="n"/>
      <c r="AV497" s="85" t="n"/>
      <c r="AW497" s="44" t="n"/>
      <c r="AX497" s="85" t="n"/>
      <c r="AY497" s="88" t="n"/>
      <c r="AZ497" s="86" t="n"/>
      <c r="BA497" s="44" t="n"/>
      <c r="BB497" s="44" t="n"/>
      <c r="BC497" s="87" t="n"/>
      <c r="BD497" s="44" t="n"/>
      <c r="BE497" s="87" t="n"/>
      <c r="BF497" s="85" t="n"/>
      <c r="BG497" s="44" t="n"/>
      <c r="BH497" s="44" t="n"/>
      <c r="BI497" s="85" t="n"/>
      <c r="BJ497" s="44" t="n"/>
      <c r="BK497" s="45" t="n"/>
      <c r="BL497" s="44" t="n"/>
      <c r="BM497" s="85" t="n"/>
      <c r="BN497" s="44" t="n"/>
      <c r="BO497" s="85" t="n"/>
      <c r="BP497" s="86" t="n"/>
      <c r="BQ497" s="44" t="n"/>
      <c r="BR497" s="50" t="n"/>
      <c r="BS497" s="89" t="n"/>
      <c r="BT497" s="50">
        <f>IF(OR(K497="",L497="",M497=""),"",IF(ABS(ROUND(((ROUND(N(K497)*100,0))-(0))*(100+N(M497))/100,0)-(ROUND(N(L497)*100,0)))&lt;=0+IF(((ROUND(N(K497)*100,0))-(0))*(100+N(M497))/100&lt;&gt;ROUND(((ROUND(N(K497)*100,0))-(0))*(100+N(M497))/100,0),1,0),"OK","ABWEICHUNG"))</f>
        <v/>
      </c>
    </row>
    <row r="498">
      <c r="A498" s="50" t="n"/>
      <c r="B498" s="44" t="n"/>
      <c r="C498" s="44" t="n"/>
      <c r="D498" s="44" t="n"/>
      <c r="E498" s="44" t="n"/>
      <c r="F498" s="44" t="n"/>
      <c r="G498" s="44" t="n"/>
      <c r="H498" s="44" t="n"/>
      <c r="I498" s="45" t="n"/>
      <c r="J498" s="45" t="n"/>
      <c r="K498" s="85" t="n"/>
      <c r="L498" s="85" t="n"/>
      <c r="M498" s="88" t="n"/>
      <c r="N498" s="88" t="n"/>
      <c r="O498" s="44" t="n"/>
      <c r="P498" s="45" t="n"/>
      <c r="Q498" s="45" t="n"/>
      <c r="R498" s="44" t="n"/>
      <c r="S498" s="45" t="n"/>
      <c r="T498" s="45" t="n"/>
      <c r="U498" s="85" t="n"/>
      <c r="V498" s="44" t="n"/>
      <c r="W498" s="45" t="n"/>
      <c r="X498" s="45" t="n"/>
      <c r="Y498" s="44" t="n"/>
      <c r="Z498" s="85" t="n"/>
      <c r="AA498" s="44" t="n"/>
      <c r="AB498" s="44" t="n"/>
      <c r="AC498" s="44" t="n"/>
      <c r="AD498" s="44" t="n"/>
      <c r="AE498" s="44" t="n"/>
      <c r="AF498" s="88" t="n"/>
      <c r="AG498" s="85" t="n"/>
      <c r="AH498" s="85" t="n"/>
      <c r="AI498" s="85" t="n"/>
      <c r="AJ498" s="85" t="n"/>
      <c r="AK498" s="85" t="n"/>
      <c r="AL498" s="85" t="n"/>
      <c r="AM498" s="85" t="n"/>
      <c r="AN498" s="85" t="n"/>
      <c r="AO498" s="85" t="n"/>
      <c r="AP498" s="85" t="n"/>
      <c r="AQ498" s="85" t="n"/>
      <c r="AR498" s="85" t="n"/>
      <c r="AS498" s="85" t="n"/>
      <c r="AT498" s="85" t="n"/>
      <c r="AU498" s="85" t="n"/>
      <c r="AV498" s="85" t="n"/>
      <c r="AW498" s="44" t="n"/>
      <c r="AX498" s="85" t="n"/>
      <c r="AY498" s="88" t="n"/>
      <c r="AZ498" s="86" t="n"/>
      <c r="BA498" s="44" t="n"/>
      <c r="BB498" s="44" t="n"/>
      <c r="BC498" s="87" t="n"/>
      <c r="BD498" s="44" t="n"/>
      <c r="BE498" s="87" t="n"/>
      <c r="BF498" s="85" t="n"/>
      <c r="BG498" s="44" t="n"/>
      <c r="BH498" s="44" t="n"/>
      <c r="BI498" s="85" t="n"/>
      <c r="BJ498" s="44" t="n"/>
      <c r="BK498" s="45" t="n"/>
      <c r="BL498" s="44" t="n"/>
      <c r="BM498" s="85" t="n"/>
      <c r="BN498" s="44" t="n"/>
      <c r="BO498" s="85" t="n"/>
      <c r="BP498" s="86" t="n"/>
      <c r="BQ498" s="44" t="n"/>
      <c r="BR498" s="50" t="n"/>
      <c r="BS498" s="89" t="n"/>
      <c r="BT498" s="50">
        <f>IF(OR(K498="",L498="",M498=""),"",IF(ABS(ROUND(((ROUND(N(K498)*100,0))-(0))*(100+N(M498))/100,0)-(ROUND(N(L498)*100,0)))&lt;=0+IF(((ROUND(N(K498)*100,0))-(0))*(100+N(M498))/100&lt;&gt;ROUND(((ROUND(N(K498)*100,0))-(0))*(100+N(M498))/100,0),1,0),"OK","ABWEICHUNG"))</f>
        <v/>
      </c>
    </row>
    <row r="499">
      <c r="A499" s="50" t="n"/>
      <c r="B499" s="44" t="n"/>
      <c r="C499" s="44" t="n"/>
      <c r="D499" s="44" t="n"/>
      <c r="E499" s="44" t="n"/>
      <c r="F499" s="44" t="n"/>
      <c r="G499" s="44" t="n"/>
      <c r="H499" s="44" t="n"/>
      <c r="I499" s="45" t="n"/>
      <c r="J499" s="45" t="n"/>
      <c r="K499" s="85" t="n"/>
      <c r="L499" s="85" t="n"/>
      <c r="M499" s="88" t="n"/>
      <c r="N499" s="88" t="n"/>
      <c r="O499" s="44" t="n"/>
      <c r="P499" s="45" t="n"/>
      <c r="Q499" s="45" t="n"/>
      <c r="R499" s="44" t="n"/>
      <c r="S499" s="45" t="n"/>
      <c r="T499" s="45" t="n"/>
      <c r="U499" s="85" t="n"/>
      <c r="V499" s="44" t="n"/>
      <c r="W499" s="45" t="n"/>
      <c r="X499" s="45" t="n"/>
      <c r="Y499" s="44" t="n"/>
      <c r="Z499" s="85" t="n"/>
      <c r="AA499" s="44" t="n"/>
      <c r="AB499" s="44" t="n"/>
      <c r="AC499" s="44" t="n"/>
      <c r="AD499" s="44" t="n"/>
      <c r="AE499" s="44" t="n"/>
      <c r="AF499" s="88" t="n"/>
      <c r="AG499" s="85" t="n"/>
      <c r="AH499" s="85" t="n"/>
      <c r="AI499" s="85" t="n"/>
      <c r="AJ499" s="85" t="n"/>
      <c r="AK499" s="85" t="n"/>
      <c r="AL499" s="85" t="n"/>
      <c r="AM499" s="85" t="n"/>
      <c r="AN499" s="85" t="n"/>
      <c r="AO499" s="85" t="n"/>
      <c r="AP499" s="85" t="n"/>
      <c r="AQ499" s="85" t="n"/>
      <c r="AR499" s="85" t="n"/>
      <c r="AS499" s="85" t="n"/>
      <c r="AT499" s="85" t="n"/>
      <c r="AU499" s="85" t="n"/>
      <c r="AV499" s="85" t="n"/>
      <c r="AW499" s="44" t="n"/>
      <c r="AX499" s="85" t="n"/>
      <c r="AY499" s="88" t="n"/>
      <c r="AZ499" s="86" t="n"/>
      <c r="BA499" s="44" t="n"/>
      <c r="BB499" s="44" t="n"/>
      <c r="BC499" s="87" t="n"/>
      <c r="BD499" s="44" t="n"/>
      <c r="BE499" s="87" t="n"/>
      <c r="BF499" s="85" t="n"/>
      <c r="BG499" s="44" t="n"/>
      <c r="BH499" s="44" t="n"/>
      <c r="BI499" s="85" t="n"/>
      <c r="BJ499" s="44" t="n"/>
      <c r="BK499" s="45" t="n"/>
      <c r="BL499" s="44" t="n"/>
      <c r="BM499" s="85" t="n"/>
      <c r="BN499" s="44" t="n"/>
      <c r="BO499" s="85" t="n"/>
      <c r="BP499" s="86" t="n"/>
      <c r="BQ499" s="44" t="n"/>
      <c r="BR499" s="50" t="n"/>
      <c r="BS499" s="89" t="n"/>
      <c r="BT499" s="50">
        <f>IF(OR(K499="",L499="",M499=""),"",IF(ABS(ROUND(((ROUND(N(K499)*100,0))-(0))*(100+N(M499))/100,0)-(ROUND(N(L499)*100,0)))&lt;=0+IF(((ROUND(N(K499)*100,0))-(0))*(100+N(M499))/100&lt;&gt;ROUND(((ROUND(N(K499)*100,0))-(0))*(100+N(M499))/100,0),1,0),"OK","ABWEICHUNG"))</f>
        <v/>
      </c>
    </row>
    <row r="500">
      <c r="A500" s="50" t="n"/>
      <c r="B500" s="44" t="n"/>
      <c r="C500" s="44" t="n"/>
      <c r="D500" s="44" t="n"/>
      <c r="E500" s="44" t="n"/>
      <c r="F500" s="44" t="n"/>
      <c r="G500" s="44" t="n"/>
      <c r="H500" s="44" t="n"/>
      <c r="I500" s="45" t="n"/>
      <c r="J500" s="45" t="n"/>
      <c r="K500" s="85" t="n"/>
      <c r="L500" s="85" t="n"/>
      <c r="M500" s="88" t="n"/>
      <c r="N500" s="88" t="n"/>
      <c r="O500" s="44" t="n"/>
      <c r="P500" s="45" t="n"/>
      <c r="Q500" s="45" t="n"/>
      <c r="R500" s="44" t="n"/>
      <c r="S500" s="45" t="n"/>
      <c r="T500" s="45" t="n"/>
      <c r="U500" s="85" t="n"/>
      <c r="V500" s="44" t="n"/>
      <c r="W500" s="45" t="n"/>
      <c r="X500" s="45" t="n"/>
      <c r="Y500" s="44" t="n"/>
      <c r="Z500" s="85" t="n"/>
      <c r="AA500" s="44" t="n"/>
      <c r="AB500" s="44" t="n"/>
      <c r="AC500" s="44" t="n"/>
      <c r="AD500" s="44" t="n"/>
      <c r="AE500" s="44" t="n"/>
      <c r="AF500" s="88" t="n"/>
      <c r="AG500" s="85" t="n"/>
      <c r="AH500" s="85" t="n"/>
      <c r="AI500" s="85" t="n"/>
      <c r="AJ500" s="85" t="n"/>
      <c r="AK500" s="85" t="n"/>
      <c r="AL500" s="85" t="n"/>
      <c r="AM500" s="85" t="n"/>
      <c r="AN500" s="85" t="n"/>
      <c r="AO500" s="85" t="n"/>
      <c r="AP500" s="85" t="n"/>
      <c r="AQ500" s="85" t="n"/>
      <c r="AR500" s="85" t="n"/>
      <c r="AS500" s="85" t="n"/>
      <c r="AT500" s="85" t="n"/>
      <c r="AU500" s="85" t="n"/>
      <c r="AV500" s="85" t="n"/>
      <c r="AW500" s="44" t="n"/>
      <c r="AX500" s="85" t="n"/>
      <c r="AY500" s="88" t="n"/>
      <c r="AZ500" s="86" t="n"/>
      <c r="BA500" s="44" t="n"/>
      <c r="BB500" s="44" t="n"/>
      <c r="BC500" s="87" t="n"/>
      <c r="BD500" s="44" t="n"/>
      <c r="BE500" s="87" t="n"/>
      <c r="BF500" s="85" t="n"/>
      <c r="BG500" s="44" t="n"/>
      <c r="BH500" s="44" t="n"/>
      <c r="BI500" s="85" t="n"/>
      <c r="BJ500" s="44" t="n"/>
      <c r="BK500" s="45" t="n"/>
      <c r="BL500" s="44" t="n"/>
      <c r="BM500" s="85" t="n"/>
      <c r="BN500" s="44" t="n"/>
      <c r="BO500" s="85" t="n"/>
      <c r="BP500" s="86" t="n"/>
      <c r="BQ500" s="44" t="n"/>
      <c r="BR500" s="50" t="n"/>
      <c r="BS500" s="89" t="n"/>
      <c r="BT500" s="50">
        <f>IF(OR(K500="",L500="",M500=""),"",IF(ABS(ROUND(((ROUND(N(K500)*100,0))-(0))*(100+N(M500))/100,0)-(ROUND(N(L500)*100,0)))&lt;=0+IF(((ROUND(N(K500)*100,0))-(0))*(100+N(M500))/100&lt;&gt;ROUND(((ROUND(N(K500)*100,0))-(0))*(100+N(M500))/100,0),1,0),"OK","ABWEICHUNG"))</f>
        <v/>
      </c>
    </row>
    <row r="501">
      <c r="A501" s="50" t="n"/>
      <c r="B501" s="44" t="n"/>
      <c r="C501" s="44" t="n"/>
      <c r="D501" s="44" t="n"/>
      <c r="E501" s="44" t="n"/>
      <c r="F501" s="44" t="n"/>
      <c r="G501" s="44" t="n"/>
      <c r="H501" s="44" t="n"/>
      <c r="I501" s="45" t="n"/>
      <c r="J501" s="45" t="n"/>
      <c r="K501" s="85" t="n"/>
      <c r="L501" s="85" t="n"/>
      <c r="M501" s="88" t="n"/>
      <c r="N501" s="88" t="n"/>
      <c r="O501" s="44" t="n"/>
      <c r="P501" s="45" t="n"/>
      <c r="Q501" s="45" t="n"/>
      <c r="R501" s="44" t="n"/>
      <c r="S501" s="45" t="n"/>
      <c r="T501" s="45" t="n"/>
      <c r="U501" s="85" t="n"/>
      <c r="V501" s="44" t="n"/>
      <c r="W501" s="45" t="n"/>
      <c r="X501" s="45" t="n"/>
      <c r="Y501" s="44" t="n"/>
      <c r="Z501" s="85" t="n"/>
      <c r="AA501" s="44" t="n"/>
      <c r="AB501" s="44" t="n"/>
      <c r="AC501" s="44" t="n"/>
      <c r="AD501" s="44" t="n"/>
      <c r="AE501" s="44" t="n"/>
      <c r="AF501" s="88" t="n"/>
      <c r="AG501" s="85" t="n"/>
      <c r="AH501" s="85" t="n"/>
      <c r="AI501" s="85" t="n"/>
      <c r="AJ501" s="85" t="n"/>
      <c r="AK501" s="85" t="n"/>
      <c r="AL501" s="85" t="n"/>
      <c r="AM501" s="85" t="n"/>
      <c r="AN501" s="85" t="n"/>
      <c r="AO501" s="85" t="n"/>
      <c r="AP501" s="85" t="n"/>
      <c r="AQ501" s="85" t="n"/>
      <c r="AR501" s="85" t="n"/>
      <c r="AS501" s="85" t="n"/>
      <c r="AT501" s="85" t="n"/>
      <c r="AU501" s="85" t="n"/>
      <c r="AV501" s="85" t="n"/>
      <c r="AW501" s="44" t="n"/>
      <c r="AX501" s="85" t="n"/>
      <c r="AY501" s="88" t="n"/>
      <c r="AZ501" s="86" t="n"/>
      <c r="BA501" s="44" t="n"/>
      <c r="BB501" s="44" t="n"/>
      <c r="BC501" s="87" t="n"/>
      <c r="BD501" s="44" t="n"/>
      <c r="BE501" s="87" t="n"/>
      <c r="BF501" s="85" t="n"/>
      <c r="BG501" s="44" t="n"/>
      <c r="BH501" s="44" t="n"/>
      <c r="BI501" s="85" t="n"/>
      <c r="BJ501" s="44" t="n"/>
      <c r="BK501" s="45" t="n"/>
      <c r="BL501" s="44" t="n"/>
      <c r="BM501" s="85" t="n"/>
      <c r="BN501" s="44" t="n"/>
      <c r="BO501" s="85" t="n"/>
      <c r="BP501" s="86" t="n"/>
      <c r="BQ501" s="44" t="n"/>
      <c r="BR501" s="50" t="n"/>
      <c r="BS501" s="89" t="n"/>
      <c r="BT501" s="50">
        <f>IF(OR(K501="",L501="",M501=""),"",IF(ABS(ROUND(((ROUND(N(K501)*100,0))-(0))*(100+N(M501))/100,0)-(ROUND(N(L501)*100,0)))&lt;=0+IF(((ROUND(N(K501)*100,0))-(0))*(100+N(M501))/100&lt;&gt;ROUND(((ROUND(N(K501)*100,0))-(0))*(100+N(M501))/100,0),1,0),"OK","ABWEICHUNG"))</f>
        <v/>
      </c>
    </row>
  </sheetData>
  <autoFilter ref="A1:BT501"/>
  <dataValidations count="8">
    <dataValidation sqref="C2:C501" showDropDown="0" showInputMessage="0" showErrorMessage="0" allowBlank="1" type="list">
      <formula1>Auswahllisten!$A$1:$A$53</formula1>
    </dataValidation>
    <dataValidation sqref="D2:D501" showDropDown="0" showInputMessage="0" showErrorMessage="0" allowBlank="1" type="list">
      <formula1>"vorhanden,nachgereicht,existiert nicht"</formula1>
    </dataValidation>
    <dataValidation sqref="AA2:AA501" showDropDown="0" showInputMessage="0" showErrorMessage="0" allowBlank="1" type="list">
      <formula1>"Ja,Nein"</formula1>
    </dataValidation>
    <dataValidation sqref="AB2:AB501" showDropDown="0" showInputMessage="0" showErrorMessage="0" allowBlank="1" type="list">
      <formula1>"Ja,Nein"</formula1>
    </dataValidation>
    <dataValidation sqref="AC2:AC501" showDropDown="0" showInputMessage="0" showErrorMessage="0" allowBlank="1" type="list">
      <formula1>"Original,Kopie"</formula1>
    </dataValidation>
    <dataValidation sqref="BA2:BA501" showDropDown="0" showInputMessage="0" showErrorMessage="0" allowBlank="1" type="list">
      <formula1>"vorschüssig,nachschüssig"</formula1>
    </dataValidation>
    <dataValidation sqref="BB2:BB501" showDropDown="0" showInputMessage="0" showErrorMessage="0" allowBlank="1" type="list">
      <formula1>"EUR,USD,CHF,GBP,Sonstige"</formula1>
    </dataValidation>
    <dataValidation sqref="BN2:BN501" showDropDown="0" showInputMessage="0" showErrorMessage="0" allowBlank="1" type="list">
      <formula1>"Ja,Nein"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34" customWidth="1" min="2" max="2"/>
    <col width="12" customWidth="1" min="3" max="3"/>
    <col width="16" customWidth="1" min="4" max="4"/>
    <col width="16" customWidth="1" min="5" max="5"/>
    <col width="15" customWidth="1" min="6" max="6"/>
    <col hidden="1" width="13" customWidth="1" min="7" max="7"/>
  </cols>
  <sheetData>
    <row r="1" ht="30" customHeight="1">
      <c r="A1" s="39" t="inlineStr">
        <is>
          <t>Position (Beleg · Pos.)</t>
        </is>
      </c>
      <c r="B1" s="42" t="inlineStr">
        <is>
          <t>Leistungsbeschreibung</t>
        </is>
      </c>
      <c r="C1" s="40" t="inlineStr">
        <is>
          <t>Menge</t>
        </is>
      </c>
      <c r="D1" s="40" t="inlineStr">
        <is>
          <t>Einzelpreis</t>
        </is>
      </c>
      <c r="E1" s="40" t="inlineStr">
        <is>
          <t>Betrag</t>
        </is>
      </c>
      <c r="F1" s="39" t="inlineStr">
        <is>
          <t>Anlagen-Nr. laut Position</t>
        </is>
      </c>
      <c r="G1" s="43" t="inlineStr">
        <is>
          <t>Zeilen-ID</t>
        </is>
      </c>
    </row>
    <row r="2">
      <c r="A2" s="50" t="n"/>
      <c r="B2" s="44" t="n"/>
      <c r="C2" s="87" t="n"/>
      <c r="D2" s="85" t="n"/>
      <c r="E2" s="85" t="n"/>
      <c r="F2" s="44" t="n"/>
    </row>
    <row r="3">
      <c r="A3" s="50" t="n"/>
      <c r="B3" s="44" t="n"/>
      <c r="C3" s="87" t="n"/>
      <c r="D3" s="85" t="n"/>
      <c r="E3" s="85" t="n"/>
      <c r="F3" s="44" t="n"/>
    </row>
    <row r="4">
      <c r="A4" s="50" t="n"/>
      <c r="B4" s="44" t="n"/>
      <c r="C4" s="87" t="n"/>
      <c r="D4" s="85" t="n"/>
      <c r="E4" s="85" t="n"/>
      <c r="F4" s="44" t="n"/>
    </row>
    <row r="5">
      <c r="A5" s="50" t="n"/>
      <c r="B5" s="44" t="n"/>
      <c r="C5" s="87" t="n"/>
      <c r="D5" s="85" t="n"/>
      <c r="E5" s="85" t="n"/>
      <c r="F5" s="44" t="n"/>
    </row>
    <row r="6">
      <c r="A6" s="50" t="n"/>
      <c r="B6" s="44" t="n"/>
      <c r="C6" s="87" t="n"/>
      <c r="D6" s="85" t="n"/>
      <c r="E6" s="85" t="n"/>
      <c r="F6" s="44" t="n"/>
    </row>
    <row r="7">
      <c r="A7" s="50" t="n"/>
      <c r="B7" s="44" t="n"/>
      <c r="C7" s="87" t="n"/>
      <c r="D7" s="85" t="n"/>
      <c r="E7" s="85" t="n"/>
      <c r="F7" s="44" t="n"/>
    </row>
    <row r="8">
      <c r="A8" s="50" t="n"/>
      <c r="B8" s="44" t="n"/>
      <c r="C8" s="87" t="n"/>
      <c r="D8" s="85" t="n"/>
      <c r="E8" s="85" t="n"/>
      <c r="F8" s="44" t="n"/>
    </row>
    <row r="9">
      <c r="A9" s="50" t="n"/>
      <c r="B9" s="44" t="n"/>
      <c r="C9" s="87" t="n"/>
      <c r="D9" s="85" t="n"/>
      <c r="E9" s="85" t="n"/>
      <c r="F9" s="44" t="n"/>
    </row>
    <row r="10">
      <c r="A10" s="50" t="n"/>
      <c r="B10" s="44" t="n"/>
      <c r="C10" s="87" t="n"/>
      <c r="D10" s="85" t="n"/>
      <c r="E10" s="85" t="n"/>
      <c r="F10" s="44" t="n"/>
    </row>
    <row r="11">
      <c r="A11" s="50" t="n"/>
      <c r="B11" s="44" t="n"/>
      <c r="C11" s="87" t="n"/>
      <c r="D11" s="85" t="n"/>
      <c r="E11" s="85" t="n"/>
      <c r="F11" s="44" t="n"/>
    </row>
    <row r="12">
      <c r="A12" s="50" t="n"/>
      <c r="B12" s="44" t="n"/>
      <c r="C12" s="87" t="n"/>
      <c r="D12" s="85" t="n"/>
      <c r="E12" s="85" t="n"/>
      <c r="F12" s="44" t="n"/>
    </row>
    <row r="13">
      <c r="A13" s="50" t="n"/>
      <c r="B13" s="44" t="n"/>
      <c r="C13" s="87" t="n"/>
      <c r="D13" s="85" t="n"/>
      <c r="E13" s="85" t="n"/>
      <c r="F13" s="44" t="n"/>
    </row>
    <row r="14">
      <c r="A14" s="50" t="n"/>
      <c r="B14" s="44" t="n"/>
      <c r="C14" s="87" t="n"/>
      <c r="D14" s="85" t="n"/>
      <c r="E14" s="85" t="n"/>
      <c r="F14" s="44" t="n"/>
    </row>
    <row r="15">
      <c r="A15" s="50" t="n"/>
      <c r="B15" s="44" t="n"/>
      <c r="C15" s="87" t="n"/>
      <c r="D15" s="85" t="n"/>
      <c r="E15" s="85" t="n"/>
      <c r="F15" s="44" t="n"/>
    </row>
    <row r="16">
      <c r="A16" s="50" t="n"/>
      <c r="B16" s="44" t="n"/>
      <c r="C16" s="87" t="n"/>
      <c r="D16" s="85" t="n"/>
      <c r="E16" s="85" t="n"/>
      <c r="F16" s="44" t="n"/>
    </row>
    <row r="17">
      <c r="A17" s="50" t="n"/>
      <c r="B17" s="44" t="n"/>
      <c r="C17" s="87" t="n"/>
      <c r="D17" s="85" t="n"/>
      <c r="E17" s="85" t="n"/>
      <c r="F17" s="44" t="n"/>
    </row>
    <row r="18">
      <c r="A18" s="50" t="n"/>
      <c r="B18" s="44" t="n"/>
      <c r="C18" s="87" t="n"/>
      <c r="D18" s="85" t="n"/>
      <c r="E18" s="85" t="n"/>
      <c r="F18" s="44" t="n"/>
    </row>
    <row r="19">
      <c r="A19" s="50" t="n"/>
      <c r="B19" s="44" t="n"/>
      <c r="C19" s="87" t="n"/>
      <c r="D19" s="85" t="n"/>
      <c r="E19" s="85" t="n"/>
      <c r="F19" s="44" t="n"/>
    </row>
    <row r="20">
      <c r="A20" s="50" t="n"/>
      <c r="B20" s="44" t="n"/>
      <c r="C20" s="87" t="n"/>
      <c r="D20" s="85" t="n"/>
      <c r="E20" s="85" t="n"/>
      <c r="F20" s="44" t="n"/>
    </row>
    <row r="21">
      <c r="A21" s="50" t="n"/>
      <c r="B21" s="44" t="n"/>
      <c r="C21" s="87" t="n"/>
      <c r="D21" s="85" t="n"/>
      <c r="E21" s="85" t="n"/>
      <c r="F21" s="44" t="n"/>
    </row>
    <row r="22">
      <c r="A22" s="50" t="n"/>
      <c r="B22" s="44" t="n"/>
      <c r="C22" s="87" t="n"/>
      <c r="D22" s="85" t="n"/>
      <c r="E22" s="85" t="n"/>
      <c r="F22" s="44" t="n"/>
    </row>
    <row r="23">
      <c r="A23" s="50" t="n"/>
      <c r="B23" s="44" t="n"/>
      <c r="C23" s="87" t="n"/>
      <c r="D23" s="85" t="n"/>
      <c r="E23" s="85" t="n"/>
      <c r="F23" s="44" t="n"/>
    </row>
    <row r="24">
      <c r="A24" s="50" t="n"/>
      <c r="B24" s="44" t="n"/>
      <c r="C24" s="87" t="n"/>
      <c r="D24" s="85" t="n"/>
      <c r="E24" s="85" t="n"/>
      <c r="F24" s="44" t="n"/>
    </row>
    <row r="25">
      <c r="A25" s="50" t="n"/>
      <c r="B25" s="44" t="n"/>
      <c r="C25" s="87" t="n"/>
      <c r="D25" s="85" t="n"/>
      <c r="E25" s="85" t="n"/>
      <c r="F25" s="44" t="n"/>
    </row>
    <row r="26">
      <c r="A26" s="50" t="n"/>
      <c r="B26" s="44" t="n"/>
      <c r="C26" s="87" t="n"/>
      <c r="D26" s="85" t="n"/>
      <c r="E26" s="85" t="n"/>
      <c r="F26" s="44" t="n"/>
    </row>
    <row r="27">
      <c r="A27" s="50" t="n"/>
      <c r="B27" s="44" t="n"/>
      <c r="C27" s="87" t="n"/>
      <c r="D27" s="85" t="n"/>
      <c r="E27" s="85" t="n"/>
      <c r="F27" s="44" t="n"/>
    </row>
    <row r="28">
      <c r="A28" s="50" t="n"/>
      <c r="B28" s="44" t="n"/>
      <c r="C28" s="87" t="n"/>
      <c r="D28" s="85" t="n"/>
      <c r="E28" s="85" t="n"/>
      <c r="F28" s="44" t="n"/>
    </row>
    <row r="29">
      <c r="A29" s="50" t="n"/>
      <c r="B29" s="44" t="n"/>
      <c r="C29" s="87" t="n"/>
      <c r="D29" s="85" t="n"/>
      <c r="E29" s="85" t="n"/>
      <c r="F29" s="44" t="n"/>
    </row>
    <row r="30">
      <c r="A30" s="50" t="n"/>
      <c r="B30" s="44" t="n"/>
      <c r="C30" s="87" t="n"/>
      <c r="D30" s="85" t="n"/>
      <c r="E30" s="85" t="n"/>
      <c r="F30" s="44" t="n"/>
    </row>
    <row r="31">
      <c r="A31" s="50" t="n"/>
      <c r="B31" s="44" t="n"/>
      <c r="C31" s="87" t="n"/>
      <c r="D31" s="85" t="n"/>
      <c r="E31" s="85" t="n"/>
      <c r="F31" s="44" t="n"/>
    </row>
    <row r="32">
      <c r="A32" s="50" t="n"/>
      <c r="B32" s="44" t="n"/>
      <c r="C32" s="87" t="n"/>
      <c r="D32" s="85" t="n"/>
      <c r="E32" s="85" t="n"/>
      <c r="F32" s="44" t="n"/>
    </row>
    <row r="33">
      <c r="A33" s="50" t="n"/>
      <c r="B33" s="44" t="n"/>
      <c r="C33" s="87" t="n"/>
      <c r="D33" s="85" t="n"/>
      <c r="E33" s="85" t="n"/>
      <c r="F33" s="44" t="n"/>
    </row>
    <row r="34">
      <c r="A34" s="50" t="n"/>
      <c r="B34" s="44" t="n"/>
      <c r="C34" s="87" t="n"/>
      <c r="D34" s="85" t="n"/>
      <c r="E34" s="85" t="n"/>
      <c r="F34" s="44" t="n"/>
    </row>
    <row r="35">
      <c r="A35" s="50" t="n"/>
      <c r="B35" s="44" t="n"/>
      <c r="C35" s="87" t="n"/>
      <c r="D35" s="85" t="n"/>
      <c r="E35" s="85" t="n"/>
      <c r="F35" s="44" t="n"/>
    </row>
    <row r="36">
      <c r="A36" s="50" t="n"/>
      <c r="B36" s="44" t="n"/>
      <c r="C36" s="87" t="n"/>
      <c r="D36" s="85" t="n"/>
      <c r="E36" s="85" t="n"/>
      <c r="F36" s="44" t="n"/>
    </row>
    <row r="37">
      <c r="A37" s="50" t="n"/>
      <c r="B37" s="44" t="n"/>
      <c r="C37" s="87" t="n"/>
      <c r="D37" s="85" t="n"/>
      <c r="E37" s="85" t="n"/>
      <c r="F37" s="44" t="n"/>
    </row>
    <row r="38">
      <c r="A38" s="50" t="n"/>
      <c r="B38" s="44" t="n"/>
      <c r="C38" s="87" t="n"/>
      <c r="D38" s="85" t="n"/>
      <c r="E38" s="85" t="n"/>
      <c r="F38" s="44" t="n"/>
    </row>
    <row r="39">
      <c r="A39" s="50" t="n"/>
      <c r="B39" s="44" t="n"/>
      <c r="C39" s="87" t="n"/>
      <c r="D39" s="85" t="n"/>
      <c r="E39" s="85" t="n"/>
      <c r="F39" s="44" t="n"/>
    </row>
    <row r="40">
      <c r="A40" s="50" t="n"/>
      <c r="B40" s="44" t="n"/>
      <c r="C40" s="87" t="n"/>
      <c r="D40" s="85" t="n"/>
      <c r="E40" s="85" t="n"/>
      <c r="F40" s="44" t="n"/>
    </row>
    <row r="41">
      <c r="A41" s="50" t="n"/>
      <c r="B41" s="44" t="n"/>
      <c r="C41" s="87" t="n"/>
      <c r="D41" s="85" t="n"/>
      <c r="E41" s="85" t="n"/>
      <c r="F41" s="44" t="n"/>
    </row>
    <row r="42">
      <c r="A42" s="50" t="n"/>
      <c r="B42" s="44" t="n"/>
      <c r="C42" s="87" t="n"/>
      <c r="D42" s="85" t="n"/>
      <c r="E42" s="85" t="n"/>
      <c r="F42" s="44" t="n"/>
    </row>
    <row r="43">
      <c r="A43" s="50" t="n"/>
      <c r="B43" s="44" t="n"/>
      <c r="C43" s="87" t="n"/>
      <c r="D43" s="85" t="n"/>
      <c r="E43" s="85" t="n"/>
      <c r="F43" s="44" t="n"/>
    </row>
    <row r="44">
      <c r="A44" s="50" t="n"/>
      <c r="B44" s="44" t="n"/>
      <c r="C44" s="87" t="n"/>
      <c r="D44" s="85" t="n"/>
      <c r="E44" s="85" t="n"/>
      <c r="F44" s="44" t="n"/>
    </row>
    <row r="45">
      <c r="A45" s="50" t="n"/>
      <c r="B45" s="44" t="n"/>
      <c r="C45" s="87" t="n"/>
      <c r="D45" s="85" t="n"/>
      <c r="E45" s="85" t="n"/>
      <c r="F45" s="44" t="n"/>
    </row>
    <row r="46">
      <c r="A46" s="50" t="n"/>
      <c r="B46" s="44" t="n"/>
      <c r="C46" s="87" t="n"/>
      <c r="D46" s="85" t="n"/>
      <c r="E46" s="85" t="n"/>
      <c r="F46" s="44" t="n"/>
    </row>
    <row r="47">
      <c r="A47" s="50" t="n"/>
      <c r="B47" s="44" t="n"/>
      <c r="C47" s="87" t="n"/>
      <c r="D47" s="85" t="n"/>
      <c r="E47" s="85" t="n"/>
      <c r="F47" s="44" t="n"/>
    </row>
    <row r="48">
      <c r="A48" s="50" t="n"/>
      <c r="B48" s="44" t="n"/>
      <c r="C48" s="87" t="n"/>
      <c r="D48" s="85" t="n"/>
      <c r="E48" s="85" t="n"/>
      <c r="F48" s="44" t="n"/>
    </row>
    <row r="49">
      <c r="A49" s="50" t="n"/>
      <c r="B49" s="44" t="n"/>
      <c r="C49" s="87" t="n"/>
      <c r="D49" s="85" t="n"/>
      <c r="E49" s="85" t="n"/>
      <c r="F49" s="44" t="n"/>
    </row>
    <row r="50">
      <c r="A50" s="50" t="n"/>
      <c r="B50" s="44" t="n"/>
      <c r="C50" s="87" t="n"/>
      <c r="D50" s="85" t="n"/>
      <c r="E50" s="85" t="n"/>
      <c r="F50" s="44" t="n"/>
    </row>
    <row r="51">
      <c r="A51" s="50" t="n"/>
      <c r="B51" s="44" t="n"/>
      <c r="C51" s="87" t="n"/>
      <c r="D51" s="85" t="n"/>
      <c r="E51" s="85" t="n"/>
      <c r="F51" s="44" t="n"/>
    </row>
    <row r="52">
      <c r="A52" s="50" t="n"/>
      <c r="B52" s="44" t="n"/>
      <c r="C52" s="87" t="n"/>
      <c r="D52" s="85" t="n"/>
      <c r="E52" s="85" t="n"/>
      <c r="F52" s="44" t="n"/>
    </row>
    <row r="53">
      <c r="A53" s="50" t="n"/>
      <c r="B53" s="44" t="n"/>
      <c r="C53" s="87" t="n"/>
      <c r="D53" s="85" t="n"/>
      <c r="E53" s="85" t="n"/>
      <c r="F53" s="44" t="n"/>
    </row>
    <row r="54">
      <c r="A54" s="50" t="n"/>
      <c r="B54" s="44" t="n"/>
      <c r="C54" s="87" t="n"/>
      <c r="D54" s="85" t="n"/>
      <c r="E54" s="85" t="n"/>
      <c r="F54" s="44" t="n"/>
    </row>
    <row r="55">
      <c r="A55" s="50" t="n"/>
      <c r="B55" s="44" t="n"/>
      <c r="C55" s="87" t="n"/>
      <c r="D55" s="85" t="n"/>
      <c r="E55" s="85" t="n"/>
      <c r="F55" s="44" t="n"/>
    </row>
    <row r="56">
      <c r="A56" s="50" t="n"/>
      <c r="B56" s="44" t="n"/>
      <c r="C56" s="87" t="n"/>
      <c r="D56" s="85" t="n"/>
      <c r="E56" s="85" t="n"/>
      <c r="F56" s="44" t="n"/>
    </row>
    <row r="57">
      <c r="A57" s="50" t="n"/>
      <c r="B57" s="44" t="n"/>
      <c r="C57" s="87" t="n"/>
      <c r="D57" s="85" t="n"/>
      <c r="E57" s="85" t="n"/>
      <c r="F57" s="44" t="n"/>
    </row>
    <row r="58">
      <c r="A58" s="50" t="n"/>
      <c r="B58" s="44" t="n"/>
      <c r="C58" s="87" t="n"/>
      <c r="D58" s="85" t="n"/>
      <c r="E58" s="85" t="n"/>
      <c r="F58" s="44" t="n"/>
    </row>
    <row r="59">
      <c r="A59" s="50" t="n"/>
      <c r="B59" s="44" t="n"/>
      <c r="C59" s="87" t="n"/>
      <c r="D59" s="85" t="n"/>
      <c r="E59" s="85" t="n"/>
      <c r="F59" s="44" t="n"/>
    </row>
    <row r="60">
      <c r="A60" s="50" t="n"/>
      <c r="B60" s="44" t="n"/>
      <c r="C60" s="87" t="n"/>
      <c r="D60" s="85" t="n"/>
      <c r="E60" s="85" t="n"/>
      <c r="F60" s="44" t="n"/>
    </row>
    <row r="61">
      <c r="A61" s="50" t="n"/>
      <c r="B61" s="44" t="n"/>
      <c r="C61" s="87" t="n"/>
      <c r="D61" s="85" t="n"/>
      <c r="E61" s="85" t="n"/>
      <c r="F61" s="44" t="n"/>
    </row>
    <row r="62">
      <c r="A62" s="50" t="n"/>
      <c r="B62" s="44" t="n"/>
      <c r="C62" s="87" t="n"/>
      <c r="D62" s="85" t="n"/>
      <c r="E62" s="85" t="n"/>
      <c r="F62" s="44" t="n"/>
    </row>
    <row r="63">
      <c r="A63" s="50" t="n"/>
      <c r="B63" s="44" t="n"/>
      <c r="C63" s="87" t="n"/>
      <c r="D63" s="85" t="n"/>
      <c r="E63" s="85" t="n"/>
      <c r="F63" s="44" t="n"/>
    </row>
    <row r="64">
      <c r="A64" s="50" t="n"/>
      <c r="B64" s="44" t="n"/>
      <c r="C64" s="87" t="n"/>
      <c r="D64" s="85" t="n"/>
      <c r="E64" s="85" t="n"/>
      <c r="F64" s="44" t="n"/>
    </row>
    <row r="65">
      <c r="A65" s="50" t="n"/>
      <c r="B65" s="44" t="n"/>
      <c r="C65" s="87" t="n"/>
      <c r="D65" s="85" t="n"/>
      <c r="E65" s="85" t="n"/>
      <c r="F65" s="44" t="n"/>
    </row>
    <row r="66">
      <c r="A66" s="50" t="n"/>
      <c r="B66" s="44" t="n"/>
      <c r="C66" s="87" t="n"/>
      <c r="D66" s="85" t="n"/>
      <c r="E66" s="85" t="n"/>
      <c r="F66" s="44" t="n"/>
    </row>
    <row r="67">
      <c r="A67" s="50" t="n"/>
      <c r="B67" s="44" t="n"/>
      <c r="C67" s="87" t="n"/>
      <c r="D67" s="85" t="n"/>
      <c r="E67" s="85" t="n"/>
      <c r="F67" s="44" t="n"/>
    </row>
    <row r="68">
      <c r="A68" s="50" t="n"/>
      <c r="B68" s="44" t="n"/>
      <c r="C68" s="87" t="n"/>
      <c r="D68" s="85" t="n"/>
      <c r="E68" s="85" t="n"/>
      <c r="F68" s="44" t="n"/>
    </row>
    <row r="69">
      <c r="A69" s="50" t="n"/>
      <c r="B69" s="44" t="n"/>
      <c r="C69" s="87" t="n"/>
      <c r="D69" s="85" t="n"/>
      <c r="E69" s="85" t="n"/>
      <c r="F69" s="44" t="n"/>
    </row>
    <row r="70">
      <c r="A70" s="50" t="n"/>
      <c r="B70" s="44" t="n"/>
      <c r="C70" s="87" t="n"/>
      <c r="D70" s="85" t="n"/>
      <c r="E70" s="85" t="n"/>
      <c r="F70" s="44" t="n"/>
    </row>
    <row r="71">
      <c r="A71" s="50" t="n"/>
      <c r="B71" s="44" t="n"/>
      <c r="C71" s="87" t="n"/>
      <c r="D71" s="85" t="n"/>
      <c r="E71" s="85" t="n"/>
      <c r="F71" s="44" t="n"/>
    </row>
    <row r="72">
      <c r="A72" s="50" t="n"/>
      <c r="B72" s="44" t="n"/>
      <c r="C72" s="87" t="n"/>
      <c r="D72" s="85" t="n"/>
      <c r="E72" s="85" t="n"/>
      <c r="F72" s="44" t="n"/>
    </row>
    <row r="73">
      <c r="A73" s="50" t="n"/>
      <c r="B73" s="44" t="n"/>
      <c r="C73" s="87" t="n"/>
      <c r="D73" s="85" t="n"/>
      <c r="E73" s="85" t="n"/>
      <c r="F73" s="44" t="n"/>
    </row>
    <row r="74">
      <c r="A74" s="50" t="n"/>
      <c r="B74" s="44" t="n"/>
      <c r="C74" s="87" t="n"/>
      <c r="D74" s="85" t="n"/>
      <c r="E74" s="85" t="n"/>
      <c r="F74" s="44" t="n"/>
    </row>
    <row r="75">
      <c r="A75" s="50" t="n"/>
      <c r="B75" s="44" t="n"/>
      <c r="C75" s="87" t="n"/>
      <c r="D75" s="85" t="n"/>
      <c r="E75" s="85" t="n"/>
      <c r="F75" s="44" t="n"/>
    </row>
    <row r="76">
      <c r="A76" s="50" t="n"/>
      <c r="B76" s="44" t="n"/>
      <c r="C76" s="87" t="n"/>
      <c r="D76" s="85" t="n"/>
      <c r="E76" s="85" t="n"/>
      <c r="F76" s="44" t="n"/>
    </row>
    <row r="77">
      <c r="A77" s="50" t="n"/>
      <c r="B77" s="44" t="n"/>
      <c r="C77" s="87" t="n"/>
      <c r="D77" s="85" t="n"/>
      <c r="E77" s="85" t="n"/>
      <c r="F77" s="44" t="n"/>
    </row>
    <row r="78">
      <c r="A78" s="50" t="n"/>
      <c r="B78" s="44" t="n"/>
      <c r="C78" s="87" t="n"/>
      <c r="D78" s="85" t="n"/>
      <c r="E78" s="85" t="n"/>
      <c r="F78" s="44" t="n"/>
    </row>
    <row r="79">
      <c r="A79" s="50" t="n"/>
      <c r="B79" s="44" t="n"/>
      <c r="C79" s="87" t="n"/>
      <c r="D79" s="85" t="n"/>
      <c r="E79" s="85" t="n"/>
      <c r="F79" s="44" t="n"/>
    </row>
    <row r="80">
      <c r="A80" s="50" t="n"/>
      <c r="B80" s="44" t="n"/>
      <c r="C80" s="87" t="n"/>
      <c r="D80" s="85" t="n"/>
      <c r="E80" s="85" t="n"/>
      <c r="F80" s="44" t="n"/>
    </row>
    <row r="81">
      <c r="A81" s="50" t="n"/>
      <c r="B81" s="44" t="n"/>
      <c r="C81" s="87" t="n"/>
      <c r="D81" s="85" t="n"/>
      <c r="E81" s="85" t="n"/>
      <c r="F81" s="44" t="n"/>
    </row>
    <row r="82">
      <c r="A82" s="50" t="n"/>
      <c r="B82" s="44" t="n"/>
      <c r="C82" s="87" t="n"/>
      <c r="D82" s="85" t="n"/>
      <c r="E82" s="85" t="n"/>
      <c r="F82" s="44" t="n"/>
    </row>
    <row r="83">
      <c r="A83" s="50" t="n"/>
      <c r="B83" s="44" t="n"/>
      <c r="C83" s="87" t="n"/>
      <c r="D83" s="85" t="n"/>
      <c r="E83" s="85" t="n"/>
      <c r="F83" s="44" t="n"/>
    </row>
    <row r="84">
      <c r="A84" s="50" t="n"/>
      <c r="B84" s="44" t="n"/>
      <c r="C84" s="87" t="n"/>
      <c r="D84" s="85" t="n"/>
      <c r="E84" s="85" t="n"/>
      <c r="F84" s="44" t="n"/>
    </row>
    <row r="85">
      <c r="A85" s="50" t="n"/>
      <c r="B85" s="44" t="n"/>
      <c r="C85" s="87" t="n"/>
      <c r="D85" s="85" t="n"/>
      <c r="E85" s="85" t="n"/>
      <c r="F85" s="44" t="n"/>
    </row>
    <row r="86">
      <c r="A86" s="50" t="n"/>
      <c r="B86" s="44" t="n"/>
      <c r="C86" s="87" t="n"/>
      <c r="D86" s="85" t="n"/>
      <c r="E86" s="85" t="n"/>
      <c r="F86" s="44" t="n"/>
    </row>
    <row r="87">
      <c r="A87" s="50" t="n"/>
      <c r="B87" s="44" t="n"/>
      <c r="C87" s="87" t="n"/>
      <c r="D87" s="85" t="n"/>
      <c r="E87" s="85" t="n"/>
      <c r="F87" s="44" t="n"/>
    </row>
    <row r="88">
      <c r="A88" s="50" t="n"/>
      <c r="B88" s="44" t="n"/>
      <c r="C88" s="87" t="n"/>
      <c r="D88" s="85" t="n"/>
      <c r="E88" s="85" t="n"/>
      <c r="F88" s="44" t="n"/>
    </row>
    <row r="89">
      <c r="A89" s="50" t="n"/>
      <c r="B89" s="44" t="n"/>
      <c r="C89" s="87" t="n"/>
      <c r="D89" s="85" t="n"/>
      <c r="E89" s="85" t="n"/>
      <c r="F89" s="44" t="n"/>
    </row>
    <row r="90">
      <c r="A90" s="50" t="n"/>
      <c r="B90" s="44" t="n"/>
      <c r="C90" s="87" t="n"/>
      <c r="D90" s="85" t="n"/>
      <c r="E90" s="85" t="n"/>
      <c r="F90" s="44" t="n"/>
    </row>
    <row r="91">
      <c r="A91" s="50" t="n"/>
      <c r="B91" s="44" t="n"/>
      <c r="C91" s="87" t="n"/>
      <c r="D91" s="85" t="n"/>
      <c r="E91" s="85" t="n"/>
      <c r="F91" s="44" t="n"/>
    </row>
    <row r="92">
      <c r="A92" s="50" t="n"/>
      <c r="B92" s="44" t="n"/>
      <c r="C92" s="87" t="n"/>
      <c r="D92" s="85" t="n"/>
      <c r="E92" s="85" t="n"/>
      <c r="F92" s="44" t="n"/>
    </row>
    <row r="93">
      <c r="A93" s="50" t="n"/>
      <c r="B93" s="44" t="n"/>
      <c r="C93" s="87" t="n"/>
      <c r="D93" s="85" t="n"/>
      <c r="E93" s="85" t="n"/>
      <c r="F93" s="44" t="n"/>
    </row>
    <row r="94">
      <c r="A94" s="50" t="n"/>
      <c r="B94" s="44" t="n"/>
      <c r="C94" s="87" t="n"/>
      <c r="D94" s="85" t="n"/>
      <c r="E94" s="85" t="n"/>
      <c r="F94" s="44" t="n"/>
    </row>
    <row r="95">
      <c r="A95" s="50" t="n"/>
      <c r="B95" s="44" t="n"/>
      <c r="C95" s="87" t="n"/>
      <c r="D95" s="85" t="n"/>
      <c r="E95" s="85" t="n"/>
      <c r="F95" s="44" t="n"/>
    </row>
    <row r="96">
      <c r="A96" s="50" t="n"/>
      <c r="B96" s="44" t="n"/>
      <c r="C96" s="87" t="n"/>
      <c r="D96" s="85" t="n"/>
      <c r="E96" s="85" t="n"/>
      <c r="F96" s="44" t="n"/>
    </row>
    <row r="97">
      <c r="A97" s="50" t="n"/>
      <c r="B97" s="44" t="n"/>
      <c r="C97" s="87" t="n"/>
      <c r="D97" s="85" t="n"/>
      <c r="E97" s="85" t="n"/>
      <c r="F97" s="44" t="n"/>
    </row>
    <row r="98">
      <c r="A98" s="50" t="n"/>
      <c r="B98" s="44" t="n"/>
      <c r="C98" s="87" t="n"/>
      <c r="D98" s="85" t="n"/>
      <c r="E98" s="85" t="n"/>
      <c r="F98" s="44" t="n"/>
    </row>
    <row r="99">
      <c r="A99" s="50" t="n"/>
      <c r="B99" s="44" t="n"/>
      <c r="C99" s="87" t="n"/>
      <c r="D99" s="85" t="n"/>
      <c r="E99" s="85" t="n"/>
      <c r="F99" s="44" t="n"/>
    </row>
    <row r="100">
      <c r="A100" s="50" t="n"/>
      <c r="B100" s="44" t="n"/>
      <c r="C100" s="87" t="n"/>
      <c r="D100" s="85" t="n"/>
      <c r="E100" s="85" t="n"/>
      <c r="F100" s="44" t="n"/>
    </row>
    <row r="101">
      <c r="A101" s="50" t="n"/>
      <c r="B101" s="44" t="n"/>
      <c r="C101" s="87" t="n"/>
      <c r="D101" s="85" t="n"/>
      <c r="E101" s="85" t="n"/>
      <c r="F101" s="44" t="n"/>
    </row>
    <row r="102">
      <c r="A102" s="50" t="n"/>
      <c r="B102" s="44" t="n"/>
      <c r="C102" s="87" t="n"/>
      <c r="D102" s="85" t="n"/>
      <c r="E102" s="85" t="n"/>
      <c r="F102" s="44" t="n"/>
    </row>
    <row r="103">
      <c r="A103" s="50" t="n"/>
      <c r="B103" s="44" t="n"/>
      <c r="C103" s="87" t="n"/>
      <c r="D103" s="85" t="n"/>
      <c r="E103" s="85" t="n"/>
      <c r="F103" s="44" t="n"/>
    </row>
    <row r="104">
      <c r="A104" s="50" t="n"/>
      <c r="B104" s="44" t="n"/>
      <c r="C104" s="87" t="n"/>
      <c r="D104" s="85" t="n"/>
      <c r="E104" s="85" t="n"/>
      <c r="F104" s="44" t="n"/>
    </row>
    <row r="105">
      <c r="A105" s="50" t="n"/>
      <c r="B105" s="44" t="n"/>
      <c r="C105" s="87" t="n"/>
      <c r="D105" s="85" t="n"/>
      <c r="E105" s="85" t="n"/>
      <c r="F105" s="44" t="n"/>
    </row>
    <row r="106">
      <c r="A106" s="50" t="n"/>
      <c r="B106" s="44" t="n"/>
      <c r="C106" s="87" t="n"/>
      <c r="D106" s="85" t="n"/>
      <c r="E106" s="85" t="n"/>
      <c r="F106" s="44" t="n"/>
    </row>
    <row r="107">
      <c r="A107" s="50" t="n"/>
      <c r="B107" s="44" t="n"/>
      <c r="C107" s="87" t="n"/>
      <c r="D107" s="85" t="n"/>
      <c r="E107" s="85" t="n"/>
      <c r="F107" s="44" t="n"/>
    </row>
    <row r="108">
      <c r="A108" s="50" t="n"/>
      <c r="B108" s="44" t="n"/>
      <c r="C108" s="87" t="n"/>
      <c r="D108" s="85" t="n"/>
      <c r="E108" s="85" t="n"/>
      <c r="F108" s="44" t="n"/>
    </row>
    <row r="109">
      <c r="A109" s="50" t="n"/>
      <c r="B109" s="44" t="n"/>
      <c r="C109" s="87" t="n"/>
      <c r="D109" s="85" t="n"/>
      <c r="E109" s="85" t="n"/>
      <c r="F109" s="44" t="n"/>
    </row>
    <row r="110">
      <c r="A110" s="50" t="n"/>
      <c r="B110" s="44" t="n"/>
      <c r="C110" s="87" t="n"/>
      <c r="D110" s="85" t="n"/>
      <c r="E110" s="85" t="n"/>
      <c r="F110" s="44" t="n"/>
    </row>
    <row r="111">
      <c r="A111" s="50" t="n"/>
      <c r="B111" s="44" t="n"/>
      <c r="C111" s="87" t="n"/>
      <c r="D111" s="85" t="n"/>
      <c r="E111" s="85" t="n"/>
      <c r="F111" s="44" t="n"/>
    </row>
    <row r="112">
      <c r="A112" s="50" t="n"/>
      <c r="B112" s="44" t="n"/>
      <c r="C112" s="87" t="n"/>
      <c r="D112" s="85" t="n"/>
      <c r="E112" s="85" t="n"/>
      <c r="F112" s="44" t="n"/>
    </row>
    <row r="113">
      <c r="A113" s="50" t="n"/>
      <c r="B113" s="44" t="n"/>
      <c r="C113" s="87" t="n"/>
      <c r="D113" s="85" t="n"/>
      <c r="E113" s="85" t="n"/>
      <c r="F113" s="44" t="n"/>
    </row>
    <row r="114">
      <c r="A114" s="50" t="n"/>
      <c r="B114" s="44" t="n"/>
      <c r="C114" s="87" t="n"/>
      <c r="D114" s="85" t="n"/>
      <c r="E114" s="85" t="n"/>
      <c r="F114" s="44" t="n"/>
    </row>
    <row r="115">
      <c r="A115" s="50" t="n"/>
      <c r="B115" s="44" t="n"/>
      <c r="C115" s="87" t="n"/>
      <c r="D115" s="85" t="n"/>
      <c r="E115" s="85" t="n"/>
      <c r="F115" s="44" t="n"/>
    </row>
    <row r="116">
      <c r="A116" s="50" t="n"/>
      <c r="B116" s="44" t="n"/>
      <c r="C116" s="87" t="n"/>
      <c r="D116" s="85" t="n"/>
      <c r="E116" s="85" t="n"/>
      <c r="F116" s="44" t="n"/>
    </row>
    <row r="117">
      <c r="A117" s="50" t="n"/>
      <c r="B117" s="44" t="n"/>
      <c r="C117" s="87" t="n"/>
      <c r="D117" s="85" t="n"/>
      <c r="E117" s="85" t="n"/>
      <c r="F117" s="44" t="n"/>
    </row>
    <row r="118">
      <c r="A118" s="50" t="n"/>
      <c r="B118" s="44" t="n"/>
      <c r="C118" s="87" t="n"/>
      <c r="D118" s="85" t="n"/>
      <c r="E118" s="85" t="n"/>
      <c r="F118" s="44" t="n"/>
    </row>
    <row r="119">
      <c r="A119" s="50" t="n"/>
      <c r="B119" s="44" t="n"/>
      <c r="C119" s="87" t="n"/>
      <c r="D119" s="85" t="n"/>
      <c r="E119" s="85" t="n"/>
      <c r="F119" s="44" t="n"/>
    </row>
    <row r="120">
      <c r="A120" s="50" t="n"/>
      <c r="B120" s="44" t="n"/>
      <c r="C120" s="87" t="n"/>
      <c r="D120" s="85" t="n"/>
      <c r="E120" s="85" t="n"/>
      <c r="F120" s="44" t="n"/>
    </row>
    <row r="121">
      <c r="A121" s="50" t="n"/>
      <c r="B121" s="44" t="n"/>
      <c r="C121" s="87" t="n"/>
      <c r="D121" s="85" t="n"/>
      <c r="E121" s="85" t="n"/>
      <c r="F121" s="44" t="n"/>
    </row>
    <row r="122">
      <c r="A122" s="50" t="n"/>
      <c r="B122" s="44" t="n"/>
      <c r="C122" s="87" t="n"/>
      <c r="D122" s="85" t="n"/>
      <c r="E122" s="85" t="n"/>
      <c r="F122" s="44" t="n"/>
    </row>
    <row r="123">
      <c r="A123" s="50" t="n"/>
      <c r="B123" s="44" t="n"/>
      <c r="C123" s="87" t="n"/>
      <c r="D123" s="85" t="n"/>
      <c r="E123" s="85" t="n"/>
      <c r="F123" s="44" t="n"/>
    </row>
    <row r="124">
      <c r="A124" s="50" t="n"/>
      <c r="B124" s="44" t="n"/>
      <c r="C124" s="87" t="n"/>
      <c r="D124" s="85" t="n"/>
      <c r="E124" s="85" t="n"/>
      <c r="F124" s="44" t="n"/>
    </row>
    <row r="125">
      <c r="A125" s="50" t="n"/>
      <c r="B125" s="44" t="n"/>
      <c r="C125" s="87" t="n"/>
      <c r="D125" s="85" t="n"/>
      <c r="E125" s="85" t="n"/>
      <c r="F125" s="44" t="n"/>
    </row>
    <row r="126">
      <c r="A126" s="50" t="n"/>
      <c r="B126" s="44" t="n"/>
      <c r="C126" s="87" t="n"/>
      <c r="D126" s="85" t="n"/>
      <c r="E126" s="85" t="n"/>
      <c r="F126" s="44" t="n"/>
    </row>
    <row r="127">
      <c r="A127" s="50" t="n"/>
      <c r="B127" s="44" t="n"/>
      <c r="C127" s="87" t="n"/>
      <c r="D127" s="85" t="n"/>
      <c r="E127" s="85" t="n"/>
      <c r="F127" s="44" t="n"/>
    </row>
    <row r="128">
      <c r="A128" s="50" t="n"/>
      <c r="B128" s="44" t="n"/>
      <c r="C128" s="87" t="n"/>
      <c r="D128" s="85" t="n"/>
      <c r="E128" s="85" t="n"/>
      <c r="F128" s="44" t="n"/>
    </row>
    <row r="129">
      <c r="A129" s="50" t="n"/>
      <c r="B129" s="44" t="n"/>
      <c r="C129" s="87" t="n"/>
      <c r="D129" s="85" t="n"/>
      <c r="E129" s="85" t="n"/>
      <c r="F129" s="44" t="n"/>
    </row>
    <row r="130">
      <c r="A130" s="50" t="n"/>
      <c r="B130" s="44" t="n"/>
      <c r="C130" s="87" t="n"/>
      <c r="D130" s="85" t="n"/>
      <c r="E130" s="85" t="n"/>
      <c r="F130" s="44" t="n"/>
    </row>
    <row r="131">
      <c r="A131" s="50" t="n"/>
      <c r="B131" s="44" t="n"/>
      <c r="C131" s="87" t="n"/>
      <c r="D131" s="85" t="n"/>
      <c r="E131" s="85" t="n"/>
      <c r="F131" s="44" t="n"/>
    </row>
    <row r="132">
      <c r="A132" s="50" t="n"/>
      <c r="B132" s="44" t="n"/>
      <c r="C132" s="87" t="n"/>
      <c r="D132" s="85" t="n"/>
      <c r="E132" s="85" t="n"/>
      <c r="F132" s="44" t="n"/>
    </row>
    <row r="133">
      <c r="A133" s="50" t="n"/>
      <c r="B133" s="44" t="n"/>
      <c r="C133" s="87" t="n"/>
      <c r="D133" s="85" t="n"/>
      <c r="E133" s="85" t="n"/>
      <c r="F133" s="44" t="n"/>
    </row>
    <row r="134">
      <c r="A134" s="50" t="n"/>
      <c r="B134" s="44" t="n"/>
      <c r="C134" s="87" t="n"/>
      <c r="D134" s="85" t="n"/>
      <c r="E134" s="85" t="n"/>
      <c r="F134" s="44" t="n"/>
    </row>
    <row r="135">
      <c r="A135" s="50" t="n"/>
      <c r="B135" s="44" t="n"/>
      <c r="C135" s="87" t="n"/>
      <c r="D135" s="85" t="n"/>
      <c r="E135" s="85" t="n"/>
      <c r="F135" s="44" t="n"/>
    </row>
    <row r="136">
      <c r="A136" s="50" t="n"/>
      <c r="B136" s="44" t="n"/>
      <c r="C136" s="87" t="n"/>
      <c r="D136" s="85" t="n"/>
      <c r="E136" s="85" t="n"/>
      <c r="F136" s="44" t="n"/>
    </row>
    <row r="137">
      <c r="A137" s="50" t="n"/>
      <c r="B137" s="44" t="n"/>
      <c r="C137" s="87" t="n"/>
      <c r="D137" s="85" t="n"/>
      <c r="E137" s="85" t="n"/>
      <c r="F137" s="44" t="n"/>
    </row>
    <row r="138">
      <c r="A138" s="50" t="n"/>
      <c r="B138" s="44" t="n"/>
      <c r="C138" s="87" t="n"/>
      <c r="D138" s="85" t="n"/>
      <c r="E138" s="85" t="n"/>
      <c r="F138" s="44" t="n"/>
    </row>
    <row r="139">
      <c r="A139" s="50" t="n"/>
      <c r="B139" s="44" t="n"/>
      <c r="C139" s="87" t="n"/>
      <c r="D139" s="85" t="n"/>
      <c r="E139" s="85" t="n"/>
      <c r="F139" s="44" t="n"/>
    </row>
    <row r="140">
      <c r="A140" s="50" t="n"/>
      <c r="B140" s="44" t="n"/>
      <c r="C140" s="87" t="n"/>
      <c r="D140" s="85" t="n"/>
      <c r="E140" s="85" t="n"/>
      <c r="F140" s="44" t="n"/>
    </row>
    <row r="141">
      <c r="A141" s="50" t="n"/>
      <c r="B141" s="44" t="n"/>
      <c r="C141" s="87" t="n"/>
      <c r="D141" s="85" t="n"/>
      <c r="E141" s="85" t="n"/>
      <c r="F141" s="44" t="n"/>
    </row>
    <row r="142">
      <c r="A142" s="50" t="n"/>
      <c r="B142" s="44" t="n"/>
      <c r="C142" s="87" t="n"/>
      <c r="D142" s="85" t="n"/>
      <c r="E142" s="85" t="n"/>
      <c r="F142" s="44" t="n"/>
    </row>
    <row r="143">
      <c r="A143" s="50" t="n"/>
      <c r="B143" s="44" t="n"/>
      <c r="C143" s="87" t="n"/>
      <c r="D143" s="85" t="n"/>
      <c r="E143" s="85" t="n"/>
      <c r="F143" s="44" t="n"/>
    </row>
    <row r="144">
      <c r="A144" s="50" t="n"/>
      <c r="B144" s="44" t="n"/>
      <c r="C144" s="87" t="n"/>
      <c r="D144" s="85" t="n"/>
      <c r="E144" s="85" t="n"/>
      <c r="F144" s="44" t="n"/>
    </row>
    <row r="145">
      <c r="A145" s="50" t="n"/>
      <c r="B145" s="44" t="n"/>
      <c r="C145" s="87" t="n"/>
      <c r="D145" s="85" t="n"/>
      <c r="E145" s="85" t="n"/>
      <c r="F145" s="44" t="n"/>
    </row>
    <row r="146">
      <c r="A146" s="50" t="n"/>
      <c r="B146" s="44" t="n"/>
      <c r="C146" s="87" t="n"/>
      <c r="D146" s="85" t="n"/>
      <c r="E146" s="85" t="n"/>
      <c r="F146" s="44" t="n"/>
    </row>
    <row r="147">
      <c r="A147" s="50" t="n"/>
      <c r="B147" s="44" t="n"/>
      <c r="C147" s="87" t="n"/>
      <c r="D147" s="85" t="n"/>
      <c r="E147" s="85" t="n"/>
      <c r="F147" s="44" t="n"/>
    </row>
    <row r="148">
      <c r="A148" s="50" t="n"/>
      <c r="B148" s="44" t="n"/>
      <c r="C148" s="87" t="n"/>
      <c r="D148" s="85" t="n"/>
      <c r="E148" s="85" t="n"/>
      <c r="F148" s="44" t="n"/>
    </row>
    <row r="149">
      <c r="A149" s="50" t="n"/>
      <c r="B149" s="44" t="n"/>
      <c r="C149" s="87" t="n"/>
      <c r="D149" s="85" t="n"/>
      <c r="E149" s="85" t="n"/>
      <c r="F149" s="44" t="n"/>
    </row>
    <row r="150">
      <c r="A150" s="50" t="n"/>
      <c r="B150" s="44" t="n"/>
      <c r="C150" s="87" t="n"/>
      <c r="D150" s="85" t="n"/>
      <c r="E150" s="85" t="n"/>
      <c r="F150" s="44" t="n"/>
    </row>
    <row r="151">
      <c r="A151" s="50" t="n"/>
      <c r="B151" s="44" t="n"/>
      <c r="C151" s="87" t="n"/>
      <c r="D151" s="85" t="n"/>
      <c r="E151" s="85" t="n"/>
      <c r="F151" s="44" t="n"/>
    </row>
    <row r="152">
      <c r="A152" s="50" t="n"/>
      <c r="B152" s="44" t="n"/>
      <c r="C152" s="87" t="n"/>
      <c r="D152" s="85" t="n"/>
      <c r="E152" s="85" t="n"/>
      <c r="F152" s="44" t="n"/>
    </row>
    <row r="153">
      <c r="A153" s="50" t="n"/>
      <c r="B153" s="44" t="n"/>
      <c r="C153" s="87" t="n"/>
      <c r="D153" s="85" t="n"/>
      <c r="E153" s="85" t="n"/>
      <c r="F153" s="44" t="n"/>
    </row>
    <row r="154">
      <c r="A154" s="50" t="n"/>
      <c r="B154" s="44" t="n"/>
      <c r="C154" s="87" t="n"/>
      <c r="D154" s="85" t="n"/>
      <c r="E154" s="85" t="n"/>
      <c r="F154" s="44" t="n"/>
    </row>
    <row r="155">
      <c r="A155" s="50" t="n"/>
      <c r="B155" s="44" t="n"/>
      <c r="C155" s="87" t="n"/>
      <c r="D155" s="85" t="n"/>
      <c r="E155" s="85" t="n"/>
      <c r="F155" s="44" t="n"/>
    </row>
    <row r="156">
      <c r="A156" s="50" t="n"/>
      <c r="B156" s="44" t="n"/>
      <c r="C156" s="87" t="n"/>
      <c r="D156" s="85" t="n"/>
      <c r="E156" s="85" t="n"/>
      <c r="F156" s="44" t="n"/>
    </row>
    <row r="157">
      <c r="A157" s="50" t="n"/>
      <c r="B157" s="44" t="n"/>
      <c r="C157" s="87" t="n"/>
      <c r="D157" s="85" t="n"/>
      <c r="E157" s="85" t="n"/>
      <c r="F157" s="44" t="n"/>
    </row>
    <row r="158">
      <c r="A158" s="50" t="n"/>
      <c r="B158" s="44" t="n"/>
      <c r="C158" s="87" t="n"/>
      <c r="D158" s="85" t="n"/>
      <c r="E158" s="85" t="n"/>
      <c r="F158" s="44" t="n"/>
    </row>
    <row r="159">
      <c r="A159" s="50" t="n"/>
      <c r="B159" s="44" t="n"/>
      <c r="C159" s="87" t="n"/>
      <c r="D159" s="85" t="n"/>
      <c r="E159" s="85" t="n"/>
      <c r="F159" s="44" t="n"/>
    </row>
    <row r="160">
      <c r="A160" s="50" t="n"/>
      <c r="B160" s="44" t="n"/>
      <c r="C160" s="87" t="n"/>
      <c r="D160" s="85" t="n"/>
      <c r="E160" s="85" t="n"/>
      <c r="F160" s="44" t="n"/>
    </row>
    <row r="161">
      <c r="A161" s="50" t="n"/>
      <c r="B161" s="44" t="n"/>
      <c r="C161" s="87" t="n"/>
      <c r="D161" s="85" t="n"/>
      <c r="E161" s="85" t="n"/>
      <c r="F161" s="44" t="n"/>
    </row>
    <row r="162">
      <c r="A162" s="50" t="n"/>
      <c r="B162" s="44" t="n"/>
      <c r="C162" s="87" t="n"/>
      <c r="D162" s="85" t="n"/>
      <c r="E162" s="85" t="n"/>
      <c r="F162" s="44" t="n"/>
    </row>
    <row r="163">
      <c r="A163" s="50" t="n"/>
      <c r="B163" s="44" t="n"/>
      <c r="C163" s="87" t="n"/>
      <c r="D163" s="85" t="n"/>
      <c r="E163" s="85" t="n"/>
      <c r="F163" s="44" t="n"/>
    </row>
    <row r="164">
      <c r="A164" s="50" t="n"/>
      <c r="B164" s="44" t="n"/>
      <c r="C164" s="87" t="n"/>
      <c r="D164" s="85" t="n"/>
      <c r="E164" s="85" t="n"/>
      <c r="F164" s="44" t="n"/>
    </row>
    <row r="165">
      <c r="A165" s="50" t="n"/>
      <c r="B165" s="44" t="n"/>
      <c r="C165" s="87" t="n"/>
      <c r="D165" s="85" t="n"/>
      <c r="E165" s="85" t="n"/>
      <c r="F165" s="44" t="n"/>
    </row>
    <row r="166">
      <c r="A166" s="50" t="n"/>
      <c r="B166" s="44" t="n"/>
      <c r="C166" s="87" t="n"/>
      <c r="D166" s="85" t="n"/>
      <c r="E166" s="85" t="n"/>
      <c r="F166" s="44" t="n"/>
    </row>
    <row r="167">
      <c r="A167" s="50" t="n"/>
      <c r="B167" s="44" t="n"/>
      <c r="C167" s="87" t="n"/>
      <c r="D167" s="85" t="n"/>
      <c r="E167" s="85" t="n"/>
      <c r="F167" s="44" t="n"/>
    </row>
    <row r="168">
      <c r="A168" s="50" t="n"/>
      <c r="B168" s="44" t="n"/>
      <c r="C168" s="87" t="n"/>
      <c r="D168" s="85" t="n"/>
      <c r="E168" s="85" t="n"/>
      <c r="F168" s="44" t="n"/>
    </row>
    <row r="169">
      <c r="A169" s="50" t="n"/>
      <c r="B169" s="44" t="n"/>
      <c r="C169" s="87" t="n"/>
      <c r="D169" s="85" t="n"/>
      <c r="E169" s="85" t="n"/>
      <c r="F169" s="44" t="n"/>
    </row>
    <row r="170">
      <c r="A170" s="50" t="n"/>
      <c r="B170" s="44" t="n"/>
      <c r="C170" s="87" t="n"/>
      <c r="D170" s="85" t="n"/>
      <c r="E170" s="85" t="n"/>
      <c r="F170" s="44" t="n"/>
    </row>
    <row r="171">
      <c r="A171" s="50" t="n"/>
      <c r="B171" s="44" t="n"/>
      <c r="C171" s="87" t="n"/>
      <c r="D171" s="85" t="n"/>
      <c r="E171" s="85" t="n"/>
      <c r="F171" s="44" t="n"/>
    </row>
    <row r="172">
      <c r="A172" s="50" t="n"/>
      <c r="B172" s="44" t="n"/>
      <c r="C172" s="87" t="n"/>
      <c r="D172" s="85" t="n"/>
      <c r="E172" s="85" t="n"/>
      <c r="F172" s="44" t="n"/>
    </row>
    <row r="173">
      <c r="A173" s="50" t="n"/>
      <c r="B173" s="44" t="n"/>
      <c r="C173" s="87" t="n"/>
      <c r="D173" s="85" t="n"/>
      <c r="E173" s="85" t="n"/>
      <c r="F173" s="44" t="n"/>
    </row>
    <row r="174">
      <c r="A174" s="50" t="n"/>
      <c r="B174" s="44" t="n"/>
      <c r="C174" s="87" t="n"/>
      <c r="D174" s="85" t="n"/>
      <c r="E174" s="85" t="n"/>
      <c r="F174" s="44" t="n"/>
    </row>
    <row r="175">
      <c r="A175" s="50" t="n"/>
      <c r="B175" s="44" t="n"/>
      <c r="C175" s="87" t="n"/>
      <c r="D175" s="85" t="n"/>
      <c r="E175" s="85" t="n"/>
      <c r="F175" s="44" t="n"/>
    </row>
    <row r="176">
      <c r="A176" s="50" t="n"/>
      <c r="B176" s="44" t="n"/>
      <c r="C176" s="87" t="n"/>
      <c r="D176" s="85" t="n"/>
      <c r="E176" s="85" t="n"/>
      <c r="F176" s="44" t="n"/>
    </row>
    <row r="177">
      <c r="A177" s="50" t="n"/>
      <c r="B177" s="44" t="n"/>
      <c r="C177" s="87" t="n"/>
      <c r="D177" s="85" t="n"/>
      <c r="E177" s="85" t="n"/>
      <c r="F177" s="44" t="n"/>
    </row>
    <row r="178">
      <c r="A178" s="50" t="n"/>
      <c r="B178" s="44" t="n"/>
      <c r="C178" s="87" t="n"/>
      <c r="D178" s="85" t="n"/>
      <c r="E178" s="85" t="n"/>
      <c r="F178" s="44" t="n"/>
    </row>
    <row r="179">
      <c r="A179" s="50" t="n"/>
      <c r="B179" s="44" t="n"/>
      <c r="C179" s="87" t="n"/>
      <c r="D179" s="85" t="n"/>
      <c r="E179" s="85" t="n"/>
      <c r="F179" s="44" t="n"/>
    </row>
    <row r="180">
      <c r="A180" s="50" t="n"/>
      <c r="B180" s="44" t="n"/>
      <c r="C180" s="87" t="n"/>
      <c r="D180" s="85" t="n"/>
      <c r="E180" s="85" t="n"/>
      <c r="F180" s="44" t="n"/>
    </row>
    <row r="181">
      <c r="A181" s="50" t="n"/>
      <c r="B181" s="44" t="n"/>
      <c r="C181" s="87" t="n"/>
      <c r="D181" s="85" t="n"/>
      <c r="E181" s="85" t="n"/>
      <c r="F181" s="44" t="n"/>
    </row>
    <row r="182">
      <c r="A182" s="50" t="n"/>
      <c r="B182" s="44" t="n"/>
      <c r="C182" s="87" t="n"/>
      <c r="D182" s="85" t="n"/>
      <c r="E182" s="85" t="n"/>
      <c r="F182" s="44" t="n"/>
    </row>
    <row r="183">
      <c r="A183" s="50" t="n"/>
      <c r="B183" s="44" t="n"/>
      <c r="C183" s="87" t="n"/>
      <c r="D183" s="85" t="n"/>
      <c r="E183" s="85" t="n"/>
      <c r="F183" s="44" t="n"/>
    </row>
    <row r="184">
      <c r="A184" s="50" t="n"/>
      <c r="B184" s="44" t="n"/>
      <c r="C184" s="87" t="n"/>
      <c r="D184" s="85" t="n"/>
      <c r="E184" s="85" t="n"/>
      <c r="F184" s="44" t="n"/>
    </row>
    <row r="185">
      <c r="A185" s="50" t="n"/>
      <c r="B185" s="44" t="n"/>
      <c r="C185" s="87" t="n"/>
      <c r="D185" s="85" t="n"/>
      <c r="E185" s="85" t="n"/>
      <c r="F185" s="44" t="n"/>
    </row>
    <row r="186">
      <c r="A186" s="50" t="n"/>
      <c r="B186" s="44" t="n"/>
      <c r="C186" s="87" t="n"/>
      <c r="D186" s="85" t="n"/>
      <c r="E186" s="85" t="n"/>
      <c r="F186" s="44" t="n"/>
    </row>
    <row r="187">
      <c r="A187" s="50" t="n"/>
      <c r="B187" s="44" t="n"/>
      <c r="C187" s="87" t="n"/>
      <c r="D187" s="85" t="n"/>
      <c r="E187" s="85" t="n"/>
      <c r="F187" s="44" t="n"/>
    </row>
    <row r="188">
      <c r="A188" s="50" t="n"/>
      <c r="B188" s="44" t="n"/>
      <c r="C188" s="87" t="n"/>
      <c r="D188" s="85" t="n"/>
      <c r="E188" s="85" t="n"/>
      <c r="F188" s="44" t="n"/>
    </row>
    <row r="189">
      <c r="A189" s="50" t="n"/>
      <c r="B189" s="44" t="n"/>
      <c r="C189" s="87" t="n"/>
      <c r="D189" s="85" t="n"/>
      <c r="E189" s="85" t="n"/>
      <c r="F189" s="44" t="n"/>
    </row>
    <row r="190">
      <c r="A190" s="50" t="n"/>
      <c r="B190" s="44" t="n"/>
      <c r="C190" s="87" t="n"/>
      <c r="D190" s="85" t="n"/>
      <c r="E190" s="85" t="n"/>
      <c r="F190" s="44" t="n"/>
    </row>
    <row r="191">
      <c r="A191" s="50" t="n"/>
      <c r="B191" s="44" t="n"/>
      <c r="C191" s="87" t="n"/>
      <c r="D191" s="85" t="n"/>
      <c r="E191" s="85" t="n"/>
      <c r="F191" s="44" t="n"/>
    </row>
    <row r="192">
      <c r="A192" s="50" t="n"/>
      <c r="B192" s="44" t="n"/>
      <c r="C192" s="87" t="n"/>
      <c r="D192" s="85" t="n"/>
      <c r="E192" s="85" t="n"/>
      <c r="F192" s="44" t="n"/>
    </row>
    <row r="193">
      <c r="A193" s="50" t="n"/>
      <c r="B193" s="44" t="n"/>
      <c r="C193" s="87" t="n"/>
      <c r="D193" s="85" t="n"/>
      <c r="E193" s="85" t="n"/>
      <c r="F193" s="44" t="n"/>
    </row>
    <row r="194">
      <c r="A194" s="50" t="n"/>
      <c r="B194" s="44" t="n"/>
      <c r="C194" s="87" t="n"/>
      <c r="D194" s="85" t="n"/>
      <c r="E194" s="85" t="n"/>
      <c r="F194" s="44" t="n"/>
    </row>
    <row r="195">
      <c r="A195" s="50" t="n"/>
      <c r="B195" s="44" t="n"/>
      <c r="C195" s="87" t="n"/>
      <c r="D195" s="85" t="n"/>
      <c r="E195" s="85" t="n"/>
      <c r="F195" s="44" t="n"/>
    </row>
    <row r="196">
      <c r="A196" s="50" t="n"/>
      <c r="B196" s="44" t="n"/>
      <c r="C196" s="87" t="n"/>
      <c r="D196" s="85" t="n"/>
      <c r="E196" s="85" t="n"/>
      <c r="F196" s="44" t="n"/>
    </row>
    <row r="197">
      <c r="A197" s="50" t="n"/>
      <c r="B197" s="44" t="n"/>
      <c r="C197" s="87" t="n"/>
      <c r="D197" s="85" t="n"/>
      <c r="E197" s="85" t="n"/>
      <c r="F197" s="44" t="n"/>
    </row>
    <row r="198">
      <c r="A198" s="50" t="n"/>
      <c r="B198" s="44" t="n"/>
      <c r="C198" s="87" t="n"/>
      <c r="D198" s="85" t="n"/>
      <c r="E198" s="85" t="n"/>
      <c r="F198" s="44" t="n"/>
    </row>
    <row r="199">
      <c r="A199" s="50" t="n"/>
      <c r="B199" s="44" t="n"/>
      <c r="C199" s="87" t="n"/>
      <c r="D199" s="85" t="n"/>
      <c r="E199" s="85" t="n"/>
      <c r="F199" s="44" t="n"/>
    </row>
    <row r="200">
      <c r="A200" s="50" t="n"/>
      <c r="B200" s="44" t="n"/>
      <c r="C200" s="87" t="n"/>
      <c r="D200" s="85" t="n"/>
      <c r="E200" s="85" t="n"/>
      <c r="F200" s="44" t="n"/>
    </row>
    <row r="201">
      <c r="A201" s="50" t="n"/>
      <c r="B201" s="44" t="n"/>
      <c r="C201" s="87" t="n"/>
      <c r="D201" s="85" t="n"/>
      <c r="E201" s="85" t="n"/>
      <c r="F201" s="44" t="n"/>
    </row>
    <row r="202">
      <c r="A202" s="50" t="n"/>
      <c r="B202" s="44" t="n"/>
      <c r="C202" s="87" t="n"/>
      <c r="D202" s="85" t="n"/>
      <c r="E202" s="85" t="n"/>
      <c r="F202" s="44" t="n"/>
    </row>
    <row r="203">
      <c r="A203" s="50" t="n"/>
      <c r="B203" s="44" t="n"/>
      <c r="C203" s="87" t="n"/>
      <c r="D203" s="85" t="n"/>
      <c r="E203" s="85" t="n"/>
      <c r="F203" s="44" t="n"/>
    </row>
    <row r="204">
      <c r="A204" s="50" t="n"/>
      <c r="B204" s="44" t="n"/>
      <c r="C204" s="87" t="n"/>
      <c r="D204" s="85" t="n"/>
      <c r="E204" s="85" t="n"/>
      <c r="F204" s="44" t="n"/>
    </row>
    <row r="205">
      <c r="A205" s="50" t="n"/>
      <c r="B205" s="44" t="n"/>
      <c r="C205" s="87" t="n"/>
      <c r="D205" s="85" t="n"/>
      <c r="E205" s="85" t="n"/>
      <c r="F205" s="44" t="n"/>
    </row>
    <row r="206">
      <c r="A206" s="50" t="n"/>
      <c r="B206" s="44" t="n"/>
      <c r="C206" s="87" t="n"/>
      <c r="D206" s="85" t="n"/>
      <c r="E206" s="85" t="n"/>
      <c r="F206" s="44" t="n"/>
    </row>
    <row r="207">
      <c r="A207" s="50" t="n"/>
      <c r="B207" s="44" t="n"/>
      <c r="C207" s="87" t="n"/>
      <c r="D207" s="85" t="n"/>
      <c r="E207" s="85" t="n"/>
      <c r="F207" s="44" t="n"/>
    </row>
    <row r="208">
      <c r="A208" s="50" t="n"/>
      <c r="B208" s="44" t="n"/>
      <c r="C208" s="87" t="n"/>
      <c r="D208" s="85" t="n"/>
      <c r="E208" s="85" t="n"/>
      <c r="F208" s="44" t="n"/>
    </row>
    <row r="209">
      <c r="A209" s="50" t="n"/>
      <c r="B209" s="44" t="n"/>
      <c r="C209" s="87" t="n"/>
      <c r="D209" s="85" t="n"/>
      <c r="E209" s="85" t="n"/>
      <c r="F209" s="44" t="n"/>
    </row>
    <row r="210">
      <c r="A210" s="50" t="n"/>
      <c r="B210" s="44" t="n"/>
      <c r="C210" s="87" t="n"/>
      <c r="D210" s="85" t="n"/>
      <c r="E210" s="85" t="n"/>
      <c r="F210" s="44" t="n"/>
    </row>
    <row r="211">
      <c r="A211" s="50" t="n"/>
      <c r="B211" s="44" t="n"/>
      <c r="C211" s="87" t="n"/>
      <c r="D211" s="85" t="n"/>
      <c r="E211" s="85" t="n"/>
      <c r="F211" s="44" t="n"/>
    </row>
    <row r="212">
      <c r="A212" s="50" t="n"/>
      <c r="B212" s="44" t="n"/>
      <c r="C212" s="87" t="n"/>
      <c r="D212" s="85" t="n"/>
      <c r="E212" s="85" t="n"/>
      <c r="F212" s="44" t="n"/>
    </row>
    <row r="213">
      <c r="A213" s="50" t="n"/>
      <c r="B213" s="44" t="n"/>
      <c r="C213" s="87" t="n"/>
      <c r="D213" s="85" t="n"/>
      <c r="E213" s="85" t="n"/>
      <c r="F213" s="44" t="n"/>
    </row>
    <row r="214">
      <c r="A214" s="50" t="n"/>
      <c r="B214" s="44" t="n"/>
      <c r="C214" s="87" t="n"/>
      <c r="D214" s="85" t="n"/>
      <c r="E214" s="85" t="n"/>
      <c r="F214" s="44" t="n"/>
    </row>
    <row r="215">
      <c r="A215" s="50" t="n"/>
      <c r="B215" s="44" t="n"/>
      <c r="C215" s="87" t="n"/>
      <c r="D215" s="85" t="n"/>
      <c r="E215" s="85" t="n"/>
      <c r="F215" s="44" t="n"/>
    </row>
    <row r="216">
      <c r="A216" s="50" t="n"/>
      <c r="B216" s="44" t="n"/>
      <c r="C216" s="87" t="n"/>
      <c r="D216" s="85" t="n"/>
      <c r="E216" s="85" t="n"/>
      <c r="F216" s="44" t="n"/>
    </row>
    <row r="217">
      <c r="A217" s="50" t="n"/>
      <c r="B217" s="44" t="n"/>
      <c r="C217" s="87" t="n"/>
      <c r="D217" s="85" t="n"/>
      <c r="E217" s="85" t="n"/>
      <c r="F217" s="44" t="n"/>
    </row>
    <row r="218">
      <c r="A218" s="50" t="n"/>
      <c r="B218" s="44" t="n"/>
      <c r="C218" s="87" t="n"/>
      <c r="D218" s="85" t="n"/>
      <c r="E218" s="85" t="n"/>
      <c r="F218" s="44" t="n"/>
    </row>
    <row r="219">
      <c r="A219" s="50" t="n"/>
      <c r="B219" s="44" t="n"/>
      <c r="C219" s="87" t="n"/>
      <c r="D219" s="85" t="n"/>
      <c r="E219" s="85" t="n"/>
      <c r="F219" s="44" t="n"/>
    </row>
    <row r="220">
      <c r="A220" s="50" t="n"/>
      <c r="B220" s="44" t="n"/>
      <c r="C220" s="87" t="n"/>
      <c r="D220" s="85" t="n"/>
      <c r="E220" s="85" t="n"/>
      <c r="F220" s="44" t="n"/>
    </row>
    <row r="221">
      <c r="A221" s="50" t="n"/>
      <c r="B221" s="44" t="n"/>
      <c r="C221" s="87" t="n"/>
      <c r="D221" s="85" t="n"/>
      <c r="E221" s="85" t="n"/>
      <c r="F221" s="44" t="n"/>
    </row>
    <row r="222">
      <c r="A222" s="50" t="n"/>
      <c r="B222" s="44" t="n"/>
      <c r="C222" s="87" t="n"/>
      <c r="D222" s="85" t="n"/>
      <c r="E222" s="85" t="n"/>
      <c r="F222" s="44" t="n"/>
    </row>
    <row r="223">
      <c r="A223" s="50" t="n"/>
      <c r="B223" s="44" t="n"/>
      <c r="C223" s="87" t="n"/>
      <c r="D223" s="85" t="n"/>
      <c r="E223" s="85" t="n"/>
      <c r="F223" s="44" t="n"/>
    </row>
    <row r="224">
      <c r="A224" s="50" t="n"/>
      <c r="B224" s="44" t="n"/>
      <c r="C224" s="87" t="n"/>
      <c r="D224" s="85" t="n"/>
      <c r="E224" s="85" t="n"/>
      <c r="F224" s="44" t="n"/>
    </row>
    <row r="225">
      <c r="A225" s="50" t="n"/>
      <c r="B225" s="44" t="n"/>
      <c r="C225" s="87" t="n"/>
      <c r="D225" s="85" t="n"/>
      <c r="E225" s="85" t="n"/>
      <c r="F225" s="44" t="n"/>
    </row>
    <row r="226">
      <c r="A226" s="50" t="n"/>
      <c r="B226" s="44" t="n"/>
      <c r="C226" s="87" t="n"/>
      <c r="D226" s="85" t="n"/>
      <c r="E226" s="85" t="n"/>
      <c r="F226" s="44" t="n"/>
    </row>
    <row r="227">
      <c r="A227" s="50" t="n"/>
      <c r="B227" s="44" t="n"/>
      <c r="C227" s="87" t="n"/>
      <c r="D227" s="85" t="n"/>
      <c r="E227" s="85" t="n"/>
      <c r="F227" s="44" t="n"/>
    </row>
    <row r="228">
      <c r="A228" s="50" t="n"/>
      <c r="B228" s="44" t="n"/>
      <c r="C228" s="87" t="n"/>
      <c r="D228" s="85" t="n"/>
      <c r="E228" s="85" t="n"/>
      <c r="F228" s="44" t="n"/>
    </row>
    <row r="229">
      <c r="A229" s="50" t="n"/>
      <c r="B229" s="44" t="n"/>
      <c r="C229" s="87" t="n"/>
      <c r="D229" s="85" t="n"/>
      <c r="E229" s="85" t="n"/>
      <c r="F229" s="44" t="n"/>
    </row>
    <row r="230">
      <c r="A230" s="50" t="n"/>
      <c r="B230" s="44" t="n"/>
      <c r="C230" s="87" t="n"/>
      <c r="D230" s="85" t="n"/>
      <c r="E230" s="85" t="n"/>
      <c r="F230" s="44" t="n"/>
    </row>
    <row r="231">
      <c r="A231" s="50" t="n"/>
      <c r="B231" s="44" t="n"/>
      <c r="C231" s="87" t="n"/>
      <c r="D231" s="85" t="n"/>
      <c r="E231" s="85" t="n"/>
      <c r="F231" s="44" t="n"/>
    </row>
    <row r="232">
      <c r="A232" s="50" t="n"/>
      <c r="B232" s="44" t="n"/>
      <c r="C232" s="87" t="n"/>
      <c r="D232" s="85" t="n"/>
      <c r="E232" s="85" t="n"/>
      <c r="F232" s="44" t="n"/>
    </row>
    <row r="233">
      <c r="A233" s="50" t="n"/>
      <c r="B233" s="44" t="n"/>
      <c r="C233" s="87" t="n"/>
      <c r="D233" s="85" t="n"/>
      <c r="E233" s="85" t="n"/>
      <c r="F233" s="44" t="n"/>
    </row>
    <row r="234">
      <c r="A234" s="50" t="n"/>
      <c r="B234" s="44" t="n"/>
      <c r="C234" s="87" t="n"/>
      <c r="D234" s="85" t="n"/>
      <c r="E234" s="85" t="n"/>
      <c r="F234" s="44" t="n"/>
    </row>
    <row r="235">
      <c r="A235" s="50" t="n"/>
      <c r="B235" s="44" t="n"/>
      <c r="C235" s="87" t="n"/>
      <c r="D235" s="85" t="n"/>
      <c r="E235" s="85" t="n"/>
      <c r="F235" s="44" t="n"/>
    </row>
    <row r="236">
      <c r="A236" s="50" t="n"/>
      <c r="B236" s="44" t="n"/>
      <c r="C236" s="87" t="n"/>
      <c r="D236" s="85" t="n"/>
      <c r="E236" s="85" t="n"/>
      <c r="F236" s="44" t="n"/>
    </row>
    <row r="237">
      <c r="A237" s="50" t="n"/>
      <c r="B237" s="44" t="n"/>
      <c r="C237" s="87" t="n"/>
      <c r="D237" s="85" t="n"/>
      <c r="E237" s="85" t="n"/>
      <c r="F237" s="44" t="n"/>
    </row>
    <row r="238">
      <c r="A238" s="50" t="n"/>
      <c r="B238" s="44" t="n"/>
      <c r="C238" s="87" t="n"/>
      <c r="D238" s="85" t="n"/>
      <c r="E238" s="85" t="n"/>
      <c r="F238" s="44" t="n"/>
    </row>
    <row r="239">
      <c r="A239" s="50" t="n"/>
      <c r="B239" s="44" t="n"/>
      <c r="C239" s="87" t="n"/>
      <c r="D239" s="85" t="n"/>
      <c r="E239" s="85" t="n"/>
      <c r="F239" s="44" t="n"/>
    </row>
    <row r="240">
      <c r="A240" s="50" t="n"/>
      <c r="B240" s="44" t="n"/>
      <c r="C240" s="87" t="n"/>
      <c r="D240" s="85" t="n"/>
      <c r="E240" s="85" t="n"/>
      <c r="F240" s="44" t="n"/>
    </row>
    <row r="241">
      <c r="A241" s="50" t="n"/>
      <c r="B241" s="44" t="n"/>
      <c r="C241" s="87" t="n"/>
      <c r="D241" s="85" t="n"/>
      <c r="E241" s="85" t="n"/>
      <c r="F241" s="44" t="n"/>
    </row>
    <row r="242">
      <c r="A242" s="50" t="n"/>
      <c r="B242" s="44" t="n"/>
      <c r="C242" s="87" t="n"/>
      <c r="D242" s="85" t="n"/>
      <c r="E242" s="85" t="n"/>
      <c r="F242" s="44" t="n"/>
    </row>
    <row r="243">
      <c r="A243" s="50" t="n"/>
      <c r="B243" s="44" t="n"/>
      <c r="C243" s="87" t="n"/>
      <c r="D243" s="85" t="n"/>
      <c r="E243" s="85" t="n"/>
      <c r="F243" s="44" t="n"/>
    </row>
    <row r="244">
      <c r="A244" s="50" t="n"/>
      <c r="B244" s="44" t="n"/>
      <c r="C244" s="87" t="n"/>
      <c r="D244" s="85" t="n"/>
      <c r="E244" s="85" t="n"/>
      <c r="F244" s="44" t="n"/>
    </row>
    <row r="245">
      <c r="A245" s="50" t="n"/>
      <c r="B245" s="44" t="n"/>
      <c r="C245" s="87" t="n"/>
      <c r="D245" s="85" t="n"/>
      <c r="E245" s="85" t="n"/>
      <c r="F245" s="44" t="n"/>
    </row>
    <row r="246">
      <c r="A246" s="50" t="n"/>
      <c r="B246" s="44" t="n"/>
      <c r="C246" s="87" t="n"/>
      <c r="D246" s="85" t="n"/>
      <c r="E246" s="85" t="n"/>
      <c r="F246" s="44" t="n"/>
    </row>
    <row r="247">
      <c r="A247" s="50" t="n"/>
      <c r="B247" s="44" t="n"/>
      <c r="C247" s="87" t="n"/>
      <c r="D247" s="85" t="n"/>
      <c r="E247" s="85" t="n"/>
      <c r="F247" s="44" t="n"/>
    </row>
    <row r="248">
      <c r="A248" s="50" t="n"/>
      <c r="B248" s="44" t="n"/>
      <c r="C248" s="87" t="n"/>
      <c r="D248" s="85" t="n"/>
      <c r="E248" s="85" t="n"/>
      <c r="F248" s="44" t="n"/>
    </row>
    <row r="249">
      <c r="A249" s="50" t="n"/>
      <c r="B249" s="44" t="n"/>
      <c r="C249" s="87" t="n"/>
      <c r="D249" s="85" t="n"/>
      <c r="E249" s="85" t="n"/>
      <c r="F249" s="44" t="n"/>
    </row>
    <row r="250">
      <c r="A250" s="50" t="n"/>
      <c r="B250" s="44" t="n"/>
      <c r="C250" s="87" t="n"/>
      <c r="D250" s="85" t="n"/>
      <c r="E250" s="85" t="n"/>
      <c r="F250" s="44" t="n"/>
    </row>
    <row r="251">
      <c r="A251" s="50" t="n"/>
      <c r="B251" s="44" t="n"/>
      <c r="C251" s="87" t="n"/>
      <c r="D251" s="85" t="n"/>
      <c r="E251" s="85" t="n"/>
      <c r="F251" s="44" t="n"/>
    </row>
    <row r="252">
      <c r="A252" s="50" t="n"/>
      <c r="B252" s="44" t="n"/>
      <c r="C252" s="87" t="n"/>
      <c r="D252" s="85" t="n"/>
      <c r="E252" s="85" t="n"/>
      <c r="F252" s="44" t="n"/>
    </row>
    <row r="253">
      <c r="A253" s="50" t="n"/>
      <c r="B253" s="44" t="n"/>
      <c r="C253" s="87" t="n"/>
      <c r="D253" s="85" t="n"/>
      <c r="E253" s="85" t="n"/>
      <c r="F253" s="44" t="n"/>
    </row>
    <row r="254">
      <c r="A254" s="50" t="n"/>
      <c r="B254" s="44" t="n"/>
      <c r="C254" s="87" t="n"/>
      <c r="D254" s="85" t="n"/>
      <c r="E254" s="85" t="n"/>
      <c r="F254" s="44" t="n"/>
    </row>
    <row r="255">
      <c r="A255" s="50" t="n"/>
      <c r="B255" s="44" t="n"/>
      <c r="C255" s="87" t="n"/>
      <c r="D255" s="85" t="n"/>
      <c r="E255" s="85" t="n"/>
      <c r="F255" s="44" t="n"/>
    </row>
    <row r="256">
      <c r="A256" s="50" t="n"/>
      <c r="B256" s="44" t="n"/>
      <c r="C256" s="87" t="n"/>
      <c r="D256" s="85" t="n"/>
      <c r="E256" s="85" t="n"/>
      <c r="F256" s="44" t="n"/>
    </row>
    <row r="257">
      <c r="A257" s="50" t="n"/>
      <c r="B257" s="44" t="n"/>
      <c r="C257" s="87" t="n"/>
      <c r="D257" s="85" t="n"/>
      <c r="E257" s="85" t="n"/>
      <c r="F257" s="44" t="n"/>
    </row>
    <row r="258">
      <c r="A258" s="50" t="n"/>
      <c r="B258" s="44" t="n"/>
      <c r="C258" s="87" t="n"/>
      <c r="D258" s="85" t="n"/>
      <c r="E258" s="85" t="n"/>
      <c r="F258" s="44" t="n"/>
    </row>
    <row r="259">
      <c r="A259" s="50" t="n"/>
      <c r="B259" s="44" t="n"/>
      <c r="C259" s="87" t="n"/>
      <c r="D259" s="85" t="n"/>
      <c r="E259" s="85" t="n"/>
      <c r="F259" s="44" t="n"/>
    </row>
    <row r="260">
      <c r="A260" s="50" t="n"/>
      <c r="B260" s="44" t="n"/>
      <c r="C260" s="87" t="n"/>
      <c r="D260" s="85" t="n"/>
      <c r="E260" s="85" t="n"/>
      <c r="F260" s="44" t="n"/>
    </row>
    <row r="261">
      <c r="A261" s="50" t="n"/>
      <c r="B261" s="44" t="n"/>
      <c r="C261" s="87" t="n"/>
      <c r="D261" s="85" t="n"/>
      <c r="E261" s="85" t="n"/>
      <c r="F261" s="44" t="n"/>
    </row>
    <row r="262">
      <c r="A262" s="50" t="n"/>
      <c r="B262" s="44" t="n"/>
      <c r="C262" s="87" t="n"/>
      <c r="D262" s="85" t="n"/>
      <c r="E262" s="85" t="n"/>
      <c r="F262" s="44" t="n"/>
    </row>
    <row r="263">
      <c r="A263" s="50" t="n"/>
      <c r="B263" s="44" t="n"/>
      <c r="C263" s="87" t="n"/>
      <c r="D263" s="85" t="n"/>
      <c r="E263" s="85" t="n"/>
      <c r="F263" s="44" t="n"/>
    </row>
    <row r="264">
      <c r="A264" s="50" t="n"/>
      <c r="B264" s="44" t="n"/>
      <c r="C264" s="87" t="n"/>
      <c r="D264" s="85" t="n"/>
      <c r="E264" s="85" t="n"/>
      <c r="F264" s="44" t="n"/>
    </row>
    <row r="265">
      <c r="A265" s="50" t="n"/>
      <c r="B265" s="44" t="n"/>
      <c r="C265" s="87" t="n"/>
      <c r="D265" s="85" t="n"/>
      <c r="E265" s="85" t="n"/>
      <c r="F265" s="44" t="n"/>
    </row>
    <row r="266">
      <c r="A266" s="50" t="n"/>
      <c r="B266" s="44" t="n"/>
      <c r="C266" s="87" t="n"/>
      <c r="D266" s="85" t="n"/>
      <c r="E266" s="85" t="n"/>
      <c r="F266" s="44" t="n"/>
    </row>
    <row r="267">
      <c r="A267" s="50" t="n"/>
      <c r="B267" s="44" t="n"/>
      <c r="C267" s="87" t="n"/>
      <c r="D267" s="85" t="n"/>
      <c r="E267" s="85" t="n"/>
      <c r="F267" s="44" t="n"/>
    </row>
    <row r="268">
      <c r="A268" s="50" t="n"/>
      <c r="B268" s="44" t="n"/>
      <c r="C268" s="87" t="n"/>
      <c r="D268" s="85" t="n"/>
      <c r="E268" s="85" t="n"/>
      <c r="F268" s="44" t="n"/>
    </row>
    <row r="269">
      <c r="A269" s="50" t="n"/>
      <c r="B269" s="44" t="n"/>
      <c r="C269" s="87" t="n"/>
      <c r="D269" s="85" t="n"/>
      <c r="E269" s="85" t="n"/>
      <c r="F269" s="44" t="n"/>
    </row>
    <row r="270">
      <c r="A270" s="50" t="n"/>
      <c r="B270" s="44" t="n"/>
      <c r="C270" s="87" t="n"/>
      <c r="D270" s="85" t="n"/>
      <c r="E270" s="85" t="n"/>
      <c r="F270" s="44" t="n"/>
    </row>
    <row r="271">
      <c r="A271" s="50" t="n"/>
      <c r="B271" s="44" t="n"/>
      <c r="C271" s="87" t="n"/>
      <c r="D271" s="85" t="n"/>
      <c r="E271" s="85" t="n"/>
      <c r="F271" s="44" t="n"/>
    </row>
    <row r="272">
      <c r="A272" s="50" t="n"/>
      <c r="B272" s="44" t="n"/>
      <c r="C272" s="87" t="n"/>
      <c r="D272" s="85" t="n"/>
      <c r="E272" s="85" t="n"/>
      <c r="F272" s="44" t="n"/>
    </row>
    <row r="273">
      <c r="A273" s="50" t="n"/>
      <c r="B273" s="44" t="n"/>
      <c r="C273" s="87" t="n"/>
      <c r="D273" s="85" t="n"/>
      <c r="E273" s="85" t="n"/>
      <c r="F273" s="44" t="n"/>
    </row>
    <row r="274">
      <c r="A274" s="50" t="n"/>
      <c r="B274" s="44" t="n"/>
      <c r="C274" s="87" t="n"/>
      <c r="D274" s="85" t="n"/>
      <c r="E274" s="85" t="n"/>
      <c r="F274" s="44" t="n"/>
    </row>
    <row r="275">
      <c r="A275" s="50" t="n"/>
      <c r="B275" s="44" t="n"/>
      <c r="C275" s="87" t="n"/>
      <c r="D275" s="85" t="n"/>
      <c r="E275" s="85" t="n"/>
      <c r="F275" s="44" t="n"/>
    </row>
    <row r="276">
      <c r="A276" s="50" t="n"/>
      <c r="B276" s="44" t="n"/>
      <c r="C276" s="87" t="n"/>
      <c r="D276" s="85" t="n"/>
      <c r="E276" s="85" t="n"/>
      <c r="F276" s="44" t="n"/>
    </row>
    <row r="277">
      <c r="A277" s="50" t="n"/>
      <c r="B277" s="44" t="n"/>
      <c r="C277" s="87" t="n"/>
      <c r="D277" s="85" t="n"/>
      <c r="E277" s="85" t="n"/>
      <c r="F277" s="44" t="n"/>
    </row>
    <row r="278">
      <c r="A278" s="50" t="n"/>
      <c r="B278" s="44" t="n"/>
      <c r="C278" s="87" t="n"/>
      <c r="D278" s="85" t="n"/>
      <c r="E278" s="85" t="n"/>
      <c r="F278" s="44" t="n"/>
    </row>
    <row r="279">
      <c r="A279" s="50" t="n"/>
      <c r="B279" s="44" t="n"/>
      <c r="C279" s="87" t="n"/>
      <c r="D279" s="85" t="n"/>
      <c r="E279" s="85" t="n"/>
      <c r="F279" s="44" t="n"/>
    </row>
    <row r="280">
      <c r="A280" s="50" t="n"/>
      <c r="B280" s="44" t="n"/>
      <c r="C280" s="87" t="n"/>
      <c r="D280" s="85" t="n"/>
      <c r="E280" s="85" t="n"/>
      <c r="F280" s="44" t="n"/>
    </row>
    <row r="281">
      <c r="A281" s="50" t="n"/>
      <c r="B281" s="44" t="n"/>
      <c r="C281" s="87" t="n"/>
      <c r="D281" s="85" t="n"/>
      <c r="E281" s="85" t="n"/>
      <c r="F281" s="44" t="n"/>
    </row>
    <row r="282">
      <c r="A282" s="50" t="n"/>
      <c r="B282" s="44" t="n"/>
      <c r="C282" s="87" t="n"/>
      <c r="D282" s="85" t="n"/>
      <c r="E282" s="85" t="n"/>
      <c r="F282" s="44" t="n"/>
    </row>
    <row r="283">
      <c r="A283" s="50" t="n"/>
      <c r="B283" s="44" t="n"/>
      <c r="C283" s="87" t="n"/>
      <c r="D283" s="85" t="n"/>
      <c r="E283" s="85" t="n"/>
      <c r="F283" s="44" t="n"/>
    </row>
    <row r="284">
      <c r="A284" s="50" t="n"/>
      <c r="B284" s="44" t="n"/>
      <c r="C284" s="87" t="n"/>
      <c r="D284" s="85" t="n"/>
      <c r="E284" s="85" t="n"/>
      <c r="F284" s="44" t="n"/>
    </row>
    <row r="285">
      <c r="A285" s="50" t="n"/>
      <c r="B285" s="44" t="n"/>
      <c r="C285" s="87" t="n"/>
      <c r="D285" s="85" t="n"/>
      <c r="E285" s="85" t="n"/>
      <c r="F285" s="44" t="n"/>
    </row>
    <row r="286">
      <c r="A286" s="50" t="n"/>
      <c r="B286" s="44" t="n"/>
      <c r="C286" s="87" t="n"/>
      <c r="D286" s="85" t="n"/>
      <c r="E286" s="85" t="n"/>
      <c r="F286" s="44" t="n"/>
    </row>
    <row r="287">
      <c r="A287" s="50" t="n"/>
      <c r="B287" s="44" t="n"/>
      <c r="C287" s="87" t="n"/>
      <c r="D287" s="85" t="n"/>
      <c r="E287" s="85" t="n"/>
      <c r="F287" s="44" t="n"/>
    </row>
    <row r="288">
      <c r="A288" s="50" t="n"/>
      <c r="B288" s="44" t="n"/>
      <c r="C288" s="87" t="n"/>
      <c r="D288" s="85" t="n"/>
      <c r="E288" s="85" t="n"/>
      <c r="F288" s="44" t="n"/>
    </row>
    <row r="289">
      <c r="A289" s="50" t="n"/>
      <c r="B289" s="44" t="n"/>
      <c r="C289" s="87" t="n"/>
      <c r="D289" s="85" t="n"/>
      <c r="E289" s="85" t="n"/>
      <c r="F289" s="44" t="n"/>
    </row>
    <row r="290">
      <c r="A290" s="50" t="n"/>
      <c r="B290" s="44" t="n"/>
      <c r="C290" s="87" t="n"/>
      <c r="D290" s="85" t="n"/>
      <c r="E290" s="85" t="n"/>
      <c r="F290" s="44" t="n"/>
    </row>
    <row r="291">
      <c r="A291" s="50" t="n"/>
      <c r="B291" s="44" t="n"/>
      <c r="C291" s="87" t="n"/>
      <c r="D291" s="85" t="n"/>
      <c r="E291" s="85" t="n"/>
      <c r="F291" s="44" t="n"/>
    </row>
    <row r="292">
      <c r="A292" s="50" t="n"/>
      <c r="B292" s="44" t="n"/>
      <c r="C292" s="87" t="n"/>
      <c r="D292" s="85" t="n"/>
      <c r="E292" s="85" t="n"/>
      <c r="F292" s="44" t="n"/>
    </row>
    <row r="293">
      <c r="A293" s="50" t="n"/>
      <c r="B293" s="44" t="n"/>
      <c r="C293" s="87" t="n"/>
      <c r="D293" s="85" t="n"/>
      <c r="E293" s="85" t="n"/>
      <c r="F293" s="44" t="n"/>
    </row>
    <row r="294">
      <c r="A294" s="50" t="n"/>
      <c r="B294" s="44" t="n"/>
      <c r="C294" s="87" t="n"/>
      <c r="D294" s="85" t="n"/>
      <c r="E294" s="85" t="n"/>
      <c r="F294" s="44" t="n"/>
    </row>
    <row r="295">
      <c r="A295" s="50" t="n"/>
      <c r="B295" s="44" t="n"/>
      <c r="C295" s="87" t="n"/>
      <c r="D295" s="85" t="n"/>
      <c r="E295" s="85" t="n"/>
      <c r="F295" s="44" t="n"/>
    </row>
    <row r="296">
      <c r="A296" s="50" t="n"/>
      <c r="B296" s="44" t="n"/>
      <c r="C296" s="87" t="n"/>
      <c r="D296" s="85" t="n"/>
      <c r="E296" s="85" t="n"/>
      <c r="F296" s="44" t="n"/>
    </row>
    <row r="297">
      <c r="A297" s="50" t="n"/>
      <c r="B297" s="44" t="n"/>
      <c r="C297" s="87" t="n"/>
      <c r="D297" s="85" t="n"/>
      <c r="E297" s="85" t="n"/>
      <c r="F297" s="44" t="n"/>
    </row>
    <row r="298">
      <c r="A298" s="50" t="n"/>
      <c r="B298" s="44" t="n"/>
      <c r="C298" s="87" t="n"/>
      <c r="D298" s="85" t="n"/>
      <c r="E298" s="85" t="n"/>
      <c r="F298" s="44" t="n"/>
    </row>
    <row r="299">
      <c r="A299" s="50" t="n"/>
      <c r="B299" s="44" t="n"/>
      <c r="C299" s="87" t="n"/>
      <c r="D299" s="85" t="n"/>
      <c r="E299" s="85" t="n"/>
      <c r="F299" s="44" t="n"/>
    </row>
    <row r="300">
      <c r="A300" s="50" t="n"/>
      <c r="B300" s="44" t="n"/>
      <c r="C300" s="87" t="n"/>
      <c r="D300" s="85" t="n"/>
      <c r="E300" s="85" t="n"/>
      <c r="F300" s="44" t="n"/>
    </row>
    <row r="301">
      <c r="A301" s="50" t="n"/>
      <c r="B301" s="44" t="n"/>
      <c r="C301" s="87" t="n"/>
      <c r="D301" s="85" t="n"/>
      <c r="E301" s="85" t="n"/>
      <c r="F301" s="44" t="n"/>
    </row>
    <row r="302">
      <c r="A302" s="50" t="n"/>
      <c r="B302" s="44" t="n"/>
      <c r="C302" s="87" t="n"/>
      <c r="D302" s="85" t="n"/>
      <c r="E302" s="85" t="n"/>
      <c r="F302" s="44" t="n"/>
    </row>
    <row r="303">
      <c r="A303" s="50" t="n"/>
      <c r="B303" s="44" t="n"/>
      <c r="C303" s="87" t="n"/>
      <c r="D303" s="85" t="n"/>
      <c r="E303" s="85" t="n"/>
      <c r="F303" s="44" t="n"/>
    </row>
    <row r="304">
      <c r="A304" s="50" t="n"/>
      <c r="B304" s="44" t="n"/>
      <c r="C304" s="87" t="n"/>
      <c r="D304" s="85" t="n"/>
      <c r="E304" s="85" t="n"/>
      <c r="F304" s="44" t="n"/>
    </row>
    <row r="305">
      <c r="A305" s="50" t="n"/>
      <c r="B305" s="44" t="n"/>
      <c r="C305" s="87" t="n"/>
      <c r="D305" s="85" t="n"/>
      <c r="E305" s="85" t="n"/>
      <c r="F305" s="44" t="n"/>
    </row>
    <row r="306">
      <c r="A306" s="50" t="n"/>
      <c r="B306" s="44" t="n"/>
      <c r="C306" s="87" t="n"/>
      <c r="D306" s="85" t="n"/>
      <c r="E306" s="85" t="n"/>
      <c r="F306" s="44" t="n"/>
    </row>
    <row r="307">
      <c r="A307" s="50" t="n"/>
      <c r="B307" s="44" t="n"/>
      <c r="C307" s="87" t="n"/>
      <c r="D307" s="85" t="n"/>
      <c r="E307" s="85" t="n"/>
      <c r="F307" s="44" t="n"/>
    </row>
    <row r="308">
      <c r="A308" s="50" t="n"/>
      <c r="B308" s="44" t="n"/>
      <c r="C308" s="87" t="n"/>
      <c r="D308" s="85" t="n"/>
      <c r="E308" s="85" t="n"/>
      <c r="F308" s="44" t="n"/>
    </row>
    <row r="309">
      <c r="A309" s="50" t="n"/>
      <c r="B309" s="44" t="n"/>
      <c r="C309" s="87" t="n"/>
      <c r="D309" s="85" t="n"/>
      <c r="E309" s="85" t="n"/>
      <c r="F309" s="44" t="n"/>
    </row>
    <row r="310">
      <c r="A310" s="50" t="n"/>
      <c r="B310" s="44" t="n"/>
      <c r="C310" s="87" t="n"/>
      <c r="D310" s="85" t="n"/>
      <c r="E310" s="85" t="n"/>
      <c r="F310" s="44" t="n"/>
    </row>
    <row r="311">
      <c r="A311" s="50" t="n"/>
      <c r="B311" s="44" t="n"/>
      <c r="C311" s="87" t="n"/>
      <c r="D311" s="85" t="n"/>
      <c r="E311" s="85" t="n"/>
      <c r="F311" s="44" t="n"/>
    </row>
    <row r="312">
      <c r="A312" s="50" t="n"/>
      <c r="B312" s="44" t="n"/>
      <c r="C312" s="87" t="n"/>
      <c r="D312" s="85" t="n"/>
      <c r="E312" s="85" t="n"/>
      <c r="F312" s="44" t="n"/>
    </row>
    <row r="313">
      <c r="A313" s="50" t="n"/>
      <c r="B313" s="44" t="n"/>
      <c r="C313" s="87" t="n"/>
      <c r="D313" s="85" t="n"/>
      <c r="E313" s="85" t="n"/>
      <c r="F313" s="44" t="n"/>
    </row>
    <row r="314">
      <c r="A314" s="50" t="n"/>
      <c r="B314" s="44" t="n"/>
      <c r="C314" s="87" t="n"/>
      <c r="D314" s="85" t="n"/>
      <c r="E314" s="85" t="n"/>
      <c r="F314" s="44" t="n"/>
    </row>
    <row r="315">
      <c r="A315" s="50" t="n"/>
      <c r="B315" s="44" t="n"/>
      <c r="C315" s="87" t="n"/>
      <c r="D315" s="85" t="n"/>
      <c r="E315" s="85" t="n"/>
      <c r="F315" s="44" t="n"/>
    </row>
    <row r="316">
      <c r="A316" s="50" t="n"/>
      <c r="B316" s="44" t="n"/>
      <c r="C316" s="87" t="n"/>
      <c r="D316" s="85" t="n"/>
      <c r="E316" s="85" t="n"/>
      <c r="F316" s="44" t="n"/>
    </row>
    <row r="317">
      <c r="A317" s="50" t="n"/>
      <c r="B317" s="44" t="n"/>
      <c r="C317" s="87" t="n"/>
      <c r="D317" s="85" t="n"/>
      <c r="E317" s="85" t="n"/>
      <c r="F317" s="44" t="n"/>
    </row>
    <row r="318">
      <c r="A318" s="50" t="n"/>
      <c r="B318" s="44" t="n"/>
      <c r="C318" s="87" t="n"/>
      <c r="D318" s="85" t="n"/>
      <c r="E318" s="85" t="n"/>
      <c r="F318" s="44" t="n"/>
    </row>
    <row r="319">
      <c r="A319" s="50" t="n"/>
      <c r="B319" s="44" t="n"/>
      <c r="C319" s="87" t="n"/>
      <c r="D319" s="85" t="n"/>
      <c r="E319" s="85" t="n"/>
      <c r="F319" s="44" t="n"/>
    </row>
    <row r="320">
      <c r="A320" s="50" t="n"/>
      <c r="B320" s="44" t="n"/>
      <c r="C320" s="87" t="n"/>
      <c r="D320" s="85" t="n"/>
      <c r="E320" s="85" t="n"/>
      <c r="F320" s="44" t="n"/>
    </row>
    <row r="321">
      <c r="A321" s="50" t="n"/>
      <c r="B321" s="44" t="n"/>
      <c r="C321" s="87" t="n"/>
      <c r="D321" s="85" t="n"/>
      <c r="E321" s="85" t="n"/>
      <c r="F321" s="44" t="n"/>
    </row>
    <row r="322">
      <c r="A322" s="50" t="n"/>
      <c r="B322" s="44" t="n"/>
      <c r="C322" s="87" t="n"/>
      <c r="D322" s="85" t="n"/>
      <c r="E322" s="85" t="n"/>
      <c r="F322" s="44" t="n"/>
    </row>
    <row r="323">
      <c r="A323" s="50" t="n"/>
      <c r="B323" s="44" t="n"/>
      <c r="C323" s="87" t="n"/>
      <c r="D323" s="85" t="n"/>
      <c r="E323" s="85" t="n"/>
      <c r="F323" s="44" t="n"/>
    </row>
    <row r="324">
      <c r="A324" s="50" t="n"/>
      <c r="B324" s="44" t="n"/>
      <c r="C324" s="87" t="n"/>
      <c r="D324" s="85" t="n"/>
      <c r="E324" s="85" t="n"/>
      <c r="F324" s="44" t="n"/>
    </row>
    <row r="325">
      <c r="A325" s="50" t="n"/>
      <c r="B325" s="44" t="n"/>
      <c r="C325" s="87" t="n"/>
      <c r="D325" s="85" t="n"/>
      <c r="E325" s="85" t="n"/>
      <c r="F325" s="44" t="n"/>
    </row>
    <row r="326">
      <c r="A326" s="50" t="n"/>
      <c r="B326" s="44" t="n"/>
      <c r="C326" s="87" t="n"/>
      <c r="D326" s="85" t="n"/>
      <c r="E326" s="85" t="n"/>
      <c r="F326" s="44" t="n"/>
    </row>
    <row r="327">
      <c r="A327" s="50" t="n"/>
      <c r="B327" s="44" t="n"/>
      <c r="C327" s="87" t="n"/>
      <c r="D327" s="85" t="n"/>
      <c r="E327" s="85" t="n"/>
      <c r="F327" s="44" t="n"/>
    </row>
    <row r="328">
      <c r="A328" s="50" t="n"/>
      <c r="B328" s="44" t="n"/>
      <c r="C328" s="87" t="n"/>
      <c r="D328" s="85" t="n"/>
      <c r="E328" s="85" t="n"/>
      <c r="F328" s="44" t="n"/>
    </row>
    <row r="329">
      <c r="A329" s="50" t="n"/>
      <c r="B329" s="44" t="n"/>
      <c r="C329" s="87" t="n"/>
      <c r="D329" s="85" t="n"/>
      <c r="E329" s="85" t="n"/>
      <c r="F329" s="44" t="n"/>
    </row>
    <row r="330">
      <c r="A330" s="50" t="n"/>
      <c r="B330" s="44" t="n"/>
      <c r="C330" s="87" t="n"/>
      <c r="D330" s="85" t="n"/>
      <c r="E330" s="85" t="n"/>
      <c r="F330" s="44" t="n"/>
    </row>
    <row r="331">
      <c r="A331" s="50" t="n"/>
      <c r="B331" s="44" t="n"/>
      <c r="C331" s="87" t="n"/>
      <c r="D331" s="85" t="n"/>
      <c r="E331" s="85" t="n"/>
      <c r="F331" s="44" t="n"/>
    </row>
    <row r="332">
      <c r="A332" s="50" t="n"/>
      <c r="B332" s="44" t="n"/>
      <c r="C332" s="87" t="n"/>
      <c r="D332" s="85" t="n"/>
      <c r="E332" s="85" t="n"/>
      <c r="F332" s="44" t="n"/>
    </row>
    <row r="333">
      <c r="A333" s="50" t="n"/>
      <c r="B333" s="44" t="n"/>
      <c r="C333" s="87" t="n"/>
      <c r="D333" s="85" t="n"/>
      <c r="E333" s="85" t="n"/>
      <c r="F333" s="44" t="n"/>
    </row>
    <row r="334">
      <c r="A334" s="50" t="n"/>
      <c r="B334" s="44" t="n"/>
      <c r="C334" s="87" t="n"/>
      <c r="D334" s="85" t="n"/>
      <c r="E334" s="85" t="n"/>
      <c r="F334" s="44" t="n"/>
    </row>
    <row r="335">
      <c r="A335" s="50" t="n"/>
      <c r="B335" s="44" t="n"/>
      <c r="C335" s="87" t="n"/>
      <c r="D335" s="85" t="n"/>
      <c r="E335" s="85" t="n"/>
      <c r="F335" s="44" t="n"/>
    </row>
    <row r="336">
      <c r="A336" s="50" t="n"/>
      <c r="B336" s="44" t="n"/>
      <c r="C336" s="87" t="n"/>
      <c r="D336" s="85" t="n"/>
      <c r="E336" s="85" t="n"/>
      <c r="F336" s="44" t="n"/>
    </row>
    <row r="337">
      <c r="A337" s="50" t="n"/>
      <c r="B337" s="44" t="n"/>
      <c r="C337" s="87" t="n"/>
      <c r="D337" s="85" t="n"/>
      <c r="E337" s="85" t="n"/>
      <c r="F337" s="44" t="n"/>
    </row>
    <row r="338">
      <c r="A338" s="50" t="n"/>
      <c r="B338" s="44" t="n"/>
      <c r="C338" s="87" t="n"/>
      <c r="D338" s="85" t="n"/>
      <c r="E338" s="85" t="n"/>
      <c r="F338" s="44" t="n"/>
    </row>
    <row r="339">
      <c r="A339" s="50" t="n"/>
      <c r="B339" s="44" t="n"/>
      <c r="C339" s="87" t="n"/>
      <c r="D339" s="85" t="n"/>
      <c r="E339" s="85" t="n"/>
      <c r="F339" s="44" t="n"/>
    </row>
    <row r="340">
      <c r="A340" s="50" t="n"/>
      <c r="B340" s="44" t="n"/>
      <c r="C340" s="87" t="n"/>
      <c r="D340" s="85" t="n"/>
      <c r="E340" s="85" t="n"/>
      <c r="F340" s="44" t="n"/>
    </row>
    <row r="341">
      <c r="A341" s="50" t="n"/>
      <c r="B341" s="44" t="n"/>
      <c r="C341" s="87" t="n"/>
      <c r="D341" s="85" t="n"/>
      <c r="E341" s="85" t="n"/>
      <c r="F341" s="44" t="n"/>
    </row>
    <row r="342">
      <c r="A342" s="50" t="n"/>
      <c r="B342" s="44" t="n"/>
      <c r="C342" s="87" t="n"/>
      <c r="D342" s="85" t="n"/>
      <c r="E342" s="85" t="n"/>
      <c r="F342" s="44" t="n"/>
    </row>
    <row r="343">
      <c r="A343" s="50" t="n"/>
      <c r="B343" s="44" t="n"/>
      <c r="C343" s="87" t="n"/>
      <c r="D343" s="85" t="n"/>
      <c r="E343" s="85" t="n"/>
      <c r="F343" s="44" t="n"/>
    </row>
    <row r="344">
      <c r="A344" s="50" t="n"/>
      <c r="B344" s="44" t="n"/>
      <c r="C344" s="87" t="n"/>
      <c r="D344" s="85" t="n"/>
      <c r="E344" s="85" t="n"/>
      <c r="F344" s="44" t="n"/>
    </row>
    <row r="345">
      <c r="A345" s="50" t="n"/>
      <c r="B345" s="44" t="n"/>
      <c r="C345" s="87" t="n"/>
      <c r="D345" s="85" t="n"/>
      <c r="E345" s="85" t="n"/>
      <c r="F345" s="44" t="n"/>
    </row>
    <row r="346">
      <c r="A346" s="50" t="n"/>
      <c r="B346" s="44" t="n"/>
      <c r="C346" s="87" t="n"/>
      <c r="D346" s="85" t="n"/>
      <c r="E346" s="85" t="n"/>
      <c r="F346" s="44" t="n"/>
    </row>
    <row r="347">
      <c r="A347" s="50" t="n"/>
      <c r="B347" s="44" t="n"/>
      <c r="C347" s="87" t="n"/>
      <c r="D347" s="85" t="n"/>
      <c r="E347" s="85" t="n"/>
      <c r="F347" s="44" t="n"/>
    </row>
    <row r="348">
      <c r="A348" s="50" t="n"/>
      <c r="B348" s="44" t="n"/>
      <c r="C348" s="87" t="n"/>
      <c r="D348" s="85" t="n"/>
      <c r="E348" s="85" t="n"/>
      <c r="F348" s="44" t="n"/>
    </row>
    <row r="349">
      <c r="A349" s="50" t="n"/>
      <c r="B349" s="44" t="n"/>
      <c r="C349" s="87" t="n"/>
      <c r="D349" s="85" t="n"/>
      <c r="E349" s="85" t="n"/>
      <c r="F349" s="44" t="n"/>
    </row>
    <row r="350">
      <c r="A350" s="50" t="n"/>
      <c r="B350" s="44" t="n"/>
      <c r="C350" s="87" t="n"/>
      <c r="D350" s="85" t="n"/>
      <c r="E350" s="85" t="n"/>
      <c r="F350" s="44" t="n"/>
    </row>
    <row r="351">
      <c r="A351" s="50" t="n"/>
      <c r="B351" s="44" t="n"/>
      <c r="C351" s="87" t="n"/>
      <c r="D351" s="85" t="n"/>
      <c r="E351" s="85" t="n"/>
      <c r="F351" s="44" t="n"/>
    </row>
    <row r="352">
      <c r="A352" s="50" t="n"/>
      <c r="B352" s="44" t="n"/>
      <c r="C352" s="87" t="n"/>
      <c r="D352" s="85" t="n"/>
      <c r="E352" s="85" t="n"/>
      <c r="F352" s="44" t="n"/>
    </row>
    <row r="353">
      <c r="A353" s="50" t="n"/>
      <c r="B353" s="44" t="n"/>
      <c r="C353" s="87" t="n"/>
      <c r="D353" s="85" t="n"/>
      <c r="E353" s="85" t="n"/>
      <c r="F353" s="44" t="n"/>
    </row>
    <row r="354">
      <c r="A354" s="50" t="n"/>
      <c r="B354" s="44" t="n"/>
      <c r="C354" s="87" t="n"/>
      <c r="D354" s="85" t="n"/>
      <c r="E354" s="85" t="n"/>
      <c r="F354" s="44" t="n"/>
    </row>
    <row r="355">
      <c r="A355" s="50" t="n"/>
      <c r="B355" s="44" t="n"/>
      <c r="C355" s="87" t="n"/>
      <c r="D355" s="85" t="n"/>
      <c r="E355" s="85" t="n"/>
      <c r="F355" s="44" t="n"/>
    </row>
    <row r="356">
      <c r="A356" s="50" t="n"/>
      <c r="B356" s="44" t="n"/>
      <c r="C356" s="87" t="n"/>
      <c r="D356" s="85" t="n"/>
      <c r="E356" s="85" t="n"/>
      <c r="F356" s="44" t="n"/>
    </row>
    <row r="357">
      <c r="A357" s="50" t="n"/>
      <c r="B357" s="44" t="n"/>
      <c r="C357" s="87" t="n"/>
      <c r="D357" s="85" t="n"/>
      <c r="E357" s="85" t="n"/>
      <c r="F357" s="44" t="n"/>
    </row>
    <row r="358">
      <c r="A358" s="50" t="n"/>
      <c r="B358" s="44" t="n"/>
      <c r="C358" s="87" t="n"/>
      <c r="D358" s="85" t="n"/>
      <c r="E358" s="85" t="n"/>
      <c r="F358" s="44" t="n"/>
    </row>
    <row r="359">
      <c r="A359" s="50" t="n"/>
      <c r="B359" s="44" t="n"/>
      <c r="C359" s="87" t="n"/>
      <c r="D359" s="85" t="n"/>
      <c r="E359" s="85" t="n"/>
      <c r="F359" s="44" t="n"/>
    </row>
    <row r="360">
      <c r="A360" s="50" t="n"/>
      <c r="B360" s="44" t="n"/>
      <c r="C360" s="87" t="n"/>
      <c r="D360" s="85" t="n"/>
      <c r="E360" s="85" t="n"/>
      <c r="F360" s="44" t="n"/>
    </row>
    <row r="361">
      <c r="A361" s="50" t="n"/>
      <c r="B361" s="44" t="n"/>
      <c r="C361" s="87" t="n"/>
      <c r="D361" s="85" t="n"/>
      <c r="E361" s="85" t="n"/>
      <c r="F361" s="44" t="n"/>
    </row>
    <row r="362">
      <c r="A362" s="50" t="n"/>
      <c r="B362" s="44" t="n"/>
      <c r="C362" s="87" t="n"/>
      <c r="D362" s="85" t="n"/>
      <c r="E362" s="85" t="n"/>
      <c r="F362" s="44" t="n"/>
    </row>
    <row r="363">
      <c r="A363" s="50" t="n"/>
      <c r="B363" s="44" t="n"/>
      <c r="C363" s="87" t="n"/>
      <c r="D363" s="85" t="n"/>
      <c r="E363" s="85" t="n"/>
      <c r="F363" s="44" t="n"/>
    </row>
    <row r="364">
      <c r="A364" s="50" t="n"/>
      <c r="B364" s="44" t="n"/>
      <c r="C364" s="87" t="n"/>
      <c r="D364" s="85" t="n"/>
      <c r="E364" s="85" t="n"/>
      <c r="F364" s="44" t="n"/>
    </row>
    <row r="365">
      <c r="A365" s="50" t="n"/>
      <c r="B365" s="44" t="n"/>
      <c r="C365" s="87" t="n"/>
      <c r="D365" s="85" t="n"/>
      <c r="E365" s="85" t="n"/>
      <c r="F365" s="44" t="n"/>
    </row>
    <row r="366">
      <c r="A366" s="50" t="n"/>
      <c r="B366" s="44" t="n"/>
      <c r="C366" s="87" t="n"/>
      <c r="D366" s="85" t="n"/>
      <c r="E366" s="85" t="n"/>
      <c r="F366" s="44" t="n"/>
    </row>
    <row r="367">
      <c r="A367" s="50" t="n"/>
      <c r="B367" s="44" t="n"/>
      <c r="C367" s="87" t="n"/>
      <c r="D367" s="85" t="n"/>
      <c r="E367" s="85" t="n"/>
      <c r="F367" s="44" t="n"/>
    </row>
    <row r="368">
      <c r="A368" s="50" t="n"/>
      <c r="B368" s="44" t="n"/>
      <c r="C368" s="87" t="n"/>
      <c r="D368" s="85" t="n"/>
      <c r="E368" s="85" t="n"/>
      <c r="F368" s="44" t="n"/>
    </row>
    <row r="369">
      <c r="A369" s="50" t="n"/>
      <c r="B369" s="44" t="n"/>
      <c r="C369" s="87" t="n"/>
      <c r="D369" s="85" t="n"/>
      <c r="E369" s="85" t="n"/>
      <c r="F369" s="44" t="n"/>
    </row>
    <row r="370">
      <c r="A370" s="50" t="n"/>
      <c r="B370" s="44" t="n"/>
      <c r="C370" s="87" t="n"/>
      <c r="D370" s="85" t="n"/>
      <c r="E370" s="85" t="n"/>
      <c r="F370" s="44" t="n"/>
    </row>
    <row r="371">
      <c r="A371" s="50" t="n"/>
      <c r="B371" s="44" t="n"/>
      <c r="C371" s="87" t="n"/>
      <c r="D371" s="85" t="n"/>
      <c r="E371" s="85" t="n"/>
      <c r="F371" s="44" t="n"/>
    </row>
    <row r="372">
      <c r="A372" s="50" t="n"/>
      <c r="B372" s="44" t="n"/>
      <c r="C372" s="87" t="n"/>
      <c r="D372" s="85" t="n"/>
      <c r="E372" s="85" t="n"/>
      <c r="F372" s="44" t="n"/>
    </row>
    <row r="373">
      <c r="A373" s="50" t="n"/>
      <c r="B373" s="44" t="n"/>
      <c r="C373" s="87" t="n"/>
      <c r="D373" s="85" t="n"/>
      <c r="E373" s="85" t="n"/>
      <c r="F373" s="44" t="n"/>
    </row>
    <row r="374">
      <c r="A374" s="50" t="n"/>
      <c r="B374" s="44" t="n"/>
      <c r="C374" s="87" t="n"/>
      <c r="D374" s="85" t="n"/>
      <c r="E374" s="85" t="n"/>
      <c r="F374" s="44" t="n"/>
    </row>
    <row r="375">
      <c r="A375" s="50" t="n"/>
      <c r="B375" s="44" t="n"/>
      <c r="C375" s="87" t="n"/>
      <c r="D375" s="85" t="n"/>
      <c r="E375" s="85" t="n"/>
      <c r="F375" s="44" t="n"/>
    </row>
    <row r="376">
      <c r="A376" s="50" t="n"/>
      <c r="B376" s="44" t="n"/>
      <c r="C376" s="87" t="n"/>
      <c r="D376" s="85" t="n"/>
      <c r="E376" s="85" t="n"/>
      <c r="F376" s="44" t="n"/>
    </row>
    <row r="377">
      <c r="A377" s="50" t="n"/>
      <c r="B377" s="44" t="n"/>
      <c r="C377" s="87" t="n"/>
      <c r="D377" s="85" t="n"/>
      <c r="E377" s="85" t="n"/>
      <c r="F377" s="44" t="n"/>
    </row>
    <row r="378">
      <c r="A378" s="50" t="n"/>
      <c r="B378" s="44" t="n"/>
      <c r="C378" s="87" t="n"/>
      <c r="D378" s="85" t="n"/>
      <c r="E378" s="85" t="n"/>
      <c r="F378" s="44" t="n"/>
    </row>
    <row r="379">
      <c r="A379" s="50" t="n"/>
      <c r="B379" s="44" t="n"/>
      <c r="C379" s="87" t="n"/>
      <c r="D379" s="85" t="n"/>
      <c r="E379" s="85" t="n"/>
      <c r="F379" s="44" t="n"/>
    </row>
    <row r="380">
      <c r="A380" s="50" t="n"/>
      <c r="B380" s="44" t="n"/>
      <c r="C380" s="87" t="n"/>
      <c r="D380" s="85" t="n"/>
      <c r="E380" s="85" t="n"/>
      <c r="F380" s="44" t="n"/>
    </row>
    <row r="381">
      <c r="A381" s="50" t="n"/>
      <c r="B381" s="44" t="n"/>
      <c r="C381" s="87" t="n"/>
      <c r="D381" s="85" t="n"/>
      <c r="E381" s="85" t="n"/>
      <c r="F381" s="44" t="n"/>
    </row>
    <row r="382">
      <c r="A382" s="50" t="n"/>
      <c r="B382" s="44" t="n"/>
      <c r="C382" s="87" t="n"/>
      <c r="D382" s="85" t="n"/>
      <c r="E382" s="85" t="n"/>
      <c r="F382" s="44" t="n"/>
    </row>
    <row r="383">
      <c r="A383" s="50" t="n"/>
      <c r="B383" s="44" t="n"/>
      <c r="C383" s="87" t="n"/>
      <c r="D383" s="85" t="n"/>
      <c r="E383" s="85" t="n"/>
      <c r="F383" s="44" t="n"/>
    </row>
    <row r="384">
      <c r="A384" s="50" t="n"/>
      <c r="B384" s="44" t="n"/>
      <c r="C384" s="87" t="n"/>
      <c r="D384" s="85" t="n"/>
      <c r="E384" s="85" t="n"/>
      <c r="F384" s="44" t="n"/>
    </row>
    <row r="385">
      <c r="A385" s="50" t="n"/>
      <c r="B385" s="44" t="n"/>
      <c r="C385" s="87" t="n"/>
      <c r="D385" s="85" t="n"/>
      <c r="E385" s="85" t="n"/>
      <c r="F385" s="44" t="n"/>
    </row>
    <row r="386">
      <c r="A386" s="50" t="n"/>
      <c r="B386" s="44" t="n"/>
      <c r="C386" s="87" t="n"/>
      <c r="D386" s="85" t="n"/>
      <c r="E386" s="85" t="n"/>
      <c r="F386" s="44" t="n"/>
    </row>
    <row r="387">
      <c r="A387" s="50" t="n"/>
      <c r="B387" s="44" t="n"/>
      <c r="C387" s="87" t="n"/>
      <c r="D387" s="85" t="n"/>
      <c r="E387" s="85" t="n"/>
      <c r="F387" s="44" t="n"/>
    </row>
    <row r="388">
      <c r="A388" s="50" t="n"/>
      <c r="B388" s="44" t="n"/>
      <c r="C388" s="87" t="n"/>
      <c r="D388" s="85" t="n"/>
      <c r="E388" s="85" t="n"/>
      <c r="F388" s="44" t="n"/>
    </row>
    <row r="389">
      <c r="A389" s="50" t="n"/>
      <c r="B389" s="44" t="n"/>
      <c r="C389" s="87" t="n"/>
      <c r="D389" s="85" t="n"/>
      <c r="E389" s="85" t="n"/>
      <c r="F389" s="44" t="n"/>
    </row>
    <row r="390">
      <c r="A390" s="50" t="n"/>
      <c r="B390" s="44" t="n"/>
      <c r="C390" s="87" t="n"/>
      <c r="D390" s="85" t="n"/>
      <c r="E390" s="85" t="n"/>
      <c r="F390" s="44" t="n"/>
    </row>
    <row r="391">
      <c r="A391" s="50" t="n"/>
      <c r="B391" s="44" t="n"/>
      <c r="C391" s="87" t="n"/>
      <c r="D391" s="85" t="n"/>
      <c r="E391" s="85" t="n"/>
      <c r="F391" s="44" t="n"/>
    </row>
    <row r="392">
      <c r="A392" s="50" t="n"/>
      <c r="B392" s="44" t="n"/>
      <c r="C392" s="87" t="n"/>
      <c r="D392" s="85" t="n"/>
      <c r="E392" s="85" t="n"/>
      <c r="F392" s="44" t="n"/>
    </row>
    <row r="393">
      <c r="A393" s="50" t="n"/>
      <c r="B393" s="44" t="n"/>
      <c r="C393" s="87" t="n"/>
      <c r="D393" s="85" t="n"/>
      <c r="E393" s="85" t="n"/>
      <c r="F393" s="44" t="n"/>
    </row>
    <row r="394">
      <c r="A394" s="50" t="n"/>
      <c r="B394" s="44" t="n"/>
      <c r="C394" s="87" t="n"/>
      <c r="D394" s="85" t="n"/>
      <c r="E394" s="85" t="n"/>
      <c r="F394" s="44" t="n"/>
    </row>
    <row r="395">
      <c r="A395" s="50" t="n"/>
      <c r="B395" s="44" t="n"/>
      <c r="C395" s="87" t="n"/>
      <c r="D395" s="85" t="n"/>
      <c r="E395" s="85" t="n"/>
      <c r="F395" s="44" t="n"/>
    </row>
    <row r="396">
      <c r="A396" s="50" t="n"/>
      <c r="B396" s="44" t="n"/>
      <c r="C396" s="87" t="n"/>
      <c r="D396" s="85" t="n"/>
      <c r="E396" s="85" t="n"/>
      <c r="F396" s="44" t="n"/>
    </row>
    <row r="397">
      <c r="A397" s="50" t="n"/>
      <c r="B397" s="44" t="n"/>
      <c r="C397" s="87" t="n"/>
      <c r="D397" s="85" t="n"/>
      <c r="E397" s="85" t="n"/>
      <c r="F397" s="44" t="n"/>
    </row>
    <row r="398">
      <c r="A398" s="50" t="n"/>
      <c r="B398" s="44" t="n"/>
      <c r="C398" s="87" t="n"/>
      <c r="D398" s="85" t="n"/>
      <c r="E398" s="85" t="n"/>
      <c r="F398" s="44" t="n"/>
    </row>
    <row r="399">
      <c r="A399" s="50" t="n"/>
      <c r="B399" s="44" t="n"/>
      <c r="C399" s="87" t="n"/>
      <c r="D399" s="85" t="n"/>
      <c r="E399" s="85" t="n"/>
      <c r="F399" s="44" t="n"/>
    </row>
    <row r="400">
      <c r="A400" s="50" t="n"/>
      <c r="B400" s="44" t="n"/>
      <c r="C400" s="87" t="n"/>
      <c r="D400" s="85" t="n"/>
      <c r="E400" s="85" t="n"/>
      <c r="F400" s="44" t="n"/>
    </row>
    <row r="401">
      <c r="A401" s="50" t="n"/>
      <c r="B401" s="44" t="n"/>
      <c r="C401" s="87" t="n"/>
      <c r="D401" s="85" t="n"/>
      <c r="E401" s="85" t="n"/>
      <c r="F401" s="44" t="n"/>
    </row>
    <row r="402">
      <c r="A402" s="50" t="n"/>
      <c r="B402" s="44" t="n"/>
      <c r="C402" s="87" t="n"/>
      <c r="D402" s="85" t="n"/>
      <c r="E402" s="85" t="n"/>
      <c r="F402" s="44" t="n"/>
    </row>
    <row r="403">
      <c r="A403" s="50" t="n"/>
      <c r="B403" s="44" t="n"/>
      <c r="C403" s="87" t="n"/>
      <c r="D403" s="85" t="n"/>
      <c r="E403" s="85" t="n"/>
      <c r="F403" s="44" t="n"/>
    </row>
    <row r="404">
      <c r="A404" s="50" t="n"/>
      <c r="B404" s="44" t="n"/>
      <c r="C404" s="87" t="n"/>
      <c r="D404" s="85" t="n"/>
      <c r="E404" s="85" t="n"/>
      <c r="F404" s="44" t="n"/>
    </row>
    <row r="405">
      <c r="A405" s="50" t="n"/>
      <c r="B405" s="44" t="n"/>
      <c r="C405" s="87" t="n"/>
      <c r="D405" s="85" t="n"/>
      <c r="E405" s="85" t="n"/>
      <c r="F405" s="44" t="n"/>
    </row>
    <row r="406">
      <c r="A406" s="50" t="n"/>
      <c r="B406" s="44" t="n"/>
      <c r="C406" s="87" t="n"/>
      <c r="D406" s="85" t="n"/>
      <c r="E406" s="85" t="n"/>
      <c r="F406" s="44" t="n"/>
    </row>
    <row r="407">
      <c r="A407" s="50" t="n"/>
      <c r="B407" s="44" t="n"/>
      <c r="C407" s="87" t="n"/>
      <c r="D407" s="85" t="n"/>
      <c r="E407" s="85" t="n"/>
      <c r="F407" s="44" t="n"/>
    </row>
    <row r="408">
      <c r="A408" s="50" t="n"/>
      <c r="B408" s="44" t="n"/>
      <c r="C408" s="87" t="n"/>
      <c r="D408" s="85" t="n"/>
      <c r="E408" s="85" t="n"/>
      <c r="F408" s="44" t="n"/>
    </row>
    <row r="409">
      <c r="A409" s="50" t="n"/>
      <c r="B409" s="44" t="n"/>
      <c r="C409" s="87" t="n"/>
      <c r="D409" s="85" t="n"/>
      <c r="E409" s="85" t="n"/>
      <c r="F409" s="44" t="n"/>
    </row>
    <row r="410">
      <c r="A410" s="50" t="n"/>
      <c r="B410" s="44" t="n"/>
      <c r="C410" s="87" t="n"/>
      <c r="D410" s="85" t="n"/>
      <c r="E410" s="85" t="n"/>
      <c r="F410" s="44" t="n"/>
    </row>
    <row r="411">
      <c r="A411" s="50" t="n"/>
      <c r="B411" s="44" t="n"/>
      <c r="C411" s="87" t="n"/>
      <c r="D411" s="85" t="n"/>
      <c r="E411" s="85" t="n"/>
      <c r="F411" s="44" t="n"/>
    </row>
    <row r="412">
      <c r="A412" s="50" t="n"/>
      <c r="B412" s="44" t="n"/>
      <c r="C412" s="87" t="n"/>
      <c r="D412" s="85" t="n"/>
      <c r="E412" s="85" t="n"/>
      <c r="F412" s="44" t="n"/>
    </row>
    <row r="413">
      <c r="A413" s="50" t="n"/>
      <c r="B413" s="44" t="n"/>
      <c r="C413" s="87" t="n"/>
      <c r="D413" s="85" t="n"/>
      <c r="E413" s="85" t="n"/>
      <c r="F413" s="44" t="n"/>
    </row>
    <row r="414">
      <c r="A414" s="50" t="n"/>
      <c r="B414" s="44" t="n"/>
      <c r="C414" s="87" t="n"/>
      <c r="D414" s="85" t="n"/>
      <c r="E414" s="85" t="n"/>
      <c r="F414" s="44" t="n"/>
    </row>
    <row r="415">
      <c r="A415" s="50" t="n"/>
      <c r="B415" s="44" t="n"/>
      <c r="C415" s="87" t="n"/>
      <c r="D415" s="85" t="n"/>
      <c r="E415" s="85" t="n"/>
      <c r="F415" s="44" t="n"/>
    </row>
    <row r="416">
      <c r="A416" s="50" t="n"/>
      <c r="B416" s="44" t="n"/>
      <c r="C416" s="87" t="n"/>
      <c r="D416" s="85" t="n"/>
      <c r="E416" s="85" t="n"/>
      <c r="F416" s="44" t="n"/>
    </row>
    <row r="417">
      <c r="A417" s="50" t="n"/>
      <c r="B417" s="44" t="n"/>
      <c r="C417" s="87" t="n"/>
      <c r="D417" s="85" t="n"/>
      <c r="E417" s="85" t="n"/>
      <c r="F417" s="44" t="n"/>
    </row>
    <row r="418">
      <c r="A418" s="50" t="n"/>
      <c r="B418" s="44" t="n"/>
      <c r="C418" s="87" t="n"/>
      <c r="D418" s="85" t="n"/>
      <c r="E418" s="85" t="n"/>
      <c r="F418" s="44" t="n"/>
    </row>
    <row r="419">
      <c r="A419" s="50" t="n"/>
      <c r="B419" s="44" t="n"/>
      <c r="C419" s="87" t="n"/>
      <c r="D419" s="85" t="n"/>
      <c r="E419" s="85" t="n"/>
      <c r="F419" s="44" t="n"/>
    </row>
    <row r="420">
      <c r="A420" s="50" t="n"/>
      <c r="B420" s="44" t="n"/>
      <c r="C420" s="87" t="n"/>
      <c r="D420" s="85" t="n"/>
      <c r="E420" s="85" t="n"/>
      <c r="F420" s="44" t="n"/>
    </row>
    <row r="421">
      <c r="A421" s="50" t="n"/>
      <c r="B421" s="44" t="n"/>
      <c r="C421" s="87" t="n"/>
      <c r="D421" s="85" t="n"/>
      <c r="E421" s="85" t="n"/>
      <c r="F421" s="44" t="n"/>
    </row>
    <row r="422">
      <c r="A422" s="50" t="n"/>
      <c r="B422" s="44" t="n"/>
      <c r="C422" s="87" t="n"/>
      <c r="D422" s="85" t="n"/>
      <c r="E422" s="85" t="n"/>
      <c r="F422" s="44" t="n"/>
    </row>
    <row r="423">
      <c r="A423" s="50" t="n"/>
      <c r="B423" s="44" t="n"/>
      <c r="C423" s="87" t="n"/>
      <c r="D423" s="85" t="n"/>
      <c r="E423" s="85" t="n"/>
      <c r="F423" s="44" t="n"/>
    </row>
    <row r="424">
      <c r="A424" s="50" t="n"/>
      <c r="B424" s="44" t="n"/>
      <c r="C424" s="87" t="n"/>
      <c r="D424" s="85" t="n"/>
      <c r="E424" s="85" t="n"/>
      <c r="F424" s="44" t="n"/>
    </row>
    <row r="425">
      <c r="A425" s="50" t="n"/>
      <c r="B425" s="44" t="n"/>
      <c r="C425" s="87" t="n"/>
      <c r="D425" s="85" t="n"/>
      <c r="E425" s="85" t="n"/>
      <c r="F425" s="44" t="n"/>
    </row>
    <row r="426">
      <c r="A426" s="50" t="n"/>
      <c r="B426" s="44" t="n"/>
      <c r="C426" s="87" t="n"/>
      <c r="D426" s="85" t="n"/>
      <c r="E426" s="85" t="n"/>
      <c r="F426" s="44" t="n"/>
    </row>
    <row r="427">
      <c r="A427" s="50" t="n"/>
      <c r="B427" s="44" t="n"/>
      <c r="C427" s="87" t="n"/>
      <c r="D427" s="85" t="n"/>
      <c r="E427" s="85" t="n"/>
      <c r="F427" s="44" t="n"/>
    </row>
    <row r="428">
      <c r="A428" s="50" t="n"/>
      <c r="B428" s="44" t="n"/>
      <c r="C428" s="87" t="n"/>
      <c r="D428" s="85" t="n"/>
      <c r="E428" s="85" t="n"/>
      <c r="F428" s="44" t="n"/>
    </row>
    <row r="429">
      <c r="A429" s="50" t="n"/>
      <c r="B429" s="44" t="n"/>
      <c r="C429" s="87" t="n"/>
      <c r="D429" s="85" t="n"/>
      <c r="E429" s="85" t="n"/>
      <c r="F429" s="44" t="n"/>
    </row>
    <row r="430">
      <c r="A430" s="50" t="n"/>
      <c r="B430" s="44" t="n"/>
      <c r="C430" s="87" t="n"/>
      <c r="D430" s="85" t="n"/>
      <c r="E430" s="85" t="n"/>
      <c r="F430" s="44" t="n"/>
    </row>
    <row r="431">
      <c r="A431" s="50" t="n"/>
      <c r="B431" s="44" t="n"/>
      <c r="C431" s="87" t="n"/>
      <c r="D431" s="85" t="n"/>
      <c r="E431" s="85" t="n"/>
      <c r="F431" s="44" t="n"/>
    </row>
    <row r="432">
      <c r="A432" s="50" t="n"/>
      <c r="B432" s="44" t="n"/>
      <c r="C432" s="87" t="n"/>
      <c r="D432" s="85" t="n"/>
      <c r="E432" s="85" t="n"/>
      <c r="F432" s="44" t="n"/>
    </row>
    <row r="433">
      <c r="A433" s="50" t="n"/>
      <c r="B433" s="44" t="n"/>
      <c r="C433" s="87" t="n"/>
      <c r="D433" s="85" t="n"/>
      <c r="E433" s="85" t="n"/>
      <c r="F433" s="44" t="n"/>
    </row>
    <row r="434">
      <c r="A434" s="50" t="n"/>
      <c r="B434" s="44" t="n"/>
      <c r="C434" s="87" t="n"/>
      <c r="D434" s="85" t="n"/>
      <c r="E434" s="85" t="n"/>
      <c r="F434" s="44" t="n"/>
    </row>
    <row r="435">
      <c r="A435" s="50" t="n"/>
      <c r="B435" s="44" t="n"/>
      <c r="C435" s="87" t="n"/>
      <c r="D435" s="85" t="n"/>
      <c r="E435" s="85" t="n"/>
      <c r="F435" s="44" t="n"/>
    </row>
    <row r="436">
      <c r="A436" s="50" t="n"/>
      <c r="B436" s="44" t="n"/>
      <c r="C436" s="87" t="n"/>
      <c r="D436" s="85" t="n"/>
      <c r="E436" s="85" t="n"/>
      <c r="F436" s="44" t="n"/>
    </row>
    <row r="437">
      <c r="A437" s="50" t="n"/>
      <c r="B437" s="44" t="n"/>
      <c r="C437" s="87" t="n"/>
      <c r="D437" s="85" t="n"/>
      <c r="E437" s="85" t="n"/>
      <c r="F437" s="44" t="n"/>
    </row>
    <row r="438">
      <c r="A438" s="50" t="n"/>
      <c r="B438" s="44" t="n"/>
      <c r="C438" s="87" t="n"/>
      <c r="D438" s="85" t="n"/>
      <c r="E438" s="85" t="n"/>
      <c r="F438" s="44" t="n"/>
    </row>
    <row r="439">
      <c r="A439" s="50" t="n"/>
      <c r="B439" s="44" t="n"/>
      <c r="C439" s="87" t="n"/>
      <c r="D439" s="85" t="n"/>
      <c r="E439" s="85" t="n"/>
      <c r="F439" s="44" t="n"/>
    </row>
    <row r="440">
      <c r="A440" s="50" t="n"/>
      <c r="B440" s="44" t="n"/>
      <c r="C440" s="87" t="n"/>
      <c r="D440" s="85" t="n"/>
      <c r="E440" s="85" t="n"/>
      <c r="F440" s="44" t="n"/>
    </row>
    <row r="441">
      <c r="A441" s="50" t="n"/>
      <c r="B441" s="44" t="n"/>
      <c r="C441" s="87" t="n"/>
      <c r="D441" s="85" t="n"/>
      <c r="E441" s="85" t="n"/>
      <c r="F441" s="44" t="n"/>
    </row>
    <row r="442">
      <c r="A442" s="50" t="n"/>
      <c r="B442" s="44" t="n"/>
      <c r="C442" s="87" t="n"/>
      <c r="D442" s="85" t="n"/>
      <c r="E442" s="85" t="n"/>
      <c r="F442" s="44" t="n"/>
    </row>
    <row r="443">
      <c r="A443" s="50" t="n"/>
      <c r="B443" s="44" t="n"/>
      <c r="C443" s="87" t="n"/>
      <c r="D443" s="85" t="n"/>
      <c r="E443" s="85" t="n"/>
      <c r="F443" s="44" t="n"/>
    </row>
    <row r="444">
      <c r="A444" s="50" t="n"/>
      <c r="B444" s="44" t="n"/>
      <c r="C444" s="87" t="n"/>
      <c r="D444" s="85" t="n"/>
      <c r="E444" s="85" t="n"/>
      <c r="F444" s="44" t="n"/>
    </row>
    <row r="445">
      <c r="A445" s="50" t="n"/>
      <c r="B445" s="44" t="n"/>
      <c r="C445" s="87" t="n"/>
      <c r="D445" s="85" t="n"/>
      <c r="E445" s="85" t="n"/>
      <c r="F445" s="44" t="n"/>
    </row>
    <row r="446">
      <c r="A446" s="50" t="n"/>
      <c r="B446" s="44" t="n"/>
      <c r="C446" s="87" t="n"/>
      <c r="D446" s="85" t="n"/>
      <c r="E446" s="85" t="n"/>
      <c r="F446" s="44" t="n"/>
    </row>
    <row r="447">
      <c r="A447" s="50" t="n"/>
      <c r="B447" s="44" t="n"/>
      <c r="C447" s="87" t="n"/>
      <c r="D447" s="85" t="n"/>
      <c r="E447" s="85" t="n"/>
      <c r="F447" s="44" t="n"/>
    </row>
    <row r="448">
      <c r="A448" s="50" t="n"/>
      <c r="B448" s="44" t="n"/>
      <c r="C448" s="87" t="n"/>
      <c r="D448" s="85" t="n"/>
      <c r="E448" s="85" t="n"/>
      <c r="F448" s="44" t="n"/>
    </row>
    <row r="449">
      <c r="A449" s="50" t="n"/>
      <c r="B449" s="44" t="n"/>
      <c r="C449" s="87" t="n"/>
      <c r="D449" s="85" t="n"/>
      <c r="E449" s="85" t="n"/>
      <c r="F449" s="44" t="n"/>
    </row>
    <row r="450">
      <c r="A450" s="50" t="n"/>
      <c r="B450" s="44" t="n"/>
      <c r="C450" s="87" t="n"/>
      <c r="D450" s="85" t="n"/>
      <c r="E450" s="85" t="n"/>
      <c r="F450" s="44" t="n"/>
    </row>
    <row r="451">
      <c r="A451" s="50" t="n"/>
      <c r="B451" s="44" t="n"/>
      <c r="C451" s="87" t="n"/>
      <c r="D451" s="85" t="n"/>
      <c r="E451" s="85" t="n"/>
      <c r="F451" s="44" t="n"/>
    </row>
    <row r="452">
      <c r="A452" s="50" t="n"/>
      <c r="B452" s="44" t="n"/>
      <c r="C452" s="87" t="n"/>
      <c r="D452" s="85" t="n"/>
      <c r="E452" s="85" t="n"/>
      <c r="F452" s="44" t="n"/>
    </row>
    <row r="453">
      <c r="A453" s="50" t="n"/>
      <c r="B453" s="44" t="n"/>
      <c r="C453" s="87" t="n"/>
      <c r="D453" s="85" t="n"/>
      <c r="E453" s="85" t="n"/>
      <c r="F453" s="44" t="n"/>
    </row>
    <row r="454">
      <c r="A454" s="50" t="n"/>
      <c r="B454" s="44" t="n"/>
      <c r="C454" s="87" t="n"/>
      <c r="D454" s="85" t="n"/>
      <c r="E454" s="85" t="n"/>
      <c r="F454" s="44" t="n"/>
    </row>
    <row r="455">
      <c r="A455" s="50" t="n"/>
      <c r="B455" s="44" t="n"/>
      <c r="C455" s="87" t="n"/>
      <c r="D455" s="85" t="n"/>
      <c r="E455" s="85" t="n"/>
      <c r="F455" s="44" t="n"/>
    </row>
    <row r="456">
      <c r="A456" s="50" t="n"/>
      <c r="B456" s="44" t="n"/>
      <c r="C456" s="87" t="n"/>
      <c r="D456" s="85" t="n"/>
      <c r="E456" s="85" t="n"/>
      <c r="F456" s="44" t="n"/>
    </row>
    <row r="457">
      <c r="A457" s="50" t="n"/>
      <c r="B457" s="44" t="n"/>
      <c r="C457" s="87" t="n"/>
      <c r="D457" s="85" t="n"/>
      <c r="E457" s="85" t="n"/>
      <c r="F457" s="44" t="n"/>
    </row>
    <row r="458">
      <c r="A458" s="50" t="n"/>
      <c r="B458" s="44" t="n"/>
      <c r="C458" s="87" t="n"/>
      <c r="D458" s="85" t="n"/>
      <c r="E458" s="85" t="n"/>
      <c r="F458" s="44" t="n"/>
    </row>
    <row r="459">
      <c r="A459" s="50" t="n"/>
      <c r="B459" s="44" t="n"/>
      <c r="C459" s="87" t="n"/>
      <c r="D459" s="85" t="n"/>
      <c r="E459" s="85" t="n"/>
      <c r="F459" s="44" t="n"/>
    </row>
    <row r="460">
      <c r="A460" s="50" t="n"/>
      <c r="B460" s="44" t="n"/>
      <c r="C460" s="87" t="n"/>
      <c r="D460" s="85" t="n"/>
      <c r="E460" s="85" t="n"/>
      <c r="F460" s="44" t="n"/>
    </row>
    <row r="461">
      <c r="A461" s="50" t="n"/>
      <c r="B461" s="44" t="n"/>
      <c r="C461" s="87" t="n"/>
      <c r="D461" s="85" t="n"/>
      <c r="E461" s="85" t="n"/>
      <c r="F461" s="44" t="n"/>
    </row>
    <row r="462">
      <c r="A462" s="50" t="n"/>
      <c r="B462" s="44" t="n"/>
      <c r="C462" s="87" t="n"/>
      <c r="D462" s="85" t="n"/>
      <c r="E462" s="85" t="n"/>
      <c r="F462" s="44" t="n"/>
    </row>
    <row r="463">
      <c r="A463" s="50" t="n"/>
      <c r="B463" s="44" t="n"/>
      <c r="C463" s="87" t="n"/>
      <c r="D463" s="85" t="n"/>
      <c r="E463" s="85" t="n"/>
      <c r="F463" s="44" t="n"/>
    </row>
    <row r="464">
      <c r="A464" s="50" t="n"/>
      <c r="B464" s="44" t="n"/>
      <c r="C464" s="87" t="n"/>
      <c r="D464" s="85" t="n"/>
      <c r="E464" s="85" t="n"/>
      <c r="F464" s="44" t="n"/>
    </row>
    <row r="465">
      <c r="A465" s="50" t="n"/>
      <c r="B465" s="44" t="n"/>
      <c r="C465" s="87" t="n"/>
      <c r="D465" s="85" t="n"/>
      <c r="E465" s="85" t="n"/>
      <c r="F465" s="44" t="n"/>
    </row>
    <row r="466">
      <c r="A466" s="50" t="n"/>
      <c r="B466" s="44" t="n"/>
      <c r="C466" s="87" t="n"/>
      <c r="D466" s="85" t="n"/>
      <c r="E466" s="85" t="n"/>
      <c r="F466" s="44" t="n"/>
    </row>
    <row r="467">
      <c r="A467" s="50" t="n"/>
      <c r="B467" s="44" t="n"/>
      <c r="C467" s="87" t="n"/>
      <c r="D467" s="85" t="n"/>
      <c r="E467" s="85" t="n"/>
      <c r="F467" s="44" t="n"/>
    </row>
    <row r="468">
      <c r="A468" s="50" t="n"/>
      <c r="B468" s="44" t="n"/>
      <c r="C468" s="87" t="n"/>
      <c r="D468" s="85" t="n"/>
      <c r="E468" s="85" t="n"/>
      <c r="F468" s="44" t="n"/>
    </row>
    <row r="469">
      <c r="A469" s="50" t="n"/>
      <c r="B469" s="44" t="n"/>
      <c r="C469" s="87" t="n"/>
      <c r="D469" s="85" t="n"/>
      <c r="E469" s="85" t="n"/>
      <c r="F469" s="44" t="n"/>
    </row>
    <row r="470">
      <c r="A470" s="50" t="n"/>
      <c r="B470" s="44" t="n"/>
      <c r="C470" s="87" t="n"/>
      <c r="D470" s="85" t="n"/>
      <c r="E470" s="85" t="n"/>
      <c r="F470" s="44" t="n"/>
    </row>
    <row r="471">
      <c r="A471" s="50" t="n"/>
      <c r="B471" s="44" t="n"/>
      <c r="C471" s="87" t="n"/>
      <c r="D471" s="85" t="n"/>
      <c r="E471" s="85" t="n"/>
      <c r="F471" s="44" t="n"/>
    </row>
    <row r="472">
      <c r="A472" s="50" t="n"/>
      <c r="B472" s="44" t="n"/>
      <c r="C472" s="87" t="n"/>
      <c r="D472" s="85" t="n"/>
      <c r="E472" s="85" t="n"/>
      <c r="F472" s="44" t="n"/>
    </row>
    <row r="473">
      <c r="A473" s="50" t="n"/>
      <c r="B473" s="44" t="n"/>
      <c r="C473" s="87" t="n"/>
      <c r="D473" s="85" t="n"/>
      <c r="E473" s="85" t="n"/>
      <c r="F473" s="44" t="n"/>
    </row>
    <row r="474">
      <c r="A474" s="50" t="n"/>
      <c r="B474" s="44" t="n"/>
      <c r="C474" s="87" t="n"/>
      <c r="D474" s="85" t="n"/>
      <c r="E474" s="85" t="n"/>
      <c r="F474" s="44" t="n"/>
    </row>
    <row r="475">
      <c r="A475" s="50" t="n"/>
      <c r="B475" s="44" t="n"/>
      <c r="C475" s="87" t="n"/>
      <c r="D475" s="85" t="n"/>
      <c r="E475" s="85" t="n"/>
      <c r="F475" s="44" t="n"/>
    </row>
    <row r="476">
      <c r="A476" s="50" t="n"/>
      <c r="B476" s="44" t="n"/>
      <c r="C476" s="87" t="n"/>
      <c r="D476" s="85" t="n"/>
      <c r="E476" s="85" t="n"/>
      <c r="F476" s="44" t="n"/>
    </row>
    <row r="477">
      <c r="A477" s="50" t="n"/>
      <c r="B477" s="44" t="n"/>
      <c r="C477" s="87" t="n"/>
      <c r="D477" s="85" t="n"/>
      <c r="E477" s="85" t="n"/>
      <c r="F477" s="44" t="n"/>
    </row>
    <row r="478">
      <c r="A478" s="50" t="n"/>
      <c r="B478" s="44" t="n"/>
      <c r="C478" s="87" t="n"/>
      <c r="D478" s="85" t="n"/>
      <c r="E478" s="85" t="n"/>
      <c r="F478" s="44" t="n"/>
    </row>
    <row r="479">
      <c r="A479" s="50" t="n"/>
      <c r="B479" s="44" t="n"/>
      <c r="C479" s="87" t="n"/>
      <c r="D479" s="85" t="n"/>
      <c r="E479" s="85" t="n"/>
      <c r="F479" s="44" t="n"/>
    </row>
    <row r="480">
      <c r="A480" s="50" t="n"/>
      <c r="B480" s="44" t="n"/>
      <c r="C480" s="87" t="n"/>
      <c r="D480" s="85" t="n"/>
      <c r="E480" s="85" t="n"/>
      <c r="F480" s="44" t="n"/>
    </row>
    <row r="481">
      <c r="A481" s="50" t="n"/>
      <c r="B481" s="44" t="n"/>
      <c r="C481" s="87" t="n"/>
      <c r="D481" s="85" t="n"/>
      <c r="E481" s="85" t="n"/>
      <c r="F481" s="44" t="n"/>
    </row>
    <row r="482">
      <c r="A482" s="50" t="n"/>
      <c r="B482" s="44" t="n"/>
      <c r="C482" s="87" t="n"/>
      <c r="D482" s="85" t="n"/>
      <c r="E482" s="85" t="n"/>
      <c r="F482" s="44" t="n"/>
    </row>
    <row r="483">
      <c r="A483" s="50" t="n"/>
      <c r="B483" s="44" t="n"/>
      <c r="C483" s="87" t="n"/>
      <c r="D483" s="85" t="n"/>
      <c r="E483" s="85" t="n"/>
      <c r="F483" s="44" t="n"/>
    </row>
    <row r="484">
      <c r="A484" s="50" t="n"/>
      <c r="B484" s="44" t="n"/>
      <c r="C484" s="87" t="n"/>
      <c r="D484" s="85" t="n"/>
      <c r="E484" s="85" t="n"/>
      <c r="F484" s="44" t="n"/>
    </row>
    <row r="485">
      <c r="A485" s="50" t="n"/>
      <c r="B485" s="44" t="n"/>
      <c r="C485" s="87" t="n"/>
      <c r="D485" s="85" t="n"/>
      <c r="E485" s="85" t="n"/>
      <c r="F485" s="44" t="n"/>
    </row>
    <row r="486">
      <c r="A486" s="50" t="n"/>
      <c r="B486" s="44" t="n"/>
      <c r="C486" s="87" t="n"/>
      <c r="D486" s="85" t="n"/>
      <c r="E486" s="85" t="n"/>
      <c r="F486" s="44" t="n"/>
    </row>
    <row r="487">
      <c r="A487" s="50" t="n"/>
      <c r="B487" s="44" t="n"/>
      <c r="C487" s="87" t="n"/>
      <c r="D487" s="85" t="n"/>
      <c r="E487" s="85" t="n"/>
      <c r="F487" s="44" t="n"/>
    </row>
    <row r="488">
      <c r="A488" s="50" t="n"/>
      <c r="B488" s="44" t="n"/>
      <c r="C488" s="87" t="n"/>
      <c r="D488" s="85" t="n"/>
      <c r="E488" s="85" t="n"/>
      <c r="F488" s="44" t="n"/>
    </row>
    <row r="489">
      <c r="A489" s="50" t="n"/>
      <c r="B489" s="44" t="n"/>
      <c r="C489" s="87" t="n"/>
      <c r="D489" s="85" t="n"/>
      <c r="E489" s="85" t="n"/>
      <c r="F489" s="44" t="n"/>
    </row>
    <row r="490">
      <c r="A490" s="50" t="n"/>
      <c r="B490" s="44" t="n"/>
      <c r="C490" s="87" t="n"/>
      <c r="D490" s="85" t="n"/>
      <c r="E490" s="85" t="n"/>
      <c r="F490" s="44" t="n"/>
    </row>
    <row r="491">
      <c r="A491" s="50" t="n"/>
      <c r="B491" s="44" t="n"/>
      <c r="C491" s="87" t="n"/>
      <c r="D491" s="85" t="n"/>
      <c r="E491" s="85" t="n"/>
      <c r="F491" s="44" t="n"/>
    </row>
    <row r="492">
      <c r="A492" s="50" t="n"/>
      <c r="B492" s="44" t="n"/>
      <c r="C492" s="87" t="n"/>
      <c r="D492" s="85" t="n"/>
      <c r="E492" s="85" t="n"/>
      <c r="F492" s="44" t="n"/>
    </row>
    <row r="493">
      <c r="A493" s="50" t="n"/>
      <c r="B493" s="44" t="n"/>
      <c r="C493" s="87" t="n"/>
      <c r="D493" s="85" t="n"/>
      <c r="E493" s="85" t="n"/>
      <c r="F493" s="44" t="n"/>
    </row>
    <row r="494">
      <c r="A494" s="50" t="n"/>
      <c r="B494" s="44" t="n"/>
      <c r="C494" s="87" t="n"/>
      <c r="D494" s="85" t="n"/>
      <c r="E494" s="85" t="n"/>
      <c r="F494" s="44" t="n"/>
    </row>
    <row r="495">
      <c r="A495" s="50" t="n"/>
      <c r="B495" s="44" t="n"/>
      <c r="C495" s="87" t="n"/>
      <c r="D495" s="85" t="n"/>
      <c r="E495" s="85" t="n"/>
      <c r="F495" s="44" t="n"/>
    </row>
    <row r="496">
      <c r="A496" s="50" t="n"/>
      <c r="B496" s="44" t="n"/>
      <c r="C496" s="87" t="n"/>
      <c r="D496" s="85" t="n"/>
      <c r="E496" s="85" t="n"/>
      <c r="F496" s="44" t="n"/>
    </row>
    <row r="497">
      <c r="A497" s="50" t="n"/>
      <c r="B497" s="44" t="n"/>
      <c r="C497" s="87" t="n"/>
      <c r="D497" s="85" t="n"/>
      <c r="E497" s="85" t="n"/>
      <c r="F497" s="44" t="n"/>
    </row>
    <row r="498">
      <c r="A498" s="50" t="n"/>
      <c r="B498" s="44" t="n"/>
      <c r="C498" s="87" t="n"/>
      <c r="D498" s="85" t="n"/>
      <c r="E498" s="85" t="n"/>
      <c r="F498" s="44" t="n"/>
    </row>
    <row r="499">
      <c r="A499" s="50" t="n"/>
      <c r="B499" s="44" t="n"/>
      <c r="C499" s="87" t="n"/>
      <c r="D499" s="85" t="n"/>
      <c r="E499" s="85" t="n"/>
      <c r="F499" s="44" t="n"/>
    </row>
    <row r="500">
      <c r="A500" s="50" t="n"/>
      <c r="B500" s="44" t="n"/>
      <c r="C500" s="87" t="n"/>
      <c r="D500" s="85" t="n"/>
      <c r="E500" s="85" t="n"/>
      <c r="F500" s="44" t="n"/>
    </row>
    <row r="501">
      <c r="A501" s="50" t="n"/>
      <c r="B501" s="44" t="n"/>
      <c r="C501" s="87" t="n"/>
      <c r="D501" s="85" t="n"/>
      <c r="E501" s="85" t="n"/>
      <c r="F501" s="44" t="n"/>
    </row>
  </sheetData>
  <autoFilter ref="A1:F50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2" customWidth="1" min="2" max="2"/>
    <col width="30" customWidth="1" min="3" max="3"/>
    <col width="14" customWidth="1" min="4" max="4"/>
    <col width="40" customWidth="1" min="5" max="5"/>
    <col width="16" customWidth="1" min="6" max="6"/>
    <col width="18" customWidth="1" min="7" max="7"/>
    <col width="14" customWidth="1" min="8" max="8"/>
    <col width="14" customWidth="1" min="9" max="9"/>
    <col hidden="1" width="13" customWidth="1" min="10" max="10"/>
  </cols>
  <sheetData>
    <row r="1" ht="30" customHeight="1">
      <c r="A1" s="39" t="inlineStr">
        <is>
          <t>Buchung (Konto · Buchungsdatum · Beleg)</t>
        </is>
      </c>
      <c r="B1" s="39" t="inlineStr">
        <is>
          <t>Konto</t>
        </is>
      </c>
      <c r="C1" s="39" t="inlineStr">
        <is>
          <t>Kontobezeichnung</t>
        </is>
      </c>
      <c r="D1" s="42" t="inlineStr">
        <is>
          <t>Buchungsdatum</t>
        </is>
      </c>
      <c r="E1" s="42" t="inlineStr">
        <is>
          <t>Buchungstext</t>
        </is>
      </c>
      <c r="F1" s="42" t="inlineStr">
        <is>
          <t>Beleg</t>
        </is>
      </c>
      <c r="G1" s="42" t="inlineStr">
        <is>
          <t>Gegenkonto / Partner</t>
        </is>
      </c>
      <c r="H1" s="40" t="inlineStr">
        <is>
          <t>Soll</t>
        </is>
      </c>
      <c r="I1" s="40" t="inlineStr">
        <is>
          <t>Haben</t>
        </is>
      </c>
      <c r="J1" s="43" t="inlineStr">
        <is>
          <t>Zeilen-ID</t>
        </is>
      </c>
    </row>
    <row r="2">
      <c r="A2" s="50" t="n"/>
      <c r="B2" s="44" t="n"/>
      <c r="C2" s="44" t="n"/>
      <c r="D2" s="45" t="n"/>
      <c r="E2" s="44" t="n"/>
      <c r="F2" s="44" t="n"/>
      <c r="G2" s="44" t="n"/>
      <c r="H2" s="85" t="n"/>
      <c r="I2" s="85" t="n"/>
    </row>
    <row r="3">
      <c r="A3" s="50" t="n"/>
      <c r="B3" s="44" t="n"/>
      <c r="C3" s="44" t="n"/>
      <c r="D3" s="45" t="n"/>
      <c r="E3" s="44" t="n"/>
      <c r="F3" s="44" t="n"/>
      <c r="G3" s="44" t="n"/>
      <c r="H3" s="85" t="n"/>
      <c r="I3" s="85" t="n"/>
    </row>
    <row r="4">
      <c r="A4" s="50" t="n"/>
      <c r="B4" s="44" t="n"/>
      <c r="C4" s="44" t="n"/>
      <c r="D4" s="45" t="n"/>
      <c r="E4" s="44" t="n"/>
      <c r="F4" s="44" t="n"/>
      <c r="G4" s="44" t="n"/>
      <c r="H4" s="85" t="n"/>
      <c r="I4" s="85" t="n"/>
    </row>
    <row r="5">
      <c r="A5" s="50" t="n"/>
      <c r="B5" s="44" t="n"/>
      <c r="C5" s="44" t="n"/>
      <c r="D5" s="45" t="n"/>
      <c r="E5" s="44" t="n"/>
      <c r="F5" s="44" t="n"/>
      <c r="G5" s="44" t="n"/>
      <c r="H5" s="85" t="n"/>
      <c r="I5" s="85" t="n"/>
    </row>
    <row r="6">
      <c r="A6" s="50" t="n"/>
      <c r="B6" s="44" t="n"/>
      <c r="C6" s="44" t="n"/>
      <c r="D6" s="45" t="n"/>
      <c r="E6" s="44" t="n"/>
      <c r="F6" s="44" t="n"/>
      <c r="G6" s="44" t="n"/>
      <c r="H6" s="85" t="n"/>
      <c r="I6" s="85" t="n"/>
    </row>
    <row r="7">
      <c r="A7" s="50" t="n"/>
      <c r="B7" s="44" t="n"/>
      <c r="C7" s="44" t="n"/>
      <c r="D7" s="45" t="n"/>
      <c r="E7" s="44" t="n"/>
      <c r="F7" s="44" t="n"/>
      <c r="G7" s="44" t="n"/>
      <c r="H7" s="85" t="n"/>
      <c r="I7" s="85" t="n"/>
    </row>
    <row r="8">
      <c r="A8" s="50" t="n"/>
      <c r="B8" s="44" t="n"/>
      <c r="C8" s="44" t="n"/>
      <c r="D8" s="45" t="n"/>
      <c r="E8" s="44" t="n"/>
      <c r="F8" s="44" t="n"/>
      <c r="G8" s="44" t="n"/>
      <c r="H8" s="85" t="n"/>
      <c r="I8" s="85" t="n"/>
    </row>
    <row r="9">
      <c r="A9" s="50" t="n"/>
      <c r="B9" s="44" t="n"/>
      <c r="C9" s="44" t="n"/>
      <c r="D9" s="45" t="n"/>
      <c r="E9" s="44" t="n"/>
      <c r="F9" s="44" t="n"/>
      <c r="G9" s="44" t="n"/>
      <c r="H9" s="85" t="n"/>
      <c r="I9" s="85" t="n"/>
    </row>
    <row r="10">
      <c r="A10" s="50" t="n"/>
      <c r="B10" s="44" t="n"/>
      <c r="C10" s="44" t="n"/>
      <c r="D10" s="45" t="n"/>
      <c r="E10" s="44" t="n"/>
      <c r="F10" s="44" t="n"/>
      <c r="G10" s="44" t="n"/>
      <c r="H10" s="85" t="n"/>
      <c r="I10" s="85" t="n"/>
    </row>
    <row r="11">
      <c r="A11" s="50" t="n"/>
      <c r="B11" s="44" t="n"/>
      <c r="C11" s="44" t="n"/>
      <c r="D11" s="45" t="n"/>
      <c r="E11" s="44" t="n"/>
      <c r="F11" s="44" t="n"/>
      <c r="G11" s="44" t="n"/>
      <c r="H11" s="85" t="n"/>
      <c r="I11" s="85" t="n"/>
    </row>
    <row r="12">
      <c r="A12" s="50" t="n"/>
      <c r="B12" s="44" t="n"/>
      <c r="C12" s="44" t="n"/>
      <c r="D12" s="45" t="n"/>
      <c r="E12" s="44" t="n"/>
      <c r="F12" s="44" t="n"/>
      <c r="G12" s="44" t="n"/>
      <c r="H12" s="85" t="n"/>
      <c r="I12" s="85" t="n"/>
    </row>
    <row r="13">
      <c r="A13" s="50" t="n"/>
      <c r="B13" s="44" t="n"/>
      <c r="C13" s="44" t="n"/>
      <c r="D13" s="45" t="n"/>
      <c r="E13" s="44" t="n"/>
      <c r="F13" s="44" t="n"/>
      <c r="G13" s="44" t="n"/>
      <c r="H13" s="85" t="n"/>
      <c r="I13" s="85" t="n"/>
    </row>
    <row r="14">
      <c r="A14" s="50" t="n"/>
      <c r="B14" s="44" t="n"/>
      <c r="C14" s="44" t="n"/>
      <c r="D14" s="45" t="n"/>
      <c r="E14" s="44" t="n"/>
      <c r="F14" s="44" t="n"/>
      <c r="G14" s="44" t="n"/>
      <c r="H14" s="85" t="n"/>
      <c r="I14" s="85" t="n"/>
    </row>
    <row r="15">
      <c r="A15" s="50" t="n"/>
      <c r="B15" s="44" t="n"/>
      <c r="C15" s="44" t="n"/>
      <c r="D15" s="45" t="n"/>
      <c r="E15" s="44" t="n"/>
      <c r="F15" s="44" t="n"/>
      <c r="G15" s="44" t="n"/>
      <c r="H15" s="85" t="n"/>
      <c r="I15" s="85" t="n"/>
    </row>
    <row r="16">
      <c r="A16" s="50" t="n"/>
      <c r="B16" s="44" t="n"/>
      <c r="C16" s="44" t="n"/>
      <c r="D16" s="45" t="n"/>
      <c r="E16" s="44" t="n"/>
      <c r="F16" s="44" t="n"/>
      <c r="G16" s="44" t="n"/>
      <c r="H16" s="85" t="n"/>
      <c r="I16" s="85" t="n"/>
    </row>
    <row r="17">
      <c r="A17" s="50" t="n"/>
      <c r="B17" s="44" t="n"/>
      <c r="C17" s="44" t="n"/>
      <c r="D17" s="45" t="n"/>
      <c r="E17" s="44" t="n"/>
      <c r="F17" s="44" t="n"/>
      <c r="G17" s="44" t="n"/>
      <c r="H17" s="85" t="n"/>
      <c r="I17" s="85" t="n"/>
    </row>
    <row r="18">
      <c r="A18" s="50" t="n"/>
      <c r="B18" s="44" t="n"/>
      <c r="C18" s="44" t="n"/>
      <c r="D18" s="45" t="n"/>
      <c r="E18" s="44" t="n"/>
      <c r="F18" s="44" t="n"/>
      <c r="G18" s="44" t="n"/>
      <c r="H18" s="85" t="n"/>
      <c r="I18" s="85" t="n"/>
    </row>
    <row r="19">
      <c r="A19" s="50" t="n"/>
      <c r="B19" s="44" t="n"/>
      <c r="C19" s="44" t="n"/>
      <c r="D19" s="45" t="n"/>
      <c r="E19" s="44" t="n"/>
      <c r="F19" s="44" t="n"/>
      <c r="G19" s="44" t="n"/>
      <c r="H19" s="85" t="n"/>
      <c r="I19" s="85" t="n"/>
    </row>
    <row r="20">
      <c r="A20" s="50" t="n"/>
      <c r="B20" s="44" t="n"/>
      <c r="C20" s="44" t="n"/>
      <c r="D20" s="45" t="n"/>
      <c r="E20" s="44" t="n"/>
      <c r="F20" s="44" t="n"/>
      <c r="G20" s="44" t="n"/>
      <c r="H20" s="85" t="n"/>
      <c r="I20" s="85" t="n"/>
    </row>
    <row r="21">
      <c r="A21" s="50" t="n"/>
      <c r="B21" s="44" t="n"/>
      <c r="C21" s="44" t="n"/>
      <c r="D21" s="45" t="n"/>
      <c r="E21" s="44" t="n"/>
      <c r="F21" s="44" t="n"/>
      <c r="G21" s="44" t="n"/>
      <c r="H21" s="85" t="n"/>
      <c r="I21" s="85" t="n"/>
    </row>
    <row r="22">
      <c r="A22" s="50" t="n"/>
      <c r="B22" s="44" t="n"/>
      <c r="C22" s="44" t="n"/>
      <c r="D22" s="45" t="n"/>
      <c r="E22" s="44" t="n"/>
      <c r="F22" s="44" t="n"/>
      <c r="G22" s="44" t="n"/>
      <c r="H22" s="85" t="n"/>
      <c r="I22" s="85" t="n"/>
    </row>
    <row r="23">
      <c r="A23" s="50" t="n"/>
      <c r="B23" s="44" t="n"/>
      <c r="C23" s="44" t="n"/>
      <c r="D23" s="45" t="n"/>
      <c r="E23" s="44" t="n"/>
      <c r="F23" s="44" t="n"/>
      <c r="G23" s="44" t="n"/>
      <c r="H23" s="85" t="n"/>
      <c r="I23" s="85" t="n"/>
    </row>
    <row r="24">
      <c r="A24" s="50" t="n"/>
      <c r="B24" s="44" t="n"/>
      <c r="C24" s="44" t="n"/>
      <c r="D24" s="45" t="n"/>
      <c r="E24" s="44" t="n"/>
      <c r="F24" s="44" t="n"/>
      <c r="G24" s="44" t="n"/>
      <c r="H24" s="85" t="n"/>
      <c r="I24" s="85" t="n"/>
    </row>
    <row r="25">
      <c r="A25" s="50" t="n"/>
      <c r="B25" s="44" t="n"/>
      <c r="C25" s="44" t="n"/>
      <c r="D25" s="45" t="n"/>
      <c r="E25" s="44" t="n"/>
      <c r="F25" s="44" t="n"/>
      <c r="G25" s="44" t="n"/>
      <c r="H25" s="85" t="n"/>
      <c r="I25" s="85" t="n"/>
    </row>
    <row r="26">
      <c r="A26" s="50" t="n"/>
      <c r="B26" s="44" t="n"/>
      <c r="C26" s="44" t="n"/>
      <c r="D26" s="45" t="n"/>
      <c r="E26" s="44" t="n"/>
      <c r="F26" s="44" t="n"/>
      <c r="G26" s="44" t="n"/>
      <c r="H26" s="85" t="n"/>
      <c r="I26" s="85" t="n"/>
    </row>
    <row r="27">
      <c r="A27" s="50" t="n"/>
      <c r="B27" s="44" t="n"/>
      <c r="C27" s="44" t="n"/>
      <c r="D27" s="45" t="n"/>
      <c r="E27" s="44" t="n"/>
      <c r="F27" s="44" t="n"/>
      <c r="G27" s="44" t="n"/>
      <c r="H27" s="85" t="n"/>
      <c r="I27" s="85" t="n"/>
    </row>
    <row r="28">
      <c r="A28" s="50" t="n"/>
      <c r="B28" s="44" t="n"/>
      <c r="C28" s="44" t="n"/>
      <c r="D28" s="45" t="n"/>
      <c r="E28" s="44" t="n"/>
      <c r="F28" s="44" t="n"/>
      <c r="G28" s="44" t="n"/>
      <c r="H28" s="85" t="n"/>
      <c r="I28" s="85" t="n"/>
    </row>
    <row r="29">
      <c r="A29" s="50" t="n"/>
      <c r="B29" s="44" t="n"/>
      <c r="C29" s="44" t="n"/>
      <c r="D29" s="45" t="n"/>
      <c r="E29" s="44" t="n"/>
      <c r="F29" s="44" t="n"/>
      <c r="G29" s="44" t="n"/>
      <c r="H29" s="85" t="n"/>
      <c r="I29" s="85" t="n"/>
    </row>
    <row r="30">
      <c r="A30" s="50" t="n"/>
      <c r="B30" s="44" t="n"/>
      <c r="C30" s="44" t="n"/>
      <c r="D30" s="45" t="n"/>
      <c r="E30" s="44" t="n"/>
      <c r="F30" s="44" t="n"/>
      <c r="G30" s="44" t="n"/>
      <c r="H30" s="85" t="n"/>
      <c r="I30" s="85" t="n"/>
    </row>
    <row r="31">
      <c r="A31" s="50" t="n"/>
      <c r="B31" s="44" t="n"/>
      <c r="C31" s="44" t="n"/>
      <c r="D31" s="45" t="n"/>
      <c r="E31" s="44" t="n"/>
      <c r="F31" s="44" t="n"/>
      <c r="G31" s="44" t="n"/>
      <c r="H31" s="85" t="n"/>
      <c r="I31" s="85" t="n"/>
    </row>
    <row r="32">
      <c r="A32" s="50" t="n"/>
      <c r="B32" s="44" t="n"/>
      <c r="C32" s="44" t="n"/>
      <c r="D32" s="45" t="n"/>
      <c r="E32" s="44" t="n"/>
      <c r="F32" s="44" t="n"/>
      <c r="G32" s="44" t="n"/>
      <c r="H32" s="85" t="n"/>
      <c r="I32" s="85" t="n"/>
    </row>
    <row r="33">
      <c r="A33" s="50" t="n"/>
      <c r="B33" s="44" t="n"/>
      <c r="C33" s="44" t="n"/>
      <c r="D33" s="45" t="n"/>
      <c r="E33" s="44" t="n"/>
      <c r="F33" s="44" t="n"/>
      <c r="G33" s="44" t="n"/>
      <c r="H33" s="85" t="n"/>
      <c r="I33" s="85" t="n"/>
    </row>
    <row r="34">
      <c r="A34" s="50" t="n"/>
      <c r="B34" s="44" t="n"/>
      <c r="C34" s="44" t="n"/>
      <c r="D34" s="45" t="n"/>
      <c r="E34" s="44" t="n"/>
      <c r="F34" s="44" t="n"/>
      <c r="G34" s="44" t="n"/>
      <c r="H34" s="85" t="n"/>
      <c r="I34" s="85" t="n"/>
    </row>
    <row r="35">
      <c r="A35" s="50" t="n"/>
      <c r="B35" s="44" t="n"/>
      <c r="C35" s="44" t="n"/>
      <c r="D35" s="45" t="n"/>
      <c r="E35" s="44" t="n"/>
      <c r="F35" s="44" t="n"/>
      <c r="G35" s="44" t="n"/>
      <c r="H35" s="85" t="n"/>
      <c r="I35" s="85" t="n"/>
    </row>
    <row r="36">
      <c r="A36" s="50" t="n"/>
      <c r="B36" s="44" t="n"/>
      <c r="C36" s="44" t="n"/>
      <c r="D36" s="45" t="n"/>
      <c r="E36" s="44" t="n"/>
      <c r="F36" s="44" t="n"/>
      <c r="G36" s="44" t="n"/>
      <c r="H36" s="85" t="n"/>
      <c r="I36" s="85" t="n"/>
    </row>
    <row r="37">
      <c r="A37" s="50" t="n"/>
      <c r="B37" s="44" t="n"/>
      <c r="C37" s="44" t="n"/>
      <c r="D37" s="45" t="n"/>
      <c r="E37" s="44" t="n"/>
      <c r="F37" s="44" t="n"/>
      <c r="G37" s="44" t="n"/>
      <c r="H37" s="85" t="n"/>
      <c r="I37" s="85" t="n"/>
    </row>
    <row r="38">
      <c r="A38" s="50" t="n"/>
      <c r="B38" s="44" t="n"/>
      <c r="C38" s="44" t="n"/>
      <c r="D38" s="45" t="n"/>
      <c r="E38" s="44" t="n"/>
      <c r="F38" s="44" t="n"/>
      <c r="G38" s="44" t="n"/>
      <c r="H38" s="85" t="n"/>
      <c r="I38" s="85" t="n"/>
    </row>
    <row r="39">
      <c r="A39" s="50" t="n"/>
      <c r="B39" s="44" t="n"/>
      <c r="C39" s="44" t="n"/>
      <c r="D39" s="45" t="n"/>
      <c r="E39" s="44" t="n"/>
      <c r="F39" s="44" t="n"/>
      <c r="G39" s="44" t="n"/>
      <c r="H39" s="85" t="n"/>
      <c r="I39" s="85" t="n"/>
    </row>
    <row r="40">
      <c r="A40" s="50" t="n"/>
      <c r="B40" s="44" t="n"/>
      <c r="C40" s="44" t="n"/>
      <c r="D40" s="45" t="n"/>
      <c r="E40" s="44" t="n"/>
      <c r="F40" s="44" t="n"/>
      <c r="G40" s="44" t="n"/>
      <c r="H40" s="85" t="n"/>
      <c r="I40" s="85" t="n"/>
    </row>
    <row r="41">
      <c r="A41" s="50" t="n"/>
      <c r="B41" s="44" t="n"/>
      <c r="C41" s="44" t="n"/>
      <c r="D41" s="45" t="n"/>
      <c r="E41" s="44" t="n"/>
      <c r="F41" s="44" t="n"/>
      <c r="G41" s="44" t="n"/>
      <c r="H41" s="85" t="n"/>
      <c r="I41" s="85" t="n"/>
    </row>
    <row r="42">
      <c r="A42" s="50" t="n"/>
      <c r="B42" s="44" t="n"/>
      <c r="C42" s="44" t="n"/>
      <c r="D42" s="45" t="n"/>
      <c r="E42" s="44" t="n"/>
      <c r="F42" s="44" t="n"/>
      <c r="G42" s="44" t="n"/>
      <c r="H42" s="85" t="n"/>
      <c r="I42" s="85" t="n"/>
    </row>
    <row r="43">
      <c r="A43" s="50" t="n"/>
      <c r="B43" s="44" t="n"/>
      <c r="C43" s="44" t="n"/>
      <c r="D43" s="45" t="n"/>
      <c r="E43" s="44" t="n"/>
      <c r="F43" s="44" t="n"/>
      <c r="G43" s="44" t="n"/>
      <c r="H43" s="85" t="n"/>
      <c r="I43" s="85" t="n"/>
    </row>
    <row r="44">
      <c r="A44" s="50" t="n"/>
      <c r="B44" s="44" t="n"/>
      <c r="C44" s="44" t="n"/>
      <c r="D44" s="45" t="n"/>
      <c r="E44" s="44" t="n"/>
      <c r="F44" s="44" t="n"/>
      <c r="G44" s="44" t="n"/>
      <c r="H44" s="85" t="n"/>
      <c r="I44" s="85" t="n"/>
    </row>
    <row r="45">
      <c r="A45" s="50" t="n"/>
      <c r="B45" s="44" t="n"/>
      <c r="C45" s="44" t="n"/>
      <c r="D45" s="45" t="n"/>
      <c r="E45" s="44" t="n"/>
      <c r="F45" s="44" t="n"/>
      <c r="G45" s="44" t="n"/>
      <c r="H45" s="85" t="n"/>
      <c r="I45" s="85" t="n"/>
    </row>
    <row r="46">
      <c r="A46" s="50" t="n"/>
      <c r="B46" s="44" t="n"/>
      <c r="C46" s="44" t="n"/>
      <c r="D46" s="45" t="n"/>
      <c r="E46" s="44" t="n"/>
      <c r="F46" s="44" t="n"/>
      <c r="G46" s="44" t="n"/>
      <c r="H46" s="85" t="n"/>
      <c r="I46" s="85" t="n"/>
    </row>
    <row r="47">
      <c r="A47" s="50" t="n"/>
      <c r="B47" s="44" t="n"/>
      <c r="C47" s="44" t="n"/>
      <c r="D47" s="45" t="n"/>
      <c r="E47" s="44" t="n"/>
      <c r="F47" s="44" t="n"/>
      <c r="G47" s="44" t="n"/>
      <c r="H47" s="85" t="n"/>
      <c r="I47" s="85" t="n"/>
    </row>
    <row r="48">
      <c r="A48" s="50" t="n"/>
      <c r="B48" s="44" t="n"/>
      <c r="C48" s="44" t="n"/>
      <c r="D48" s="45" t="n"/>
      <c r="E48" s="44" t="n"/>
      <c r="F48" s="44" t="n"/>
      <c r="G48" s="44" t="n"/>
      <c r="H48" s="85" t="n"/>
      <c r="I48" s="85" t="n"/>
    </row>
    <row r="49">
      <c r="A49" s="50" t="n"/>
      <c r="B49" s="44" t="n"/>
      <c r="C49" s="44" t="n"/>
      <c r="D49" s="45" t="n"/>
      <c r="E49" s="44" t="n"/>
      <c r="F49" s="44" t="n"/>
      <c r="G49" s="44" t="n"/>
      <c r="H49" s="85" t="n"/>
      <c r="I49" s="85" t="n"/>
    </row>
    <row r="50">
      <c r="A50" s="50" t="n"/>
      <c r="B50" s="44" t="n"/>
      <c r="C50" s="44" t="n"/>
      <c r="D50" s="45" t="n"/>
      <c r="E50" s="44" t="n"/>
      <c r="F50" s="44" t="n"/>
      <c r="G50" s="44" t="n"/>
      <c r="H50" s="85" t="n"/>
      <c r="I50" s="85" t="n"/>
    </row>
    <row r="51">
      <c r="A51" s="50" t="n"/>
      <c r="B51" s="44" t="n"/>
      <c r="C51" s="44" t="n"/>
      <c r="D51" s="45" t="n"/>
      <c r="E51" s="44" t="n"/>
      <c r="F51" s="44" t="n"/>
      <c r="G51" s="44" t="n"/>
      <c r="H51" s="85" t="n"/>
      <c r="I51" s="85" t="n"/>
    </row>
    <row r="52">
      <c r="A52" s="50" t="n"/>
      <c r="B52" s="44" t="n"/>
      <c r="C52" s="44" t="n"/>
      <c r="D52" s="45" t="n"/>
      <c r="E52" s="44" t="n"/>
      <c r="F52" s="44" t="n"/>
      <c r="G52" s="44" t="n"/>
      <c r="H52" s="85" t="n"/>
      <c r="I52" s="85" t="n"/>
    </row>
    <row r="53">
      <c r="A53" s="50" t="n"/>
      <c r="B53" s="44" t="n"/>
      <c r="C53" s="44" t="n"/>
      <c r="D53" s="45" t="n"/>
      <c r="E53" s="44" t="n"/>
      <c r="F53" s="44" t="n"/>
      <c r="G53" s="44" t="n"/>
      <c r="H53" s="85" t="n"/>
      <c r="I53" s="85" t="n"/>
    </row>
    <row r="54">
      <c r="A54" s="50" t="n"/>
      <c r="B54" s="44" t="n"/>
      <c r="C54" s="44" t="n"/>
      <c r="D54" s="45" t="n"/>
      <c r="E54" s="44" t="n"/>
      <c r="F54" s="44" t="n"/>
      <c r="G54" s="44" t="n"/>
      <c r="H54" s="85" t="n"/>
      <c r="I54" s="85" t="n"/>
    </row>
    <row r="55">
      <c r="A55" s="50" t="n"/>
      <c r="B55" s="44" t="n"/>
      <c r="C55" s="44" t="n"/>
      <c r="D55" s="45" t="n"/>
      <c r="E55" s="44" t="n"/>
      <c r="F55" s="44" t="n"/>
      <c r="G55" s="44" t="n"/>
      <c r="H55" s="85" t="n"/>
      <c r="I55" s="85" t="n"/>
    </row>
    <row r="56">
      <c r="A56" s="50" t="n"/>
      <c r="B56" s="44" t="n"/>
      <c r="C56" s="44" t="n"/>
      <c r="D56" s="45" t="n"/>
      <c r="E56" s="44" t="n"/>
      <c r="F56" s="44" t="n"/>
      <c r="G56" s="44" t="n"/>
      <c r="H56" s="85" t="n"/>
      <c r="I56" s="85" t="n"/>
    </row>
    <row r="57">
      <c r="A57" s="50" t="n"/>
      <c r="B57" s="44" t="n"/>
      <c r="C57" s="44" t="n"/>
      <c r="D57" s="45" t="n"/>
      <c r="E57" s="44" t="n"/>
      <c r="F57" s="44" t="n"/>
      <c r="G57" s="44" t="n"/>
      <c r="H57" s="85" t="n"/>
      <c r="I57" s="85" t="n"/>
    </row>
    <row r="58">
      <c r="A58" s="50" t="n"/>
      <c r="B58" s="44" t="n"/>
      <c r="C58" s="44" t="n"/>
      <c r="D58" s="45" t="n"/>
      <c r="E58" s="44" t="n"/>
      <c r="F58" s="44" t="n"/>
      <c r="G58" s="44" t="n"/>
      <c r="H58" s="85" t="n"/>
      <c r="I58" s="85" t="n"/>
    </row>
    <row r="59">
      <c r="A59" s="50" t="n"/>
      <c r="B59" s="44" t="n"/>
      <c r="C59" s="44" t="n"/>
      <c r="D59" s="45" t="n"/>
      <c r="E59" s="44" t="n"/>
      <c r="F59" s="44" t="n"/>
      <c r="G59" s="44" t="n"/>
      <c r="H59" s="85" t="n"/>
      <c r="I59" s="85" t="n"/>
    </row>
    <row r="60">
      <c r="A60" s="50" t="n"/>
      <c r="B60" s="44" t="n"/>
      <c r="C60" s="44" t="n"/>
      <c r="D60" s="45" t="n"/>
      <c r="E60" s="44" t="n"/>
      <c r="F60" s="44" t="n"/>
      <c r="G60" s="44" t="n"/>
      <c r="H60" s="85" t="n"/>
      <c r="I60" s="85" t="n"/>
    </row>
    <row r="61">
      <c r="A61" s="50" t="n"/>
      <c r="B61" s="44" t="n"/>
      <c r="C61" s="44" t="n"/>
      <c r="D61" s="45" t="n"/>
      <c r="E61" s="44" t="n"/>
      <c r="F61" s="44" t="n"/>
      <c r="G61" s="44" t="n"/>
      <c r="H61" s="85" t="n"/>
      <c r="I61" s="85" t="n"/>
    </row>
    <row r="62">
      <c r="A62" s="50" t="n"/>
      <c r="B62" s="44" t="n"/>
      <c r="C62" s="44" t="n"/>
      <c r="D62" s="45" t="n"/>
      <c r="E62" s="44" t="n"/>
      <c r="F62" s="44" t="n"/>
      <c r="G62" s="44" t="n"/>
      <c r="H62" s="85" t="n"/>
      <c r="I62" s="85" t="n"/>
    </row>
    <row r="63">
      <c r="A63" s="50" t="n"/>
      <c r="B63" s="44" t="n"/>
      <c r="C63" s="44" t="n"/>
      <c r="D63" s="45" t="n"/>
      <c r="E63" s="44" t="n"/>
      <c r="F63" s="44" t="n"/>
      <c r="G63" s="44" t="n"/>
      <c r="H63" s="85" t="n"/>
      <c r="I63" s="85" t="n"/>
    </row>
    <row r="64">
      <c r="A64" s="50" t="n"/>
      <c r="B64" s="44" t="n"/>
      <c r="C64" s="44" t="n"/>
      <c r="D64" s="45" t="n"/>
      <c r="E64" s="44" t="n"/>
      <c r="F64" s="44" t="n"/>
      <c r="G64" s="44" t="n"/>
      <c r="H64" s="85" t="n"/>
      <c r="I64" s="85" t="n"/>
    </row>
    <row r="65">
      <c r="A65" s="50" t="n"/>
      <c r="B65" s="44" t="n"/>
      <c r="C65" s="44" t="n"/>
      <c r="D65" s="45" t="n"/>
      <c r="E65" s="44" t="n"/>
      <c r="F65" s="44" t="n"/>
      <c r="G65" s="44" t="n"/>
      <c r="H65" s="85" t="n"/>
      <c r="I65" s="85" t="n"/>
    </row>
    <row r="66">
      <c r="A66" s="50" t="n"/>
      <c r="B66" s="44" t="n"/>
      <c r="C66" s="44" t="n"/>
      <c r="D66" s="45" t="n"/>
      <c r="E66" s="44" t="n"/>
      <c r="F66" s="44" t="n"/>
      <c r="G66" s="44" t="n"/>
      <c r="H66" s="85" t="n"/>
      <c r="I66" s="85" t="n"/>
    </row>
    <row r="67">
      <c r="A67" s="50" t="n"/>
      <c r="B67" s="44" t="n"/>
      <c r="C67" s="44" t="n"/>
      <c r="D67" s="45" t="n"/>
      <c r="E67" s="44" t="n"/>
      <c r="F67" s="44" t="n"/>
      <c r="G67" s="44" t="n"/>
      <c r="H67" s="85" t="n"/>
      <c r="I67" s="85" t="n"/>
    </row>
    <row r="68">
      <c r="A68" s="50" t="n"/>
      <c r="B68" s="44" t="n"/>
      <c r="C68" s="44" t="n"/>
      <c r="D68" s="45" t="n"/>
      <c r="E68" s="44" t="n"/>
      <c r="F68" s="44" t="n"/>
      <c r="G68" s="44" t="n"/>
      <c r="H68" s="85" t="n"/>
      <c r="I68" s="85" t="n"/>
    </row>
    <row r="69">
      <c r="A69" s="50" t="n"/>
      <c r="B69" s="44" t="n"/>
      <c r="C69" s="44" t="n"/>
      <c r="D69" s="45" t="n"/>
      <c r="E69" s="44" t="n"/>
      <c r="F69" s="44" t="n"/>
      <c r="G69" s="44" t="n"/>
      <c r="H69" s="85" t="n"/>
      <c r="I69" s="85" t="n"/>
    </row>
    <row r="70">
      <c r="A70" s="50" t="n"/>
      <c r="B70" s="44" t="n"/>
      <c r="C70" s="44" t="n"/>
      <c r="D70" s="45" t="n"/>
      <c r="E70" s="44" t="n"/>
      <c r="F70" s="44" t="n"/>
      <c r="G70" s="44" t="n"/>
      <c r="H70" s="85" t="n"/>
      <c r="I70" s="85" t="n"/>
    </row>
    <row r="71">
      <c r="A71" s="50" t="n"/>
      <c r="B71" s="44" t="n"/>
      <c r="C71" s="44" t="n"/>
      <c r="D71" s="45" t="n"/>
      <c r="E71" s="44" t="n"/>
      <c r="F71" s="44" t="n"/>
      <c r="G71" s="44" t="n"/>
      <c r="H71" s="85" t="n"/>
      <c r="I71" s="85" t="n"/>
    </row>
    <row r="72">
      <c r="A72" s="50" t="n"/>
      <c r="B72" s="44" t="n"/>
      <c r="C72" s="44" t="n"/>
      <c r="D72" s="45" t="n"/>
      <c r="E72" s="44" t="n"/>
      <c r="F72" s="44" t="n"/>
      <c r="G72" s="44" t="n"/>
      <c r="H72" s="85" t="n"/>
      <c r="I72" s="85" t="n"/>
    </row>
    <row r="73">
      <c r="A73" s="50" t="n"/>
      <c r="B73" s="44" t="n"/>
      <c r="C73" s="44" t="n"/>
      <c r="D73" s="45" t="n"/>
      <c r="E73" s="44" t="n"/>
      <c r="F73" s="44" t="n"/>
      <c r="G73" s="44" t="n"/>
      <c r="H73" s="85" t="n"/>
      <c r="I73" s="85" t="n"/>
    </row>
    <row r="74">
      <c r="A74" s="50" t="n"/>
      <c r="B74" s="44" t="n"/>
      <c r="C74" s="44" t="n"/>
      <c r="D74" s="45" t="n"/>
      <c r="E74" s="44" t="n"/>
      <c r="F74" s="44" t="n"/>
      <c r="G74" s="44" t="n"/>
      <c r="H74" s="85" t="n"/>
      <c r="I74" s="85" t="n"/>
    </row>
    <row r="75">
      <c r="A75" s="50" t="n"/>
      <c r="B75" s="44" t="n"/>
      <c r="C75" s="44" t="n"/>
      <c r="D75" s="45" t="n"/>
      <c r="E75" s="44" t="n"/>
      <c r="F75" s="44" t="n"/>
      <c r="G75" s="44" t="n"/>
      <c r="H75" s="85" t="n"/>
      <c r="I75" s="85" t="n"/>
    </row>
    <row r="76">
      <c r="A76" s="50" t="n"/>
      <c r="B76" s="44" t="n"/>
      <c r="C76" s="44" t="n"/>
      <c r="D76" s="45" t="n"/>
      <c r="E76" s="44" t="n"/>
      <c r="F76" s="44" t="n"/>
      <c r="G76" s="44" t="n"/>
      <c r="H76" s="85" t="n"/>
      <c r="I76" s="85" t="n"/>
    </row>
    <row r="77">
      <c r="A77" s="50" t="n"/>
      <c r="B77" s="44" t="n"/>
      <c r="C77" s="44" t="n"/>
      <c r="D77" s="45" t="n"/>
      <c r="E77" s="44" t="n"/>
      <c r="F77" s="44" t="n"/>
      <c r="G77" s="44" t="n"/>
      <c r="H77" s="85" t="n"/>
      <c r="I77" s="85" t="n"/>
    </row>
    <row r="78">
      <c r="A78" s="50" t="n"/>
      <c r="B78" s="44" t="n"/>
      <c r="C78" s="44" t="n"/>
      <c r="D78" s="45" t="n"/>
      <c r="E78" s="44" t="n"/>
      <c r="F78" s="44" t="n"/>
      <c r="G78" s="44" t="n"/>
      <c r="H78" s="85" t="n"/>
      <c r="I78" s="85" t="n"/>
    </row>
    <row r="79">
      <c r="A79" s="50" t="n"/>
      <c r="B79" s="44" t="n"/>
      <c r="C79" s="44" t="n"/>
      <c r="D79" s="45" t="n"/>
      <c r="E79" s="44" t="n"/>
      <c r="F79" s="44" t="n"/>
      <c r="G79" s="44" t="n"/>
      <c r="H79" s="85" t="n"/>
      <c r="I79" s="85" t="n"/>
    </row>
    <row r="80">
      <c r="A80" s="50" t="n"/>
      <c r="B80" s="44" t="n"/>
      <c r="C80" s="44" t="n"/>
      <c r="D80" s="45" t="n"/>
      <c r="E80" s="44" t="n"/>
      <c r="F80" s="44" t="n"/>
      <c r="G80" s="44" t="n"/>
      <c r="H80" s="85" t="n"/>
      <c r="I80" s="85" t="n"/>
    </row>
    <row r="81">
      <c r="A81" s="50" t="n"/>
      <c r="B81" s="44" t="n"/>
      <c r="C81" s="44" t="n"/>
      <c r="D81" s="45" t="n"/>
      <c r="E81" s="44" t="n"/>
      <c r="F81" s="44" t="n"/>
      <c r="G81" s="44" t="n"/>
      <c r="H81" s="85" t="n"/>
      <c r="I81" s="85" t="n"/>
    </row>
    <row r="82">
      <c r="A82" s="50" t="n"/>
      <c r="B82" s="44" t="n"/>
      <c r="C82" s="44" t="n"/>
      <c r="D82" s="45" t="n"/>
      <c r="E82" s="44" t="n"/>
      <c r="F82" s="44" t="n"/>
      <c r="G82" s="44" t="n"/>
      <c r="H82" s="85" t="n"/>
      <c r="I82" s="85" t="n"/>
    </row>
    <row r="83">
      <c r="A83" s="50" t="n"/>
      <c r="B83" s="44" t="n"/>
      <c r="C83" s="44" t="n"/>
      <c r="D83" s="45" t="n"/>
      <c r="E83" s="44" t="n"/>
      <c r="F83" s="44" t="n"/>
      <c r="G83" s="44" t="n"/>
      <c r="H83" s="85" t="n"/>
      <c r="I83" s="85" t="n"/>
    </row>
    <row r="84">
      <c r="A84" s="50" t="n"/>
      <c r="B84" s="44" t="n"/>
      <c r="C84" s="44" t="n"/>
      <c r="D84" s="45" t="n"/>
      <c r="E84" s="44" t="n"/>
      <c r="F84" s="44" t="n"/>
      <c r="G84" s="44" t="n"/>
      <c r="H84" s="85" t="n"/>
      <c r="I84" s="85" t="n"/>
    </row>
    <row r="85">
      <c r="A85" s="50" t="n"/>
      <c r="B85" s="44" t="n"/>
      <c r="C85" s="44" t="n"/>
      <c r="D85" s="45" t="n"/>
      <c r="E85" s="44" t="n"/>
      <c r="F85" s="44" t="n"/>
      <c r="G85" s="44" t="n"/>
      <c r="H85" s="85" t="n"/>
      <c r="I85" s="85" t="n"/>
    </row>
    <row r="86">
      <c r="A86" s="50" t="n"/>
      <c r="B86" s="44" t="n"/>
      <c r="C86" s="44" t="n"/>
      <c r="D86" s="45" t="n"/>
      <c r="E86" s="44" t="n"/>
      <c r="F86" s="44" t="n"/>
      <c r="G86" s="44" t="n"/>
      <c r="H86" s="85" t="n"/>
      <c r="I86" s="85" t="n"/>
    </row>
    <row r="87">
      <c r="A87" s="50" t="n"/>
      <c r="B87" s="44" t="n"/>
      <c r="C87" s="44" t="n"/>
      <c r="D87" s="45" t="n"/>
      <c r="E87" s="44" t="n"/>
      <c r="F87" s="44" t="n"/>
      <c r="G87" s="44" t="n"/>
      <c r="H87" s="85" t="n"/>
      <c r="I87" s="85" t="n"/>
    </row>
    <row r="88">
      <c r="A88" s="50" t="n"/>
      <c r="B88" s="44" t="n"/>
      <c r="C88" s="44" t="n"/>
      <c r="D88" s="45" t="n"/>
      <c r="E88" s="44" t="n"/>
      <c r="F88" s="44" t="n"/>
      <c r="G88" s="44" t="n"/>
      <c r="H88" s="85" t="n"/>
      <c r="I88" s="85" t="n"/>
    </row>
    <row r="89">
      <c r="A89" s="50" t="n"/>
      <c r="B89" s="44" t="n"/>
      <c r="C89" s="44" t="n"/>
      <c r="D89" s="45" t="n"/>
      <c r="E89" s="44" t="n"/>
      <c r="F89" s="44" t="n"/>
      <c r="G89" s="44" t="n"/>
      <c r="H89" s="85" t="n"/>
      <c r="I89" s="85" t="n"/>
    </row>
    <row r="90">
      <c r="A90" s="50" t="n"/>
      <c r="B90" s="44" t="n"/>
      <c r="C90" s="44" t="n"/>
      <c r="D90" s="45" t="n"/>
      <c r="E90" s="44" t="n"/>
      <c r="F90" s="44" t="n"/>
      <c r="G90" s="44" t="n"/>
      <c r="H90" s="85" t="n"/>
      <c r="I90" s="85" t="n"/>
    </row>
    <row r="91">
      <c r="A91" s="50" t="n"/>
      <c r="B91" s="44" t="n"/>
      <c r="C91" s="44" t="n"/>
      <c r="D91" s="45" t="n"/>
      <c r="E91" s="44" t="n"/>
      <c r="F91" s="44" t="n"/>
      <c r="G91" s="44" t="n"/>
      <c r="H91" s="85" t="n"/>
      <c r="I91" s="85" t="n"/>
    </row>
    <row r="92">
      <c r="A92" s="50" t="n"/>
      <c r="B92" s="44" t="n"/>
      <c r="C92" s="44" t="n"/>
      <c r="D92" s="45" t="n"/>
      <c r="E92" s="44" t="n"/>
      <c r="F92" s="44" t="n"/>
      <c r="G92" s="44" t="n"/>
      <c r="H92" s="85" t="n"/>
      <c r="I92" s="85" t="n"/>
    </row>
    <row r="93">
      <c r="A93" s="50" t="n"/>
      <c r="B93" s="44" t="n"/>
      <c r="C93" s="44" t="n"/>
      <c r="D93" s="45" t="n"/>
      <c r="E93" s="44" t="n"/>
      <c r="F93" s="44" t="n"/>
      <c r="G93" s="44" t="n"/>
      <c r="H93" s="85" t="n"/>
      <c r="I93" s="85" t="n"/>
    </row>
    <row r="94">
      <c r="A94" s="50" t="n"/>
      <c r="B94" s="44" t="n"/>
      <c r="C94" s="44" t="n"/>
      <c r="D94" s="45" t="n"/>
      <c r="E94" s="44" t="n"/>
      <c r="F94" s="44" t="n"/>
      <c r="G94" s="44" t="n"/>
      <c r="H94" s="85" t="n"/>
      <c r="I94" s="85" t="n"/>
    </row>
    <row r="95">
      <c r="A95" s="50" t="n"/>
      <c r="B95" s="44" t="n"/>
      <c r="C95" s="44" t="n"/>
      <c r="D95" s="45" t="n"/>
      <c r="E95" s="44" t="n"/>
      <c r="F95" s="44" t="n"/>
      <c r="G95" s="44" t="n"/>
      <c r="H95" s="85" t="n"/>
      <c r="I95" s="85" t="n"/>
    </row>
    <row r="96">
      <c r="A96" s="50" t="n"/>
      <c r="B96" s="44" t="n"/>
      <c r="C96" s="44" t="n"/>
      <c r="D96" s="45" t="n"/>
      <c r="E96" s="44" t="n"/>
      <c r="F96" s="44" t="n"/>
      <c r="G96" s="44" t="n"/>
      <c r="H96" s="85" t="n"/>
      <c r="I96" s="85" t="n"/>
    </row>
    <row r="97">
      <c r="A97" s="50" t="n"/>
      <c r="B97" s="44" t="n"/>
      <c r="C97" s="44" t="n"/>
      <c r="D97" s="45" t="n"/>
      <c r="E97" s="44" t="n"/>
      <c r="F97" s="44" t="n"/>
      <c r="G97" s="44" t="n"/>
      <c r="H97" s="85" t="n"/>
      <c r="I97" s="85" t="n"/>
    </row>
    <row r="98">
      <c r="A98" s="50" t="n"/>
      <c r="B98" s="44" t="n"/>
      <c r="C98" s="44" t="n"/>
      <c r="D98" s="45" t="n"/>
      <c r="E98" s="44" t="n"/>
      <c r="F98" s="44" t="n"/>
      <c r="G98" s="44" t="n"/>
      <c r="H98" s="85" t="n"/>
      <c r="I98" s="85" t="n"/>
    </row>
    <row r="99">
      <c r="A99" s="50" t="n"/>
      <c r="B99" s="44" t="n"/>
      <c r="C99" s="44" t="n"/>
      <c r="D99" s="45" t="n"/>
      <c r="E99" s="44" t="n"/>
      <c r="F99" s="44" t="n"/>
      <c r="G99" s="44" t="n"/>
      <c r="H99" s="85" t="n"/>
      <c r="I99" s="85" t="n"/>
    </row>
    <row r="100">
      <c r="A100" s="50" t="n"/>
      <c r="B100" s="44" t="n"/>
      <c r="C100" s="44" t="n"/>
      <c r="D100" s="45" t="n"/>
      <c r="E100" s="44" t="n"/>
      <c r="F100" s="44" t="n"/>
      <c r="G100" s="44" t="n"/>
      <c r="H100" s="85" t="n"/>
      <c r="I100" s="85" t="n"/>
    </row>
    <row r="101">
      <c r="A101" s="50" t="n"/>
      <c r="B101" s="44" t="n"/>
      <c r="C101" s="44" t="n"/>
      <c r="D101" s="45" t="n"/>
      <c r="E101" s="44" t="n"/>
      <c r="F101" s="44" t="n"/>
      <c r="G101" s="44" t="n"/>
      <c r="H101" s="85" t="n"/>
      <c r="I101" s="85" t="n"/>
    </row>
    <row r="102">
      <c r="A102" s="50" t="n"/>
      <c r="B102" s="44" t="n"/>
      <c r="C102" s="44" t="n"/>
      <c r="D102" s="45" t="n"/>
      <c r="E102" s="44" t="n"/>
      <c r="F102" s="44" t="n"/>
      <c r="G102" s="44" t="n"/>
      <c r="H102" s="85" t="n"/>
      <c r="I102" s="85" t="n"/>
    </row>
    <row r="103">
      <c r="A103" s="50" t="n"/>
      <c r="B103" s="44" t="n"/>
      <c r="C103" s="44" t="n"/>
      <c r="D103" s="45" t="n"/>
      <c r="E103" s="44" t="n"/>
      <c r="F103" s="44" t="n"/>
      <c r="G103" s="44" t="n"/>
      <c r="H103" s="85" t="n"/>
      <c r="I103" s="85" t="n"/>
    </row>
    <row r="104">
      <c r="A104" s="50" t="n"/>
      <c r="B104" s="44" t="n"/>
      <c r="C104" s="44" t="n"/>
      <c r="D104" s="45" t="n"/>
      <c r="E104" s="44" t="n"/>
      <c r="F104" s="44" t="n"/>
      <c r="G104" s="44" t="n"/>
      <c r="H104" s="85" t="n"/>
      <c r="I104" s="85" t="n"/>
    </row>
    <row r="105">
      <c r="A105" s="50" t="n"/>
      <c r="B105" s="44" t="n"/>
      <c r="C105" s="44" t="n"/>
      <c r="D105" s="45" t="n"/>
      <c r="E105" s="44" t="n"/>
      <c r="F105" s="44" t="n"/>
      <c r="G105" s="44" t="n"/>
      <c r="H105" s="85" t="n"/>
      <c r="I105" s="85" t="n"/>
    </row>
    <row r="106">
      <c r="A106" s="50" t="n"/>
      <c r="B106" s="44" t="n"/>
      <c r="C106" s="44" t="n"/>
      <c r="D106" s="45" t="n"/>
      <c r="E106" s="44" t="n"/>
      <c r="F106" s="44" t="n"/>
      <c r="G106" s="44" t="n"/>
      <c r="H106" s="85" t="n"/>
      <c r="I106" s="85" t="n"/>
    </row>
    <row r="107">
      <c r="A107" s="50" t="n"/>
      <c r="B107" s="44" t="n"/>
      <c r="C107" s="44" t="n"/>
      <c r="D107" s="45" t="n"/>
      <c r="E107" s="44" t="n"/>
      <c r="F107" s="44" t="n"/>
      <c r="G107" s="44" t="n"/>
      <c r="H107" s="85" t="n"/>
      <c r="I107" s="85" t="n"/>
    </row>
    <row r="108">
      <c r="A108" s="50" t="n"/>
      <c r="B108" s="44" t="n"/>
      <c r="C108" s="44" t="n"/>
      <c r="D108" s="45" t="n"/>
      <c r="E108" s="44" t="n"/>
      <c r="F108" s="44" t="n"/>
      <c r="G108" s="44" t="n"/>
      <c r="H108" s="85" t="n"/>
      <c r="I108" s="85" t="n"/>
    </row>
    <row r="109">
      <c r="A109" s="50" t="n"/>
      <c r="B109" s="44" t="n"/>
      <c r="C109" s="44" t="n"/>
      <c r="D109" s="45" t="n"/>
      <c r="E109" s="44" t="n"/>
      <c r="F109" s="44" t="n"/>
      <c r="G109" s="44" t="n"/>
      <c r="H109" s="85" t="n"/>
      <c r="I109" s="85" t="n"/>
    </row>
    <row r="110">
      <c r="A110" s="50" t="n"/>
      <c r="B110" s="44" t="n"/>
      <c r="C110" s="44" t="n"/>
      <c r="D110" s="45" t="n"/>
      <c r="E110" s="44" t="n"/>
      <c r="F110" s="44" t="n"/>
      <c r="G110" s="44" t="n"/>
      <c r="H110" s="85" t="n"/>
      <c r="I110" s="85" t="n"/>
    </row>
    <row r="111">
      <c r="A111" s="50" t="n"/>
      <c r="B111" s="44" t="n"/>
      <c r="C111" s="44" t="n"/>
      <c r="D111" s="45" t="n"/>
      <c r="E111" s="44" t="n"/>
      <c r="F111" s="44" t="n"/>
      <c r="G111" s="44" t="n"/>
      <c r="H111" s="85" t="n"/>
      <c r="I111" s="85" t="n"/>
    </row>
    <row r="112">
      <c r="A112" s="50" t="n"/>
      <c r="B112" s="44" t="n"/>
      <c r="C112" s="44" t="n"/>
      <c r="D112" s="45" t="n"/>
      <c r="E112" s="44" t="n"/>
      <c r="F112" s="44" t="n"/>
      <c r="G112" s="44" t="n"/>
      <c r="H112" s="85" t="n"/>
      <c r="I112" s="85" t="n"/>
    </row>
    <row r="113">
      <c r="A113" s="50" t="n"/>
      <c r="B113" s="44" t="n"/>
      <c r="C113" s="44" t="n"/>
      <c r="D113" s="45" t="n"/>
      <c r="E113" s="44" t="n"/>
      <c r="F113" s="44" t="n"/>
      <c r="G113" s="44" t="n"/>
      <c r="H113" s="85" t="n"/>
      <c r="I113" s="85" t="n"/>
    </row>
    <row r="114">
      <c r="A114" s="50" t="n"/>
      <c r="B114" s="44" t="n"/>
      <c r="C114" s="44" t="n"/>
      <c r="D114" s="45" t="n"/>
      <c r="E114" s="44" t="n"/>
      <c r="F114" s="44" t="n"/>
      <c r="G114" s="44" t="n"/>
      <c r="H114" s="85" t="n"/>
      <c r="I114" s="85" t="n"/>
    </row>
    <row r="115">
      <c r="A115" s="50" t="n"/>
      <c r="B115" s="44" t="n"/>
      <c r="C115" s="44" t="n"/>
      <c r="D115" s="45" t="n"/>
      <c r="E115" s="44" t="n"/>
      <c r="F115" s="44" t="n"/>
      <c r="G115" s="44" t="n"/>
      <c r="H115" s="85" t="n"/>
      <c r="I115" s="85" t="n"/>
    </row>
    <row r="116">
      <c r="A116" s="50" t="n"/>
      <c r="B116" s="44" t="n"/>
      <c r="C116" s="44" t="n"/>
      <c r="D116" s="45" t="n"/>
      <c r="E116" s="44" t="n"/>
      <c r="F116" s="44" t="n"/>
      <c r="G116" s="44" t="n"/>
      <c r="H116" s="85" t="n"/>
      <c r="I116" s="85" t="n"/>
    </row>
    <row r="117">
      <c r="A117" s="50" t="n"/>
      <c r="B117" s="44" t="n"/>
      <c r="C117" s="44" t="n"/>
      <c r="D117" s="45" t="n"/>
      <c r="E117" s="44" t="n"/>
      <c r="F117" s="44" t="n"/>
      <c r="G117" s="44" t="n"/>
      <c r="H117" s="85" t="n"/>
      <c r="I117" s="85" t="n"/>
    </row>
    <row r="118">
      <c r="A118" s="50" t="n"/>
      <c r="B118" s="44" t="n"/>
      <c r="C118" s="44" t="n"/>
      <c r="D118" s="45" t="n"/>
      <c r="E118" s="44" t="n"/>
      <c r="F118" s="44" t="n"/>
      <c r="G118" s="44" t="n"/>
      <c r="H118" s="85" t="n"/>
      <c r="I118" s="85" t="n"/>
    </row>
    <row r="119">
      <c r="A119" s="50" t="n"/>
      <c r="B119" s="44" t="n"/>
      <c r="C119" s="44" t="n"/>
      <c r="D119" s="45" t="n"/>
      <c r="E119" s="44" t="n"/>
      <c r="F119" s="44" t="n"/>
      <c r="G119" s="44" t="n"/>
      <c r="H119" s="85" t="n"/>
      <c r="I119" s="85" t="n"/>
    </row>
    <row r="120">
      <c r="A120" s="50" t="n"/>
      <c r="B120" s="44" t="n"/>
      <c r="C120" s="44" t="n"/>
      <c r="D120" s="45" t="n"/>
      <c r="E120" s="44" t="n"/>
      <c r="F120" s="44" t="n"/>
      <c r="G120" s="44" t="n"/>
      <c r="H120" s="85" t="n"/>
      <c r="I120" s="85" t="n"/>
    </row>
    <row r="121">
      <c r="A121" s="50" t="n"/>
      <c r="B121" s="44" t="n"/>
      <c r="C121" s="44" t="n"/>
      <c r="D121" s="45" t="n"/>
      <c r="E121" s="44" t="n"/>
      <c r="F121" s="44" t="n"/>
      <c r="G121" s="44" t="n"/>
      <c r="H121" s="85" t="n"/>
      <c r="I121" s="85" t="n"/>
    </row>
    <row r="122">
      <c r="A122" s="50" t="n"/>
      <c r="B122" s="44" t="n"/>
      <c r="C122" s="44" t="n"/>
      <c r="D122" s="45" t="n"/>
      <c r="E122" s="44" t="n"/>
      <c r="F122" s="44" t="n"/>
      <c r="G122" s="44" t="n"/>
      <c r="H122" s="85" t="n"/>
      <c r="I122" s="85" t="n"/>
    </row>
    <row r="123">
      <c r="A123" s="50" t="n"/>
      <c r="B123" s="44" t="n"/>
      <c r="C123" s="44" t="n"/>
      <c r="D123" s="45" t="n"/>
      <c r="E123" s="44" t="n"/>
      <c r="F123" s="44" t="n"/>
      <c r="G123" s="44" t="n"/>
      <c r="H123" s="85" t="n"/>
      <c r="I123" s="85" t="n"/>
    </row>
    <row r="124">
      <c r="A124" s="50" t="n"/>
      <c r="B124" s="44" t="n"/>
      <c r="C124" s="44" t="n"/>
      <c r="D124" s="45" t="n"/>
      <c r="E124" s="44" t="n"/>
      <c r="F124" s="44" t="n"/>
      <c r="G124" s="44" t="n"/>
      <c r="H124" s="85" t="n"/>
      <c r="I124" s="85" t="n"/>
    </row>
    <row r="125">
      <c r="A125" s="50" t="n"/>
      <c r="B125" s="44" t="n"/>
      <c r="C125" s="44" t="n"/>
      <c r="D125" s="45" t="n"/>
      <c r="E125" s="44" t="n"/>
      <c r="F125" s="44" t="n"/>
      <c r="G125" s="44" t="n"/>
      <c r="H125" s="85" t="n"/>
      <c r="I125" s="85" t="n"/>
    </row>
    <row r="126">
      <c r="A126" s="50" t="n"/>
      <c r="B126" s="44" t="n"/>
      <c r="C126" s="44" t="n"/>
      <c r="D126" s="45" t="n"/>
      <c r="E126" s="44" t="n"/>
      <c r="F126" s="44" t="n"/>
      <c r="G126" s="44" t="n"/>
      <c r="H126" s="85" t="n"/>
      <c r="I126" s="85" t="n"/>
    </row>
    <row r="127">
      <c r="A127" s="50" t="n"/>
      <c r="B127" s="44" t="n"/>
      <c r="C127" s="44" t="n"/>
      <c r="D127" s="45" t="n"/>
      <c r="E127" s="44" t="n"/>
      <c r="F127" s="44" t="n"/>
      <c r="G127" s="44" t="n"/>
      <c r="H127" s="85" t="n"/>
      <c r="I127" s="85" t="n"/>
    </row>
    <row r="128">
      <c r="A128" s="50" t="n"/>
      <c r="B128" s="44" t="n"/>
      <c r="C128" s="44" t="n"/>
      <c r="D128" s="45" t="n"/>
      <c r="E128" s="44" t="n"/>
      <c r="F128" s="44" t="n"/>
      <c r="G128" s="44" t="n"/>
      <c r="H128" s="85" t="n"/>
      <c r="I128" s="85" t="n"/>
    </row>
    <row r="129">
      <c r="A129" s="50" t="n"/>
      <c r="B129" s="44" t="n"/>
      <c r="C129" s="44" t="n"/>
      <c r="D129" s="45" t="n"/>
      <c r="E129" s="44" t="n"/>
      <c r="F129" s="44" t="n"/>
      <c r="G129" s="44" t="n"/>
      <c r="H129" s="85" t="n"/>
      <c r="I129" s="85" t="n"/>
    </row>
    <row r="130">
      <c r="A130" s="50" t="n"/>
      <c r="B130" s="44" t="n"/>
      <c r="C130" s="44" t="n"/>
      <c r="D130" s="45" t="n"/>
      <c r="E130" s="44" t="n"/>
      <c r="F130" s="44" t="n"/>
      <c r="G130" s="44" t="n"/>
      <c r="H130" s="85" t="n"/>
      <c r="I130" s="85" t="n"/>
    </row>
    <row r="131">
      <c r="A131" s="50" t="n"/>
      <c r="B131" s="44" t="n"/>
      <c r="C131" s="44" t="n"/>
      <c r="D131" s="45" t="n"/>
      <c r="E131" s="44" t="n"/>
      <c r="F131" s="44" t="n"/>
      <c r="G131" s="44" t="n"/>
      <c r="H131" s="85" t="n"/>
      <c r="I131" s="85" t="n"/>
    </row>
    <row r="132">
      <c r="A132" s="50" t="n"/>
      <c r="B132" s="44" t="n"/>
      <c r="C132" s="44" t="n"/>
      <c r="D132" s="45" t="n"/>
      <c r="E132" s="44" t="n"/>
      <c r="F132" s="44" t="n"/>
      <c r="G132" s="44" t="n"/>
      <c r="H132" s="85" t="n"/>
      <c r="I132" s="85" t="n"/>
    </row>
    <row r="133">
      <c r="A133" s="50" t="n"/>
      <c r="B133" s="44" t="n"/>
      <c r="C133" s="44" t="n"/>
      <c r="D133" s="45" t="n"/>
      <c r="E133" s="44" t="n"/>
      <c r="F133" s="44" t="n"/>
      <c r="G133" s="44" t="n"/>
      <c r="H133" s="85" t="n"/>
      <c r="I133" s="85" t="n"/>
    </row>
    <row r="134">
      <c r="A134" s="50" t="n"/>
      <c r="B134" s="44" t="n"/>
      <c r="C134" s="44" t="n"/>
      <c r="D134" s="45" t="n"/>
      <c r="E134" s="44" t="n"/>
      <c r="F134" s="44" t="n"/>
      <c r="G134" s="44" t="n"/>
      <c r="H134" s="85" t="n"/>
      <c r="I134" s="85" t="n"/>
    </row>
    <row r="135">
      <c r="A135" s="50" t="n"/>
      <c r="B135" s="44" t="n"/>
      <c r="C135" s="44" t="n"/>
      <c r="D135" s="45" t="n"/>
      <c r="E135" s="44" t="n"/>
      <c r="F135" s="44" t="n"/>
      <c r="G135" s="44" t="n"/>
      <c r="H135" s="85" t="n"/>
      <c r="I135" s="85" t="n"/>
    </row>
    <row r="136">
      <c r="A136" s="50" t="n"/>
      <c r="B136" s="44" t="n"/>
      <c r="C136" s="44" t="n"/>
      <c r="D136" s="45" t="n"/>
      <c r="E136" s="44" t="n"/>
      <c r="F136" s="44" t="n"/>
      <c r="G136" s="44" t="n"/>
      <c r="H136" s="85" t="n"/>
      <c r="I136" s="85" t="n"/>
    </row>
    <row r="137">
      <c r="A137" s="50" t="n"/>
      <c r="B137" s="44" t="n"/>
      <c r="C137" s="44" t="n"/>
      <c r="D137" s="45" t="n"/>
      <c r="E137" s="44" t="n"/>
      <c r="F137" s="44" t="n"/>
      <c r="G137" s="44" t="n"/>
      <c r="H137" s="85" t="n"/>
      <c r="I137" s="85" t="n"/>
    </row>
    <row r="138">
      <c r="A138" s="50" t="n"/>
      <c r="B138" s="44" t="n"/>
      <c r="C138" s="44" t="n"/>
      <c r="D138" s="45" t="n"/>
      <c r="E138" s="44" t="n"/>
      <c r="F138" s="44" t="n"/>
      <c r="G138" s="44" t="n"/>
      <c r="H138" s="85" t="n"/>
      <c r="I138" s="85" t="n"/>
    </row>
    <row r="139">
      <c r="A139" s="50" t="n"/>
      <c r="B139" s="44" t="n"/>
      <c r="C139" s="44" t="n"/>
      <c r="D139" s="45" t="n"/>
      <c r="E139" s="44" t="n"/>
      <c r="F139" s="44" t="n"/>
      <c r="G139" s="44" t="n"/>
      <c r="H139" s="85" t="n"/>
      <c r="I139" s="85" t="n"/>
    </row>
    <row r="140">
      <c r="A140" s="50" t="n"/>
      <c r="B140" s="44" t="n"/>
      <c r="C140" s="44" t="n"/>
      <c r="D140" s="45" t="n"/>
      <c r="E140" s="44" t="n"/>
      <c r="F140" s="44" t="n"/>
      <c r="G140" s="44" t="n"/>
      <c r="H140" s="85" t="n"/>
      <c r="I140" s="85" t="n"/>
    </row>
    <row r="141">
      <c r="A141" s="50" t="n"/>
      <c r="B141" s="44" t="n"/>
      <c r="C141" s="44" t="n"/>
      <c r="D141" s="45" t="n"/>
      <c r="E141" s="44" t="n"/>
      <c r="F141" s="44" t="n"/>
      <c r="G141" s="44" t="n"/>
      <c r="H141" s="85" t="n"/>
      <c r="I141" s="85" t="n"/>
    </row>
    <row r="142">
      <c r="A142" s="50" t="n"/>
      <c r="B142" s="44" t="n"/>
      <c r="C142" s="44" t="n"/>
      <c r="D142" s="45" t="n"/>
      <c r="E142" s="44" t="n"/>
      <c r="F142" s="44" t="n"/>
      <c r="G142" s="44" t="n"/>
      <c r="H142" s="85" t="n"/>
      <c r="I142" s="85" t="n"/>
    </row>
    <row r="143">
      <c r="A143" s="50" t="n"/>
      <c r="B143" s="44" t="n"/>
      <c r="C143" s="44" t="n"/>
      <c r="D143" s="45" t="n"/>
      <c r="E143" s="44" t="n"/>
      <c r="F143" s="44" t="n"/>
      <c r="G143" s="44" t="n"/>
      <c r="H143" s="85" t="n"/>
      <c r="I143" s="85" t="n"/>
    </row>
    <row r="144">
      <c r="A144" s="50" t="n"/>
      <c r="B144" s="44" t="n"/>
      <c r="C144" s="44" t="n"/>
      <c r="D144" s="45" t="n"/>
      <c r="E144" s="44" t="n"/>
      <c r="F144" s="44" t="n"/>
      <c r="G144" s="44" t="n"/>
      <c r="H144" s="85" t="n"/>
      <c r="I144" s="85" t="n"/>
    </row>
    <row r="145">
      <c r="A145" s="50" t="n"/>
      <c r="B145" s="44" t="n"/>
      <c r="C145" s="44" t="n"/>
      <c r="D145" s="45" t="n"/>
      <c r="E145" s="44" t="n"/>
      <c r="F145" s="44" t="n"/>
      <c r="G145" s="44" t="n"/>
      <c r="H145" s="85" t="n"/>
      <c r="I145" s="85" t="n"/>
    </row>
    <row r="146">
      <c r="A146" s="50" t="n"/>
      <c r="B146" s="44" t="n"/>
      <c r="C146" s="44" t="n"/>
      <c r="D146" s="45" t="n"/>
      <c r="E146" s="44" t="n"/>
      <c r="F146" s="44" t="n"/>
      <c r="G146" s="44" t="n"/>
      <c r="H146" s="85" t="n"/>
      <c r="I146" s="85" t="n"/>
    </row>
    <row r="147">
      <c r="A147" s="50" t="n"/>
      <c r="B147" s="44" t="n"/>
      <c r="C147" s="44" t="n"/>
      <c r="D147" s="45" t="n"/>
      <c r="E147" s="44" t="n"/>
      <c r="F147" s="44" t="n"/>
      <c r="G147" s="44" t="n"/>
      <c r="H147" s="85" t="n"/>
      <c r="I147" s="85" t="n"/>
    </row>
    <row r="148">
      <c r="A148" s="50" t="n"/>
      <c r="B148" s="44" t="n"/>
      <c r="C148" s="44" t="n"/>
      <c r="D148" s="45" t="n"/>
      <c r="E148" s="44" t="n"/>
      <c r="F148" s="44" t="n"/>
      <c r="G148" s="44" t="n"/>
      <c r="H148" s="85" t="n"/>
      <c r="I148" s="85" t="n"/>
    </row>
    <row r="149">
      <c r="A149" s="50" t="n"/>
      <c r="B149" s="44" t="n"/>
      <c r="C149" s="44" t="n"/>
      <c r="D149" s="45" t="n"/>
      <c r="E149" s="44" t="n"/>
      <c r="F149" s="44" t="n"/>
      <c r="G149" s="44" t="n"/>
      <c r="H149" s="85" t="n"/>
      <c r="I149" s="85" t="n"/>
    </row>
    <row r="150">
      <c r="A150" s="50" t="n"/>
      <c r="B150" s="44" t="n"/>
      <c r="C150" s="44" t="n"/>
      <c r="D150" s="45" t="n"/>
      <c r="E150" s="44" t="n"/>
      <c r="F150" s="44" t="n"/>
      <c r="G150" s="44" t="n"/>
      <c r="H150" s="85" t="n"/>
      <c r="I150" s="85" t="n"/>
    </row>
    <row r="151">
      <c r="A151" s="50" t="n"/>
      <c r="B151" s="44" t="n"/>
      <c r="C151" s="44" t="n"/>
      <c r="D151" s="45" t="n"/>
      <c r="E151" s="44" t="n"/>
      <c r="F151" s="44" t="n"/>
      <c r="G151" s="44" t="n"/>
      <c r="H151" s="85" t="n"/>
      <c r="I151" s="85" t="n"/>
    </row>
    <row r="152">
      <c r="A152" s="50" t="n"/>
      <c r="B152" s="44" t="n"/>
      <c r="C152" s="44" t="n"/>
      <c r="D152" s="45" t="n"/>
      <c r="E152" s="44" t="n"/>
      <c r="F152" s="44" t="n"/>
      <c r="G152" s="44" t="n"/>
      <c r="H152" s="85" t="n"/>
      <c r="I152" s="85" t="n"/>
    </row>
    <row r="153">
      <c r="A153" s="50" t="n"/>
      <c r="B153" s="44" t="n"/>
      <c r="C153" s="44" t="n"/>
      <c r="D153" s="45" t="n"/>
      <c r="E153" s="44" t="n"/>
      <c r="F153" s="44" t="n"/>
      <c r="G153" s="44" t="n"/>
      <c r="H153" s="85" t="n"/>
      <c r="I153" s="85" t="n"/>
    </row>
    <row r="154">
      <c r="A154" s="50" t="n"/>
      <c r="B154" s="44" t="n"/>
      <c r="C154" s="44" t="n"/>
      <c r="D154" s="45" t="n"/>
      <c r="E154" s="44" t="n"/>
      <c r="F154" s="44" t="n"/>
      <c r="G154" s="44" t="n"/>
      <c r="H154" s="85" t="n"/>
      <c r="I154" s="85" t="n"/>
    </row>
    <row r="155">
      <c r="A155" s="50" t="n"/>
      <c r="B155" s="44" t="n"/>
      <c r="C155" s="44" t="n"/>
      <c r="D155" s="45" t="n"/>
      <c r="E155" s="44" t="n"/>
      <c r="F155" s="44" t="n"/>
      <c r="G155" s="44" t="n"/>
      <c r="H155" s="85" t="n"/>
      <c r="I155" s="85" t="n"/>
    </row>
    <row r="156">
      <c r="A156" s="50" t="n"/>
      <c r="B156" s="44" t="n"/>
      <c r="C156" s="44" t="n"/>
      <c r="D156" s="45" t="n"/>
      <c r="E156" s="44" t="n"/>
      <c r="F156" s="44" t="n"/>
      <c r="G156" s="44" t="n"/>
      <c r="H156" s="85" t="n"/>
      <c r="I156" s="85" t="n"/>
    </row>
    <row r="157">
      <c r="A157" s="50" t="n"/>
      <c r="B157" s="44" t="n"/>
      <c r="C157" s="44" t="n"/>
      <c r="D157" s="45" t="n"/>
      <c r="E157" s="44" t="n"/>
      <c r="F157" s="44" t="n"/>
      <c r="G157" s="44" t="n"/>
      <c r="H157" s="85" t="n"/>
      <c r="I157" s="85" t="n"/>
    </row>
    <row r="158">
      <c r="A158" s="50" t="n"/>
      <c r="B158" s="44" t="n"/>
      <c r="C158" s="44" t="n"/>
      <c r="D158" s="45" t="n"/>
      <c r="E158" s="44" t="n"/>
      <c r="F158" s="44" t="n"/>
      <c r="G158" s="44" t="n"/>
      <c r="H158" s="85" t="n"/>
      <c r="I158" s="85" t="n"/>
    </row>
    <row r="159">
      <c r="A159" s="50" t="n"/>
      <c r="B159" s="44" t="n"/>
      <c r="C159" s="44" t="n"/>
      <c r="D159" s="45" t="n"/>
      <c r="E159" s="44" t="n"/>
      <c r="F159" s="44" t="n"/>
      <c r="G159" s="44" t="n"/>
      <c r="H159" s="85" t="n"/>
      <c r="I159" s="85" t="n"/>
    </row>
    <row r="160">
      <c r="A160" s="50" t="n"/>
      <c r="B160" s="44" t="n"/>
      <c r="C160" s="44" t="n"/>
      <c r="D160" s="45" t="n"/>
      <c r="E160" s="44" t="n"/>
      <c r="F160" s="44" t="n"/>
      <c r="G160" s="44" t="n"/>
      <c r="H160" s="85" t="n"/>
      <c r="I160" s="85" t="n"/>
    </row>
    <row r="161">
      <c r="A161" s="50" t="n"/>
      <c r="B161" s="44" t="n"/>
      <c r="C161" s="44" t="n"/>
      <c r="D161" s="45" t="n"/>
      <c r="E161" s="44" t="n"/>
      <c r="F161" s="44" t="n"/>
      <c r="G161" s="44" t="n"/>
      <c r="H161" s="85" t="n"/>
      <c r="I161" s="85" t="n"/>
    </row>
    <row r="162">
      <c r="A162" s="50" t="n"/>
      <c r="B162" s="44" t="n"/>
      <c r="C162" s="44" t="n"/>
      <c r="D162" s="45" t="n"/>
      <c r="E162" s="44" t="n"/>
      <c r="F162" s="44" t="n"/>
      <c r="G162" s="44" t="n"/>
      <c r="H162" s="85" t="n"/>
      <c r="I162" s="85" t="n"/>
    </row>
    <row r="163">
      <c r="A163" s="50" t="n"/>
      <c r="B163" s="44" t="n"/>
      <c r="C163" s="44" t="n"/>
      <c r="D163" s="45" t="n"/>
      <c r="E163" s="44" t="n"/>
      <c r="F163" s="44" t="n"/>
      <c r="G163" s="44" t="n"/>
      <c r="H163" s="85" t="n"/>
      <c r="I163" s="85" t="n"/>
    </row>
    <row r="164">
      <c r="A164" s="50" t="n"/>
      <c r="B164" s="44" t="n"/>
      <c r="C164" s="44" t="n"/>
      <c r="D164" s="45" t="n"/>
      <c r="E164" s="44" t="n"/>
      <c r="F164" s="44" t="n"/>
      <c r="G164" s="44" t="n"/>
      <c r="H164" s="85" t="n"/>
      <c r="I164" s="85" t="n"/>
    </row>
    <row r="165">
      <c r="A165" s="50" t="n"/>
      <c r="B165" s="44" t="n"/>
      <c r="C165" s="44" t="n"/>
      <c r="D165" s="45" t="n"/>
      <c r="E165" s="44" t="n"/>
      <c r="F165" s="44" t="n"/>
      <c r="G165" s="44" t="n"/>
      <c r="H165" s="85" t="n"/>
      <c r="I165" s="85" t="n"/>
    </row>
    <row r="166">
      <c r="A166" s="50" t="n"/>
      <c r="B166" s="44" t="n"/>
      <c r="C166" s="44" t="n"/>
      <c r="D166" s="45" t="n"/>
      <c r="E166" s="44" t="n"/>
      <c r="F166" s="44" t="n"/>
      <c r="G166" s="44" t="n"/>
      <c r="H166" s="85" t="n"/>
      <c r="I166" s="85" t="n"/>
    </row>
    <row r="167">
      <c r="A167" s="50" t="n"/>
      <c r="B167" s="44" t="n"/>
      <c r="C167" s="44" t="n"/>
      <c r="D167" s="45" t="n"/>
      <c r="E167" s="44" t="n"/>
      <c r="F167" s="44" t="n"/>
      <c r="G167" s="44" t="n"/>
      <c r="H167" s="85" t="n"/>
      <c r="I167" s="85" t="n"/>
    </row>
    <row r="168">
      <c r="A168" s="50" t="n"/>
      <c r="B168" s="44" t="n"/>
      <c r="C168" s="44" t="n"/>
      <c r="D168" s="45" t="n"/>
      <c r="E168" s="44" t="n"/>
      <c r="F168" s="44" t="n"/>
      <c r="G168" s="44" t="n"/>
      <c r="H168" s="85" t="n"/>
      <c r="I168" s="85" t="n"/>
    </row>
    <row r="169">
      <c r="A169" s="50" t="n"/>
      <c r="B169" s="44" t="n"/>
      <c r="C169" s="44" t="n"/>
      <c r="D169" s="45" t="n"/>
      <c r="E169" s="44" t="n"/>
      <c r="F169" s="44" t="n"/>
      <c r="G169" s="44" t="n"/>
      <c r="H169" s="85" t="n"/>
      <c r="I169" s="85" t="n"/>
    </row>
    <row r="170">
      <c r="A170" s="50" t="n"/>
      <c r="B170" s="44" t="n"/>
      <c r="C170" s="44" t="n"/>
      <c r="D170" s="45" t="n"/>
      <c r="E170" s="44" t="n"/>
      <c r="F170" s="44" t="n"/>
      <c r="G170" s="44" t="n"/>
      <c r="H170" s="85" t="n"/>
      <c r="I170" s="85" t="n"/>
    </row>
    <row r="171">
      <c r="A171" s="50" t="n"/>
      <c r="B171" s="44" t="n"/>
      <c r="C171" s="44" t="n"/>
      <c r="D171" s="45" t="n"/>
      <c r="E171" s="44" t="n"/>
      <c r="F171" s="44" t="n"/>
      <c r="G171" s="44" t="n"/>
      <c r="H171" s="85" t="n"/>
      <c r="I171" s="85" t="n"/>
    </row>
    <row r="172">
      <c r="A172" s="50" t="n"/>
      <c r="B172" s="44" t="n"/>
      <c r="C172" s="44" t="n"/>
      <c r="D172" s="45" t="n"/>
      <c r="E172" s="44" t="n"/>
      <c r="F172" s="44" t="n"/>
      <c r="G172" s="44" t="n"/>
      <c r="H172" s="85" t="n"/>
      <c r="I172" s="85" t="n"/>
    </row>
    <row r="173">
      <c r="A173" s="50" t="n"/>
      <c r="B173" s="44" t="n"/>
      <c r="C173" s="44" t="n"/>
      <c r="D173" s="45" t="n"/>
      <c r="E173" s="44" t="n"/>
      <c r="F173" s="44" t="n"/>
      <c r="G173" s="44" t="n"/>
      <c r="H173" s="85" t="n"/>
      <c r="I173" s="85" t="n"/>
    </row>
    <row r="174">
      <c r="A174" s="50" t="n"/>
      <c r="B174" s="44" t="n"/>
      <c r="C174" s="44" t="n"/>
      <c r="D174" s="45" t="n"/>
      <c r="E174" s="44" t="n"/>
      <c r="F174" s="44" t="n"/>
      <c r="G174" s="44" t="n"/>
      <c r="H174" s="85" t="n"/>
      <c r="I174" s="85" t="n"/>
    </row>
    <row r="175">
      <c r="A175" s="50" t="n"/>
      <c r="B175" s="44" t="n"/>
      <c r="C175" s="44" t="n"/>
      <c r="D175" s="45" t="n"/>
      <c r="E175" s="44" t="n"/>
      <c r="F175" s="44" t="n"/>
      <c r="G175" s="44" t="n"/>
      <c r="H175" s="85" t="n"/>
      <c r="I175" s="85" t="n"/>
    </row>
    <row r="176">
      <c r="A176" s="50" t="n"/>
      <c r="B176" s="44" t="n"/>
      <c r="C176" s="44" t="n"/>
      <c r="D176" s="45" t="n"/>
      <c r="E176" s="44" t="n"/>
      <c r="F176" s="44" t="n"/>
      <c r="G176" s="44" t="n"/>
      <c r="H176" s="85" t="n"/>
      <c r="I176" s="85" t="n"/>
    </row>
    <row r="177">
      <c r="A177" s="50" t="n"/>
      <c r="B177" s="44" t="n"/>
      <c r="C177" s="44" t="n"/>
      <c r="D177" s="45" t="n"/>
      <c r="E177" s="44" t="n"/>
      <c r="F177" s="44" t="n"/>
      <c r="G177" s="44" t="n"/>
      <c r="H177" s="85" t="n"/>
      <c r="I177" s="85" t="n"/>
    </row>
    <row r="178">
      <c r="A178" s="50" t="n"/>
      <c r="B178" s="44" t="n"/>
      <c r="C178" s="44" t="n"/>
      <c r="D178" s="45" t="n"/>
      <c r="E178" s="44" t="n"/>
      <c r="F178" s="44" t="n"/>
      <c r="G178" s="44" t="n"/>
      <c r="H178" s="85" t="n"/>
      <c r="I178" s="85" t="n"/>
    </row>
    <row r="179">
      <c r="A179" s="50" t="n"/>
      <c r="B179" s="44" t="n"/>
      <c r="C179" s="44" t="n"/>
      <c r="D179" s="45" t="n"/>
      <c r="E179" s="44" t="n"/>
      <c r="F179" s="44" t="n"/>
      <c r="G179" s="44" t="n"/>
      <c r="H179" s="85" t="n"/>
      <c r="I179" s="85" t="n"/>
    </row>
    <row r="180">
      <c r="A180" s="50" t="n"/>
      <c r="B180" s="44" t="n"/>
      <c r="C180" s="44" t="n"/>
      <c r="D180" s="45" t="n"/>
      <c r="E180" s="44" t="n"/>
      <c r="F180" s="44" t="n"/>
      <c r="G180" s="44" t="n"/>
      <c r="H180" s="85" t="n"/>
      <c r="I180" s="85" t="n"/>
    </row>
    <row r="181">
      <c r="A181" s="50" t="n"/>
      <c r="B181" s="44" t="n"/>
      <c r="C181" s="44" t="n"/>
      <c r="D181" s="45" t="n"/>
      <c r="E181" s="44" t="n"/>
      <c r="F181" s="44" t="n"/>
      <c r="G181" s="44" t="n"/>
      <c r="H181" s="85" t="n"/>
      <c r="I181" s="85" t="n"/>
    </row>
    <row r="182">
      <c r="A182" s="50" t="n"/>
      <c r="B182" s="44" t="n"/>
      <c r="C182" s="44" t="n"/>
      <c r="D182" s="45" t="n"/>
      <c r="E182" s="44" t="n"/>
      <c r="F182" s="44" t="n"/>
      <c r="G182" s="44" t="n"/>
      <c r="H182" s="85" t="n"/>
      <c r="I182" s="85" t="n"/>
    </row>
    <row r="183">
      <c r="A183" s="50" t="n"/>
      <c r="B183" s="44" t="n"/>
      <c r="C183" s="44" t="n"/>
      <c r="D183" s="45" t="n"/>
      <c r="E183" s="44" t="n"/>
      <c r="F183" s="44" t="n"/>
      <c r="G183" s="44" t="n"/>
      <c r="H183" s="85" t="n"/>
      <c r="I183" s="85" t="n"/>
    </row>
    <row r="184">
      <c r="A184" s="50" t="n"/>
      <c r="B184" s="44" t="n"/>
      <c r="C184" s="44" t="n"/>
      <c r="D184" s="45" t="n"/>
      <c r="E184" s="44" t="n"/>
      <c r="F184" s="44" t="n"/>
      <c r="G184" s="44" t="n"/>
      <c r="H184" s="85" t="n"/>
      <c r="I184" s="85" t="n"/>
    </row>
    <row r="185">
      <c r="A185" s="50" t="n"/>
      <c r="B185" s="44" t="n"/>
      <c r="C185" s="44" t="n"/>
      <c r="D185" s="45" t="n"/>
      <c r="E185" s="44" t="n"/>
      <c r="F185" s="44" t="n"/>
      <c r="G185" s="44" t="n"/>
      <c r="H185" s="85" t="n"/>
      <c r="I185" s="85" t="n"/>
    </row>
    <row r="186">
      <c r="A186" s="50" t="n"/>
      <c r="B186" s="44" t="n"/>
      <c r="C186" s="44" t="n"/>
      <c r="D186" s="45" t="n"/>
      <c r="E186" s="44" t="n"/>
      <c r="F186" s="44" t="n"/>
      <c r="G186" s="44" t="n"/>
      <c r="H186" s="85" t="n"/>
      <c r="I186" s="85" t="n"/>
    </row>
    <row r="187">
      <c r="A187" s="50" t="n"/>
      <c r="B187" s="44" t="n"/>
      <c r="C187" s="44" t="n"/>
      <c r="D187" s="45" t="n"/>
      <c r="E187" s="44" t="n"/>
      <c r="F187" s="44" t="n"/>
      <c r="G187" s="44" t="n"/>
      <c r="H187" s="85" t="n"/>
      <c r="I187" s="85" t="n"/>
    </row>
    <row r="188">
      <c r="A188" s="50" t="n"/>
      <c r="B188" s="44" t="n"/>
      <c r="C188" s="44" t="n"/>
      <c r="D188" s="45" t="n"/>
      <c r="E188" s="44" t="n"/>
      <c r="F188" s="44" t="n"/>
      <c r="G188" s="44" t="n"/>
      <c r="H188" s="85" t="n"/>
      <c r="I188" s="85" t="n"/>
    </row>
    <row r="189">
      <c r="A189" s="50" t="n"/>
      <c r="B189" s="44" t="n"/>
      <c r="C189" s="44" t="n"/>
      <c r="D189" s="45" t="n"/>
      <c r="E189" s="44" t="n"/>
      <c r="F189" s="44" t="n"/>
      <c r="G189" s="44" t="n"/>
      <c r="H189" s="85" t="n"/>
      <c r="I189" s="85" t="n"/>
    </row>
    <row r="190">
      <c r="A190" s="50" t="n"/>
      <c r="B190" s="44" t="n"/>
      <c r="C190" s="44" t="n"/>
      <c r="D190" s="45" t="n"/>
      <c r="E190" s="44" t="n"/>
      <c r="F190" s="44" t="n"/>
      <c r="G190" s="44" t="n"/>
      <c r="H190" s="85" t="n"/>
      <c r="I190" s="85" t="n"/>
    </row>
    <row r="191">
      <c r="A191" s="50" t="n"/>
      <c r="B191" s="44" t="n"/>
      <c r="C191" s="44" t="n"/>
      <c r="D191" s="45" t="n"/>
      <c r="E191" s="44" t="n"/>
      <c r="F191" s="44" t="n"/>
      <c r="G191" s="44" t="n"/>
      <c r="H191" s="85" t="n"/>
      <c r="I191" s="85" t="n"/>
    </row>
    <row r="192">
      <c r="A192" s="50" t="n"/>
      <c r="B192" s="44" t="n"/>
      <c r="C192" s="44" t="n"/>
      <c r="D192" s="45" t="n"/>
      <c r="E192" s="44" t="n"/>
      <c r="F192" s="44" t="n"/>
      <c r="G192" s="44" t="n"/>
      <c r="H192" s="85" t="n"/>
      <c r="I192" s="85" t="n"/>
    </row>
    <row r="193">
      <c r="A193" s="50" t="n"/>
      <c r="B193" s="44" t="n"/>
      <c r="C193" s="44" t="n"/>
      <c r="D193" s="45" t="n"/>
      <c r="E193" s="44" t="n"/>
      <c r="F193" s="44" t="n"/>
      <c r="G193" s="44" t="n"/>
      <c r="H193" s="85" t="n"/>
      <c r="I193" s="85" t="n"/>
    </row>
    <row r="194">
      <c r="A194" s="50" t="n"/>
      <c r="B194" s="44" t="n"/>
      <c r="C194" s="44" t="n"/>
      <c r="D194" s="45" t="n"/>
      <c r="E194" s="44" t="n"/>
      <c r="F194" s="44" t="n"/>
      <c r="G194" s="44" t="n"/>
      <c r="H194" s="85" t="n"/>
      <c r="I194" s="85" t="n"/>
    </row>
    <row r="195">
      <c r="A195" s="50" t="n"/>
      <c r="B195" s="44" t="n"/>
      <c r="C195" s="44" t="n"/>
      <c r="D195" s="45" t="n"/>
      <c r="E195" s="44" t="n"/>
      <c r="F195" s="44" t="n"/>
      <c r="G195" s="44" t="n"/>
      <c r="H195" s="85" t="n"/>
      <c r="I195" s="85" t="n"/>
    </row>
    <row r="196">
      <c r="A196" s="50" t="n"/>
      <c r="B196" s="44" t="n"/>
      <c r="C196" s="44" t="n"/>
      <c r="D196" s="45" t="n"/>
      <c r="E196" s="44" t="n"/>
      <c r="F196" s="44" t="n"/>
      <c r="G196" s="44" t="n"/>
      <c r="H196" s="85" t="n"/>
      <c r="I196" s="85" t="n"/>
    </row>
    <row r="197">
      <c r="A197" s="50" t="n"/>
      <c r="B197" s="44" t="n"/>
      <c r="C197" s="44" t="n"/>
      <c r="D197" s="45" t="n"/>
      <c r="E197" s="44" t="n"/>
      <c r="F197" s="44" t="n"/>
      <c r="G197" s="44" t="n"/>
      <c r="H197" s="85" t="n"/>
      <c r="I197" s="85" t="n"/>
    </row>
    <row r="198">
      <c r="A198" s="50" t="n"/>
      <c r="B198" s="44" t="n"/>
      <c r="C198" s="44" t="n"/>
      <c r="D198" s="45" t="n"/>
      <c r="E198" s="44" t="n"/>
      <c r="F198" s="44" t="n"/>
      <c r="G198" s="44" t="n"/>
      <c r="H198" s="85" t="n"/>
      <c r="I198" s="85" t="n"/>
    </row>
    <row r="199">
      <c r="A199" s="50" t="n"/>
      <c r="B199" s="44" t="n"/>
      <c r="C199" s="44" t="n"/>
      <c r="D199" s="45" t="n"/>
      <c r="E199" s="44" t="n"/>
      <c r="F199" s="44" t="n"/>
      <c r="G199" s="44" t="n"/>
      <c r="H199" s="85" t="n"/>
      <c r="I199" s="85" t="n"/>
    </row>
    <row r="200">
      <c r="A200" s="50" t="n"/>
      <c r="B200" s="44" t="n"/>
      <c r="C200" s="44" t="n"/>
      <c r="D200" s="45" t="n"/>
      <c r="E200" s="44" t="n"/>
      <c r="F200" s="44" t="n"/>
      <c r="G200" s="44" t="n"/>
      <c r="H200" s="85" t="n"/>
      <c r="I200" s="85" t="n"/>
    </row>
    <row r="201">
      <c r="A201" s="50" t="n"/>
      <c r="B201" s="44" t="n"/>
      <c r="C201" s="44" t="n"/>
      <c r="D201" s="45" t="n"/>
      <c r="E201" s="44" t="n"/>
      <c r="F201" s="44" t="n"/>
      <c r="G201" s="44" t="n"/>
      <c r="H201" s="85" t="n"/>
      <c r="I201" s="85" t="n"/>
    </row>
    <row r="202">
      <c r="A202" s="50" t="n"/>
      <c r="B202" s="44" t="n"/>
      <c r="C202" s="44" t="n"/>
      <c r="D202" s="45" t="n"/>
      <c r="E202" s="44" t="n"/>
      <c r="F202" s="44" t="n"/>
      <c r="G202" s="44" t="n"/>
      <c r="H202" s="85" t="n"/>
      <c r="I202" s="85" t="n"/>
    </row>
    <row r="203">
      <c r="A203" s="50" t="n"/>
      <c r="B203" s="44" t="n"/>
      <c r="C203" s="44" t="n"/>
      <c r="D203" s="45" t="n"/>
      <c r="E203" s="44" t="n"/>
      <c r="F203" s="44" t="n"/>
      <c r="G203" s="44" t="n"/>
      <c r="H203" s="85" t="n"/>
      <c r="I203" s="85" t="n"/>
    </row>
    <row r="204">
      <c r="A204" s="50" t="n"/>
      <c r="B204" s="44" t="n"/>
      <c r="C204" s="44" t="n"/>
      <c r="D204" s="45" t="n"/>
      <c r="E204" s="44" t="n"/>
      <c r="F204" s="44" t="n"/>
      <c r="G204" s="44" t="n"/>
      <c r="H204" s="85" t="n"/>
      <c r="I204" s="85" t="n"/>
    </row>
    <row r="205">
      <c r="A205" s="50" t="n"/>
      <c r="B205" s="44" t="n"/>
      <c r="C205" s="44" t="n"/>
      <c r="D205" s="45" t="n"/>
      <c r="E205" s="44" t="n"/>
      <c r="F205" s="44" t="n"/>
      <c r="G205" s="44" t="n"/>
      <c r="H205" s="85" t="n"/>
      <c r="I205" s="85" t="n"/>
    </row>
    <row r="206">
      <c r="A206" s="50" t="n"/>
      <c r="B206" s="44" t="n"/>
      <c r="C206" s="44" t="n"/>
      <c r="D206" s="45" t="n"/>
      <c r="E206" s="44" t="n"/>
      <c r="F206" s="44" t="n"/>
      <c r="G206" s="44" t="n"/>
      <c r="H206" s="85" t="n"/>
      <c r="I206" s="85" t="n"/>
    </row>
    <row r="207">
      <c r="A207" s="50" t="n"/>
      <c r="B207" s="44" t="n"/>
      <c r="C207" s="44" t="n"/>
      <c r="D207" s="45" t="n"/>
      <c r="E207" s="44" t="n"/>
      <c r="F207" s="44" t="n"/>
      <c r="G207" s="44" t="n"/>
      <c r="H207" s="85" t="n"/>
      <c r="I207" s="85" t="n"/>
    </row>
    <row r="208">
      <c r="A208" s="50" t="n"/>
      <c r="B208" s="44" t="n"/>
      <c r="C208" s="44" t="n"/>
      <c r="D208" s="45" t="n"/>
      <c r="E208" s="44" t="n"/>
      <c r="F208" s="44" t="n"/>
      <c r="G208" s="44" t="n"/>
      <c r="H208" s="85" t="n"/>
      <c r="I208" s="85" t="n"/>
    </row>
    <row r="209">
      <c r="A209" s="50" t="n"/>
      <c r="B209" s="44" t="n"/>
      <c r="C209" s="44" t="n"/>
      <c r="D209" s="45" t="n"/>
      <c r="E209" s="44" t="n"/>
      <c r="F209" s="44" t="n"/>
      <c r="G209" s="44" t="n"/>
      <c r="H209" s="85" t="n"/>
      <c r="I209" s="85" t="n"/>
    </row>
    <row r="210">
      <c r="A210" s="50" t="n"/>
      <c r="B210" s="44" t="n"/>
      <c r="C210" s="44" t="n"/>
      <c r="D210" s="45" t="n"/>
      <c r="E210" s="44" t="n"/>
      <c r="F210" s="44" t="n"/>
      <c r="G210" s="44" t="n"/>
      <c r="H210" s="85" t="n"/>
      <c r="I210" s="85" t="n"/>
    </row>
    <row r="211">
      <c r="A211" s="50" t="n"/>
      <c r="B211" s="44" t="n"/>
      <c r="C211" s="44" t="n"/>
      <c r="D211" s="45" t="n"/>
      <c r="E211" s="44" t="n"/>
      <c r="F211" s="44" t="n"/>
      <c r="G211" s="44" t="n"/>
      <c r="H211" s="85" t="n"/>
      <c r="I211" s="85" t="n"/>
    </row>
    <row r="212">
      <c r="A212" s="50" t="n"/>
      <c r="B212" s="44" t="n"/>
      <c r="C212" s="44" t="n"/>
      <c r="D212" s="45" t="n"/>
      <c r="E212" s="44" t="n"/>
      <c r="F212" s="44" t="n"/>
      <c r="G212" s="44" t="n"/>
      <c r="H212" s="85" t="n"/>
      <c r="I212" s="85" t="n"/>
    </row>
    <row r="213">
      <c r="A213" s="50" t="n"/>
      <c r="B213" s="44" t="n"/>
      <c r="C213" s="44" t="n"/>
      <c r="D213" s="45" t="n"/>
      <c r="E213" s="44" t="n"/>
      <c r="F213" s="44" t="n"/>
      <c r="G213" s="44" t="n"/>
      <c r="H213" s="85" t="n"/>
      <c r="I213" s="85" t="n"/>
    </row>
    <row r="214">
      <c r="A214" s="50" t="n"/>
      <c r="B214" s="44" t="n"/>
      <c r="C214" s="44" t="n"/>
      <c r="D214" s="45" t="n"/>
      <c r="E214" s="44" t="n"/>
      <c r="F214" s="44" t="n"/>
      <c r="G214" s="44" t="n"/>
      <c r="H214" s="85" t="n"/>
      <c r="I214" s="85" t="n"/>
    </row>
    <row r="215">
      <c r="A215" s="50" t="n"/>
      <c r="B215" s="44" t="n"/>
      <c r="C215" s="44" t="n"/>
      <c r="D215" s="45" t="n"/>
      <c r="E215" s="44" t="n"/>
      <c r="F215" s="44" t="n"/>
      <c r="G215" s="44" t="n"/>
      <c r="H215" s="85" t="n"/>
      <c r="I215" s="85" t="n"/>
    </row>
    <row r="216">
      <c r="A216" s="50" t="n"/>
      <c r="B216" s="44" t="n"/>
      <c r="C216" s="44" t="n"/>
      <c r="D216" s="45" t="n"/>
      <c r="E216" s="44" t="n"/>
      <c r="F216" s="44" t="n"/>
      <c r="G216" s="44" t="n"/>
      <c r="H216" s="85" t="n"/>
      <c r="I216" s="85" t="n"/>
    </row>
    <row r="217">
      <c r="A217" s="50" t="n"/>
      <c r="B217" s="44" t="n"/>
      <c r="C217" s="44" t="n"/>
      <c r="D217" s="45" t="n"/>
      <c r="E217" s="44" t="n"/>
      <c r="F217" s="44" t="n"/>
      <c r="G217" s="44" t="n"/>
      <c r="H217" s="85" t="n"/>
      <c r="I217" s="85" t="n"/>
    </row>
    <row r="218">
      <c r="A218" s="50" t="n"/>
      <c r="B218" s="44" t="n"/>
      <c r="C218" s="44" t="n"/>
      <c r="D218" s="45" t="n"/>
      <c r="E218" s="44" t="n"/>
      <c r="F218" s="44" t="n"/>
      <c r="G218" s="44" t="n"/>
      <c r="H218" s="85" t="n"/>
      <c r="I218" s="85" t="n"/>
    </row>
    <row r="219">
      <c r="A219" s="50" t="n"/>
      <c r="B219" s="44" t="n"/>
      <c r="C219" s="44" t="n"/>
      <c r="D219" s="45" t="n"/>
      <c r="E219" s="44" t="n"/>
      <c r="F219" s="44" t="n"/>
      <c r="G219" s="44" t="n"/>
      <c r="H219" s="85" t="n"/>
      <c r="I219" s="85" t="n"/>
    </row>
    <row r="220">
      <c r="A220" s="50" t="n"/>
      <c r="B220" s="44" t="n"/>
      <c r="C220" s="44" t="n"/>
      <c r="D220" s="45" t="n"/>
      <c r="E220" s="44" t="n"/>
      <c r="F220" s="44" t="n"/>
      <c r="G220" s="44" t="n"/>
      <c r="H220" s="85" t="n"/>
      <c r="I220" s="85" t="n"/>
    </row>
    <row r="221">
      <c r="A221" s="50" t="n"/>
      <c r="B221" s="44" t="n"/>
      <c r="C221" s="44" t="n"/>
      <c r="D221" s="45" t="n"/>
      <c r="E221" s="44" t="n"/>
      <c r="F221" s="44" t="n"/>
      <c r="G221" s="44" t="n"/>
      <c r="H221" s="85" t="n"/>
      <c r="I221" s="85" t="n"/>
    </row>
    <row r="222">
      <c r="A222" s="50" t="n"/>
      <c r="B222" s="44" t="n"/>
      <c r="C222" s="44" t="n"/>
      <c r="D222" s="45" t="n"/>
      <c r="E222" s="44" t="n"/>
      <c r="F222" s="44" t="n"/>
      <c r="G222" s="44" t="n"/>
      <c r="H222" s="85" t="n"/>
      <c r="I222" s="85" t="n"/>
    </row>
    <row r="223">
      <c r="A223" s="50" t="n"/>
      <c r="B223" s="44" t="n"/>
      <c r="C223" s="44" t="n"/>
      <c r="D223" s="45" t="n"/>
      <c r="E223" s="44" t="n"/>
      <c r="F223" s="44" t="n"/>
      <c r="G223" s="44" t="n"/>
      <c r="H223" s="85" t="n"/>
      <c r="I223" s="85" t="n"/>
    </row>
    <row r="224">
      <c r="A224" s="50" t="n"/>
      <c r="B224" s="44" t="n"/>
      <c r="C224" s="44" t="n"/>
      <c r="D224" s="45" t="n"/>
      <c r="E224" s="44" t="n"/>
      <c r="F224" s="44" t="n"/>
      <c r="G224" s="44" t="n"/>
      <c r="H224" s="85" t="n"/>
      <c r="I224" s="85" t="n"/>
    </row>
    <row r="225">
      <c r="A225" s="50" t="n"/>
      <c r="B225" s="44" t="n"/>
      <c r="C225" s="44" t="n"/>
      <c r="D225" s="45" t="n"/>
      <c r="E225" s="44" t="n"/>
      <c r="F225" s="44" t="n"/>
      <c r="G225" s="44" t="n"/>
      <c r="H225" s="85" t="n"/>
      <c r="I225" s="85" t="n"/>
    </row>
    <row r="226">
      <c r="A226" s="50" t="n"/>
      <c r="B226" s="44" t="n"/>
      <c r="C226" s="44" t="n"/>
      <c r="D226" s="45" t="n"/>
      <c r="E226" s="44" t="n"/>
      <c r="F226" s="44" t="n"/>
      <c r="G226" s="44" t="n"/>
      <c r="H226" s="85" t="n"/>
      <c r="I226" s="85" t="n"/>
    </row>
    <row r="227">
      <c r="A227" s="50" t="n"/>
      <c r="B227" s="44" t="n"/>
      <c r="C227" s="44" t="n"/>
      <c r="D227" s="45" t="n"/>
      <c r="E227" s="44" t="n"/>
      <c r="F227" s="44" t="n"/>
      <c r="G227" s="44" t="n"/>
      <c r="H227" s="85" t="n"/>
      <c r="I227" s="85" t="n"/>
    </row>
    <row r="228">
      <c r="A228" s="50" t="n"/>
      <c r="B228" s="44" t="n"/>
      <c r="C228" s="44" t="n"/>
      <c r="D228" s="45" t="n"/>
      <c r="E228" s="44" t="n"/>
      <c r="F228" s="44" t="n"/>
      <c r="G228" s="44" t="n"/>
      <c r="H228" s="85" t="n"/>
      <c r="I228" s="85" t="n"/>
    </row>
    <row r="229">
      <c r="A229" s="50" t="n"/>
      <c r="B229" s="44" t="n"/>
      <c r="C229" s="44" t="n"/>
      <c r="D229" s="45" t="n"/>
      <c r="E229" s="44" t="n"/>
      <c r="F229" s="44" t="n"/>
      <c r="G229" s="44" t="n"/>
      <c r="H229" s="85" t="n"/>
      <c r="I229" s="85" t="n"/>
    </row>
    <row r="230">
      <c r="A230" s="50" t="n"/>
      <c r="B230" s="44" t="n"/>
      <c r="C230" s="44" t="n"/>
      <c r="D230" s="45" t="n"/>
      <c r="E230" s="44" t="n"/>
      <c r="F230" s="44" t="n"/>
      <c r="G230" s="44" t="n"/>
      <c r="H230" s="85" t="n"/>
      <c r="I230" s="85" t="n"/>
    </row>
    <row r="231">
      <c r="A231" s="50" t="n"/>
      <c r="B231" s="44" t="n"/>
      <c r="C231" s="44" t="n"/>
      <c r="D231" s="45" t="n"/>
      <c r="E231" s="44" t="n"/>
      <c r="F231" s="44" t="n"/>
      <c r="G231" s="44" t="n"/>
      <c r="H231" s="85" t="n"/>
      <c r="I231" s="85" t="n"/>
    </row>
    <row r="232">
      <c r="A232" s="50" t="n"/>
      <c r="B232" s="44" t="n"/>
      <c r="C232" s="44" t="n"/>
      <c r="D232" s="45" t="n"/>
      <c r="E232" s="44" t="n"/>
      <c r="F232" s="44" t="n"/>
      <c r="G232" s="44" t="n"/>
      <c r="H232" s="85" t="n"/>
      <c r="I232" s="85" t="n"/>
    </row>
    <row r="233">
      <c r="A233" s="50" t="n"/>
      <c r="B233" s="44" t="n"/>
      <c r="C233" s="44" t="n"/>
      <c r="D233" s="45" t="n"/>
      <c r="E233" s="44" t="n"/>
      <c r="F233" s="44" t="n"/>
      <c r="G233" s="44" t="n"/>
      <c r="H233" s="85" t="n"/>
      <c r="I233" s="85" t="n"/>
    </row>
    <row r="234">
      <c r="A234" s="50" t="n"/>
      <c r="B234" s="44" t="n"/>
      <c r="C234" s="44" t="n"/>
      <c r="D234" s="45" t="n"/>
      <c r="E234" s="44" t="n"/>
      <c r="F234" s="44" t="n"/>
      <c r="G234" s="44" t="n"/>
      <c r="H234" s="85" t="n"/>
      <c r="I234" s="85" t="n"/>
    </row>
    <row r="235">
      <c r="A235" s="50" t="n"/>
      <c r="B235" s="44" t="n"/>
      <c r="C235" s="44" t="n"/>
      <c r="D235" s="45" t="n"/>
      <c r="E235" s="44" t="n"/>
      <c r="F235" s="44" t="n"/>
      <c r="G235" s="44" t="n"/>
      <c r="H235" s="85" t="n"/>
      <c r="I235" s="85" t="n"/>
    </row>
    <row r="236">
      <c r="A236" s="50" t="n"/>
      <c r="B236" s="44" t="n"/>
      <c r="C236" s="44" t="n"/>
      <c r="D236" s="45" t="n"/>
      <c r="E236" s="44" t="n"/>
      <c r="F236" s="44" t="n"/>
      <c r="G236" s="44" t="n"/>
      <c r="H236" s="85" t="n"/>
      <c r="I236" s="85" t="n"/>
    </row>
    <row r="237">
      <c r="A237" s="50" t="n"/>
      <c r="B237" s="44" t="n"/>
      <c r="C237" s="44" t="n"/>
      <c r="D237" s="45" t="n"/>
      <c r="E237" s="44" t="n"/>
      <c r="F237" s="44" t="n"/>
      <c r="G237" s="44" t="n"/>
      <c r="H237" s="85" t="n"/>
      <c r="I237" s="85" t="n"/>
    </row>
    <row r="238">
      <c r="A238" s="50" t="n"/>
      <c r="B238" s="44" t="n"/>
      <c r="C238" s="44" t="n"/>
      <c r="D238" s="45" t="n"/>
      <c r="E238" s="44" t="n"/>
      <c r="F238" s="44" t="n"/>
      <c r="G238" s="44" t="n"/>
      <c r="H238" s="85" t="n"/>
      <c r="I238" s="85" t="n"/>
    </row>
    <row r="239">
      <c r="A239" s="50" t="n"/>
      <c r="B239" s="44" t="n"/>
      <c r="C239" s="44" t="n"/>
      <c r="D239" s="45" t="n"/>
      <c r="E239" s="44" t="n"/>
      <c r="F239" s="44" t="n"/>
      <c r="G239" s="44" t="n"/>
      <c r="H239" s="85" t="n"/>
      <c r="I239" s="85" t="n"/>
    </row>
    <row r="240">
      <c r="A240" s="50" t="n"/>
      <c r="B240" s="44" t="n"/>
      <c r="C240" s="44" t="n"/>
      <c r="D240" s="45" t="n"/>
      <c r="E240" s="44" t="n"/>
      <c r="F240" s="44" t="n"/>
      <c r="G240" s="44" t="n"/>
      <c r="H240" s="85" t="n"/>
      <c r="I240" s="85" t="n"/>
    </row>
    <row r="241">
      <c r="A241" s="50" t="n"/>
      <c r="B241" s="44" t="n"/>
      <c r="C241" s="44" t="n"/>
      <c r="D241" s="45" t="n"/>
      <c r="E241" s="44" t="n"/>
      <c r="F241" s="44" t="n"/>
      <c r="G241" s="44" t="n"/>
      <c r="H241" s="85" t="n"/>
      <c r="I241" s="85" t="n"/>
    </row>
    <row r="242">
      <c r="A242" s="50" t="n"/>
      <c r="B242" s="44" t="n"/>
      <c r="C242" s="44" t="n"/>
      <c r="D242" s="45" t="n"/>
      <c r="E242" s="44" t="n"/>
      <c r="F242" s="44" t="n"/>
      <c r="G242" s="44" t="n"/>
      <c r="H242" s="85" t="n"/>
      <c r="I242" s="85" t="n"/>
    </row>
    <row r="243">
      <c r="A243" s="50" t="n"/>
      <c r="B243" s="44" t="n"/>
      <c r="C243" s="44" t="n"/>
      <c r="D243" s="45" t="n"/>
      <c r="E243" s="44" t="n"/>
      <c r="F243" s="44" t="n"/>
      <c r="G243" s="44" t="n"/>
      <c r="H243" s="85" t="n"/>
      <c r="I243" s="85" t="n"/>
    </row>
    <row r="244">
      <c r="A244" s="50" t="n"/>
      <c r="B244" s="44" t="n"/>
      <c r="C244" s="44" t="n"/>
      <c r="D244" s="45" t="n"/>
      <c r="E244" s="44" t="n"/>
      <c r="F244" s="44" t="n"/>
      <c r="G244" s="44" t="n"/>
      <c r="H244" s="85" t="n"/>
      <c r="I244" s="85" t="n"/>
    </row>
    <row r="245">
      <c r="A245" s="50" t="n"/>
      <c r="B245" s="44" t="n"/>
      <c r="C245" s="44" t="n"/>
      <c r="D245" s="45" t="n"/>
      <c r="E245" s="44" t="n"/>
      <c r="F245" s="44" t="n"/>
      <c r="G245" s="44" t="n"/>
      <c r="H245" s="85" t="n"/>
      <c r="I245" s="85" t="n"/>
    </row>
    <row r="246">
      <c r="A246" s="50" t="n"/>
      <c r="B246" s="44" t="n"/>
      <c r="C246" s="44" t="n"/>
      <c r="D246" s="45" t="n"/>
      <c r="E246" s="44" t="n"/>
      <c r="F246" s="44" t="n"/>
      <c r="G246" s="44" t="n"/>
      <c r="H246" s="85" t="n"/>
      <c r="I246" s="85" t="n"/>
    </row>
    <row r="247">
      <c r="A247" s="50" t="n"/>
      <c r="B247" s="44" t="n"/>
      <c r="C247" s="44" t="n"/>
      <c r="D247" s="45" t="n"/>
      <c r="E247" s="44" t="n"/>
      <c r="F247" s="44" t="n"/>
      <c r="G247" s="44" t="n"/>
      <c r="H247" s="85" t="n"/>
      <c r="I247" s="85" t="n"/>
    </row>
    <row r="248">
      <c r="A248" s="50" t="n"/>
      <c r="B248" s="44" t="n"/>
      <c r="C248" s="44" t="n"/>
      <c r="D248" s="45" t="n"/>
      <c r="E248" s="44" t="n"/>
      <c r="F248" s="44" t="n"/>
      <c r="G248" s="44" t="n"/>
      <c r="H248" s="85" t="n"/>
      <c r="I248" s="85" t="n"/>
    </row>
    <row r="249">
      <c r="A249" s="50" t="n"/>
      <c r="B249" s="44" t="n"/>
      <c r="C249" s="44" t="n"/>
      <c r="D249" s="45" t="n"/>
      <c r="E249" s="44" t="n"/>
      <c r="F249" s="44" t="n"/>
      <c r="G249" s="44" t="n"/>
      <c r="H249" s="85" t="n"/>
      <c r="I249" s="85" t="n"/>
    </row>
    <row r="250">
      <c r="A250" s="50" t="n"/>
      <c r="B250" s="44" t="n"/>
      <c r="C250" s="44" t="n"/>
      <c r="D250" s="45" t="n"/>
      <c r="E250" s="44" t="n"/>
      <c r="F250" s="44" t="n"/>
      <c r="G250" s="44" t="n"/>
      <c r="H250" s="85" t="n"/>
      <c r="I250" s="85" t="n"/>
    </row>
    <row r="251">
      <c r="A251" s="50" t="n"/>
      <c r="B251" s="44" t="n"/>
      <c r="C251" s="44" t="n"/>
      <c r="D251" s="45" t="n"/>
      <c r="E251" s="44" t="n"/>
      <c r="F251" s="44" t="n"/>
      <c r="G251" s="44" t="n"/>
      <c r="H251" s="85" t="n"/>
      <c r="I251" s="85" t="n"/>
    </row>
    <row r="252">
      <c r="A252" s="50" t="n"/>
      <c r="B252" s="44" t="n"/>
      <c r="C252" s="44" t="n"/>
      <c r="D252" s="45" t="n"/>
      <c r="E252" s="44" t="n"/>
      <c r="F252" s="44" t="n"/>
      <c r="G252" s="44" t="n"/>
      <c r="H252" s="85" t="n"/>
      <c r="I252" s="85" t="n"/>
    </row>
    <row r="253">
      <c r="A253" s="50" t="n"/>
      <c r="B253" s="44" t="n"/>
      <c r="C253" s="44" t="n"/>
      <c r="D253" s="45" t="n"/>
      <c r="E253" s="44" t="n"/>
      <c r="F253" s="44" t="n"/>
      <c r="G253" s="44" t="n"/>
      <c r="H253" s="85" t="n"/>
      <c r="I253" s="85" t="n"/>
    </row>
    <row r="254">
      <c r="A254" s="50" t="n"/>
      <c r="B254" s="44" t="n"/>
      <c r="C254" s="44" t="n"/>
      <c r="D254" s="45" t="n"/>
      <c r="E254" s="44" t="n"/>
      <c r="F254" s="44" t="n"/>
      <c r="G254" s="44" t="n"/>
      <c r="H254" s="85" t="n"/>
      <c r="I254" s="85" t="n"/>
    </row>
    <row r="255">
      <c r="A255" s="50" t="n"/>
      <c r="B255" s="44" t="n"/>
      <c r="C255" s="44" t="n"/>
      <c r="D255" s="45" t="n"/>
      <c r="E255" s="44" t="n"/>
      <c r="F255" s="44" t="n"/>
      <c r="G255" s="44" t="n"/>
      <c r="H255" s="85" t="n"/>
      <c r="I255" s="85" t="n"/>
    </row>
    <row r="256">
      <c r="A256" s="50" t="n"/>
      <c r="B256" s="44" t="n"/>
      <c r="C256" s="44" t="n"/>
      <c r="D256" s="45" t="n"/>
      <c r="E256" s="44" t="n"/>
      <c r="F256" s="44" t="n"/>
      <c r="G256" s="44" t="n"/>
      <c r="H256" s="85" t="n"/>
      <c r="I256" s="85" t="n"/>
    </row>
    <row r="257">
      <c r="A257" s="50" t="n"/>
      <c r="B257" s="44" t="n"/>
      <c r="C257" s="44" t="n"/>
      <c r="D257" s="45" t="n"/>
      <c r="E257" s="44" t="n"/>
      <c r="F257" s="44" t="n"/>
      <c r="G257" s="44" t="n"/>
      <c r="H257" s="85" t="n"/>
      <c r="I257" s="85" t="n"/>
    </row>
    <row r="258">
      <c r="A258" s="50" t="n"/>
      <c r="B258" s="44" t="n"/>
      <c r="C258" s="44" t="n"/>
      <c r="D258" s="45" t="n"/>
      <c r="E258" s="44" t="n"/>
      <c r="F258" s="44" t="n"/>
      <c r="G258" s="44" t="n"/>
      <c r="H258" s="85" t="n"/>
      <c r="I258" s="85" t="n"/>
    </row>
    <row r="259">
      <c r="A259" s="50" t="n"/>
      <c r="B259" s="44" t="n"/>
      <c r="C259" s="44" t="n"/>
      <c r="D259" s="45" t="n"/>
      <c r="E259" s="44" t="n"/>
      <c r="F259" s="44" t="n"/>
      <c r="G259" s="44" t="n"/>
      <c r="H259" s="85" t="n"/>
      <c r="I259" s="85" t="n"/>
    </row>
    <row r="260">
      <c r="A260" s="50" t="n"/>
      <c r="B260" s="44" t="n"/>
      <c r="C260" s="44" t="n"/>
      <c r="D260" s="45" t="n"/>
      <c r="E260" s="44" t="n"/>
      <c r="F260" s="44" t="n"/>
      <c r="G260" s="44" t="n"/>
      <c r="H260" s="85" t="n"/>
      <c r="I260" s="85" t="n"/>
    </row>
    <row r="261">
      <c r="A261" s="50" t="n"/>
      <c r="B261" s="44" t="n"/>
      <c r="C261" s="44" t="n"/>
      <c r="D261" s="45" t="n"/>
      <c r="E261" s="44" t="n"/>
      <c r="F261" s="44" t="n"/>
      <c r="G261" s="44" t="n"/>
      <c r="H261" s="85" t="n"/>
      <c r="I261" s="85" t="n"/>
    </row>
    <row r="262">
      <c r="A262" s="50" t="n"/>
      <c r="B262" s="44" t="n"/>
      <c r="C262" s="44" t="n"/>
      <c r="D262" s="45" t="n"/>
      <c r="E262" s="44" t="n"/>
      <c r="F262" s="44" t="n"/>
      <c r="G262" s="44" t="n"/>
      <c r="H262" s="85" t="n"/>
      <c r="I262" s="85" t="n"/>
    </row>
    <row r="263">
      <c r="A263" s="50" t="n"/>
      <c r="B263" s="44" t="n"/>
      <c r="C263" s="44" t="n"/>
      <c r="D263" s="45" t="n"/>
      <c r="E263" s="44" t="n"/>
      <c r="F263" s="44" t="n"/>
      <c r="G263" s="44" t="n"/>
      <c r="H263" s="85" t="n"/>
      <c r="I263" s="85" t="n"/>
    </row>
    <row r="264">
      <c r="A264" s="50" t="n"/>
      <c r="B264" s="44" t="n"/>
      <c r="C264" s="44" t="n"/>
      <c r="D264" s="45" t="n"/>
      <c r="E264" s="44" t="n"/>
      <c r="F264" s="44" t="n"/>
      <c r="G264" s="44" t="n"/>
      <c r="H264" s="85" t="n"/>
      <c r="I264" s="85" t="n"/>
    </row>
    <row r="265">
      <c r="A265" s="50" t="n"/>
      <c r="B265" s="44" t="n"/>
      <c r="C265" s="44" t="n"/>
      <c r="D265" s="45" t="n"/>
      <c r="E265" s="44" t="n"/>
      <c r="F265" s="44" t="n"/>
      <c r="G265" s="44" t="n"/>
      <c r="H265" s="85" t="n"/>
      <c r="I265" s="85" t="n"/>
    </row>
    <row r="266">
      <c r="A266" s="50" t="n"/>
      <c r="B266" s="44" t="n"/>
      <c r="C266" s="44" t="n"/>
      <c r="D266" s="45" t="n"/>
      <c r="E266" s="44" t="n"/>
      <c r="F266" s="44" t="n"/>
      <c r="G266" s="44" t="n"/>
      <c r="H266" s="85" t="n"/>
      <c r="I266" s="85" t="n"/>
    </row>
    <row r="267">
      <c r="A267" s="50" t="n"/>
      <c r="B267" s="44" t="n"/>
      <c r="C267" s="44" t="n"/>
      <c r="D267" s="45" t="n"/>
      <c r="E267" s="44" t="n"/>
      <c r="F267" s="44" t="n"/>
      <c r="G267" s="44" t="n"/>
      <c r="H267" s="85" t="n"/>
      <c r="I267" s="85" t="n"/>
    </row>
    <row r="268">
      <c r="A268" s="50" t="n"/>
      <c r="B268" s="44" t="n"/>
      <c r="C268" s="44" t="n"/>
      <c r="D268" s="45" t="n"/>
      <c r="E268" s="44" t="n"/>
      <c r="F268" s="44" t="n"/>
      <c r="G268" s="44" t="n"/>
      <c r="H268" s="85" t="n"/>
      <c r="I268" s="85" t="n"/>
    </row>
    <row r="269">
      <c r="A269" s="50" t="n"/>
      <c r="B269" s="44" t="n"/>
      <c r="C269" s="44" t="n"/>
      <c r="D269" s="45" t="n"/>
      <c r="E269" s="44" t="n"/>
      <c r="F269" s="44" t="n"/>
      <c r="G269" s="44" t="n"/>
      <c r="H269" s="85" t="n"/>
      <c r="I269" s="85" t="n"/>
    </row>
    <row r="270">
      <c r="A270" s="50" t="n"/>
      <c r="B270" s="44" t="n"/>
      <c r="C270" s="44" t="n"/>
      <c r="D270" s="45" t="n"/>
      <c r="E270" s="44" t="n"/>
      <c r="F270" s="44" t="n"/>
      <c r="G270" s="44" t="n"/>
      <c r="H270" s="85" t="n"/>
      <c r="I270" s="85" t="n"/>
    </row>
    <row r="271">
      <c r="A271" s="50" t="n"/>
      <c r="B271" s="44" t="n"/>
      <c r="C271" s="44" t="n"/>
      <c r="D271" s="45" t="n"/>
      <c r="E271" s="44" t="n"/>
      <c r="F271" s="44" t="n"/>
      <c r="G271" s="44" t="n"/>
      <c r="H271" s="85" t="n"/>
      <c r="I271" s="85" t="n"/>
    </row>
    <row r="272">
      <c r="A272" s="50" t="n"/>
      <c r="B272" s="44" t="n"/>
      <c r="C272" s="44" t="n"/>
      <c r="D272" s="45" t="n"/>
      <c r="E272" s="44" t="n"/>
      <c r="F272" s="44" t="n"/>
      <c r="G272" s="44" t="n"/>
      <c r="H272" s="85" t="n"/>
      <c r="I272" s="85" t="n"/>
    </row>
    <row r="273">
      <c r="A273" s="50" t="n"/>
      <c r="B273" s="44" t="n"/>
      <c r="C273" s="44" t="n"/>
      <c r="D273" s="45" t="n"/>
      <c r="E273" s="44" t="n"/>
      <c r="F273" s="44" t="n"/>
      <c r="G273" s="44" t="n"/>
      <c r="H273" s="85" t="n"/>
      <c r="I273" s="85" t="n"/>
    </row>
    <row r="274">
      <c r="A274" s="50" t="n"/>
      <c r="B274" s="44" t="n"/>
      <c r="C274" s="44" t="n"/>
      <c r="D274" s="45" t="n"/>
      <c r="E274" s="44" t="n"/>
      <c r="F274" s="44" t="n"/>
      <c r="G274" s="44" t="n"/>
      <c r="H274" s="85" t="n"/>
      <c r="I274" s="85" t="n"/>
    </row>
    <row r="275">
      <c r="A275" s="50" t="n"/>
      <c r="B275" s="44" t="n"/>
      <c r="C275" s="44" t="n"/>
      <c r="D275" s="45" t="n"/>
      <c r="E275" s="44" t="n"/>
      <c r="F275" s="44" t="n"/>
      <c r="G275" s="44" t="n"/>
      <c r="H275" s="85" t="n"/>
      <c r="I275" s="85" t="n"/>
    </row>
    <row r="276">
      <c r="A276" s="50" t="n"/>
      <c r="B276" s="44" t="n"/>
      <c r="C276" s="44" t="n"/>
      <c r="D276" s="45" t="n"/>
      <c r="E276" s="44" t="n"/>
      <c r="F276" s="44" t="n"/>
      <c r="G276" s="44" t="n"/>
      <c r="H276" s="85" t="n"/>
      <c r="I276" s="85" t="n"/>
    </row>
    <row r="277">
      <c r="A277" s="50" t="n"/>
      <c r="B277" s="44" t="n"/>
      <c r="C277" s="44" t="n"/>
      <c r="D277" s="45" t="n"/>
      <c r="E277" s="44" t="n"/>
      <c r="F277" s="44" t="n"/>
      <c r="G277" s="44" t="n"/>
      <c r="H277" s="85" t="n"/>
      <c r="I277" s="85" t="n"/>
    </row>
    <row r="278">
      <c r="A278" s="50" t="n"/>
      <c r="B278" s="44" t="n"/>
      <c r="C278" s="44" t="n"/>
      <c r="D278" s="45" t="n"/>
      <c r="E278" s="44" t="n"/>
      <c r="F278" s="44" t="n"/>
      <c r="G278" s="44" t="n"/>
      <c r="H278" s="85" t="n"/>
      <c r="I278" s="85" t="n"/>
    </row>
    <row r="279">
      <c r="A279" s="50" t="n"/>
      <c r="B279" s="44" t="n"/>
      <c r="C279" s="44" t="n"/>
      <c r="D279" s="45" t="n"/>
      <c r="E279" s="44" t="n"/>
      <c r="F279" s="44" t="n"/>
      <c r="G279" s="44" t="n"/>
      <c r="H279" s="85" t="n"/>
      <c r="I279" s="85" t="n"/>
    </row>
    <row r="280">
      <c r="A280" s="50" t="n"/>
      <c r="B280" s="44" t="n"/>
      <c r="C280" s="44" t="n"/>
      <c r="D280" s="45" t="n"/>
      <c r="E280" s="44" t="n"/>
      <c r="F280" s="44" t="n"/>
      <c r="G280" s="44" t="n"/>
      <c r="H280" s="85" t="n"/>
      <c r="I280" s="85" t="n"/>
    </row>
    <row r="281">
      <c r="A281" s="50" t="n"/>
      <c r="B281" s="44" t="n"/>
      <c r="C281" s="44" t="n"/>
      <c r="D281" s="45" t="n"/>
      <c r="E281" s="44" t="n"/>
      <c r="F281" s="44" t="n"/>
      <c r="G281" s="44" t="n"/>
      <c r="H281" s="85" t="n"/>
      <c r="I281" s="85" t="n"/>
    </row>
    <row r="282">
      <c r="A282" s="50" t="n"/>
      <c r="B282" s="44" t="n"/>
      <c r="C282" s="44" t="n"/>
      <c r="D282" s="45" t="n"/>
      <c r="E282" s="44" t="n"/>
      <c r="F282" s="44" t="n"/>
      <c r="G282" s="44" t="n"/>
      <c r="H282" s="85" t="n"/>
      <c r="I282" s="85" t="n"/>
    </row>
    <row r="283">
      <c r="A283" s="50" t="n"/>
      <c r="B283" s="44" t="n"/>
      <c r="C283" s="44" t="n"/>
      <c r="D283" s="45" t="n"/>
      <c r="E283" s="44" t="n"/>
      <c r="F283" s="44" t="n"/>
      <c r="G283" s="44" t="n"/>
      <c r="H283" s="85" t="n"/>
      <c r="I283" s="85" t="n"/>
    </row>
    <row r="284">
      <c r="A284" s="50" t="n"/>
      <c r="B284" s="44" t="n"/>
      <c r="C284" s="44" t="n"/>
      <c r="D284" s="45" t="n"/>
      <c r="E284" s="44" t="n"/>
      <c r="F284" s="44" t="n"/>
      <c r="G284" s="44" t="n"/>
      <c r="H284" s="85" t="n"/>
      <c r="I284" s="85" t="n"/>
    </row>
    <row r="285">
      <c r="A285" s="50" t="n"/>
      <c r="B285" s="44" t="n"/>
      <c r="C285" s="44" t="n"/>
      <c r="D285" s="45" t="n"/>
      <c r="E285" s="44" t="n"/>
      <c r="F285" s="44" t="n"/>
      <c r="G285" s="44" t="n"/>
      <c r="H285" s="85" t="n"/>
      <c r="I285" s="85" t="n"/>
    </row>
    <row r="286">
      <c r="A286" s="50" t="n"/>
      <c r="B286" s="44" t="n"/>
      <c r="C286" s="44" t="n"/>
      <c r="D286" s="45" t="n"/>
      <c r="E286" s="44" t="n"/>
      <c r="F286" s="44" t="n"/>
      <c r="G286" s="44" t="n"/>
      <c r="H286" s="85" t="n"/>
      <c r="I286" s="85" t="n"/>
    </row>
    <row r="287">
      <c r="A287" s="50" t="n"/>
      <c r="B287" s="44" t="n"/>
      <c r="C287" s="44" t="n"/>
      <c r="D287" s="45" t="n"/>
      <c r="E287" s="44" t="n"/>
      <c r="F287" s="44" t="n"/>
      <c r="G287" s="44" t="n"/>
      <c r="H287" s="85" t="n"/>
      <c r="I287" s="85" t="n"/>
    </row>
    <row r="288">
      <c r="A288" s="50" t="n"/>
      <c r="B288" s="44" t="n"/>
      <c r="C288" s="44" t="n"/>
      <c r="D288" s="45" t="n"/>
      <c r="E288" s="44" t="n"/>
      <c r="F288" s="44" t="n"/>
      <c r="G288" s="44" t="n"/>
      <c r="H288" s="85" t="n"/>
      <c r="I288" s="85" t="n"/>
    </row>
    <row r="289">
      <c r="A289" s="50" t="n"/>
      <c r="B289" s="44" t="n"/>
      <c r="C289" s="44" t="n"/>
      <c r="D289" s="45" t="n"/>
      <c r="E289" s="44" t="n"/>
      <c r="F289" s="44" t="n"/>
      <c r="G289" s="44" t="n"/>
      <c r="H289" s="85" t="n"/>
      <c r="I289" s="85" t="n"/>
    </row>
    <row r="290">
      <c r="A290" s="50" t="n"/>
      <c r="B290" s="44" t="n"/>
      <c r="C290" s="44" t="n"/>
      <c r="D290" s="45" t="n"/>
      <c r="E290" s="44" t="n"/>
      <c r="F290" s="44" t="n"/>
      <c r="G290" s="44" t="n"/>
      <c r="H290" s="85" t="n"/>
      <c r="I290" s="85" t="n"/>
    </row>
    <row r="291">
      <c r="A291" s="50" t="n"/>
      <c r="B291" s="44" t="n"/>
      <c r="C291" s="44" t="n"/>
      <c r="D291" s="45" t="n"/>
      <c r="E291" s="44" t="n"/>
      <c r="F291" s="44" t="n"/>
      <c r="G291" s="44" t="n"/>
      <c r="H291" s="85" t="n"/>
      <c r="I291" s="85" t="n"/>
    </row>
    <row r="292">
      <c r="A292" s="50" t="n"/>
      <c r="B292" s="44" t="n"/>
      <c r="C292" s="44" t="n"/>
      <c r="D292" s="45" t="n"/>
      <c r="E292" s="44" t="n"/>
      <c r="F292" s="44" t="n"/>
      <c r="G292" s="44" t="n"/>
      <c r="H292" s="85" t="n"/>
      <c r="I292" s="85" t="n"/>
    </row>
    <row r="293">
      <c r="A293" s="50" t="n"/>
      <c r="B293" s="44" t="n"/>
      <c r="C293" s="44" t="n"/>
      <c r="D293" s="45" t="n"/>
      <c r="E293" s="44" t="n"/>
      <c r="F293" s="44" t="n"/>
      <c r="G293" s="44" t="n"/>
      <c r="H293" s="85" t="n"/>
      <c r="I293" s="85" t="n"/>
    </row>
    <row r="294">
      <c r="A294" s="50" t="n"/>
      <c r="B294" s="44" t="n"/>
      <c r="C294" s="44" t="n"/>
      <c r="D294" s="45" t="n"/>
      <c r="E294" s="44" t="n"/>
      <c r="F294" s="44" t="n"/>
      <c r="G294" s="44" t="n"/>
      <c r="H294" s="85" t="n"/>
      <c r="I294" s="85" t="n"/>
    </row>
    <row r="295">
      <c r="A295" s="50" t="n"/>
      <c r="B295" s="44" t="n"/>
      <c r="C295" s="44" t="n"/>
      <c r="D295" s="45" t="n"/>
      <c r="E295" s="44" t="n"/>
      <c r="F295" s="44" t="n"/>
      <c r="G295" s="44" t="n"/>
      <c r="H295" s="85" t="n"/>
      <c r="I295" s="85" t="n"/>
    </row>
    <row r="296">
      <c r="A296" s="50" t="n"/>
      <c r="B296" s="44" t="n"/>
      <c r="C296" s="44" t="n"/>
      <c r="D296" s="45" t="n"/>
      <c r="E296" s="44" t="n"/>
      <c r="F296" s="44" t="n"/>
      <c r="G296" s="44" t="n"/>
      <c r="H296" s="85" t="n"/>
      <c r="I296" s="85" t="n"/>
    </row>
    <row r="297">
      <c r="A297" s="50" t="n"/>
      <c r="B297" s="44" t="n"/>
      <c r="C297" s="44" t="n"/>
      <c r="D297" s="45" t="n"/>
      <c r="E297" s="44" t="n"/>
      <c r="F297" s="44" t="n"/>
      <c r="G297" s="44" t="n"/>
      <c r="H297" s="85" t="n"/>
      <c r="I297" s="85" t="n"/>
    </row>
    <row r="298">
      <c r="A298" s="50" t="n"/>
      <c r="B298" s="44" t="n"/>
      <c r="C298" s="44" t="n"/>
      <c r="D298" s="45" t="n"/>
      <c r="E298" s="44" t="n"/>
      <c r="F298" s="44" t="n"/>
      <c r="G298" s="44" t="n"/>
      <c r="H298" s="85" t="n"/>
      <c r="I298" s="85" t="n"/>
    </row>
    <row r="299">
      <c r="A299" s="50" t="n"/>
      <c r="B299" s="44" t="n"/>
      <c r="C299" s="44" t="n"/>
      <c r="D299" s="45" t="n"/>
      <c r="E299" s="44" t="n"/>
      <c r="F299" s="44" t="n"/>
      <c r="G299" s="44" t="n"/>
      <c r="H299" s="85" t="n"/>
      <c r="I299" s="85" t="n"/>
    </row>
    <row r="300">
      <c r="A300" s="50" t="n"/>
      <c r="B300" s="44" t="n"/>
      <c r="C300" s="44" t="n"/>
      <c r="D300" s="45" t="n"/>
      <c r="E300" s="44" t="n"/>
      <c r="F300" s="44" t="n"/>
      <c r="G300" s="44" t="n"/>
      <c r="H300" s="85" t="n"/>
      <c r="I300" s="85" t="n"/>
    </row>
    <row r="301">
      <c r="A301" s="50" t="n"/>
      <c r="B301" s="44" t="n"/>
      <c r="C301" s="44" t="n"/>
      <c r="D301" s="45" t="n"/>
      <c r="E301" s="44" t="n"/>
      <c r="F301" s="44" t="n"/>
      <c r="G301" s="44" t="n"/>
      <c r="H301" s="85" t="n"/>
      <c r="I301" s="85" t="n"/>
    </row>
    <row r="302">
      <c r="A302" s="50" t="n"/>
      <c r="B302" s="44" t="n"/>
      <c r="C302" s="44" t="n"/>
      <c r="D302" s="45" t="n"/>
      <c r="E302" s="44" t="n"/>
      <c r="F302" s="44" t="n"/>
      <c r="G302" s="44" t="n"/>
      <c r="H302" s="85" t="n"/>
      <c r="I302" s="85" t="n"/>
    </row>
    <row r="303">
      <c r="A303" s="50" t="n"/>
      <c r="B303" s="44" t="n"/>
      <c r="C303" s="44" t="n"/>
      <c r="D303" s="45" t="n"/>
      <c r="E303" s="44" t="n"/>
      <c r="F303" s="44" t="n"/>
      <c r="G303" s="44" t="n"/>
      <c r="H303" s="85" t="n"/>
      <c r="I303" s="85" t="n"/>
    </row>
    <row r="304">
      <c r="A304" s="50" t="n"/>
      <c r="B304" s="44" t="n"/>
      <c r="C304" s="44" t="n"/>
      <c r="D304" s="45" t="n"/>
      <c r="E304" s="44" t="n"/>
      <c r="F304" s="44" t="n"/>
      <c r="G304" s="44" t="n"/>
      <c r="H304" s="85" t="n"/>
      <c r="I304" s="85" t="n"/>
    </row>
    <row r="305">
      <c r="A305" s="50" t="n"/>
      <c r="B305" s="44" t="n"/>
      <c r="C305" s="44" t="n"/>
      <c r="D305" s="45" t="n"/>
      <c r="E305" s="44" t="n"/>
      <c r="F305" s="44" t="n"/>
      <c r="G305" s="44" t="n"/>
      <c r="H305" s="85" t="n"/>
      <c r="I305" s="85" t="n"/>
    </row>
    <row r="306">
      <c r="A306" s="50" t="n"/>
      <c r="B306" s="44" t="n"/>
      <c r="C306" s="44" t="n"/>
      <c r="D306" s="45" t="n"/>
      <c r="E306" s="44" t="n"/>
      <c r="F306" s="44" t="n"/>
      <c r="G306" s="44" t="n"/>
      <c r="H306" s="85" t="n"/>
      <c r="I306" s="85" t="n"/>
    </row>
    <row r="307">
      <c r="A307" s="50" t="n"/>
      <c r="B307" s="44" t="n"/>
      <c r="C307" s="44" t="n"/>
      <c r="D307" s="45" t="n"/>
      <c r="E307" s="44" t="n"/>
      <c r="F307" s="44" t="n"/>
      <c r="G307" s="44" t="n"/>
      <c r="H307" s="85" t="n"/>
      <c r="I307" s="85" t="n"/>
    </row>
    <row r="308">
      <c r="A308" s="50" t="n"/>
      <c r="B308" s="44" t="n"/>
      <c r="C308" s="44" t="n"/>
      <c r="D308" s="45" t="n"/>
      <c r="E308" s="44" t="n"/>
      <c r="F308" s="44" t="n"/>
      <c r="G308" s="44" t="n"/>
      <c r="H308" s="85" t="n"/>
      <c r="I308" s="85" t="n"/>
    </row>
    <row r="309">
      <c r="A309" s="50" t="n"/>
      <c r="B309" s="44" t="n"/>
      <c r="C309" s="44" t="n"/>
      <c r="D309" s="45" t="n"/>
      <c r="E309" s="44" t="n"/>
      <c r="F309" s="44" t="n"/>
      <c r="G309" s="44" t="n"/>
      <c r="H309" s="85" t="n"/>
      <c r="I309" s="85" t="n"/>
    </row>
    <row r="310">
      <c r="A310" s="50" t="n"/>
      <c r="B310" s="44" t="n"/>
      <c r="C310" s="44" t="n"/>
      <c r="D310" s="45" t="n"/>
      <c r="E310" s="44" t="n"/>
      <c r="F310" s="44" t="n"/>
      <c r="G310" s="44" t="n"/>
      <c r="H310" s="85" t="n"/>
      <c r="I310" s="85" t="n"/>
    </row>
    <row r="311">
      <c r="A311" s="50" t="n"/>
      <c r="B311" s="44" t="n"/>
      <c r="C311" s="44" t="n"/>
      <c r="D311" s="45" t="n"/>
      <c r="E311" s="44" t="n"/>
      <c r="F311" s="44" t="n"/>
      <c r="G311" s="44" t="n"/>
      <c r="H311" s="85" t="n"/>
      <c r="I311" s="85" t="n"/>
    </row>
    <row r="312">
      <c r="A312" s="50" t="n"/>
      <c r="B312" s="44" t="n"/>
      <c r="C312" s="44" t="n"/>
      <c r="D312" s="45" t="n"/>
      <c r="E312" s="44" t="n"/>
      <c r="F312" s="44" t="n"/>
      <c r="G312" s="44" t="n"/>
      <c r="H312" s="85" t="n"/>
      <c r="I312" s="85" t="n"/>
    </row>
    <row r="313">
      <c r="A313" s="50" t="n"/>
      <c r="B313" s="44" t="n"/>
      <c r="C313" s="44" t="n"/>
      <c r="D313" s="45" t="n"/>
      <c r="E313" s="44" t="n"/>
      <c r="F313" s="44" t="n"/>
      <c r="G313" s="44" t="n"/>
      <c r="H313" s="85" t="n"/>
      <c r="I313" s="85" t="n"/>
    </row>
    <row r="314">
      <c r="A314" s="50" t="n"/>
      <c r="B314" s="44" t="n"/>
      <c r="C314" s="44" t="n"/>
      <c r="D314" s="45" t="n"/>
      <c r="E314" s="44" t="n"/>
      <c r="F314" s="44" t="n"/>
      <c r="G314" s="44" t="n"/>
      <c r="H314" s="85" t="n"/>
      <c r="I314" s="85" t="n"/>
    </row>
    <row r="315">
      <c r="A315" s="50" t="n"/>
      <c r="B315" s="44" t="n"/>
      <c r="C315" s="44" t="n"/>
      <c r="D315" s="45" t="n"/>
      <c r="E315" s="44" t="n"/>
      <c r="F315" s="44" t="n"/>
      <c r="G315" s="44" t="n"/>
      <c r="H315" s="85" t="n"/>
      <c r="I315" s="85" t="n"/>
    </row>
    <row r="316">
      <c r="A316" s="50" t="n"/>
      <c r="B316" s="44" t="n"/>
      <c r="C316" s="44" t="n"/>
      <c r="D316" s="45" t="n"/>
      <c r="E316" s="44" t="n"/>
      <c r="F316" s="44" t="n"/>
      <c r="G316" s="44" t="n"/>
      <c r="H316" s="85" t="n"/>
      <c r="I316" s="85" t="n"/>
    </row>
    <row r="317">
      <c r="A317" s="50" t="n"/>
      <c r="B317" s="44" t="n"/>
      <c r="C317" s="44" t="n"/>
      <c r="D317" s="45" t="n"/>
      <c r="E317" s="44" t="n"/>
      <c r="F317" s="44" t="n"/>
      <c r="G317" s="44" t="n"/>
      <c r="H317" s="85" t="n"/>
      <c r="I317" s="85" t="n"/>
    </row>
    <row r="318">
      <c r="A318" s="50" t="n"/>
      <c r="B318" s="44" t="n"/>
      <c r="C318" s="44" t="n"/>
      <c r="D318" s="45" t="n"/>
      <c r="E318" s="44" t="n"/>
      <c r="F318" s="44" t="n"/>
      <c r="G318" s="44" t="n"/>
      <c r="H318" s="85" t="n"/>
      <c r="I318" s="85" t="n"/>
    </row>
    <row r="319">
      <c r="A319" s="50" t="n"/>
      <c r="B319" s="44" t="n"/>
      <c r="C319" s="44" t="n"/>
      <c r="D319" s="45" t="n"/>
      <c r="E319" s="44" t="n"/>
      <c r="F319" s="44" t="n"/>
      <c r="G319" s="44" t="n"/>
      <c r="H319" s="85" t="n"/>
      <c r="I319" s="85" t="n"/>
    </row>
    <row r="320">
      <c r="A320" s="50" t="n"/>
      <c r="B320" s="44" t="n"/>
      <c r="C320" s="44" t="n"/>
      <c r="D320" s="45" t="n"/>
      <c r="E320" s="44" t="n"/>
      <c r="F320" s="44" t="n"/>
      <c r="G320" s="44" t="n"/>
      <c r="H320" s="85" t="n"/>
      <c r="I320" s="85" t="n"/>
    </row>
    <row r="321">
      <c r="A321" s="50" t="n"/>
      <c r="B321" s="44" t="n"/>
      <c r="C321" s="44" t="n"/>
      <c r="D321" s="45" t="n"/>
      <c r="E321" s="44" t="n"/>
      <c r="F321" s="44" t="n"/>
      <c r="G321" s="44" t="n"/>
      <c r="H321" s="85" t="n"/>
      <c r="I321" s="85" t="n"/>
    </row>
    <row r="322">
      <c r="A322" s="50" t="n"/>
      <c r="B322" s="44" t="n"/>
      <c r="C322" s="44" t="n"/>
      <c r="D322" s="45" t="n"/>
      <c r="E322" s="44" t="n"/>
      <c r="F322" s="44" t="n"/>
      <c r="G322" s="44" t="n"/>
      <c r="H322" s="85" t="n"/>
      <c r="I322" s="85" t="n"/>
    </row>
    <row r="323">
      <c r="A323" s="50" t="n"/>
      <c r="B323" s="44" t="n"/>
      <c r="C323" s="44" t="n"/>
      <c r="D323" s="45" t="n"/>
      <c r="E323" s="44" t="n"/>
      <c r="F323" s="44" t="n"/>
      <c r="G323" s="44" t="n"/>
      <c r="H323" s="85" t="n"/>
      <c r="I323" s="85" t="n"/>
    </row>
    <row r="324">
      <c r="A324" s="50" t="n"/>
      <c r="B324" s="44" t="n"/>
      <c r="C324" s="44" t="n"/>
      <c r="D324" s="45" t="n"/>
      <c r="E324" s="44" t="n"/>
      <c r="F324" s="44" t="n"/>
      <c r="G324" s="44" t="n"/>
      <c r="H324" s="85" t="n"/>
      <c r="I324" s="85" t="n"/>
    </row>
    <row r="325">
      <c r="A325" s="50" t="n"/>
      <c r="B325" s="44" t="n"/>
      <c r="C325" s="44" t="n"/>
      <c r="D325" s="45" t="n"/>
      <c r="E325" s="44" t="n"/>
      <c r="F325" s="44" t="n"/>
      <c r="G325" s="44" t="n"/>
      <c r="H325" s="85" t="n"/>
      <c r="I325" s="85" t="n"/>
    </row>
    <row r="326">
      <c r="A326" s="50" t="n"/>
      <c r="B326" s="44" t="n"/>
      <c r="C326" s="44" t="n"/>
      <c r="D326" s="45" t="n"/>
      <c r="E326" s="44" t="n"/>
      <c r="F326" s="44" t="n"/>
      <c r="G326" s="44" t="n"/>
      <c r="H326" s="85" t="n"/>
      <c r="I326" s="85" t="n"/>
    </row>
    <row r="327">
      <c r="A327" s="50" t="n"/>
      <c r="B327" s="44" t="n"/>
      <c r="C327" s="44" t="n"/>
      <c r="D327" s="45" t="n"/>
      <c r="E327" s="44" t="n"/>
      <c r="F327" s="44" t="n"/>
      <c r="G327" s="44" t="n"/>
      <c r="H327" s="85" t="n"/>
      <c r="I327" s="85" t="n"/>
    </row>
    <row r="328">
      <c r="A328" s="50" t="n"/>
      <c r="B328" s="44" t="n"/>
      <c r="C328" s="44" t="n"/>
      <c r="D328" s="45" t="n"/>
      <c r="E328" s="44" t="n"/>
      <c r="F328" s="44" t="n"/>
      <c r="G328" s="44" t="n"/>
      <c r="H328" s="85" t="n"/>
      <c r="I328" s="85" t="n"/>
    </row>
    <row r="329">
      <c r="A329" s="50" t="n"/>
      <c r="B329" s="44" t="n"/>
      <c r="C329" s="44" t="n"/>
      <c r="D329" s="45" t="n"/>
      <c r="E329" s="44" t="n"/>
      <c r="F329" s="44" t="n"/>
      <c r="G329" s="44" t="n"/>
      <c r="H329" s="85" t="n"/>
      <c r="I329" s="85" t="n"/>
    </row>
    <row r="330">
      <c r="A330" s="50" t="n"/>
      <c r="B330" s="44" t="n"/>
      <c r="C330" s="44" t="n"/>
      <c r="D330" s="45" t="n"/>
      <c r="E330" s="44" t="n"/>
      <c r="F330" s="44" t="n"/>
      <c r="G330" s="44" t="n"/>
      <c r="H330" s="85" t="n"/>
      <c r="I330" s="85" t="n"/>
    </row>
    <row r="331">
      <c r="A331" s="50" t="n"/>
      <c r="B331" s="44" t="n"/>
      <c r="C331" s="44" t="n"/>
      <c r="D331" s="45" t="n"/>
      <c r="E331" s="44" t="n"/>
      <c r="F331" s="44" t="n"/>
      <c r="G331" s="44" t="n"/>
      <c r="H331" s="85" t="n"/>
      <c r="I331" s="85" t="n"/>
    </row>
    <row r="332">
      <c r="A332" s="50" t="n"/>
      <c r="B332" s="44" t="n"/>
      <c r="C332" s="44" t="n"/>
      <c r="D332" s="45" t="n"/>
      <c r="E332" s="44" t="n"/>
      <c r="F332" s="44" t="n"/>
      <c r="G332" s="44" t="n"/>
      <c r="H332" s="85" t="n"/>
      <c r="I332" s="85" t="n"/>
    </row>
    <row r="333">
      <c r="A333" s="50" t="n"/>
      <c r="B333" s="44" t="n"/>
      <c r="C333" s="44" t="n"/>
      <c r="D333" s="45" t="n"/>
      <c r="E333" s="44" t="n"/>
      <c r="F333" s="44" t="n"/>
      <c r="G333" s="44" t="n"/>
      <c r="H333" s="85" t="n"/>
      <c r="I333" s="85" t="n"/>
    </row>
    <row r="334">
      <c r="A334" s="50" t="n"/>
      <c r="B334" s="44" t="n"/>
      <c r="C334" s="44" t="n"/>
      <c r="D334" s="45" t="n"/>
      <c r="E334" s="44" t="n"/>
      <c r="F334" s="44" t="n"/>
      <c r="G334" s="44" t="n"/>
      <c r="H334" s="85" t="n"/>
      <c r="I334" s="85" t="n"/>
    </row>
    <row r="335">
      <c r="A335" s="50" t="n"/>
      <c r="B335" s="44" t="n"/>
      <c r="C335" s="44" t="n"/>
      <c r="D335" s="45" t="n"/>
      <c r="E335" s="44" t="n"/>
      <c r="F335" s="44" t="n"/>
      <c r="G335" s="44" t="n"/>
      <c r="H335" s="85" t="n"/>
      <c r="I335" s="85" t="n"/>
    </row>
    <row r="336">
      <c r="A336" s="50" t="n"/>
      <c r="B336" s="44" t="n"/>
      <c r="C336" s="44" t="n"/>
      <c r="D336" s="45" t="n"/>
      <c r="E336" s="44" t="n"/>
      <c r="F336" s="44" t="n"/>
      <c r="G336" s="44" t="n"/>
      <c r="H336" s="85" t="n"/>
      <c r="I336" s="85" t="n"/>
    </row>
    <row r="337">
      <c r="A337" s="50" t="n"/>
      <c r="B337" s="44" t="n"/>
      <c r="C337" s="44" t="n"/>
      <c r="D337" s="45" t="n"/>
      <c r="E337" s="44" t="n"/>
      <c r="F337" s="44" t="n"/>
      <c r="G337" s="44" t="n"/>
      <c r="H337" s="85" t="n"/>
      <c r="I337" s="85" t="n"/>
    </row>
    <row r="338">
      <c r="A338" s="50" t="n"/>
      <c r="B338" s="44" t="n"/>
      <c r="C338" s="44" t="n"/>
      <c r="D338" s="45" t="n"/>
      <c r="E338" s="44" t="n"/>
      <c r="F338" s="44" t="n"/>
      <c r="G338" s="44" t="n"/>
      <c r="H338" s="85" t="n"/>
      <c r="I338" s="85" t="n"/>
    </row>
    <row r="339">
      <c r="A339" s="50" t="n"/>
      <c r="B339" s="44" t="n"/>
      <c r="C339" s="44" t="n"/>
      <c r="D339" s="45" t="n"/>
      <c r="E339" s="44" t="n"/>
      <c r="F339" s="44" t="n"/>
      <c r="G339" s="44" t="n"/>
      <c r="H339" s="85" t="n"/>
      <c r="I339" s="85" t="n"/>
    </row>
    <row r="340">
      <c r="A340" s="50" t="n"/>
      <c r="B340" s="44" t="n"/>
      <c r="C340" s="44" t="n"/>
      <c r="D340" s="45" t="n"/>
      <c r="E340" s="44" t="n"/>
      <c r="F340" s="44" t="n"/>
      <c r="G340" s="44" t="n"/>
      <c r="H340" s="85" t="n"/>
      <c r="I340" s="85" t="n"/>
    </row>
    <row r="341">
      <c r="A341" s="50" t="n"/>
      <c r="B341" s="44" t="n"/>
      <c r="C341" s="44" t="n"/>
      <c r="D341" s="45" t="n"/>
      <c r="E341" s="44" t="n"/>
      <c r="F341" s="44" t="n"/>
      <c r="G341" s="44" t="n"/>
      <c r="H341" s="85" t="n"/>
      <c r="I341" s="85" t="n"/>
    </row>
    <row r="342">
      <c r="A342" s="50" t="n"/>
      <c r="B342" s="44" t="n"/>
      <c r="C342" s="44" t="n"/>
      <c r="D342" s="45" t="n"/>
      <c r="E342" s="44" t="n"/>
      <c r="F342" s="44" t="n"/>
      <c r="G342" s="44" t="n"/>
      <c r="H342" s="85" t="n"/>
      <c r="I342" s="85" t="n"/>
    </row>
    <row r="343">
      <c r="A343" s="50" t="n"/>
      <c r="B343" s="44" t="n"/>
      <c r="C343" s="44" t="n"/>
      <c r="D343" s="45" t="n"/>
      <c r="E343" s="44" t="n"/>
      <c r="F343" s="44" t="n"/>
      <c r="G343" s="44" t="n"/>
      <c r="H343" s="85" t="n"/>
      <c r="I343" s="85" t="n"/>
    </row>
    <row r="344">
      <c r="A344" s="50" t="n"/>
      <c r="B344" s="44" t="n"/>
      <c r="C344" s="44" t="n"/>
      <c r="D344" s="45" t="n"/>
      <c r="E344" s="44" t="n"/>
      <c r="F344" s="44" t="n"/>
      <c r="G344" s="44" t="n"/>
      <c r="H344" s="85" t="n"/>
      <c r="I344" s="85" t="n"/>
    </row>
    <row r="345">
      <c r="A345" s="50" t="n"/>
      <c r="B345" s="44" t="n"/>
      <c r="C345" s="44" t="n"/>
      <c r="D345" s="45" t="n"/>
      <c r="E345" s="44" t="n"/>
      <c r="F345" s="44" t="n"/>
      <c r="G345" s="44" t="n"/>
      <c r="H345" s="85" t="n"/>
      <c r="I345" s="85" t="n"/>
    </row>
    <row r="346">
      <c r="A346" s="50" t="n"/>
      <c r="B346" s="44" t="n"/>
      <c r="C346" s="44" t="n"/>
      <c r="D346" s="45" t="n"/>
      <c r="E346" s="44" t="n"/>
      <c r="F346" s="44" t="n"/>
      <c r="G346" s="44" t="n"/>
      <c r="H346" s="85" t="n"/>
      <c r="I346" s="85" t="n"/>
    </row>
    <row r="347">
      <c r="A347" s="50" t="n"/>
      <c r="B347" s="44" t="n"/>
      <c r="C347" s="44" t="n"/>
      <c r="D347" s="45" t="n"/>
      <c r="E347" s="44" t="n"/>
      <c r="F347" s="44" t="n"/>
      <c r="G347" s="44" t="n"/>
      <c r="H347" s="85" t="n"/>
      <c r="I347" s="85" t="n"/>
    </row>
    <row r="348">
      <c r="A348" s="50" t="n"/>
      <c r="B348" s="44" t="n"/>
      <c r="C348" s="44" t="n"/>
      <c r="D348" s="45" t="n"/>
      <c r="E348" s="44" t="n"/>
      <c r="F348" s="44" t="n"/>
      <c r="G348" s="44" t="n"/>
      <c r="H348" s="85" t="n"/>
      <c r="I348" s="85" t="n"/>
    </row>
    <row r="349">
      <c r="A349" s="50" t="n"/>
      <c r="B349" s="44" t="n"/>
      <c r="C349" s="44" t="n"/>
      <c r="D349" s="45" t="n"/>
      <c r="E349" s="44" t="n"/>
      <c r="F349" s="44" t="n"/>
      <c r="G349" s="44" t="n"/>
      <c r="H349" s="85" t="n"/>
      <c r="I349" s="85" t="n"/>
    </row>
    <row r="350">
      <c r="A350" s="50" t="n"/>
      <c r="B350" s="44" t="n"/>
      <c r="C350" s="44" t="n"/>
      <c r="D350" s="45" t="n"/>
      <c r="E350" s="44" t="n"/>
      <c r="F350" s="44" t="n"/>
      <c r="G350" s="44" t="n"/>
      <c r="H350" s="85" t="n"/>
      <c r="I350" s="85" t="n"/>
    </row>
    <row r="351">
      <c r="A351" s="50" t="n"/>
      <c r="B351" s="44" t="n"/>
      <c r="C351" s="44" t="n"/>
      <c r="D351" s="45" t="n"/>
      <c r="E351" s="44" t="n"/>
      <c r="F351" s="44" t="n"/>
      <c r="G351" s="44" t="n"/>
      <c r="H351" s="85" t="n"/>
      <c r="I351" s="85" t="n"/>
    </row>
    <row r="352">
      <c r="A352" s="50" t="n"/>
      <c r="B352" s="44" t="n"/>
      <c r="C352" s="44" t="n"/>
      <c r="D352" s="45" t="n"/>
      <c r="E352" s="44" t="n"/>
      <c r="F352" s="44" t="n"/>
      <c r="G352" s="44" t="n"/>
      <c r="H352" s="85" t="n"/>
      <c r="I352" s="85" t="n"/>
    </row>
    <row r="353">
      <c r="A353" s="50" t="n"/>
      <c r="B353" s="44" t="n"/>
      <c r="C353" s="44" t="n"/>
      <c r="D353" s="45" t="n"/>
      <c r="E353" s="44" t="n"/>
      <c r="F353" s="44" t="n"/>
      <c r="G353" s="44" t="n"/>
      <c r="H353" s="85" t="n"/>
      <c r="I353" s="85" t="n"/>
    </row>
    <row r="354">
      <c r="A354" s="50" t="n"/>
      <c r="B354" s="44" t="n"/>
      <c r="C354" s="44" t="n"/>
      <c r="D354" s="45" t="n"/>
      <c r="E354" s="44" t="n"/>
      <c r="F354" s="44" t="n"/>
      <c r="G354" s="44" t="n"/>
      <c r="H354" s="85" t="n"/>
      <c r="I354" s="85" t="n"/>
    </row>
    <row r="355">
      <c r="A355" s="50" t="n"/>
      <c r="B355" s="44" t="n"/>
      <c r="C355" s="44" t="n"/>
      <c r="D355" s="45" t="n"/>
      <c r="E355" s="44" t="n"/>
      <c r="F355" s="44" t="n"/>
      <c r="G355" s="44" t="n"/>
      <c r="H355" s="85" t="n"/>
      <c r="I355" s="85" t="n"/>
    </row>
    <row r="356">
      <c r="A356" s="50" t="n"/>
      <c r="B356" s="44" t="n"/>
      <c r="C356" s="44" t="n"/>
      <c r="D356" s="45" t="n"/>
      <c r="E356" s="44" t="n"/>
      <c r="F356" s="44" t="n"/>
      <c r="G356" s="44" t="n"/>
      <c r="H356" s="85" t="n"/>
      <c r="I356" s="85" t="n"/>
    </row>
    <row r="357">
      <c r="A357" s="50" t="n"/>
      <c r="B357" s="44" t="n"/>
      <c r="C357" s="44" t="n"/>
      <c r="D357" s="45" t="n"/>
      <c r="E357" s="44" t="n"/>
      <c r="F357" s="44" t="n"/>
      <c r="G357" s="44" t="n"/>
      <c r="H357" s="85" t="n"/>
      <c r="I357" s="85" t="n"/>
    </row>
    <row r="358">
      <c r="A358" s="50" t="n"/>
      <c r="B358" s="44" t="n"/>
      <c r="C358" s="44" t="n"/>
      <c r="D358" s="45" t="n"/>
      <c r="E358" s="44" t="n"/>
      <c r="F358" s="44" t="n"/>
      <c r="G358" s="44" t="n"/>
      <c r="H358" s="85" t="n"/>
      <c r="I358" s="85" t="n"/>
    </row>
    <row r="359">
      <c r="A359" s="50" t="n"/>
      <c r="B359" s="44" t="n"/>
      <c r="C359" s="44" t="n"/>
      <c r="D359" s="45" t="n"/>
      <c r="E359" s="44" t="n"/>
      <c r="F359" s="44" t="n"/>
      <c r="G359" s="44" t="n"/>
      <c r="H359" s="85" t="n"/>
      <c r="I359" s="85" t="n"/>
    </row>
    <row r="360">
      <c r="A360" s="50" t="n"/>
      <c r="B360" s="44" t="n"/>
      <c r="C360" s="44" t="n"/>
      <c r="D360" s="45" t="n"/>
      <c r="E360" s="44" t="n"/>
      <c r="F360" s="44" t="n"/>
      <c r="G360" s="44" t="n"/>
      <c r="H360" s="85" t="n"/>
      <c r="I360" s="85" t="n"/>
    </row>
    <row r="361">
      <c r="A361" s="50" t="n"/>
      <c r="B361" s="44" t="n"/>
      <c r="C361" s="44" t="n"/>
      <c r="D361" s="45" t="n"/>
      <c r="E361" s="44" t="n"/>
      <c r="F361" s="44" t="n"/>
      <c r="G361" s="44" t="n"/>
      <c r="H361" s="85" t="n"/>
      <c r="I361" s="85" t="n"/>
    </row>
    <row r="362">
      <c r="A362" s="50" t="n"/>
      <c r="B362" s="44" t="n"/>
      <c r="C362" s="44" t="n"/>
      <c r="D362" s="45" t="n"/>
      <c r="E362" s="44" t="n"/>
      <c r="F362" s="44" t="n"/>
      <c r="G362" s="44" t="n"/>
      <c r="H362" s="85" t="n"/>
      <c r="I362" s="85" t="n"/>
    </row>
    <row r="363">
      <c r="A363" s="50" t="n"/>
      <c r="B363" s="44" t="n"/>
      <c r="C363" s="44" t="n"/>
      <c r="D363" s="45" t="n"/>
      <c r="E363" s="44" t="n"/>
      <c r="F363" s="44" t="n"/>
      <c r="G363" s="44" t="n"/>
      <c r="H363" s="85" t="n"/>
      <c r="I363" s="85" t="n"/>
    </row>
    <row r="364">
      <c r="A364" s="50" t="n"/>
      <c r="B364" s="44" t="n"/>
      <c r="C364" s="44" t="n"/>
      <c r="D364" s="45" t="n"/>
      <c r="E364" s="44" t="n"/>
      <c r="F364" s="44" t="n"/>
      <c r="G364" s="44" t="n"/>
      <c r="H364" s="85" t="n"/>
      <c r="I364" s="85" t="n"/>
    </row>
    <row r="365">
      <c r="A365" s="50" t="n"/>
      <c r="B365" s="44" t="n"/>
      <c r="C365" s="44" t="n"/>
      <c r="D365" s="45" t="n"/>
      <c r="E365" s="44" t="n"/>
      <c r="F365" s="44" t="n"/>
      <c r="G365" s="44" t="n"/>
      <c r="H365" s="85" t="n"/>
      <c r="I365" s="85" t="n"/>
    </row>
    <row r="366">
      <c r="A366" s="50" t="n"/>
      <c r="B366" s="44" t="n"/>
      <c r="C366" s="44" t="n"/>
      <c r="D366" s="45" t="n"/>
      <c r="E366" s="44" t="n"/>
      <c r="F366" s="44" t="n"/>
      <c r="G366" s="44" t="n"/>
      <c r="H366" s="85" t="n"/>
      <c r="I366" s="85" t="n"/>
    </row>
    <row r="367">
      <c r="A367" s="50" t="n"/>
      <c r="B367" s="44" t="n"/>
      <c r="C367" s="44" t="n"/>
      <c r="D367" s="45" t="n"/>
      <c r="E367" s="44" t="n"/>
      <c r="F367" s="44" t="n"/>
      <c r="G367" s="44" t="n"/>
      <c r="H367" s="85" t="n"/>
      <c r="I367" s="85" t="n"/>
    </row>
    <row r="368">
      <c r="A368" s="50" t="n"/>
      <c r="B368" s="44" t="n"/>
      <c r="C368" s="44" t="n"/>
      <c r="D368" s="45" t="n"/>
      <c r="E368" s="44" t="n"/>
      <c r="F368" s="44" t="n"/>
      <c r="G368" s="44" t="n"/>
      <c r="H368" s="85" t="n"/>
      <c r="I368" s="85" t="n"/>
    </row>
    <row r="369">
      <c r="A369" s="50" t="n"/>
      <c r="B369" s="44" t="n"/>
      <c r="C369" s="44" t="n"/>
      <c r="D369" s="45" t="n"/>
      <c r="E369" s="44" t="n"/>
      <c r="F369" s="44" t="n"/>
      <c r="G369" s="44" t="n"/>
      <c r="H369" s="85" t="n"/>
      <c r="I369" s="85" t="n"/>
    </row>
    <row r="370">
      <c r="A370" s="50" t="n"/>
      <c r="B370" s="44" t="n"/>
      <c r="C370" s="44" t="n"/>
      <c r="D370" s="45" t="n"/>
      <c r="E370" s="44" t="n"/>
      <c r="F370" s="44" t="n"/>
      <c r="G370" s="44" t="n"/>
      <c r="H370" s="85" t="n"/>
      <c r="I370" s="85" t="n"/>
    </row>
    <row r="371">
      <c r="A371" s="50" t="n"/>
      <c r="B371" s="44" t="n"/>
      <c r="C371" s="44" t="n"/>
      <c r="D371" s="45" t="n"/>
      <c r="E371" s="44" t="n"/>
      <c r="F371" s="44" t="n"/>
      <c r="G371" s="44" t="n"/>
      <c r="H371" s="85" t="n"/>
      <c r="I371" s="85" t="n"/>
    </row>
    <row r="372">
      <c r="A372" s="50" t="n"/>
      <c r="B372" s="44" t="n"/>
      <c r="C372" s="44" t="n"/>
      <c r="D372" s="45" t="n"/>
      <c r="E372" s="44" t="n"/>
      <c r="F372" s="44" t="n"/>
      <c r="G372" s="44" t="n"/>
      <c r="H372" s="85" t="n"/>
      <c r="I372" s="85" t="n"/>
    </row>
    <row r="373">
      <c r="A373" s="50" t="n"/>
      <c r="B373" s="44" t="n"/>
      <c r="C373" s="44" t="n"/>
      <c r="D373" s="45" t="n"/>
      <c r="E373" s="44" t="n"/>
      <c r="F373" s="44" t="n"/>
      <c r="G373" s="44" t="n"/>
      <c r="H373" s="85" t="n"/>
      <c r="I373" s="85" t="n"/>
    </row>
    <row r="374">
      <c r="A374" s="50" t="n"/>
      <c r="B374" s="44" t="n"/>
      <c r="C374" s="44" t="n"/>
      <c r="D374" s="45" t="n"/>
      <c r="E374" s="44" t="n"/>
      <c r="F374" s="44" t="n"/>
      <c r="G374" s="44" t="n"/>
      <c r="H374" s="85" t="n"/>
      <c r="I374" s="85" t="n"/>
    </row>
    <row r="375">
      <c r="A375" s="50" t="n"/>
      <c r="B375" s="44" t="n"/>
      <c r="C375" s="44" t="n"/>
      <c r="D375" s="45" t="n"/>
      <c r="E375" s="44" t="n"/>
      <c r="F375" s="44" t="n"/>
      <c r="G375" s="44" t="n"/>
      <c r="H375" s="85" t="n"/>
      <c r="I375" s="85" t="n"/>
    </row>
    <row r="376">
      <c r="A376" s="50" t="n"/>
      <c r="B376" s="44" t="n"/>
      <c r="C376" s="44" t="n"/>
      <c r="D376" s="45" t="n"/>
      <c r="E376" s="44" t="n"/>
      <c r="F376" s="44" t="n"/>
      <c r="G376" s="44" t="n"/>
      <c r="H376" s="85" t="n"/>
      <c r="I376" s="85" t="n"/>
    </row>
    <row r="377">
      <c r="A377" s="50" t="n"/>
      <c r="B377" s="44" t="n"/>
      <c r="C377" s="44" t="n"/>
      <c r="D377" s="45" t="n"/>
      <c r="E377" s="44" t="n"/>
      <c r="F377" s="44" t="n"/>
      <c r="G377" s="44" t="n"/>
      <c r="H377" s="85" t="n"/>
      <c r="I377" s="85" t="n"/>
    </row>
    <row r="378">
      <c r="A378" s="50" t="n"/>
      <c r="B378" s="44" t="n"/>
      <c r="C378" s="44" t="n"/>
      <c r="D378" s="45" t="n"/>
      <c r="E378" s="44" t="n"/>
      <c r="F378" s="44" t="n"/>
      <c r="G378" s="44" t="n"/>
      <c r="H378" s="85" t="n"/>
      <c r="I378" s="85" t="n"/>
    </row>
    <row r="379">
      <c r="A379" s="50" t="n"/>
      <c r="B379" s="44" t="n"/>
      <c r="C379" s="44" t="n"/>
      <c r="D379" s="45" t="n"/>
      <c r="E379" s="44" t="n"/>
      <c r="F379" s="44" t="n"/>
      <c r="G379" s="44" t="n"/>
      <c r="H379" s="85" t="n"/>
      <c r="I379" s="85" t="n"/>
    </row>
    <row r="380">
      <c r="A380" s="50" t="n"/>
      <c r="B380" s="44" t="n"/>
      <c r="C380" s="44" t="n"/>
      <c r="D380" s="45" t="n"/>
      <c r="E380" s="44" t="n"/>
      <c r="F380" s="44" t="n"/>
      <c r="G380" s="44" t="n"/>
      <c r="H380" s="85" t="n"/>
      <c r="I380" s="85" t="n"/>
    </row>
    <row r="381">
      <c r="A381" s="50" t="n"/>
      <c r="B381" s="44" t="n"/>
      <c r="C381" s="44" t="n"/>
      <c r="D381" s="45" t="n"/>
      <c r="E381" s="44" t="n"/>
      <c r="F381" s="44" t="n"/>
      <c r="G381" s="44" t="n"/>
      <c r="H381" s="85" t="n"/>
      <c r="I381" s="85" t="n"/>
    </row>
    <row r="382">
      <c r="A382" s="50" t="n"/>
      <c r="B382" s="44" t="n"/>
      <c r="C382" s="44" t="n"/>
      <c r="D382" s="45" t="n"/>
      <c r="E382" s="44" t="n"/>
      <c r="F382" s="44" t="n"/>
      <c r="G382" s="44" t="n"/>
      <c r="H382" s="85" t="n"/>
      <c r="I382" s="85" t="n"/>
    </row>
    <row r="383">
      <c r="A383" s="50" t="n"/>
      <c r="B383" s="44" t="n"/>
      <c r="C383" s="44" t="n"/>
      <c r="D383" s="45" t="n"/>
      <c r="E383" s="44" t="n"/>
      <c r="F383" s="44" t="n"/>
      <c r="G383" s="44" t="n"/>
      <c r="H383" s="85" t="n"/>
      <c r="I383" s="85" t="n"/>
    </row>
    <row r="384">
      <c r="A384" s="50" t="n"/>
      <c r="B384" s="44" t="n"/>
      <c r="C384" s="44" t="n"/>
      <c r="D384" s="45" t="n"/>
      <c r="E384" s="44" t="n"/>
      <c r="F384" s="44" t="n"/>
      <c r="G384" s="44" t="n"/>
      <c r="H384" s="85" t="n"/>
      <c r="I384" s="85" t="n"/>
    </row>
    <row r="385">
      <c r="A385" s="50" t="n"/>
      <c r="B385" s="44" t="n"/>
      <c r="C385" s="44" t="n"/>
      <c r="D385" s="45" t="n"/>
      <c r="E385" s="44" t="n"/>
      <c r="F385" s="44" t="n"/>
      <c r="G385" s="44" t="n"/>
      <c r="H385" s="85" t="n"/>
      <c r="I385" s="85" t="n"/>
    </row>
    <row r="386">
      <c r="A386" s="50" t="n"/>
      <c r="B386" s="44" t="n"/>
      <c r="C386" s="44" t="n"/>
      <c r="D386" s="45" t="n"/>
      <c r="E386" s="44" t="n"/>
      <c r="F386" s="44" t="n"/>
      <c r="G386" s="44" t="n"/>
      <c r="H386" s="85" t="n"/>
      <c r="I386" s="85" t="n"/>
    </row>
    <row r="387">
      <c r="A387" s="50" t="n"/>
      <c r="B387" s="44" t="n"/>
      <c r="C387" s="44" t="n"/>
      <c r="D387" s="45" t="n"/>
      <c r="E387" s="44" t="n"/>
      <c r="F387" s="44" t="n"/>
      <c r="G387" s="44" t="n"/>
      <c r="H387" s="85" t="n"/>
      <c r="I387" s="85" t="n"/>
    </row>
    <row r="388">
      <c r="A388" s="50" t="n"/>
      <c r="B388" s="44" t="n"/>
      <c r="C388" s="44" t="n"/>
      <c r="D388" s="45" t="n"/>
      <c r="E388" s="44" t="n"/>
      <c r="F388" s="44" t="n"/>
      <c r="G388" s="44" t="n"/>
      <c r="H388" s="85" t="n"/>
      <c r="I388" s="85" t="n"/>
    </row>
    <row r="389">
      <c r="A389" s="50" t="n"/>
      <c r="B389" s="44" t="n"/>
      <c r="C389" s="44" t="n"/>
      <c r="D389" s="45" t="n"/>
      <c r="E389" s="44" t="n"/>
      <c r="F389" s="44" t="n"/>
      <c r="G389" s="44" t="n"/>
      <c r="H389" s="85" t="n"/>
      <c r="I389" s="85" t="n"/>
    </row>
    <row r="390">
      <c r="A390" s="50" t="n"/>
      <c r="B390" s="44" t="n"/>
      <c r="C390" s="44" t="n"/>
      <c r="D390" s="45" t="n"/>
      <c r="E390" s="44" t="n"/>
      <c r="F390" s="44" t="n"/>
      <c r="G390" s="44" t="n"/>
      <c r="H390" s="85" t="n"/>
      <c r="I390" s="85" t="n"/>
    </row>
    <row r="391">
      <c r="A391" s="50" t="n"/>
      <c r="B391" s="44" t="n"/>
      <c r="C391" s="44" t="n"/>
      <c r="D391" s="45" t="n"/>
      <c r="E391" s="44" t="n"/>
      <c r="F391" s="44" t="n"/>
      <c r="G391" s="44" t="n"/>
      <c r="H391" s="85" t="n"/>
      <c r="I391" s="85" t="n"/>
    </row>
    <row r="392">
      <c r="A392" s="50" t="n"/>
      <c r="B392" s="44" t="n"/>
      <c r="C392" s="44" t="n"/>
      <c r="D392" s="45" t="n"/>
      <c r="E392" s="44" t="n"/>
      <c r="F392" s="44" t="n"/>
      <c r="G392" s="44" t="n"/>
      <c r="H392" s="85" t="n"/>
      <c r="I392" s="85" t="n"/>
    </row>
    <row r="393">
      <c r="A393" s="50" t="n"/>
      <c r="B393" s="44" t="n"/>
      <c r="C393" s="44" t="n"/>
      <c r="D393" s="45" t="n"/>
      <c r="E393" s="44" t="n"/>
      <c r="F393" s="44" t="n"/>
      <c r="G393" s="44" t="n"/>
      <c r="H393" s="85" t="n"/>
      <c r="I393" s="85" t="n"/>
    </row>
    <row r="394">
      <c r="A394" s="50" t="n"/>
      <c r="B394" s="44" t="n"/>
      <c r="C394" s="44" t="n"/>
      <c r="D394" s="45" t="n"/>
      <c r="E394" s="44" t="n"/>
      <c r="F394" s="44" t="n"/>
      <c r="G394" s="44" t="n"/>
      <c r="H394" s="85" t="n"/>
      <c r="I394" s="85" t="n"/>
    </row>
    <row r="395">
      <c r="A395" s="50" t="n"/>
      <c r="B395" s="44" t="n"/>
      <c r="C395" s="44" t="n"/>
      <c r="D395" s="45" t="n"/>
      <c r="E395" s="44" t="n"/>
      <c r="F395" s="44" t="n"/>
      <c r="G395" s="44" t="n"/>
      <c r="H395" s="85" t="n"/>
      <c r="I395" s="85" t="n"/>
    </row>
    <row r="396">
      <c r="A396" s="50" t="n"/>
      <c r="B396" s="44" t="n"/>
      <c r="C396" s="44" t="n"/>
      <c r="D396" s="45" t="n"/>
      <c r="E396" s="44" t="n"/>
      <c r="F396" s="44" t="n"/>
      <c r="G396" s="44" t="n"/>
      <c r="H396" s="85" t="n"/>
      <c r="I396" s="85" t="n"/>
    </row>
    <row r="397">
      <c r="A397" s="50" t="n"/>
      <c r="B397" s="44" t="n"/>
      <c r="C397" s="44" t="n"/>
      <c r="D397" s="45" t="n"/>
      <c r="E397" s="44" t="n"/>
      <c r="F397" s="44" t="n"/>
      <c r="G397" s="44" t="n"/>
      <c r="H397" s="85" t="n"/>
      <c r="I397" s="85" t="n"/>
    </row>
    <row r="398">
      <c r="A398" s="50" t="n"/>
      <c r="B398" s="44" t="n"/>
      <c r="C398" s="44" t="n"/>
      <c r="D398" s="45" t="n"/>
      <c r="E398" s="44" t="n"/>
      <c r="F398" s="44" t="n"/>
      <c r="G398" s="44" t="n"/>
      <c r="H398" s="85" t="n"/>
      <c r="I398" s="85" t="n"/>
    </row>
    <row r="399">
      <c r="A399" s="50" t="n"/>
      <c r="B399" s="44" t="n"/>
      <c r="C399" s="44" t="n"/>
      <c r="D399" s="45" t="n"/>
      <c r="E399" s="44" t="n"/>
      <c r="F399" s="44" t="n"/>
      <c r="G399" s="44" t="n"/>
      <c r="H399" s="85" t="n"/>
      <c r="I399" s="85" t="n"/>
    </row>
    <row r="400">
      <c r="A400" s="50" t="n"/>
      <c r="B400" s="44" t="n"/>
      <c r="C400" s="44" t="n"/>
      <c r="D400" s="45" t="n"/>
      <c r="E400" s="44" t="n"/>
      <c r="F400" s="44" t="n"/>
      <c r="G400" s="44" t="n"/>
      <c r="H400" s="85" t="n"/>
      <c r="I400" s="85" t="n"/>
    </row>
    <row r="401">
      <c r="A401" s="50" t="n"/>
      <c r="B401" s="44" t="n"/>
      <c r="C401" s="44" t="n"/>
      <c r="D401" s="45" t="n"/>
      <c r="E401" s="44" t="n"/>
      <c r="F401" s="44" t="n"/>
      <c r="G401" s="44" t="n"/>
      <c r="H401" s="85" t="n"/>
      <c r="I401" s="85" t="n"/>
    </row>
    <row r="402">
      <c r="A402" s="50" t="n"/>
      <c r="B402" s="44" t="n"/>
      <c r="C402" s="44" t="n"/>
      <c r="D402" s="45" t="n"/>
      <c r="E402" s="44" t="n"/>
      <c r="F402" s="44" t="n"/>
      <c r="G402" s="44" t="n"/>
      <c r="H402" s="85" t="n"/>
      <c r="I402" s="85" t="n"/>
    </row>
    <row r="403">
      <c r="A403" s="50" t="n"/>
      <c r="B403" s="44" t="n"/>
      <c r="C403" s="44" t="n"/>
      <c r="D403" s="45" t="n"/>
      <c r="E403" s="44" t="n"/>
      <c r="F403" s="44" t="n"/>
      <c r="G403" s="44" t="n"/>
      <c r="H403" s="85" t="n"/>
      <c r="I403" s="85" t="n"/>
    </row>
    <row r="404">
      <c r="A404" s="50" t="n"/>
      <c r="B404" s="44" t="n"/>
      <c r="C404" s="44" t="n"/>
      <c r="D404" s="45" t="n"/>
      <c r="E404" s="44" t="n"/>
      <c r="F404" s="44" t="n"/>
      <c r="G404" s="44" t="n"/>
      <c r="H404" s="85" t="n"/>
      <c r="I404" s="85" t="n"/>
    </row>
    <row r="405">
      <c r="A405" s="50" t="n"/>
      <c r="B405" s="44" t="n"/>
      <c r="C405" s="44" t="n"/>
      <c r="D405" s="45" t="n"/>
      <c r="E405" s="44" t="n"/>
      <c r="F405" s="44" t="n"/>
      <c r="G405" s="44" t="n"/>
      <c r="H405" s="85" t="n"/>
      <c r="I405" s="85" t="n"/>
    </row>
    <row r="406">
      <c r="A406" s="50" t="n"/>
      <c r="B406" s="44" t="n"/>
      <c r="C406" s="44" t="n"/>
      <c r="D406" s="45" t="n"/>
      <c r="E406" s="44" t="n"/>
      <c r="F406" s="44" t="n"/>
      <c r="G406" s="44" t="n"/>
      <c r="H406" s="85" t="n"/>
      <c r="I406" s="85" t="n"/>
    </row>
    <row r="407">
      <c r="A407" s="50" t="n"/>
      <c r="B407" s="44" t="n"/>
      <c r="C407" s="44" t="n"/>
      <c r="D407" s="45" t="n"/>
      <c r="E407" s="44" t="n"/>
      <c r="F407" s="44" t="n"/>
      <c r="G407" s="44" t="n"/>
      <c r="H407" s="85" t="n"/>
      <c r="I407" s="85" t="n"/>
    </row>
    <row r="408">
      <c r="A408" s="50" t="n"/>
      <c r="B408" s="44" t="n"/>
      <c r="C408" s="44" t="n"/>
      <c r="D408" s="45" t="n"/>
      <c r="E408" s="44" t="n"/>
      <c r="F408" s="44" t="n"/>
      <c r="G408" s="44" t="n"/>
      <c r="H408" s="85" t="n"/>
      <c r="I408" s="85" t="n"/>
    </row>
    <row r="409">
      <c r="A409" s="50" t="n"/>
      <c r="B409" s="44" t="n"/>
      <c r="C409" s="44" t="n"/>
      <c r="D409" s="45" t="n"/>
      <c r="E409" s="44" t="n"/>
      <c r="F409" s="44" t="n"/>
      <c r="G409" s="44" t="n"/>
      <c r="H409" s="85" t="n"/>
      <c r="I409" s="85" t="n"/>
    </row>
    <row r="410">
      <c r="A410" s="50" t="n"/>
      <c r="B410" s="44" t="n"/>
      <c r="C410" s="44" t="n"/>
      <c r="D410" s="45" t="n"/>
      <c r="E410" s="44" t="n"/>
      <c r="F410" s="44" t="n"/>
      <c r="G410" s="44" t="n"/>
      <c r="H410" s="85" t="n"/>
      <c r="I410" s="85" t="n"/>
    </row>
    <row r="411">
      <c r="A411" s="50" t="n"/>
      <c r="B411" s="44" t="n"/>
      <c r="C411" s="44" t="n"/>
      <c r="D411" s="45" t="n"/>
      <c r="E411" s="44" t="n"/>
      <c r="F411" s="44" t="n"/>
      <c r="G411" s="44" t="n"/>
      <c r="H411" s="85" t="n"/>
      <c r="I411" s="85" t="n"/>
    </row>
    <row r="412">
      <c r="A412" s="50" t="n"/>
      <c r="B412" s="44" t="n"/>
      <c r="C412" s="44" t="n"/>
      <c r="D412" s="45" t="n"/>
      <c r="E412" s="44" t="n"/>
      <c r="F412" s="44" t="n"/>
      <c r="G412" s="44" t="n"/>
      <c r="H412" s="85" t="n"/>
      <c r="I412" s="85" t="n"/>
    </row>
    <row r="413">
      <c r="A413" s="50" t="n"/>
      <c r="B413" s="44" t="n"/>
      <c r="C413" s="44" t="n"/>
      <c r="D413" s="45" t="n"/>
      <c r="E413" s="44" t="n"/>
      <c r="F413" s="44" t="n"/>
      <c r="G413" s="44" t="n"/>
      <c r="H413" s="85" t="n"/>
      <c r="I413" s="85" t="n"/>
    </row>
    <row r="414">
      <c r="A414" s="50" t="n"/>
      <c r="B414" s="44" t="n"/>
      <c r="C414" s="44" t="n"/>
      <c r="D414" s="45" t="n"/>
      <c r="E414" s="44" t="n"/>
      <c r="F414" s="44" t="n"/>
      <c r="G414" s="44" t="n"/>
      <c r="H414" s="85" t="n"/>
      <c r="I414" s="85" t="n"/>
    </row>
    <row r="415">
      <c r="A415" s="50" t="n"/>
      <c r="B415" s="44" t="n"/>
      <c r="C415" s="44" t="n"/>
      <c r="D415" s="45" t="n"/>
      <c r="E415" s="44" t="n"/>
      <c r="F415" s="44" t="n"/>
      <c r="G415" s="44" t="n"/>
      <c r="H415" s="85" t="n"/>
      <c r="I415" s="85" t="n"/>
    </row>
    <row r="416">
      <c r="A416" s="50" t="n"/>
      <c r="B416" s="44" t="n"/>
      <c r="C416" s="44" t="n"/>
      <c r="D416" s="45" t="n"/>
      <c r="E416" s="44" t="n"/>
      <c r="F416" s="44" t="n"/>
      <c r="G416" s="44" t="n"/>
      <c r="H416" s="85" t="n"/>
      <c r="I416" s="85" t="n"/>
    </row>
    <row r="417">
      <c r="A417" s="50" t="n"/>
      <c r="B417" s="44" t="n"/>
      <c r="C417" s="44" t="n"/>
      <c r="D417" s="45" t="n"/>
      <c r="E417" s="44" t="n"/>
      <c r="F417" s="44" t="n"/>
      <c r="G417" s="44" t="n"/>
      <c r="H417" s="85" t="n"/>
      <c r="I417" s="85" t="n"/>
    </row>
    <row r="418">
      <c r="A418" s="50" t="n"/>
      <c r="B418" s="44" t="n"/>
      <c r="C418" s="44" t="n"/>
      <c r="D418" s="45" t="n"/>
      <c r="E418" s="44" t="n"/>
      <c r="F418" s="44" t="n"/>
      <c r="G418" s="44" t="n"/>
      <c r="H418" s="85" t="n"/>
      <c r="I418" s="85" t="n"/>
    </row>
    <row r="419">
      <c r="A419" s="50" t="n"/>
      <c r="B419" s="44" t="n"/>
      <c r="C419" s="44" t="n"/>
      <c r="D419" s="45" t="n"/>
      <c r="E419" s="44" t="n"/>
      <c r="F419" s="44" t="n"/>
      <c r="G419" s="44" t="n"/>
      <c r="H419" s="85" t="n"/>
      <c r="I419" s="85" t="n"/>
    </row>
    <row r="420">
      <c r="A420" s="50" t="n"/>
      <c r="B420" s="44" t="n"/>
      <c r="C420" s="44" t="n"/>
      <c r="D420" s="45" t="n"/>
      <c r="E420" s="44" t="n"/>
      <c r="F420" s="44" t="n"/>
      <c r="G420" s="44" t="n"/>
      <c r="H420" s="85" t="n"/>
      <c r="I420" s="85" t="n"/>
    </row>
    <row r="421">
      <c r="A421" s="50" t="n"/>
      <c r="B421" s="44" t="n"/>
      <c r="C421" s="44" t="n"/>
      <c r="D421" s="45" t="n"/>
      <c r="E421" s="44" t="n"/>
      <c r="F421" s="44" t="n"/>
      <c r="G421" s="44" t="n"/>
      <c r="H421" s="85" t="n"/>
      <c r="I421" s="85" t="n"/>
    </row>
    <row r="422">
      <c r="A422" s="50" t="n"/>
      <c r="B422" s="44" t="n"/>
      <c r="C422" s="44" t="n"/>
      <c r="D422" s="45" t="n"/>
      <c r="E422" s="44" t="n"/>
      <c r="F422" s="44" t="n"/>
      <c r="G422" s="44" t="n"/>
      <c r="H422" s="85" t="n"/>
      <c r="I422" s="85" t="n"/>
    </row>
    <row r="423">
      <c r="A423" s="50" t="n"/>
      <c r="B423" s="44" t="n"/>
      <c r="C423" s="44" t="n"/>
      <c r="D423" s="45" t="n"/>
      <c r="E423" s="44" t="n"/>
      <c r="F423" s="44" t="n"/>
      <c r="G423" s="44" t="n"/>
      <c r="H423" s="85" t="n"/>
      <c r="I423" s="85" t="n"/>
    </row>
    <row r="424">
      <c r="A424" s="50" t="n"/>
      <c r="B424" s="44" t="n"/>
      <c r="C424" s="44" t="n"/>
      <c r="D424" s="45" t="n"/>
      <c r="E424" s="44" t="n"/>
      <c r="F424" s="44" t="n"/>
      <c r="G424" s="44" t="n"/>
      <c r="H424" s="85" t="n"/>
      <c r="I424" s="85" t="n"/>
    </row>
    <row r="425">
      <c r="A425" s="50" t="n"/>
      <c r="B425" s="44" t="n"/>
      <c r="C425" s="44" t="n"/>
      <c r="D425" s="45" t="n"/>
      <c r="E425" s="44" t="n"/>
      <c r="F425" s="44" t="n"/>
      <c r="G425" s="44" t="n"/>
      <c r="H425" s="85" t="n"/>
      <c r="I425" s="85" t="n"/>
    </row>
    <row r="426">
      <c r="A426" s="50" t="n"/>
      <c r="B426" s="44" t="n"/>
      <c r="C426" s="44" t="n"/>
      <c r="D426" s="45" t="n"/>
      <c r="E426" s="44" t="n"/>
      <c r="F426" s="44" t="n"/>
      <c r="G426" s="44" t="n"/>
      <c r="H426" s="85" t="n"/>
      <c r="I426" s="85" t="n"/>
    </row>
    <row r="427">
      <c r="A427" s="50" t="n"/>
      <c r="B427" s="44" t="n"/>
      <c r="C427" s="44" t="n"/>
      <c r="D427" s="45" t="n"/>
      <c r="E427" s="44" t="n"/>
      <c r="F427" s="44" t="n"/>
      <c r="G427" s="44" t="n"/>
      <c r="H427" s="85" t="n"/>
      <c r="I427" s="85" t="n"/>
    </row>
    <row r="428">
      <c r="A428" s="50" t="n"/>
      <c r="B428" s="44" t="n"/>
      <c r="C428" s="44" t="n"/>
      <c r="D428" s="45" t="n"/>
      <c r="E428" s="44" t="n"/>
      <c r="F428" s="44" t="n"/>
      <c r="G428" s="44" t="n"/>
      <c r="H428" s="85" t="n"/>
      <c r="I428" s="85" t="n"/>
    </row>
    <row r="429">
      <c r="A429" s="50" t="n"/>
      <c r="B429" s="44" t="n"/>
      <c r="C429" s="44" t="n"/>
      <c r="D429" s="45" t="n"/>
      <c r="E429" s="44" t="n"/>
      <c r="F429" s="44" t="n"/>
      <c r="G429" s="44" t="n"/>
      <c r="H429" s="85" t="n"/>
      <c r="I429" s="85" t="n"/>
    </row>
    <row r="430">
      <c r="A430" s="50" t="n"/>
      <c r="B430" s="44" t="n"/>
      <c r="C430" s="44" t="n"/>
      <c r="D430" s="45" t="n"/>
      <c r="E430" s="44" t="n"/>
      <c r="F430" s="44" t="n"/>
      <c r="G430" s="44" t="n"/>
      <c r="H430" s="85" t="n"/>
      <c r="I430" s="85" t="n"/>
    </row>
    <row r="431">
      <c r="A431" s="50" t="n"/>
      <c r="B431" s="44" t="n"/>
      <c r="C431" s="44" t="n"/>
      <c r="D431" s="45" t="n"/>
      <c r="E431" s="44" t="n"/>
      <c r="F431" s="44" t="n"/>
      <c r="G431" s="44" t="n"/>
      <c r="H431" s="85" t="n"/>
      <c r="I431" s="85" t="n"/>
    </row>
    <row r="432">
      <c r="A432" s="50" t="n"/>
      <c r="B432" s="44" t="n"/>
      <c r="C432" s="44" t="n"/>
      <c r="D432" s="45" t="n"/>
      <c r="E432" s="44" t="n"/>
      <c r="F432" s="44" t="n"/>
      <c r="G432" s="44" t="n"/>
      <c r="H432" s="85" t="n"/>
      <c r="I432" s="85" t="n"/>
    </row>
    <row r="433">
      <c r="A433" s="50" t="n"/>
      <c r="B433" s="44" t="n"/>
      <c r="C433" s="44" t="n"/>
      <c r="D433" s="45" t="n"/>
      <c r="E433" s="44" t="n"/>
      <c r="F433" s="44" t="n"/>
      <c r="G433" s="44" t="n"/>
      <c r="H433" s="85" t="n"/>
      <c r="I433" s="85" t="n"/>
    </row>
    <row r="434">
      <c r="A434" s="50" t="n"/>
      <c r="B434" s="44" t="n"/>
      <c r="C434" s="44" t="n"/>
      <c r="D434" s="45" t="n"/>
      <c r="E434" s="44" t="n"/>
      <c r="F434" s="44" t="n"/>
      <c r="G434" s="44" t="n"/>
      <c r="H434" s="85" t="n"/>
      <c r="I434" s="85" t="n"/>
    </row>
    <row r="435">
      <c r="A435" s="50" t="n"/>
      <c r="B435" s="44" t="n"/>
      <c r="C435" s="44" t="n"/>
      <c r="D435" s="45" t="n"/>
      <c r="E435" s="44" t="n"/>
      <c r="F435" s="44" t="n"/>
      <c r="G435" s="44" t="n"/>
      <c r="H435" s="85" t="n"/>
      <c r="I435" s="85" t="n"/>
    </row>
    <row r="436">
      <c r="A436" s="50" t="n"/>
      <c r="B436" s="44" t="n"/>
      <c r="C436" s="44" t="n"/>
      <c r="D436" s="45" t="n"/>
      <c r="E436" s="44" t="n"/>
      <c r="F436" s="44" t="n"/>
      <c r="G436" s="44" t="n"/>
      <c r="H436" s="85" t="n"/>
      <c r="I436" s="85" t="n"/>
    </row>
    <row r="437">
      <c r="A437" s="50" t="n"/>
      <c r="B437" s="44" t="n"/>
      <c r="C437" s="44" t="n"/>
      <c r="D437" s="45" t="n"/>
      <c r="E437" s="44" t="n"/>
      <c r="F437" s="44" t="n"/>
      <c r="G437" s="44" t="n"/>
      <c r="H437" s="85" t="n"/>
      <c r="I437" s="85" t="n"/>
    </row>
    <row r="438">
      <c r="A438" s="50" t="n"/>
      <c r="B438" s="44" t="n"/>
      <c r="C438" s="44" t="n"/>
      <c r="D438" s="45" t="n"/>
      <c r="E438" s="44" t="n"/>
      <c r="F438" s="44" t="n"/>
      <c r="G438" s="44" t="n"/>
      <c r="H438" s="85" t="n"/>
      <c r="I438" s="85" t="n"/>
    </row>
    <row r="439">
      <c r="A439" s="50" t="n"/>
      <c r="B439" s="44" t="n"/>
      <c r="C439" s="44" t="n"/>
      <c r="D439" s="45" t="n"/>
      <c r="E439" s="44" t="n"/>
      <c r="F439" s="44" t="n"/>
      <c r="G439" s="44" t="n"/>
      <c r="H439" s="85" t="n"/>
      <c r="I439" s="85" t="n"/>
    </row>
    <row r="440">
      <c r="A440" s="50" t="n"/>
      <c r="B440" s="44" t="n"/>
      <c r="C440" s="44" t="n"/>
      <c r="D440" s="45" t="n"/>
      <c r="E440" s="44" t="n"/>
      <c r="F440" s="44" t="n"/>
      <c r="G440" s="44" t="n"/>
      <c r="H440" s="85" t="n"/>
      <c r="I440" s="85" t="n"/>
    </row>
    <row r="441">
      <c r="A441" s="50" t="n"/>
      <c r="B441" s="44" t="n"/>
      <c r="C441" s="44" t="n"/>
      <c r="D441" s="45" t="n"/>
      <c r="E441" s="44" t="n"/>
      <c r="F441" s="44" t="n"/>
      <c r="G441" s="44" t="n"/>
      <c r="H441" s="85" t="n"/>
      <c r="I441" s="85" t="n"/>
    </row>
    <row r="442">
      <c r="A442" s="50" t="n"/>
      <c r="B442" s="44" t="n"/>
      <c r="C442" s="44" t="n"/>
      <c r="D442" s="45" t="n"/>
      <c r="E442" s="44" t="n"/>
      <c r="F442" s="44" t="n"/>
      <c r="G442" s="44" t="n"/>
      <c r="H442" s="85" t="n"/>
      <c r="I442" s="85" t="n"/>
    </row>
    <row r="443">
      <c r="A443" s="50" t="n"/>
      <c r="B443" s="44" t="n"/>
      <c r="C443" s="44" t="n"/>
      <c r="D443" s="45" t="n"/>
      <c r="E443" s="44" t="n"/>
      <c r="F443" s="44" t="n"/>
      <c r="G443" s="44" t="n"/>
      <c r="H443" s="85" t="n"/>
      <c r="I443" s="85" t="n"/>
    </row>
    <row r="444">
      <c r="A444" s="50" t="n"/>
      <c r="B444" s="44" t="n"/>
      <c r="C444" s="44" t="n"/>
      <c r="D444" s="45" t="n"/>
      <c r="E444" s="44" t="n"/>
      <c r="F444" s="44" t="n"/>
      <c r="G444" s="44" t="n"/>
      <c r="H444" s="85" t="n"/>
      <c r="I444" s="85" t="n"/>
    </row>
    <row r="445">
      <c r="A445" s="50" t="n"/>
      <c r="B445" s="44" t="n"/>
      <c r="C445" s="44" t="n"/>
      <c r="D445" s="45" t="n"/>
      <c r="E445" s="44" t="n"/>
      <c r="F445" s="44" t="n"/>
      <c r="G445" s="44" t="n"/>
      <c r="H445" s="85" t="n"/>
      <c r="I445" s="85" t="n"/>
    </row>
    <row r="446">
      <c r="A446" s="50" t="n"/>
      <c r="B446" s="44" t="n"/>
      <c r="C446" s="44" t="n"/>
      <c r="D446" s="45" t="n"/>
      <c r="E446" s="44" t="n"/>
      <c r="F446" s="44" t="n"/>
      <c r="G446" s="44" t="n"/>
      <c r="H446" s="85" t="n"/>
      <c r="I446" s="85" t="n"/>
    </row>
    <row r="447">
      <c r="A447" s="50" t="n"/>
      <c r="B447" s="44" t="n"/>
      <c r="C447" s="44" t="n"/>
      <c r="D447" s="45" t="n"/>
      <c r="E447" s="44" t="n"/>
      <c r="F447" s="44" t="n"/>
      <c r="G447" s="44" t="n"/>
      <c r="H447" s="85" t="n"/>
      <c r="I447" s="85" t="n"/>
    </row>
    <row r="448">
      <c r="A448" s="50" t="n"/>
      <c r="B448" s="44" t="n"/>
      <c r="C448" s="44" t="n"/>
      <c r="D448" s="45" t="n"/>
      <c r="E448" s="44" t="n"/>
      <c r="F448" s="44" t="n"/>
      <c r="G448" s="44" t="n"/>
      <c r="H448" s="85" t="n"/>
      <c r="I448" s="85" t="n"/>
    </row>
    <row r="449">
      <c r="A449" s="50" t="n"/>
      <c r="B449" s="44" t="n"/>
      <c r="C449" s="44" t="n"/>
      <c r="D449" s="45" t="n"/>
      <c r="E449" s="44" t="n"/>
      <c r="F449" s="44" t="n"/>
      <c r="G449" s="44" t="n"/>
      <c r="H449" s="85" t="n"/>
      <c r="I449" s="85" t="n"/>
    </row>
    <row r="450">
      <c r="A450" s="50" t="n"/>
      <c r="B450" s="44" t="n"/>
      <c r="C450" s="44" t="n"/>
      <c r="D450" s="45" t="n"/>
      <c r="E450" s="44" t="n"/>
      <c r="F450" s="44" t="n"/>
      <c r="G450" s="44" t="n"/>
      <c r="H450" s="85" t="n"/>
      <c r="I450" s="85" t="n"/>
    </row>
    <row r="451">
      <c r="A451" s="50" t="n"/>
      <c r="B451" s="44" t="n"/>
      <c r="C451" s="44" t="n"/>
      <c r="D451" s="45" t="n"/>
      <c r="E451" s="44" t="n"/>
      <c r="F451" s="44" t="n"/>
      <c r="G451" s="44" t="n"/>
      <c r="H451" s="85" t="n"/>
      <c r="I451" s="85" t="n"/>
    </row>
    <row r="452">
      <c r="A452" s="50" t="n"/>
      <c r="B452" s="44" t="n"/>
      <c r="C452" s="44" t="n"/>
      <c r="D452" s="45" t="n"/>
      <c r="E452" s="44" t="n"/>
      <c r="F452" s="44" t="n"/>
      <c r="G452" s="44" t="n"/>
      <c r="H452" s="85" t="n"/>
      <c r="I452" s="85" t="n"/>
    </row>
    <row r="453">
      <c r="A453" s="50" t="n"/>
      <c r="B453" s="44" t="n"/>
      <c r="C453" s="44" t="n"/>
      <c r="D453" s="45" t="n"/>
      <c r="E453" s="44" t="n"/>
      <c r="F453" s="44" t="n"/>
      <c r="G453" s="44" t="n"/>
      <c r="H453" s="85" t="n"/>
      <c r="I453" s="85" t="n"/>
    </row>
    <row r="454">
      <c r="A454" s="50" t="n"/>
      <c r="B454" s="44" t="n"/>
      <c r="C454" s="44" t="n"/>
      <c r="D454" s="45" t="n"/>
      <c r="E454" s="44" t="n"/>
      <c r="F454" s="44" t="n"/>
      <c r="G454" s="44" t="n"/>
      <c r="H454" s="85" t="n"/>
      <c r="I454" s="85" t="n"/>
    </row>
    <row r="455">
      <c r="A455" s="50" t="n"/>
      <c r="B455" s="44" t="n"/>
      <c r="C455" s="44" t="n"/>
      <c r="D455" s="45" t="n"/>
      <c r="E455" s="44" t="n"/>
      <c r="F455" s="44" t="n"/>
      <c r="G455" s="44" t="n"/>
      <c r="H455" s="85" t="n"/>
      <c r="I455" s="85" t="n"/>
    </row>
    <row r="456">
      <c r="A456" s="50" t="n"/>
      <c r="B456" s="44" t="n"/>
      <c r="C456" s="44" t="n"/>
      <c r="D456" s="45" t="n"/>
      <c r="E456" s="44" t="n"/>
      <c r="F456" s="44" t="n"/>
      <c r="G456" s="44" t="n"/>
      <c r="H456" s="85" t="n"/>
      <c r="I456" s="85" t="n"/>
    </row>
    <row r="457">
      <c r="A457" s="50" t="n"/>
      <c r="B457" s="44" t="n"/>
      <c r="C457" s="44" t="n"/>
      <c r="D457" s="45" t="n"/>
      <c r="E457" s="44" t="n"/>
      <c r="F457" s="44" t="n"/>
      <c r="G457" s="44" t="n"/>
      <c r="H457" s="85" t="n"/>
      <c r="I457" s="85" t="n"/>
    </row>
    <row r="458">
      <c r="A458" s="50" t="n"/>
      <c r="B458" s="44" t="n"/>
      <c r="C458" s="44" t="n"/>
      <c r="D458" s="45" t="n"/>
      <c r="E458" s="44" t="n"/>
      <c r="F458" s="44" t="n"/>
      <c r="G458" s="44" t="n"/>
      <c r="H458" s="85" t="n"/>
      <c r="I458" s="85" t="n"/>
    </row>
    <row r="459">
      <c r="A459" s="50" t="n"/>
      <c r="B459" s="44" t="n"/>
      <c r="C459" s="44" t="n"/>
      <c r="D459" s="45" t="n"/>
      <c r="E459" s="44" t="n"/>
      <c r="F459" s="44" t="n"/>
      <c r="G459" s="44" t="n"/>
      <c r="H459" s="85" t="n"/>
      <c r="I459" s="85" t="n"/>
    </row>
    <row r="460">
      <c r="A460" s="50" t="n"/>
      <c r="B460" s="44" t="n"/>
      <c r="C460" s="44" t="n"/>
      <c r="D460" s="45" t="n"/>
      <c r="E460" s="44" t="n"/>
      <c r="F460" s="44" t="n"/>
      <c r="G460" s="44" t="n"/>
      <c r="H460" s="85" t="n"/>
      <c r="I460" s="85" t="n"/>
    </row>
    <row r="461">
      <c r="A461" s="50" t="n"/>
      <c r="B461" s="44" t="n"/>
      <c r="C461" s="44" t="n"/>
      <c r="D461" s="45" t="n"/>
      <c r="E461" s="44" t="n"/>
      <c r="F461" s="44" t="n"/>
      <c r="G461" s="44" t="n"/>
      <c r="H461" s="85" t="n"/>
      <c r="I461" s="85" t="n"/>
    </row>
    <row r="462">
      <c r="A462" s="50" t="n"/>
      <c r="B462" s="44" t="n"/>
      <c r="C462" s="44" t="n"/>
      <c r="D462" s="45" t="n"/>
      <c r="E462" s="44" t="n"/>
      <c r="F462" s="44" t="n"/>
      <c r="G462" s="44" t="n"/>
      <c r="H462" s="85" t="n"/>
      <c r="I462" s="85" t="n"/>
    </row>
    <row r="463">
      <c r="A463" s="50" t="n"/>
      <c r="B463" s="44" t="n"/>
      <c r="C463" s="44" t="n"/>
      <c r="D463" s="45" t="n"/>
      <c r="E463" s="44" t="n"/>
      <c r="F463" s="44" t="n"/>
      <c r="G463" s="44" t="n"/>
      <c r="H463" s="85" t="n"/>
      <c r="I463" s="85" t="n"/>
    </row>
    <row r="464">
      <c r="A464" s="50" t="n"/>
      <c r="B464" s="44" t="n"/>
      <c r="C464" s="44" t="n"/>
      <c r="D464" s="45" t="n"/>
      <c r="E464" s="44" t="n"/>
      <c r="F464" s="44" t="n"/>
      <c r="G464" s="44" t="n"/>
      <c r="H464" s="85" t="n"/>
      <c r="I464" s="85" t="n"/>
    </row>
    <row r="465">
      <c r="A465" s="50" t="n"/>
      <c r="B465" s="44" t="n"/>
      <c r="C465" s="44" t="n"/>
      <c r="D465" s="45" t="n"/>
      <c r="E465" s="44" t="n"/>
      <c r="F465" s="44" t="n"/>
      <c r="G465" s="44" t="n"/>
      <c r="H465" s="85" t="n"/>
      <c r="I465" s="85" t="n"/>
    </row>
    <row r="466">
      <c r="A466" s="50" t="n"/>
      <c r="B466" s="44" t="n"/>
      <c r="C466" s="44" t="n"/>
      <c r="D466" s="45" t="n"/>
      <c r="E466" s="44" t="n"/>
      <c r="F466" s="44" t="n"/>
      <c r="G466" s="44" t="n"/>
      <c r="H466" s="85" t="n"/>
      <c r="I466" s="85" t="n"/>
    </row>
    <row r="467">
      <c r="A467" s="50" t="n"/>
      <c r="B467" s="44" t="n"/>
      <c r="C467" s="44" t="n"/>
      <c r="D467" s="45" t="n"/>
      <c r="E467" s="44" t="n"/>
      <c r="F467" s="44" t="n"/>
      <c r="G467" s="44" t="n"/>
      <c r="H467" s="85" t="n"/>
      <c r="I467" s="85" t="n"/>
    </row>
    <row r="468">
      <c r="A468" s="50" t="n"/>
      <c r="B468" s="44" t="n"/>
      <c r="C468" s="44" t="n"/>
      <c r="D468" s="45" t="n"/>
      <c r="E468" s="44" t="n"/>
      <c r="F468" s="44" t="n"/>
      <c r="G468" s="44" t="n"/>
      <c r="H468" s="85" t="n"/>
      <c r="I468" s="85" t="n"/>
    </row>
    <row r="469">
      <c r="A469" s="50" t="n"/>
      <c r="B469" s="44" t="n"/>
      <c r="C469" s="44" t="n"/>
      <c r="D469" s="45" t="n"/>
      <c r="E469" s="44" t="n"/>
      <c r="F469" s="44" t="n"/>
      <c r="G469" s="44" t="n"/>
      <c r="H469" s="85" t="n"/>
      <c r="I469" s="85" t="n"/>
    </row>
    <row r="470">
      <c r="A470" s="50" t="n"/>
      <c r="B470" s="44" t="n"/>
      <c r="C470" s="44" t="n"/>
      <c r="D470" s="45" t="n"/>
      <c r="E470" s="44" t="n"/>
      <c r="F470" s="44" t="n"/>
      <c r="G470" s="44" t="n"/>
      <c r="H470" s="85" t="n"/>
      <c r="I470" s="85" t="n"/>
    </row>
    <row r="471">
      <c r="A471" s="50" t="n"/>
      <c r="B471" s="44" t="n"/>
      <c r="C471" s="44" t="n"/>
      <c r="D471" s="45" t="n"/>
      <c r="E471" s="44" t="n"/>
      <c r="F471" s="44" t="n"/>
      <c r="G471" s="44" t="n"/>
      <c r="H471" s="85" t="n"/>
      <c r="I471" s="85" t="n"/>
    </row>
    <row r="472">
      <c r="A472" s="50" t="n"/>
      <c r="B472" s="44" t="n"/>
      <c r="C472" s="44" t="n"/>
      <c r="D472" s="45" t="n"/>
      <c r="E472" s="44" t="n"/>
      <c r="F472" s="44" t="n"/>
      <c r="G472" s="44" t="n"/>
      <c r="H472" s="85" t="n"/>
      <c r="I472" s="85" t="n"/>
    </row>
    <row r="473">
      <c r="A473" s="50" t="n"/>
      <c r="B473" s="44" t="n"/>
      <c r="C473" s="44" t="n"/>
      <c r="D473" s="45" t="n"/>
      <c r="E473" s="44" t="n"/>
      <c r="F473" s="44" t="n"/>
      <c r="G473" s="44" t="n"/>
      <c r="H473" s="85" t="n"/>
      <c r="I473" s="85" t="n"/>
    </row>
    <row r="474">
      <c r="A474" s="50" t="n"/>
      <c r="B474" s="44" t="n"/>
      <c r="C474" s="44" t="n"/>
      <c r="D474" s="45" t="n"/>
      <c r="E474" s="44" t="n"/>
      <c r="F474" s="44" t="n"/>
      <c r="G474" s="44" t="n"/>
      <c r="H474" s="85" t="n"/>
      <c r="I474" s="85" t="n"/>
    </row>
    <row r="475">
      <c r="A475" s="50" t="n"/>
      <c r="B475" s="44" t="n"/>
      <c r="C475" s="44" t="n"/>
      <c r="D475" s="45" t="n"/>
      <c r="E475" s="44" t="n"/>
      <c r="F475" s="44" t="n"/>
      <c r="G475" s="44" t="n"/>
      <c r="H475" s="85" t="n"/>
      <c r="I475" s="85" t="n"/>
    </row>
    <row r="476">
      <c r="A476" s="50" t="n"/>
      <c r="B476" s="44" t="n"/>
      <c r="C476" s="44" t="n"/>
      <c r="D476" s="45" t="n"/>
      <c r="E476" s="44" t="n"/>
      <c r="F476" s="44" t="n"/>
      <c r="G476" s="44" t="n"/>
      <c r="H476" s="85" t="n"/>
      <c r="I476" s="85" t="n"/>
    </row>
    <row r="477">
      <c r="A477" s="50" t="n"/>
      <c r="B477" s="44" t="n"/>
      <c r="C477" s="44" t="n"/>
      <c r="D477" s="45" t="n"/>
      <c r="E477" s="44" t="n"/>
      <c r="F477" s="44" t="n"/>
      <c r="G477" s="44" t="n"/>
      <c r="H477" s="85" t="n"/>
      <c r="I477" s="85" t="n"/>
    </row>
    <row r="478">
      <c r="A478" s="50" t="n"/>
      <c r="B478" s="44" t="n"/>
      <c r="C478" s="44" t="n"/>
      <c r="D478" s="45" t="n"/>
      <c r="E478" s="44" t="n"/>
      <c r="F478" s="44" t="n"/>
      <c r="G478" s="44" t="n"/>
      <c r="H478" s="85" t="n"/>
      <c r="I478" s="85" t="n"/>
    </row>
    <row r="479">
      <c r="A479" s="50" t="n"/>
      <c r="B479" s="44" t="n"/>
      <c r="C479" s="44" t="n"/>
      <c r="D479" s="45" t="n"/>
      <c r="E479" s="44" t="n"/>
      <c r="F479" s="44" t="n"/>
      <c r="G479" s="44" t="n"/>
      <c r="H479" s="85" t="n"/>
      <c r="I479" s="85" t="n"/>
    </row>
    <row r="480">
      <c r="A480" s="50" t="n"/>
      <c r="B480" s="44" t="n"/>
      <c r="C480" s="44" t="n"/>
      <c r="D480" s="45" t="n"/>
      <c r="E480" s="44" t="n"/>
      <c r="F480" s="44" t="n"/>
      <c r="G480" s="44" t="n"/>
      <c r="H480" s="85" t="n"/>
      <c r="I480" s="85" t="n"/>
    </row>
    <row r="481">
      <c r="A481" s="50" t="n"/>
      <c r="B481" s="44" t="n"/>
      <c r="C481" s="44" t="n"/>
      <c r="D481" s="45" t="n"/>
      <c r="E481" s="44" t="n"/>
      <c r="F481" s="44" t="n"/>
      <c r="G481" s="44" t="n"/>
      <c r="H481" s="85" t="n"/>
      <c r="I481" s="85" t="n"/>
    </row>
    <row r="482">
      <c r="A482" s="50" t="n"/>
      <c r="B482" s="44" t="n"/>
      <c r="C482" s="44" t="n"/>
      <c r="D482" s="45" t="n"/>
      <c r="E482" s="44" t="n"/>
      <c r="F482" s="44" t="n"/>
      <c r="G482" s="44" t="n"/>
      <c r="H482" s="85" t="n"/>
      <c r="I482" s="85" t="n"/>
    </row>
    <row r="483">
      <c r="A483" s="50" t="n"/>
      <c r="B483" s="44" t="n"/>
      <c r="C483" s="44" t="n"/>
      <c r="D483" s="45" t="n"/>
      <c r="E483" s="44" t="n"/>
      <c r="F483" s="44" t="n"/>
      <c r="G483" s="44" t="n"/>
      <c r="H483" s="85" t="n"/>
      <c r="I483" s="85" t="n"/>
    </row>
    <row r="484">
      <c r="A484" s="50" t="n"/>
      <c r="B484" s="44" t="n"/>
      <c r="C484" s="44" t="n"/>
      <c r="D484" s="45" t="n"/>
      <c r="E484" s="44" t="n"/>
      <c r="F484" s="44" t="n"/>
      <c r="G484" s="44" t="n"/>
      <c r="H484" s="85" t="n"/>
      <c r="I484" s="85" t="n"/>
    </row>
    <row r="485">
      <c r="A485" s="50" t="n"/>
      <c r="B485" s="44" t="n"/>
      <c r="C485" s="44" t="n"/>
      <c r="D485" s="45" t="n"/>
      <c r="E485" s="44" t="n"/>
      <c r="F485" s="44" t="n"/>
      <c r="G485" s="44" t="n"/>
      <c r="H485" s="85" t="n"/>
      <c r="I485" s="85" t="n"/>
    </row>
    <row r="486">
      <c r="A486" s="50" t="n"/>
      <c r="B486" s="44" t="n"/>
      <c r="C486" s="44" t="n"/>
      <c r="D486" s="45" t="n"/>
      <c r="E486" s="44" t="n"/>
      <c r="F486" s="44" t="n"/>
      <c r="G486" s="44" t="n"/>
      <c r="H486" s="85" t="n"/>
      <c r="I486" s="85" t="n"/>
    </row>
    <row r="487">
      <c r="A487" s="50" t="n"/>
      <c r="B487" s="44" t="n"/>
      <c r="C487" s="44" t="n"/>
      <c r="D487" s="45" t="n"/>
      <c r="E487" s="44" t="n"/>
      <c r="F487" s="44" t="n"/>
      <c r="G487" s="44" t="n"/>
      <c r="H487" s="85" t="n"/>
      <c r="I487" s="85" t="n"/>
    </row>
    <row r="488">
      <c r="A488" s="50" t="n"/>
      <c r="B488" s="44" t="n"/>
      <c r="C488" s="44" t="n"/>
      <c r="D488" s="45" t="n"/>
      <c r="E488" s="44" t="n"/>
      <c r="F488" s="44" t="n"/>
      <c r="G488" s="44" t="n"/>
      <c r="H488" s="85" t="n"/>
      <c r="I488" s="85" t="n"/>
    </row>
    <row r="489">
      <c r="A489" s="50" t="n"/>
      <c r="B489" s="44" t="n"/>
      <c r="C489" s="44" t="n"/>
      <c r="D489" s="45" t="n"/>
      <c r="E489" s="44" t="n"/>
      <c r="F489" s="44" t="n"/>
      <c r="G489" s="44" t="n"/>
      <c r="H489" s="85" t="n"/>
      <c r="I489" s="85" t="n"/>
    </row>
    <row r="490">
      <c r="A490" s="50" t="n"/>
      <c r="B490" s="44" t="n"/>
      <c r="C490" s="44" t="n"/>
      <c r="D490" s="45" t="n"/>
      <c r="E490" s="44" t="n"/>
      <c r="F490" s="44" t="n"/>
      <c r="G490" s="44" t="n"/>
      <c r="H490" s="85" t="n"/>
      <c r="I490" s="85" t="n"/>
    </row>
    <row r="491">
      <c r="A491" s="50" t="n"/>
      <c r="B491" s="44" t="n"/>
      <c r="C491" s="44" t="n"/>
      <c r="D491" s="45" t="n"/>
      <c r="E491" s="44" t="n"/>
      <c r="F491" s="44" t="n"/>
      <c r="G491" s="44" t="n"/>
      <c r="H491" s="85" t="n"/>
      <c r="I491" s="85" t="n"/>
    </row>
    <row r="492">
      <c r="A492" s="50" t="n"/>
      <c r="B492" s="44" t="n"/>
      <c r="C492" s="44" t="n"/>
      <c r="D492" s="45" t="n"/>
      <c r="E492" s="44" t="n"/>
      <c r="F492" s="44" t="n"/>
      <c r="G492" s="44" t="n"/>
      <c r="H492" s="85" t="n"/>
      <c r="I492" s="85" t="n"/>
    </row>
    <row r="493">
      <c r="A493" s="50" t="n"/>
      <c r="B493" s="44" t="n"/>
      <c r="C493" s="44" t="n"/>
      <c r="D493" s="45" t="n"/>
      <c r="E493" s="44" t="n"/>
      <c r="F493" s="44" t="n"/>
      <c r="G493" s="44" t="n"/>
      <c r="H493" s="85" t="n"/>
      <c r="I493" s="85" t="n"/>
    </row>
    <row r="494">
      <c r="A494" s="50" t="n"/>
      <c r="B494" s="44" t="n"/>
      <c r="C494" s="44" t="n"/>
      <c r="D494" s="45" t="n"/>
      <c r="E494" s="44" t="n"/>
      <c r="F494" s="44" t="n"/>
      <c r="G494" s="44" t="n"/>
      <c r="H494" s="85" t="n"/>
      <c r="I494" s="85" t="n"/>
    </row>
    <row r="495">
      <c r="A495" s="50" t="n"/>
      <c r="B495" s="44" t="n"/>
      <c r="C495" s="44" t="n"/>
      <c r="D495" s="45" t="n"/>
      <c r="E495" s="44" t="n"/>
      <c r="F495" s="44" t="n"/>
      <c r="G495" s="44" t="n"/>
      <c r="H495" s="85" t="n"/>
      <c r="I495" s="85" t="n"/>
    </row>
    <row r="496">
      <c r="A496" s="50" t="n"/>
      <c r="B496" s="44" t="n"/>
      <c r="C496" s="44" t="n"/>
      <c r="D496" s="45" t="n"/>
      <c r="E496" s="44" t="n"/>
      <c r="F496" s="44" t="n"/>
      <c r="G496" s="44" t="n"/>
      <c r="H496" s="85" t="n"/>
      <c r="I496" s="85" t="n"/>
    </row>
    <row r="497">
      <c r="A497" s="50" t="n"/>
      <c r="B497" s="44" t="n"/>
      <c r="C497" s="44" t="n"/>
      <c r="D497" s="45" t="n"/>
      <c r="E497" s="44" t="n"/>
      <c r="F497" s="44" t="n"/>
      <c r="G497" s="44" t="n"/>
      <c r="H497" s="85" t="n"/>
      <c r="I497" s="85" t="n"/>
    </row>
    <row r="498">
      <c r="A498" s="50" t="n"/>
      <c r="B498" s="44" t="n"/>
      <c r="C498" s="44" t="n"/>
      <c r="D498" s="45" t="n"/>
      <c r="E498" s="44" t="n"/>
      <c r="F498" s="44" t="n"/>
      <c r="G498" s="44" t="n"/>
      <c r="H498" s="85" t="n"/>
      <c r="I498" s="85" t="n"/>
    </row>
    <row r="499">
      <c r="A499" s="50" t="n"/>
      <c r="B499" s="44" t="n"/>
      <c r="C499" s="44" t="n"/>
      <c r="D499" s="45" t="n"/>
      <c r="E499" s="44" t="n"/>
      <c r="F499" s="44" t="n"/>
      <c r="G499" s="44" t="n"/>
      <c r="H499" s="85" t="n"/>
      <c r="I499" s="85" t="n"/>
    </row>
    <row r="500">
      <c r="A500" s="50" t="n"/>
      <c r="B500" s="44" t="n"/>
      <c r="C500" s="44" t="n"/>
      <c r="D500" s="45" t="n"/>
      <c r="E500" s="44" t="n"/>
      <c r="F500" s="44" t="n"/>
      <c r="G500" s="44" t="n"/>
      <c r="H500" s="85" t="n"/>
      <c r="I500" s="85" t="n"/>
    </row>
    <row r="501">
      <c r="A501" s="50" t="n"/>
      <c r="B501" s="44" t="n"/>
      <c r="C501" s="44" t="n"/>
      <c r="D501" s="45" t="n"/>
      <c r="E501" s="44" t="n"/>
      <c r="F501" s="44" t="n"/>
      <c r="G501" s="44" t="n"/>
      <c r="H501" s="85" t="n"/>
      <c r="I501" s="85" t="n"/>
    </row>
  </sheetData>
  <autoFilter ref="A1:I50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51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2" customWidth="1" min="2" max="2"/>
    <col width="14" customWidth="1" min="3" max="3"/>
    <col width="16" customWidth="1" min="4" max="4"/>
    <col width="16" customWidth="1" min="5" max="5"/>
    <col width="18" customWidth="1" min="6" max="6"/>
    <col width="8" customWidth="1" min="7" max="7"/>
    <col width="16" customWidth="1" min="8" max="8"/>
    <col width="16" customWidth="1" min="9" max="9"/>
    <col width="16" customWidth="1" min="10" max="10"/>
    <col width="16" customWidth="1" min="11" max="11"/>
    <col width="16" customWidth="1" min="12" max="12"/>
    <col width="16" customWidth="1" min="13" max="13"/>
    <col width="8" customWidth="1" min="14" max="14"/>
    <col width="18" customWidth="1" min="15" max="15"/>
    <col width="18" customWidth="1" min="16" max="16"/>
    <col width="16" customWidth="1" min="17" max="17"/>
    <col width="26" customWidth="1" min="18" max="18"/>
    <col width="18" customWidth="1" min="19" max="19"/>
    <col width="18" customWidth="1" min="20" max="20"/>
    <col width="30" customWidth="1" min="21" max="21"/>
    <col width="22" customWidth="1" min="22" max="22"/>
    <col width="16" customWidth="1" min="23" max="23"/>
    <col width="10" customWidth="1" min="24" max="24"/>
    <col width="30" customWidth="1" min="25" max="25"/>
    <col hidden="1" width="14" customWidth="1" min="26" max="26"/>
  </cols>
  <sheetData>
    <row r="1" ht="34" customHeight="1">
      <c r="A1" s="14" t="inlineStr">
        <is>
          <t>Konto (wie geliefert)</t>
        </is>
      </c>
      <c r="B1" s="14" t="inlineStr">
        <is>
          <t>Kontobezeichnung</t>
        </is>
      </c>
      <c r="C1" s="14" t="inlineStr">
        <is>
          <t>Kostenstelle</t>
        </is>
      </c>
      <c r="D1" s="7" t="inlineStr">
        <is>
          <t>EB-Wert Soll</t>
        </is>
      </c>
      <c r="E1" s="7" t="inlineStr">
        <is>
          <t>EB-Wert Haben</t>
        </is>
      </c>
      <c r="F1" s="7" t="inlineStr">
        <is>
          <t>EB-Wert (vorzeichenbehaftet)</t>
        </is>
      </c>
      <c r="G1" s="9" t="inlineStr">
        <is>
          <t>EB S/H</t>
        </is>
      </c>
      <c r="H1" s="7" t="inlineStr">
        <is>
          <t>PVZ Soll</t>
        </is>
      </c>
      <c r="I1" s="7" t="inlineStr">
        <is>
          <t>PVZ Haben</t>
        </is>
      </c>
      <c r="J1" s="7" t="inlineStr">
        <is>
          <t>JVZ Soll</t>
        </is>
      </c>
      <c r="K1" s="7" t="inlineStr">
        <is>
          <t>JVZ Haben</t>
        </is>
      </c>
      <c r="L1" s="7" t="inlineStr">
        <is>
          <t>Saldo Soll</t>
        </is>
      </c>
      <c r="M1" s="7" t="inlineStr">
        <is>
          <t>Saldo Haben</t>
        </is>
      </c>
      <c r="N1" s="9" t="inlineStr">
        <is>
          <t>Saldo S/H</t>
        </is>
      </c>
      <c r="O1" s="7" t="inlineStr">
        <is>
          <t>Saldo (vorzeichenbehaftet)</t>
        </is>
      </c>
      <c r="P1" s="11" t="inlineStr">
        <is>
          <t>Saldo (gerechnet)</t>
        </is>
      </c>
      <c r="Q1" s="11" t="inlineStr">
        <is>
          <t>Differenz</t>
        </is>
      </c>
      <c r="R1" s="52" t="inlineStr">
        <is>
          <t>Kontrolle</t>
        </is>
      </c>
      <c r="S1" s="7" t="inlineStr">
        <is>
          <t>Saldo Vorjahr (vorzeichenbehaftet)</t>
        </is>
      </c>
      <c r="T1" s="14" t="inlineStr">
        <is>
          <t>Position laut Mandant</t>
        </is>
      </c>
      <c r="U1" s="53" t="inlineStr">
        <is>
          <t>Quelle: Datei</t>
        </is>
      </c>
      <c r="V1" s="53" t="inlineStr">
        <is>
          <t>Quelle: Blatt</t>
        </is>
      </c>
      <c r="W1" s="53" t="inlineStr">
        <is>
          <t>Quelle: Zelle</t>
        </is>
      </c>
      <c r="X1" s="14" t="inlineStr">
        <is>
          <t>Zeilenart</t>
        </is>
      </c>
      <c r="Y1" s="14" t="inlineStr">
        <is>
          <t>Gruppe laut Mandant</t>
        </is>
      </c>
      <c r="Z1" s="14" t="inlineStr">
        <is>
          <t>Zeilen-ID</t>
        </is>
      </c>
    </row>
    <row r="2">
      <c r="A2" s="50" t="n"/>
      <c r="B2" s="50" t="n"/>
      <c r="C2" s="50" t="n"/>
      <c r="D2" s="84" t="n"/>
      <c r="E2" s="84" t="n"/>
      <c r="F2" s="84" t="n"/>
      <c r="G2" s="50" t="n"/>
      <c r="H2" s="84" t="n"/>
      <c r="I2" s="84" t="n"/>
      <c r="J2" s="84" t="n"/>
      <c r="K2" s="84" t="n"/>
      <c r="L2" s="84" t="n"/>
      <c r="M2" s="84" t="n"/>
      <c r="N2" s="50" t="n"/>
      <c r="O2" s="84" t="n"/>
      <c r="P2" s="84">
        <f>IF(AND($A2="",$B2=""),"",N(D2)-N(E2)+N(J2)-N(K2))</f>
        <v/>
      </c>
      <c r="Q2" s="84">
        <f>IF(AND($A2="",$B2=""),"",IF(COUNT(L2:M2,O2)=0,"",P2-(N(L2)-N(M2))))</f>
        <v/>
      </c>
      <c r="R2" s="54">
        <f>IF(AND($A2="",$B2=""),"",IF(COUNT(L2:M2,O2)=0,"kein Mandanten-Saldo",IF(OR(AND(L2="",M2="")),"",IF(ABS(ROUND(((ROUND(N(D2)*100,0)+ROUND(N(J2)*100,0)+ROUND(N(M2)*100,0))-(ROUND(N(E2)*100,0)+ROUND(N(K2)*100,0)+ROUND(N(L2)*100,0))),0)-(0))&lt;=0,"OK","ABWEICHUNG"))))</f>
        <v/>
      </c>
      <c r="S2" s="84" t="n"/>
      <c r="T2" s="50" t="n"/>
      <c r="U2" s="50" t="n"/>
      <c r="V2" s="50" t="n"/>
      <c r="W2" s="50" t="n"/>
      <c r="X2" s="50" t="n"/>
      <c r="Y2" s="50" t="n"/>
      <c r="Z2" s="50" t="n"/>
    </row>
    <row r="3">
      <c r="A3" s="50" t="n"/>
      <c r="B3" s="50" t="n"/>
      <c r="C3" s="50" t="n"/>
      <c r="D3" s="84" t="n"/>
      <c r="E3" s="84" t="n"/>
      <c r="F3" s="84" t="n"/>
      <c r="G3" s="50" t="n"/>
      <c r="H3" s="84" t="n"/>
      <c r="I3" s="84" t="n"/>
      <c r="J3" s="84" t="n"/>
      <c r="K3" s="84" t="n"/>
      <c r="L3" s="84" t="n"/>
      <c r="M3" s="84" t="n"/>
      <c r="N3" s="50" t="n"/>
      <c r="O3" s="84" t="n"/>
      <c r="P3" s="84">
        <f>IF(AND($A3="",$B3=""),"",N(D3)-N(E3)+N(J3)-N(K3))</f>
        <v/>
      </c>
      <c r="Q3" s="84">
        <f>IF(AND($A3="",$B3=""),"",IF(COUNT(L3:M3,O3)=0,"",P3-(N(L3)-N(M3))))</f>
        <v/>
      </c>
      <c r="R3" s="54">
        <f>IF(AND($A3="",$B3=""),"",IF(COUNT(L3:M3,O3)=0,"kein Mandanten-Saldo",IF(OR(AND(L3="",M3="")),"",IF(ABS(ROUND(((ROUND(N(D3)*100,0)+ROUND(N(J3)*100,0)+ROUND(N(M3)*100,0))-(ROUND(N(E3)*100,0)+ROUND(N(K3)*100,0)+ROUND(N(L3)*100,0))),0)-(0))&lt;=0,"OK","ABWEICHUNG"))))</f>
        <v/>
      </c>
      <c r="S3" s="84" t="n"/>
      <c r="T3" s="50" t="n"/>
      <c r="U3" s="50" t="n"/>
      <c r="V3" s="50" t="n"/>
      <c r="W3" s="50" t="n"/>
      <c r="X3" s="50" t="n"/>
      <c r="Y3" s="50" t="n"/>
      <c r="Z3" s="50" t="n"/>
    </row>
    <row r="4">
      <c r="A4" s="50" t="n"/>
      <c r="B4" s="50" t="n"/>
      <c r="C4" s="50" t="n"/>
      <c r="D4" s="84" t="n"/>
      <c r="E4" s="84" t="n"/>
      <c r="F4" s="84" t="n"/>
      <c r="G4" s="50" t="n"/>
      <c r="H4" s="84" t="n"/>
      <c r="I4" s="84" t="n"/>
      <c r="J4" s="84" t="n"/>
      <c r="K4" s="84" t="n"/>
      <c r="L4" s="84" t="n"/>
      <c r="M4" s="84" t="n"/>
      <c r="N4" s="50" t="n"/>
      <c r="O4" s="84" t="n"/>
      <c r="P4" s="84">
        <f>IF(AND($A4="",$B4=""),"",N(D4)-N(E4)+N(J4)-N(K4))</f>
        <v/>
      </c>
      <c r="Q4" s="84">
        <f>IF(AND($A4="",$B4=""),"",IF(COUNT(L4:M4,O4)=0,"",P4-(N(L4)-N(M4))))</f>
        <v/>
      </c>
      <c r="R4" s="54">
        <f>IF(AND($A4="",$B4=""),"",IF(COUNT(L4:M4,O4)=0,"kein Mandanten-Saldo",IF(OR(AND(L4="",M4="")),"",IF(ABS(ROUND(((ROUND(N(D4)*100,0)+ROUND(N(J4)*100,0)+ROUND(N(M4)*100,0))-(ROUND(N(E4)*100,0)+ROUND(N(K4)*100,0)+ROUND(N(L4)*100,0))),0)-(0))&lt;=0,"OK","ABWEICHUNG"))))</f>
        <v/>
      </c>
      <c r="S4" s="84" t="n"/>
      <c r="T4" s="50" t="n"/>
      <c r="U4" s="50" t="n"/>
      <c r="V4" s="50" t="n"/>
      <c r="W4" s="50" t="n"/>
      <c r="X4" s="50" t="n"/>
      <c r="Y4" s="50" t="n"/>
      <c r="Z4" s="50" t="n"/>
    </row>
    <row r="5">
      <c r="A5" s="50" t="n"/>
      <c r="B5" s="50" t="n"/>
      <c r="C5" s="50" t="n"/>
      <c r="D5" s="84" t="n"/>
      <c r="E5" s="84" t="n"/>
      <c r="F5" s="84" t="n"/>
      <c r="G5" s="50" t="n"/>
      <c r="H5" s="84" t="n"/>
      <c r="I5" s="84" t="n"/>
      <c r="J5" s="84" t="n"/>
      <c r="K5" s="84" t="n"/>
      <c r="L5" s="84" t="n"/>
      <c r="M5" s="84" t="n"/>
      <c r="N5" s="50" t="n"/>
      <c r="O5" s="84" t="n"/>
      <c r="P5" s="84">
        <f>IF(AND($A5="",$B5=""),"",N(D5)-N(E5)+N(J5)-N(K5))</f>
        <v/>
      </c>
      <c r="Q5" s="84">
        <f>IF(AND($A5="",$B5=""),"",IF(COUNT(L5:M5,O5)=0,"",P5-(N(L5)-N(M5))))</f>
        <v/>
      </c>
      <c r="R5" s="54">
        <f>IF(AND($A5="",$B5=""),"",IF(COUNT(L5:M5,O5)=0,"kein Mandanten-Saldo",IF(OR(AND(L5="",M5="")),"",IF(ABS(ROUND(((ROUND(N(D5)*100,0)+ROUND(N(J5)*100,0)+ROUND(N(M5)*100,0))-(ROUND(N(E5)*100,0)+ROUND(N(K5)*100,0)+ROUND(N(L5)*100,0))),0)-(0))&lt;=0,"OK","ABWEICHUNG"))))</f>
        <v/>
      </c>
      <c r="S5" s="84" t="n"/>
      <c r="T5" s="50" t="n"/>
      <c r="U5" s="50" t="n"/>
      <c r="V5" s="50" t="n"/>
      <c r="W5" s="50" t="n"/>
      <c r="X5" s="50" t="n"/>
      <c r="Y5" s="50" t="n"/>
      <c r="Z5" s="50" t="n"/>
    </row>
    <row r="6">
      <c r="A6" s="50" t="n"/>
      <c r="B6" s="50" t="n"/>
      <c r="C6" s="50" t="n"/>
      <c r="D6" s="84" t="n"/>
      <c r="E6" s="84" t="n"/>
      <c r="F6" s="84" t="n"/>
      <c r="G6" s="50" t="n"/>
      <c r="H6" s="84" t="n"/>
      <c r="I6" s="84" t="n"/>
      <c r="J6" s="84" t="n"/>
      <c r="K6" s="84" t="n"/>
      <c r="L6" s="84" t="n"/>
      <c r="M6" s="84" t="n"/>
      <c r="N6" s="50" t="n"/>
      <c r="O6" s="84" t="n"/>
      <c r="P6" s="84">
        <f>IF(AND($A6="",$B6=""),"",N(D6)-N(E6)+N(J6)-N(K6))</f>
        <v/>
      </c>
      <c r="Q6" s="84">
        <f>IF(AND($A6="",$B6=""),"",IF(COUNT(L6:M6,O6)=0,"",P6-(N(L6)-N(M6))))</f>
        <v/>
      </c>
      <c r="R6" s="54">
        <f>IF(AND($A6="",$B6=""),"",IF(COUNT(L6:M6,O6)=0,"kein Mandanten-Saldo",IF(OR(AND(L6="",M6="")),"",IF(ABS(ROUND(((ROUND(N(D6)*100,0)+ROUND(N(J6)*100,0)+ROUND(N(M6)*100,0))-(ROUND(N(E6)*100,0)+ROUND(N(K6)*100,0)+ROUND(N(L6)*100,0))),0)-(0))&lt;=0,"OK","ABWEICHUNG"))))</f>
        <v/>
      </c>
      <c r="S6" s="84" t="n"/>
      <c r="T6" s="50" t="n"/>
      <c r="U6" s="50" t="n"/>
      <c r="V6" s="50" t="n"/>
      <c r="W6" s="50" t="n"/>
      <c r="X6" s="50" t="n"/>
      <c r="Y6" s="50" t="n"/>
      <c r="Z6" s="50" t="n"/>
    </row>
    <row r="7">
      <c r="A7" s="50" t="n"/>
      <c r="B7" s="50" t="n"/>
      <c r="C7" s="50" t="n"/>
      <c r="D7" s="84" t="n"/>
      <c r="E7" s="84" t="n"/>
      <c r="F7" s="84" t="n"/>
      <c r="G7" s="50" t="n"/>
      <c r="H7" s="84" t="n"/>
      <c r="I7" s="84" t="n"/>
      <c r="J7" s="84" t="n"/>
      <c r="K7" s="84" t="n"/>
      <c r="L7" s="84" t="n"/>
      <c r="M7" s="84" t="n"/>
      <c r="N7" s="50" t="n"/>
      <c r="O7" s="84" t="n"/>
      <c r="P7" s="84">
        <f>IF(AND($A7="",$B7=""),"",N(D7)-N(E7)+N(J7)-N(K7))</f>
        <v/>
      </c>
      <c r="Q7" s="84">
        <f>IF(AND($A7="",$B7=""),"",IF(COUNT(L7:M7,O7)=0,"",P7-(N(L7)-N(M7))))</f>
        <v/>
      </c>
      <c r="R7" s="54">
        <f>IF(AND($A7="",$B7=""),"",IF(COUNT(L7:M7,O7)=0,"kein Mandanten-Saldo",IF(OR(AND(L7="",M7="")),"",IF(ABS(ROUND(((ROUND(N(D7)*100,0)+ROUND(N(J7)*100,0)+ROUND(N(M7)*100,0))-(ROUND(N(E7)*100,0)+ROUND(N(K7)*100,0)+ROUND(N(L7)*100,0))),0)-(0))&lt;=0,"OK","ABWEICHUNG"))))</f>
        <v/>
      </c>
      <c r="S7" s="84" t="n"/>
      <c r="T7" s="50" t="n"/>
      <c r="U7" s="50" t="n"/>
      <c r="V7" s="50" t="n"/>
      <c r="W7" s="50" t="n"/>
      <c r="X7" s="50" t="n"/>
      <c r="Y7" s="50" t="n"/>
      <c r="Z7" s="50" t="n"/>
    </row>
    <row r="8">
      <c r="A8" s="50" t="n"/>
      <c r="B8" s="50" t="n"/>
      <c r="C8" s="50" t="n"/>
      <c r="D8" s="84" t="n"/>
      <c r="E8" s="84" t="n"/>
      <c r="F8" s="84" t="n"/>
      <c r="G8" s="50" t="n"/>
      <c r="H8" s="84" t="n"/>
      <c r="I8" s="84" t="n"/>
      <c r="J8" s="84" t="n"/>
      <c r="K8" s="84" t="n"/>
      <c r="L8" s="84" t="n"/>
      <c r="M8" s="84" t="n"/>
      <c r="N8" s="50" t="n"/>
      <c r="O8" s="84" t="n"/>
      <c r="P8" s="84">
        <f>IF(AND($A8="",$B8=""),"",N(D8)-N(E8)+N(J8)-N(K8))</f>
        <v/>
      </c>
      <c r="Q8" s="84">
        <f>IF(AND($A8="",$B8=""),"",IF(COUNT(L8:M8,O8)=0,"",P8-(N(L8)-N(M8))))</f>
        <v/>
      </c>
      <c r="R8" s="54">
        <f>IF(AND($A8="",$B8=""),"",IF(COUNT(L8:M8,O8)=0,"kein Mandanten-Saldo",IF(OR(AND(L8="",M8="")),"",IF(ABS(ROUND(((ROUND(N(D8)*100,0)+ROUND(N(J8)*100,0)+ROUND(N(M8)*100,0))-(ROUND(N(E8)*100,0)+ROUND(N(K8)*100,0)+ROUND(N(L8)*100,0))),0)-(0))&lt;=0,"OK","ABWEICHUNG"))))</f>
        <v/>
      </c>
      <c r="S8" s="84" t="n"/>
      <c r="T8" s="50" t="n"/>
      <c r="U8" s="50" t="n"/>
      <c r="V8" s="50" t="n"/>
      <c r="W8" s="50" t="n"/>
      <c r="X8" s="50" t="n"/>
      <c r="Y8" s="50" t="n"/>
      <c r="Z8" s="50" t="n"/>
    </row>
    <row r="9">
      <c r="A9" s="50" t="n"/>
      <c r="B9" s="50" t="n"/>
      <c r="C9" s="50" t="n"/>
      <c r="D9" s="84" t="n"/>
      <c r="E9" s="84" t="n"/>
      <c r="F9" s="84" t="n"/>
      <c r="G9" s="50" t="n"/>
      <c r="H9" s="84" t="n"/>
      <c r="I9" s="84" t="n"/>
      <c r="J9" s="84" t="n"/>
      <c r="K9" s="84" t="n"/>
      <c r="L9" s="84" t="n"/>
      <c r="M9" s="84" t="n"/>
      <c r="N9" s="50" t="n"/>
      <c r="O9" s="84" t="n"/>
      <c r="P9" s="84">
        <f>IF(AND($A9="",$B9=""),"",N(D9)-N(E9)+N(J9)-N(K9))</f>
        <v/>
      </c>
      <c r="Q9" s="84">
        <f>IF(AND($A9="",$B9=""),"",IF(COUNT(L9:M9,O9)=0,"",P9-(N(L9)-N(M9))))</f>
        <v/>
      </c>
      <c r="R9" s="54">
        <f>IF(AND($A9="",$B9=""),"",IF(COUNT(L9:M9,O9)=0,"kein Mandanten-Saldo",IF(OR(AND(L9="",M9="")),"",IF(ABS(ROUND(((ROUND(N(D9)*100,0)+ROUND(N(J9)*100,0)+ROUND(N(M9)*100,0))-(ROUND(N(E9)*100,0)+ROUND(N(K9)*100,0)+ROUND(N(L9)*100,0))),0)-(0))&lt;=0,"OK","ABWEICHUNG"))))</f>
        <v/>
      </c>
      <c r="S9" s="84" t="n"/>
      <c r="T9" s="50" t="n"/>
      <c r="U9" s="50" t="n"/>
      <c r="V9" s="50" t="n"/>
      <c r="W9" s="50" t="n"/>
      <c r="X9" s="50" t="n"/>
      <c r="Y9" s="50" t="n"/>
      <c r="Z9" s="50" t="n"/>
    </row>
    <row r="10">
      <c r="A10" s="50" t="n"/>
      <c r="B10" s="50" t="n"/>
      <c r="C10" s="50" t="n"/>
      <c r="D10" s="84" t="n"/>
      <c r="E10" s="84" t="n"/>
      <c r="F10" s="84" t="n"/>
      <c r="G10" s="50" t="n"/>
      <c r="H10" s="84" t="n"/>
      <c r="I10" s="84" t="n"/>
      <c r="J10" s="84" t="n"/>
      <c r="K10" s="84" t="n"/>
      <c r="L10" s="84" t="n"/>
      <c r="M10" s="84" t="n"/>
      <c r="N10" s="50" t="n"/>
      <c r="O10" s="84" t="n"/>
      <c r="P10" s="84">
        <f>IF(AND($A10="",$B10=""),"",N(D10)-N(E10)+N(J10)-N(K10))</f>
        <v/>
      </c>
      <c r="Q10" s="84">
        <f>IF(AND($A10="",$B10=""),"",IF(COUNT(L10:M10,O10)=0,"",P10-(N(L10)-N(M10))))</f>
        <v/>
      </c>
      <c r="R10" s="54">
        <f>IF(AND($A10="",$B10=""),"",IF(COUNT(L10:M10,O10)=0,"kein Mandanten-Saldo",IF(OR(AND(L10="",M10="")),"",IF(ABS(ROUND(((ROUND(N(D10)*100,0)+ROUND(N(J10)*100,0)+ROUND(N(M10)*100,0))-(ROUND(N(E10)*100,0)+ROUND(N(K10)*100,0)+ROUND(N(L10)*100,0))),0)-(0))&lt;=0,"OK","ABWEICHUNG"))))</f>
        <v/>
      </c>
      <c r="S10" s="84" t="n"/>
      <c r="T10" s="50" t="n"/>
      <c r="U10" s="50" t="n"/>
      <c r="V10" s="50" t="n"/>
      <c r="W10" s="50" t="n"/>
      <c r="X10" s="50" t="n"/>
      <c r="Y10" s="50" t="n"/>
      <c r="Z10" s="50" t="n"/>
    </row>
    <row r="11">
      <c r="A11" s="50" t="n"/>
      <c r="B11" s="50" t="n"/>
      <c r="C11" s="50" t="n"/>
      <c r="D11" s="84" t="n"/>
      <c r="E11" s="84" t="n"/>
      <c r="F11" s="84" t="n"/>
      <c r="G11" s="50" t="n"/>
      <c r="H11" s="84" t="n"/>
      <c r="I11" s="84" t="n"/>
      <c r="J11" s="84" t="n"/>
      <c r="K11" s="84" t="n"/>
      <c r="L11" s="84" t="n"/>
      <c r="M11" s="84" t="n"/>
      <c r="N11" s="50" t="n"/>
      <c r="O11" s="84" t="n"/>
      <c r="P11" s="84">
        <f>IF(AND($A11="",$B11=""),"",N(D11)-N(E11)+N(J11)-N(K11))</f>
        <v/>
      </c>
      <c r="Q11" s="84">
        <f>IF(AND($A11="",$B11=""),"",IF(COUNT(L11:M11,O11)=0,"",P11-(N(L11)-N(M11))))</f>
        <v/>
      </c>
      <c r="R11" s="54">
        <f>IF(AND($A11="",$B11=""),"",IF(COUNT(L11:M11,O11)=0,"kein Mandanten-Saldo",IF(OR(AND(L11="",M11="")),"",IF(ABS(ROUND(((ROUND(N(D11)*100,0)+ROUND(N(J11)*100,0)+ROUND(N(M11)*100,0))-(ROUND(N(E11)*100,0)+ROUND(N(K11)*100,0)+ROUND(N(L11)*100,0))),0)-(0))&lt;=0,"OK","ABWEICHUNG"))))</f>
        <v/>
      </c>
      <c r="S11" s="84" t="n"/>
      <c r="T11" s="50" t="n"/>
      <c r="U11" s="50" t="n"/>
      <c r="V11" s="50" t="n"/>
      <c r="W11" s="50" t="n"/>
      <c r="X11" s="50" t="n"/>
      <c r="Y11" s="50" t="n"/>
      <c r="Z11" s="50" t="n"/>
    </row>
    <row r="12">
      <c r="A12" s="50" t="n"/>
      <c r="B12" s="50" t="n"/>
      <c r="C12" s="50" t="n"/>
      <c r="D12" s="84" t="n"/>
      <c r="E12" s="84" t="n"/>
      <c r="F12" s="84" t="n"/>
      <c r="G12" s="50" t="n"/>
      <c r="H12" s="84" t="n"/>
      <c r="I12" s="84" t="n"/>
      <c r="J12" s="84" t="n"/>
      <c r="K12" s="84" t="n"/>
      <c r="L12" s="84" t="n"/>
      <c r="M12" s="84" t="n"/>
      <c r="N12" s="50" t="n"/>
      <c r="O12" s="84" t="n"/>
      <c r="P12" s="84">
        <f>IF(AND($A12="",$B12=""),"",N(D12)-N(E12)+N(J12)-N(K12))</f>
        <v/>
      </c>
      <c r="Q12" s="84">
        <f>IF(AND($A12="",$B12=""),"",IF(COUNT(L12:M12,O12)=0,"",P12-(N(L12)-N(M12))))</f>
        <v/>
      </c>
      <c r="R12" s="54">
        <f>IF(AND($A12="",$B12=""),"",IF(COUNT(L12:M12,O12)=0,"kein Mandanten-Saldo",IF(OR(AND(L12="",M12="")),"",IF(ABS(ROUND(((ROUND(N(D12)*100,0)+ROUND(N(J12)*100,0)+ROUND(N(M12)*100,0))-(ROUND(N(E12)*100,0)+ROUND(N(K12)*100,0)+ROUND(N(L12)*100,0))),0)-(0))&lt;=0,"OK","ABWEICHUNG"))))</f>
        <v/>
      </c>
      <c r="S12" s="84" t="n"/>
      <c r="T12" s="50" t="n"/>
      <c r="U12" s="50" t="n"/>
      <c r="V12" s="50" t="n"/>
      <c r="W12" s="50" t="n"/>
      <c r="X12" s="50" t="n"/>
      <c r="Y12" s="50" t="n"/>
      <c r="Z12" s="50" t="n"/>
    </row>
    <row r="13">
      <c r="A13" s="50" t="n"/>
      <c r="B13" s="50" t="n"/>
      <c r="C13" s="50" t="n"/>
      <c r="D13" s="84" t="n"/>
      <c r="E13" s="84" t="n"/>
      <c r="F13" s="84" t="n"/>
      <c r="G13" s="50" t="n"/>
      <c r="H13" s="84" t="n"/>
      <c r="I13" s="84" t="n"/>
      <c r="J13" s="84" t="n"/>
      <c r="K13" s="84" t="n"/>
      <c r="L13" s="84" t="n"/>
      <c r="M13" s="84" t="n"/>
      <c r="N13" s="50" t="n"/>
      <c r="O13" s="84" t="n"/>
      <c r="P13" s="84">
        <f>IF(AND($A13="",$B13=""),"",N(D13)-N(E13)+N(J13)-N(K13))</f>
        <v/>
      </c>
      <c r="Q13" s="84">
        <f>IF(AND($A13="",$B13=""),"",IF(COUNT(L13:M13,O13)=0,"",P13-(N(L13)-N(M13))))</f>
        <v/>
      </c>
      <c r="R13" s="54">
        <f>IF(AND($A13="",$B13=""),"",IF(COUNT(L13:M13,O13)=0,"kein Mandanten-Saldo",IF(OR(AND(L13="",M13="")),"",IF(ABS(ROUND(((ROUND(N(D13)*100,0)+ROUND(N(J13)*100,0)+ROUND(N(M13)*100,0))-(ROUND(N(E13)*100,0)+ROUND(N(K13)*100,0)+ROUND(N(L13)*100,0))),0)-(0))&lt;=0,"OK","ABWEICHUNG"))))</f>
        <v/>
      </c>
      <c r="S13" s="84" t="n"/>
      <c r="T13" s="50" t="n"/>
      <c r="U13" s="50" t="n"/>
      <c r="V13" s="50" t="n"/>
      <c r="W13" s="50" t="n"/>
      <c r="X13" s="50" t="n"/>
      <c r="Y13" s="50" t="n"/>
      <c r="Z13" s="50" t="n"/>
    </row>
    <row r="14">
      <c r="A14" s="50" t="n"/>
      <c r="B14" s="50" t="n"/>
      <c r="C14" s="50" t="n"/>
      <c r="D14" s="84" t="n"/>
      <c r="E14" s="84" t="n"/>
      <c r="F14" s="84" t="n"/>
      <c r="G14" s="50" t="n"/>
      <c r="H14" s="84" t="n"/>
      <c r="I14" s="84" t="n"/>
      <c r="J14" s="84" t="n"/>
      <c r="K14" s="84" t="n"/>
      <c r="L14" s="84" t="n"/>
      <c r="M14" s="84" t="n"/>
      <c r="N14" s="50" t="n"/>
      <c r="O14" s="84" t="n"/>
      <c r="P14" s="84">
        <f>IF(AND($A14="",$B14=""),"",N(D14)-N(E14)+N(J14)-N(K14))</f>
        <v/>
      </c>
      <c r="Q14" s="84">
        <f>IF(AND($A14="",$B14=""),"",IF(COUNT(L14:M14,O14)=0,"",P14-(N(L14)-N(M14))))</f>
        <v/>
      </c>
      <c r="R14" s="54">
        <f>IF(AND($A14="",$B14=""),"",IF(COUNT(L14:M14,O14)=0,"kein Mandanten-Saldo",IF(OR(AND(L14="",M14="")),"",IF(ABS(ROUND(((ROUND(N(D14)*100,0)+ROUND(N(J14)*100,0)+ROUND(N(M14)*100,0))-(ROUND(N(E14)*100,0)+ROUND(N(K14)*100,0)+ROUND(N(L14)*100,0))),0)-(0))&lt;=0,"OK","ABWEICHUNG"))))</f>
        <v/>
      </c>
      <c r="S14" s="84" t="n"/>
      <c r="T14" s="50" t="n"/>
      <c r="U14" s="50" t="n"/>
      <c r="V14" s="50" t="n"/>
      <c r="W14" s="50" t="n"/>
      <c r="X14" s="50" t="n"/>
      <c r="Y14" s="50" t="n"/>
      <c r="Z14" s="50" t="n"/>
    </row>
    <row r="15">
      <c r="A15" s="50" t="n"/>
      <c r="B15" s="50" t="n"/>
      <c r="C15" s="50" t="n"/>
      <c r="D15" s="84" t="n"/>
      <c r="E15" s="84" t="n"/>
      <c r="F15" s="84" t="n"/>
      <c r="G15" s="50" t="n"/>
      <c r="H15" s="84" t="n"/>
      <c r="I15" s="84" t="n"/>
      <c r="J15" s="84" t="n"/>
      <c r="K15" s="84" t="n"/>
      <c r="L15" s="84" t="n"/>
      <c r="M15" s="84" t="n"/>
      <c r="N15" s="50" t="n"/>
      <c r="O15" s="84" t="n"/>
      <c r="P15" s="84">
        <f>IF(AND($A15="",$B15=""),"",N(D15)-N(E15)+N(J15)-N(K15))</f>
        <v/>
      </c>
      <c r="Q15" s="84">
        <f>IF(AND($A15="",$B15=""),"",IF(COUNT(L15:M15,O15)=0,"",P15-(N(L15)-N(M15))))</f>
        <v/>
      </c>
      <c r="R15" s="54">
        <f>IF(AND($A15="",$B15=""),"",IF(COUNT(L15:M15,O15)=0,"kein Mandanten-Saldo",IF(OR(AND(L15="",M15="")),"",IF(ABS(ROUND(((ROUND(N(D15)*100,0)+ROUND(N(J15)*100,0)+ROUND(N(M15)*100,0))-(ROUND(N(E15)*100,0)+ROUND(N(K15)*100,0)+ROUND(N(L15)*100,0))),0)-(0))&lt;=0,"OK","ABWEICHUNG"))))</f>
        <v/>
      </c>
      <c r="S15" s="84" t="n"/>
      <c r="T15" s="50" t="n"/>
      <c r="U15" s="50" t="n"/>
      <c r="V15" s="50" t="n"/>
      <c r="W15" s="50" t="n"/>
      <c r="X15" s="50" t="n"/>
      <c r="Y15" s="50" t="n"/>
      <c r="Z15" s="50" t="n"/>
    </row>
    <row r="16">
      <c r="A16" s="50" t="n"/>
      <c r="B16" s="50" t="n"/>
      <c r="C16" s="50" t="n"/>
      <c r="D16" s="84" t="n"/>
      <c r="E16" s="84" t="n"/>
      <c r="F16" s="84" t="n"/>
      <c r="G16" s="50" t="n"/>
      <c r="H16" s="84" t="n"/>
      <c r="I16" s="84" t="n"/>
      <c r="J16" s="84" t="n"/>
      <c r="K16" s="84" t="n"/>
      <c r="L16" s="84" t="n"/>
      <c r="M16" s="84" t="n"/>
      <c r="N16" s="50" t="n"/>
      <c r="O16" s="84" t="n"/>
      <c r="P16" s="84">
        <f>IF(AND($A16="",$B16=""),"",N(D16)-N(E16)+N(J16)-N(K16))</f>
        <v/>
      </c>
      <c r="Q16" s="84">
        <f>IF(AND($A16="",$B16=""),"",IF(COUNT(L16:M16,O16)=0,"",P16-(N(L16)-N(M16))))</f>
        <v/>
      </c>
      <c r="R16" s="54">
        <f>IF(AND($A16="",$B16=""),"",IF(COUNT(L16:M16,O16)=0,"kein Mandanten-Saldo",IF(OR(AND(L16="",M16="")),"",IF(ABS(ROUND(((ROUND(N(D16)*100,0)+ROUND(N(J16)*100,0)+ROUND(N(M16)*100,0))-(ROUND(N(E16)*100,0)+ROUND(N(K16)*100,0)+ROUND(N(L16)*100,0))),0)-(0))&lt;=0,"OK","ABWEICHUNG"))))</f>
        <v/>
      </c>
      <c r="S16" s="84" t="n"/>
      <c r="T16" s="50" t="n"/>
      <c r="U16" s="50" t="n"/>
      <c r="V16" s="50" t="n"/>
      <c r="W16" s="50" t="n"/>
      <c r="X16" s="50" t="n"/>
      <c r="Y16" s="50" t="n"/>
      <c r="Z16" s="50" t="n"/>
    </row>
    <row r="17">
      <c r="A17" s="50" t="n"/>
      <c r="B17" s="50" t="n"/>
      <c r="C17" s="50" t="n"/>
      <c r="D17" s="84" t="n"/>
      <c r="E17" s="84" t="n"/>
      <c r="F17" s="84" t="n"/>
      <c r="G17" s="50" t="n"/>
      <c r="H17" s="84" t="n"/>
      <c r="I17" s="84" t="n"/>
      <c r="J17" s="84" t="n"/>
      <c r="K17" s="84" t="n"/>
      <c r="L17" s="84" t="n"/>
      <c r="M17" s="84" t="n"/>
      <c r="N17" s="50" t="n"/>
      <c r="O17" s="84" t="n"/>
      <c r="P17" s="84">
        <f>IF(AND($A17="",$B17=""),"",N(D17)-N(E17)+N(J17)-N(K17))</f>
        <v/>
      </c>
      <c r="Q17" s="84">
        <f>IF(AND($A17="",$B17=""),"",IF(COUNT(L17:M17,O17)=0,"",P17-(N(L17)-N(M17))))</f>
        <v/>
      </c>
      <c r="R17" s="54">
        <f>IF(AND($A17="",$B17=""),"",IF(COUNT(L17:M17,O17)=0,"kein Mandanten-Saldo",IF(OR(AND(L17="",M17="")),"",IF(ABS(ROUND(((ROUND(N(D17)*100,0)+ROUND(N(J17)*100,0)+ROUND(N(M17)*100,0))-(ROUND(N(E17)*100,0)+ROUND(N(K17)*100,0)+ROUND(N(L17)*100,0))),0)-(0))&lt;=0,"OK","ABWEICHUNG"))))</f>
        <v/>
      </c>
      <c r="S17" s="84" t="n"/>
      <c r="T17" s="50" t="n"/>
      <c r="U17" s="50" t="n"/>
      <c r="V17" s="50" t="n"/>
      <c r="W17" s="50" t="n"/>
      <c r="X17" s="50" t="n"/>
      <c r="Y17" s="50" t="n"/>
      <c r="Z17" s="50" t="n"/>
    </row>
    <row r="18">
      <c r="A18" s="50" t="n"/>
      <c r="B18" s="50" t="n"/>
      <c r="C18" s="50" t="n"/>
      <c r="D18" s="84" t="n"/>
      <c r="E18" s="84" t="n"/>
      <c r="F18" s="84" t="n"/>
      <c r="G18" s="50" t="n"/>
      <c r="H18" s="84" t="n"/>
      <c r="I18" s="84" t="n"/>
      <c r="J18" s="84" t="n"/>
      <c r="K18" s="84" t="n"/>
      <c r="L18" s="84" t="n"/>
      <c r="M18" s="84" t="n"/>
      <c r="N18" s="50" t="n"/>
      <c r="O18" s="84" t="n"/>
      <c r="P18" s="84">
        <f>IF(AND($A18="",$B18=""),"",N(D18)-N(E18)+N(J18)-N(K18))</f>
        <v/>
      </c>
      <c r="Q18" s="84">
        <f>IF(AND($A18="",$B18=""),"",IF(COUNT(L18:M18,O18)=0,"",P18-(N(L18)-N(M18))))</f>
        <v/>
      </c>
      <c r="R18" s="54">
        <f>IF(AND($A18="",$B18=""),"",IF(COUNT(L18:M18,O18)=0,"kein Mandanten-Saldo",IF(OR(AND(L18="",M18="")),"",IF(ABS(ROUND(((ROUND(N(D18)*100,0)+ROUND(N(J18)*100,0)+ROUND(N(M18)*100,0))-(ROUND(N(E18)*100,0)+ROUND(N(K18)*100,0)+ROUND(N(L18)*100,0))),0)-(0))&lt;=0,"OK","ABWEICHUNG"))))</f>
        <v/>
      </c>
      <c r="S18" s="84" t="n"/>
      <c r="T18" s="50" t="n"/>
      <c r="U18" s="50" t="n"/>
      <c r="V18" s="50" t="n"/>
      <c r="W18" s="50" t="n"/>
      <c r="X18" s="50" t="n"/>
      <c r="Y18" s="50" t="n"/>
      <c r="Z18" s="50" t="n"/>
    </row>
    <row r="19">
      <c r="A19" s="50" t="n"/>
      <c r="B19" s="50" t="n"/>
      <c r="C19" s="50" t="n"/>
      <c r="D19" s="84" t="n"/>
      <c r="E19" s="84" t="n"/>
      <c r="F19" s="84" t="n"/>
      <c r="G19" s="50" t="n"/>
      <c r="H19" s="84" t="n"/>
      <c r="I19" s="84" t="n"/>
      <c r="J19" s="84" t="n"/>
      <c r="K19" s="84" t="n"/>
      <c r="L19" s="84" t="n"/>
      <c r="M19" s="84" t="n"/>
      <c r="N19" s="50" t="n"/>
      <c r="O19" s="84" t="n"/>
      <c r="P19" s="84">
        <f>IF(AND($A19="",$B19=""),"",N(D19)-N(E19)+N(J19)-N(K19))</f>
        <v/>
      </c>
      <c r="Q19" s="84">
        <f>IF(AND($A19="",$B19=""),"",IF(COUNT(L19:M19,O19)=0,"",P19-(N(L19)-N(M19))))</f>
        <v/>
      </c>
      <c r="R19" s="54">
        <f>IF(AND($A19="",$B19=""),"",IF(COUNT(L19:M19,O19)=0,"kein Mandanten-Saldo",IF(OR(AND(L19="",M19="")),"",IF(ABS(ROUND(((ROUND(N(D19)*100,0)+ROUND(N(J19)*100,0)+ROUND(N(M19)*100,0))-(ROUND(N(E19)*100,0)+ROUND(N(K19)*100,0)+ROUND(N(L19)*100,0))),0)-(0))&lt;=0,"OK","ABWEICHUNG"))))</f>
        <v/>
      </c>
      <c r="S19" s="84" t="n"/>
      <c r="T19" s="50" t="n"/>
      <c r="U19" s="50" t="n"/>
      <c r="V19" s="50" t="n"/>
      <c r="W19" s="50" t="n"/>
      <c r="X19" s="50" t="n"/>
      <c r="Y19" s="50" t="n"/>
      <c r="Z19" s="50" t="n"/>
    </row>
    <row r="20">
      <c r="A20" s="50" t="n"/>
      <c r="B20" s="50" t="n"/>
      <c r="C20" s="50" t="n"/>
      <c r="D20" s="84" t="n"/>
      <c r="E20" s="84" t="n"/>
      <c r="F20" s="84" t="n"/>
      <c r="G20" s="50" t="n"/>
      <c r="H20" s="84" t="n"/>
      <c r="I20" s="84" t="n"/>
      <c r="J20" s="84" t="n"/>
      <c r="K20" s="84" t="n"/>
      <c r="L20" s="84" t="n"/>
      <c r="M20" s="84" t="n"/>
      <c r="N20" s="50" t="n"/>
      <c r="O20" s="84" t="n"/>
      <c r="P20" s="84">
        <f>IF(AND($A20="",$B20=""),"",N(D20)-N(E20)+N(J20)-N(K20))</f>
        <v/>
      </c>
      <c r="Q20" s="84">
        <f>IF(AND($A20="",$B20=""),"",IF(COUNT(L20:M20,O20)=0,"",P20-(N(L20)-N(M20))))</f>
        <v/>
      </c>
      <c r="R20" s="54">
        <f>IF(AND($A20="",$B20=""),"",IF(COUNT(L20:M20,O20)=0,"kein Mandanten-Saldo",IF(OR(AND(L20="",M20="")),"",IF(ABS(ROUND(((ROUND(N(D20)*100,0)+ROUND(N(J20)*100,0)+ROUND(N(M20)*100,0))-(ROUND(N(E20)*100,0)+ROUND(N(K20)*100,0)+ROUND(N(L20)*100,0))),0)-(0))&lt;=0,"OK","ABWEICHUNG"))))</f>
        <v/>
      </c>
      <c r="S20" s="84" t="n"/>
      <c r="T20" s="50" t="n"/>
      <c r="U20" s="50" t="n"/>
      <c r="V20" s="50" t="n"/>
      <c r="W20" s="50" t="n"/>
      <c r="X20" s="50" t="n"/>
      <c r="Y20" s="50" t="n"/>
      <c r="Z20" s="50" t="n"/>
    </row>
    <row r="21">
      <c r="A21" s="50" t="n"/>
      <c r="B21" s="50" t="n"/>
      <c r="C21" s="50" t="n"/>
      <c r="D21" s="84" t="n"/>
      <c r="E21" s="84" t="n"/>
      <c r="F21" s="84" t="n"/>
      <c r="G21" s="50" t="n"/>
      <c r="H21" s="84" t="n"/>
      <c r="I21" s="84" t="n"/>
      <c r="J21" s="84" t="n"/>
      <c r="K21" s="84" t="n"/>
      <c r="L21" s="84" t="n"/>
      <c r="M21" s="84" t="n"/>
      <c r="N21" s="50" t="n"/>
      <c r="O21" s="84" t="n"/>
      <c r="P21" s="84">
        <f>IF(AND($A21="",$B21=""),"",N(D21)-N(E21)+N(J21)-N(K21))</f>
        <v/>
      </c>
      <c r="Q21" s="84">
        <f>IF(AND($A21="",$B21=""),"",IF(COUNT(L21:M21,O21)=0,"",P21-(N(L21)-N(M21))))</f>
        <v/>
      </c>
      <c r="R21" s="54">
        <f>IF(AND($A21="",$B21=""),"",IF(COUNT(L21:M21,O21)=0,"kein Mandanten-Saldo",IF(OR(AND(L21="",M21="")),"",IF(ABS(ROUND(((ROUND(N(D21)*100,0)+ROUND(N(J21)*100,0)+ROUND(N(M21)*100,0))-(ROUND(N(E21)*100,0)+ROUND(N(K21)*100,0)+ROUND(N(L21)*100,0))),0)-(0))&lt;=0,"OK","ABWEICHUNG"))))</f>
        <v/>
      </c>
      <c r="S21" s="84" t="n"/>
      <c r="T21" s="50" t="n"/>
      <c r="U21" s="50" t="n"/>
      <c r="V21" s="50" t="n"/>
      <c r="W21" s="50" t="n"/>
      <c r="X21" s="50" t="n"/>
      <c r="Y21" s="50" t="n"/>
      <c r="Z21" s="50" t="n"/>
    </row>
    <row r="22">
      <c r="A22" s="50" t="n"/>
      <c r="B22" s="50" t="n"/>
      <c r="C22" s="50" t="n"/>
      <c r="D22" s="84" t="n"/>
      <c r="E22" s="84" t="n"/>
      <c r="F22" s="84" t="n"/>
      <c r="G22" s="50" t="n"/>
      <c r="H22" s="84" t="n"/>
      <c r="I22" s="84" t="n"/>
      <c r="J22" s="84" t="n"/>
      <c r="K22" s="84" t="n"/>
      <c r="L22" s="84" t="n"/>
      <c r="M22" s="84" t="n"/>
      <c r="N22" s="50" t="n"/>
      <c r="O22" s="84" t="n"/>
      <c r="P22" s="84">
        <f>IF(AND($A22="",$B22=""),"",N(D22)-N(E22)+N(J22)-N(K22))</f>
        <v/>
      </c>
      <c r="Q22" s="84">
        <f>IF(AND($A22="",$B22=""),"",IF(COUNT(L22:M22,O22)=0,"",P22-(N(L22)-N(M22))))</f>
        <v/>
      </c>
      <c r="R22" s="54">
        <f>IF(AND($A22="",$B22=""),"",IF(COUNT(L22:M22,O22)=0,"kein Mandanten-Saldo",IF(OR(AND(L22="",M22="")),"",IF(ABS(ROUND(((ROUND(N(D22)*100,0)+ROUND(N(J22)*100,0)+ROUND(N(M22)*100,0))-(ROUND(N(E22)*100,0)+ROUND(N(K22)*100,0)+ROUND(N(L22)*100,0))),0)-(0))&lt;=0,"OK","ABWEICHUNG"))))</f>
        <v/>
      </c>
      <c r="S22" s="84" t="n"/>
      <c r="T22" s="50" t="n"/>
      <c r="U22" s="50" t="n"/>
      <c r="V22" s="50" t="n"/>
      <c r="W22" s="50" t="n"/>
      <c r="X22" s="50" t="n"/>
      <c r="Y22" s="50" t="n"/>
      <c r="Z22" s="50" t="n"/>
    </row>
    <row r="23">
      <c r="A23" s="50" t="n"/>
      <c r="B23" s="50" t="n"/>
      <c r="C23" s="50" t="n"/>
      <c r="D23" s="84" t="n"/>
      <c r="E23" s="84" t="n"/>
      <c r="F23" s="84" t="n"/>
      <c r="G23" s="50" t="n"/>
      <c r="H23" s="84" t="n"/>
      <c r="I23" s="84" t="n"/>
      <c r="J23" s="84" t="n"/>
      <c r="K23" s="84" t="n"/>
      <c r="L23" s="84" t="n"/>
      <c r="M23" s="84" t="n"/>
      <c r="N23" s="50" t="n"/>
      <c r="O23" s="84" t="n"/>
      <c r="P23" s="84">
        <f>IF(AND($A23="",$B23=""),"",N(D23)-N(E23)+N(J23)-N(K23))</f>
        <v/>
      </c>
      <c r="Q23" s="84">
        <f>IF(AND($A23="",$B23=""),"",IF(COUNT(L23:M23,O23)=0,"",P23-(N(L23)-N(M23))))</f>
        <v/>
      </c>
      <c r="R23" s="54">
        <f>IF(AND($A23="",$B23=""),"",IF(COUNT(L23:M23,O23)=0,"kein Mandanten-Saldo",IF(OR(AND(L23="",M23="")),"",IF(ABS(ROUND(((ROUND(N(D23)*100,0)+ROUND(N(J23)*100,0)+ROUND(N(M23)*100,0))-(ROUND(N(E23)*100,0)+ROUND(N(K23)*100,0)+ROUND(N(L23)*100,0))),0)-(0))&lt;=0,"OK","ABWEICHUNG"))))</f>
        <v/>
      </c>
      <c r="S23" s="84" t="n"/>
      <c r="T23" s="50" t="n"/>
      <c r="U23" s="50" t="n"/>
      <c r="V23" s="50" t="n"/>
      <c r="W23" s="50" t="n"/>
      <c r="X23" s="50" t="n"/>
      <c r="Y23" s="50" t="n"/>
      <c r="Z23" s="50" t="n"/>
    </row>
    <row r="24">
      <c r="A24" s="50" t="n"/>
      <c r="B24" s="50" t="n"/>
      <c r="C24" s="50" t="n"/>
      <c r="D24" s="84" t="n"/>
      <c r="E24" s="84" t="n"/>
      <c r="F24" s="84" t="n"/>
      <c r="G24" s="50" t="n"/>
      <c r="H24" s="84" t="n"/>
      <c r="I24" s="84" t="n"/>
      <c r="J24" s="84" t="n"/>
      <c r="K24" s="84" t="n"/>
      <c r="L24" s="84" t="n"/>
      <c r="M24" s="84" t="n"/>
      <c r="N24" s="50" t="n"/>
      <c r="O24" s="84" t="n"/>
      <c r="P24" s="84">
        <f>IF(AND($A24="",$B24=""),"",N(D24)-N(E24)+N(J24)-N(K24))</f>
        <v/>
      </c>
      <c r="Q24" s="84">
        <f>IF(AND($A24="",$B24=""),"",IF(COUNT(L24:M24,O24)=0,"",P24-(N(L24)-N(M24))))</f>
        <v/>
      </c>
      <c r="R24" s="54">
        <f>IF(AND($A24="",$B24=""),"",IF(COUNT(L24:M24,O24)=0,"kein Mandanten-Saldo",IF(OR(AND(L24="",M24="")),"",IF(ABS(ROUND(((ROUND(N(D24)*100,0)+ROUND(N(J24)*100,0)+ROUND(N(M24)*100,0))-(ROUND(N(E24)*100,0)+ROUND(N(K24)*100,0)+ROUND(N(L24)*100,0))),0)-(0))&lt;=0,"OK","ABWEICHUNG"))))</f>
        <v/>
      </c>
      <c r="S24" s="84" t="n"/>
      <c r="T24" s="50" t="n"/>
      <c r="U24" s="50" t="n"/>
      <c r="V24" s="50" t="n"/>
      <c r="W24" s="50" t="n"/>
      <c r="X24" s="50" t="n"/>
      <c r="Y24" s="50" t="n"/>
      <c r="Z24" s="50" t="n"/>
    </row>
    <row r="25">
      <c r="A25" s="50" t="n"/>
      <c r="B25" s="50" t="n"/>
      <c r="C25" s="50" t="n"/>
      <c r="D25" s="84" t="n"/>
      <c r="E25" s="84" t="n"/>
      <c r="F25" s="84" t="n"/>
      <c r="G25" s="50" t="n"/>
      <c r="H25" s="84" t="n"/>
      <c r="I25" s="84" t="n"/>
      <c r="J25" s="84" t="n"/>
      <c r="K25" s="84" t="n"/>
      <c r="L25" s="84" t="n"/>
      <c r="M25" s="84" t="n"/>
      <c r="N25" s="50" t="n"/>
      <c r="O25" s="84" t="n"/>
      <c r="P25" s="84">
        <f>IF(AND($A25="",$B25=""),"",N(D25)-N(E25)+N(J25)-N(K25))</f>
        <v/>
      </c>
      <c r="Q25" s="84">
        <f>IF(AND($A25="",$B25=""),"",IF(COUNT(L25:M25,O25)=0,"",P25-(N(L25)-N(M25))))</f>
        <v/>
      </c>
      <c r="R25" s="54">
        <f>IF(AND($A25="",$B25=""),"",IF(COUNT(L25:M25,O25)=0,"kein Mandanten-Saldo",IF(OR(AND(L25="",M25="")),"",IF(ABS(ROUND(((ROUND(N(D25)*100,0)+ROUND(N(J25)*100,0)+ROUND(N(M25)*100,0))-(ROUND(N(E25)*100,0)+ROUND(N(K25)*100,0)+ROUND(N(L25)*100,0))),0)-(0))&lt;=0,"OK","ABWEICHUNG"))))</f>
        <v/>
      </c>
      <c r="S25" s="84" t="n"/>
      <c r="T25" s="50" t="n"/>
      <c r="U25" s="50" t="n"/>
      <c r="V25" s="50" t="n"/>
      <c r="W25" s="50" t="n"/>
      <c r="X25" s="50" t="n"/>
      <c r="Y25" s="50" t="n"/>
      <c r="Z25" s="50" t="n"/>
    </row>
    <row r="26">
      <c r="A26" s="50" t="n"/>
      <c r="B26" s="50" t="n"/>
      <c r="C26" s="50" t="n"/>
      <c r="D26" s="84" t="n"/>
      <c r="E26" s="84" t="n"/>
      <c r="F26" s="84" t="n"/>
      <c r="G26" s="50" t="n"/>
      <c r="H26" s="84" t="n"/>
      <c r="I26" s="84" t="n"/>
      <c r="J26" s="84" t="n"/>
      <c r="K26" s="84" t="n"/>
      <c r="L26" s="84" t="n"/>
      <c r="M26" s="84" t="n"/>
      <c r="N26" s="50" t="n"/>
      <c r="O26" s="84" t="n"/>
      <c r="P26" s="84">
        <f>IF(AND($A26="",$B26=""),"",N(D26)-N(E26)+N(J26)-N(K26))</f>
        <v/>
      </c>
      <c r="Q26" s="84">
        <f>IF(AND($A26="",$B26=""),"",IF(COUNT(L26:M26,O26)=0,"",P26-(N(L26)-N(M26))))</f>
        <v/>
      </c>
      <c r="R26" s="54">
        <f>IF(AND($A26="",$B26=""),"",IF(COUNT(L26:M26,O26)=0,"kein Mandanten-Saldo",IF(OR(AND(L26="",M26="")),"",IF(ABS(ROUND(((ROUND(N(D26)*100,0)+ROUND(N(J26)*100,0)+ROUND(N(M26)*100,0))-(ROUND(N(E26)*100,0)+ROUND(N(K26)*100,0)+ROUND(N(L26)*100,0))),0)-(0))&lt;=0,"OK","ABWEICHUNG"))))</f>
        <v/>
      </c>
      <c r="S26" s="84" t="n"/>
      <c r="T26" s="50" t="n"/>
      <c r="U26" s="50" t="n"/>
      <c r="V26" s="50" t="n"/>
      <c r="W26" s="50" t="n"/>
      <c r="X26" s="50" t="n"/>
      <c r="Y26" s="50" t="n"/>
      <c r="Z26" s="50" t="n"/>
    </row>
    <row r="27">
      <c r="A27" s="50" t="n"/>
      <c r="B27" s="50" t="n"/>
      <c r="C27" s="50" t="n"/>
      <c r="D27" s="84" t="n"/>
      <c r="E27" s="84" t="n"/>
      <c r="F27" s="84" t="n"/>
      <c r="G27" s="50" t="n"/>
      <c r="H27" s="84" t="n"/>
      <c r="I27" s="84" t="n"/>
      <c r="J27" s="84" t="n"/>
      <c r="K27" s="84" t="n"/>
      <c r="L27" s="84" t="n"/>
      <c r="M27" s="84" t="n"/>
      <c r="N27" s="50" t="n"/>
      <c r="O27" s="84" t="n"/>
      <c r="P27" s="84">
        <f>IF(AND($A27="",$B27=""),"",N(D27)-N(E27)+N(J27)-N(K27))</f>
        <v/>
      </c>
      <c r="Q27" s="84">
        <f>IF(AND($A27="",$B27=""),"",IF(COUNT(L27:M27,O27)=0,"",P27-(N(L27)-N(M27))))</f>
        <v/>
      </c>
      <c r="R27" s="54">
        <f>IF(AND($A27="",$B27=""),"",IF(COUNT(L27:M27,O27)=0,"kein Mandanten-Saldo",IF(OR(AND(L27="",M27="")),"",IF(ABS(ROUND(((ROUND(N(D27)*100,0)+ROUND(N(J27)*100,0)+ROUND(N(M27)*100,0))-(ROUND(N(E27)*100,0)+ROUND(N(K27)*100,0)+ROUND(N(L27)*100,0))),0)-(0))&lt;=0,"OK","ABWEICHUNG"))))</f>
        <v/>
      </c>
      <c r="S27" s="84" t="n"/>
      <c r="T27" s="50" t="n"/>
      <c r="U27" s="50" t="n"/>
      <c r="V27" s="50" t="n"/>
      <c r="W27" s="50" t="n"/>
      <c r="X27" s="50" t="n"/>
      <c r="Y27" s="50" t="n"/>
      <c r="Z27" s="50" t="n"/>
    </row>
    <row r="28">
      <c r="A28" s="50" t="n"/>
      <c r="B28" s="50" t="n"/>
      <c r="C28" s="50" t="n"/>
      <c r="D28" s="84" t="n"/>
      <c r="E28" s="84" t="n"/>
      <c r="F28" s="84" t="n"/>
      <c r="G28" s="50" t="n"/>
      <c r="H28" s="84" t="n"/>
      <c r="I28" s="84" t="n"/>
      <c r="J28" s="84" t="n"/>
      <c r="K28" s="84" t="n"/>
      <c r="L28" s="84" t="n"/>
      <c r="M28" s="84" t="n"/>
      <c r="N28" s="50" t="n"/>
      <c r="O28" s="84" t="n"/>
      <c r="P28" s="84">
        <f>IF(AND($A28="",$B28=""),"",N(D28)-N(E28)+N(J28)-N(K28))</f>
        <v/>
      </c>
      <c r="Q28" s="84">
        <f>IF(AND($A28="",$B28=""),"",IF(COUNT(L28:M28,O28)=0,"",P28-(N(L28)-N(M28))))</f>
        <v/>
      </c>
      <c r="R28" s="54">
        <f>IF(AND($A28="",$B28=""),"",IF(COUNT(L28:M28,O28)=0,"kein Mandanten-Saldo",IF(OR(AND(L28="",M28="")),"",IF(ABS(ROUND(((ROUND(N(D28)*100,0)+ROUND(N(J28)*100,0)+ROUND(N(M28)*100,0))-(ROUND(N(E28)*100,0)+ROUND(N(K28)*100,0)+ROUND(N(L28)*100,0))),0)-(0))&lt;=0,"OK","ABWEICHUNG"))))</f>
        <v/>
      </c>
      <c r="S28" s="84" t="n"/>
      <c r="T28" s="50" t="n"/>
      <c r="U28" s="50" t="n"/>
      <c r="V28" s="50" t="n"/>
      <c r="W28" s="50" t="n"/>
      <c r="X28" s="50" t="n"/>
      <c r="Y28" s="50" t="n"/>
      <c r="Z28" s="50" t="n"/>
    </row>
    <row r="29">
      <c r="A29" s="50" t="n"/>
      <c r="B29" s="50" t="n"/>
      <c r="C29" s="50" t="n"/>
      <c r="D29" s="84" t="n"/>
      <c r="E29" s="84" t="n"/>
      <c r="F29" s="84" t="n"/>
      <c r="G29" s="50" t="n"/>
      <c r="H29" s="84" t="n"/>
      <c r="I29" s="84" t="n"/>
      <c r="J29" s="84" t="n"/>
      <c r="K29" s="84" t="n"/>
      <c r="L29" s="84" t="n"/>
      <c r="M29" s="84" t="n"/>
      <c r="N29" s="50" t="n"/>
      <c r="O29" s="84" t="n"/>
      <c r="P29" s="84">
        <f>IF(AND($A29="",$B29=""),"",N(D29)-N(E29)+N(J29)-N(K29))</f>
        <v/>
      </c>
      <c r="Q29" s="84">
        <f>IF(AND($A29="",$B29=""),"",IF(COUNT(L29:M29,O29)=0,"",P29-(N(L29)-N(M29))))</f>
        <v/>
      </c>
      <c r="R29" s="54">
        <f>IF(AND($A29="",$B29=""),"",IF(COUNT(L29:M29,O29)=0,"kein Mandanten-Saldo",IF(OR(AND(L29="",M29="")),"",IF(ABS(ROUND(((ROUND(N(D29)*100,0)+ROUND(N(J29)*100,0)+ROUND(N(M29)*100,0))-(ROUND(N(E29)*100,0)+ROUND(N(K29)*100,0)+ROUND(N(L29)*100,0))),0)-(0))&lt;=0,"OK","ABWEICHUNG"))))</f>
        <v/>
      </c>
      <c r="S29" s="84" t="n"/>
      <c r="T29" s="50" t="n"/>
      <c r="U29" s="50" t="n"/>
      <c r="V29" s="50" t="n"/>
      <c r="W29" s="50" t="n"/>
      <c r="X29" s="50" t="n"/>
      <c r="Y29" s="50" t="n"/>
      <c r="Z29" s="50" t="n"/>
    </row>
    <row r="30">
      <c r="A30" s="50" t="n"/>
      <c r="B30" s="50" t="n"/>
      <c r="C30" s="50" t="n"/>
      <c r="D30" s="84" t="n"/>
      <c r="E30" s="84" t="n"/>
      <c r="F30" s="84" t="n"/>
      <c r="G30" s="50" t="n"/>
      <c r="H30" s="84" t="n"/>
      <c r="I30" s="84" t="n"/>
      <c r="J30" s="84" t="n"/>
      <c r="K30" s="84" t="n"/>
      <c r="L30" s="84" t="n"/>
      <c r="M30" s="84" t="n"/>
      <c r="N30" s="50" t="n"/>
      <c r="O30" s="84" t="n"/>
      <c r="P30" s="84">
        <f>IF(AND($A30="",$B30=""),"",N(D30)-N(E30)+N(J30)-N(K30))</f>
        <v/>
      </c>
      <c r="Q30" s="84">
        <f>IF(AND($A30="",$B30=""),"",IF(COUNT(L30:M30,O30)=0,"",P30-(N(L30)-N(M30))))</f>
        <v/>
      </c>
      <c r="R30" s="54">
        <f>IF(AND($A30="",$B30=""),"",IF(COUNT(L30:M30,O30)=0,"kein Mandanten-Saldo",IF(OR(AND(L30="",M30="")),"",IF(ABS(ROUND(((ROUND(N(D30)*100,0)+ROUND(N(J30)*100,0)+ROUND(N(M30)*100,0))-(ROUND(N(E30)*100,0)+ROUND(N(K30)*100,0)+ROUND(N(L30)*100,0))),0)-(0))&lt;=0,"OK","ABWEICHUNG"))))</f>
        <v/>
      </c>
      <c r="S30" s="84" t="n"/>
      <c r="T30" s="50" t="n"/>
      <c r="U30" s="50" t="n"/>
      <c r="V30" s="50" t="n"/>
      <c r="W30" s="50" t="n"/>
      <c r="X30" s="50" t="n"/>
      <c r="Y30" s="50" t="n"/>
      <c r="Z30" s="50" t="n"/>
    </row>
    <row r="31">
      <c r="A31" s="50" t="n"/>
      <c r="B31" s="50" t="n"/>
      <c r="C31" s="50" t="n"/>
      <c r="D31" s="84" t="n"/>
      <c r="E31" s="84" t="n"/>
      <c r="F31" s="84" t="n"/>
      <c r="G31" s="50" t="n"/>
      <c r="H31" s="84" t="n"/>
      <c r="I31" s="84" t="n"/>
      <c r="J31" s="84" t="n"/>
      <c r="K31" s="84" t="n"/>
      <c r="L31" s="84" t="n"/>
      <c r="M31" s="84" t="n"/>
      <c r="N31" s="50" t="n"/>
      <c r="O31" s="84" t="n"/>
      <c r="P31" s="84">
        <f>IF(AND($A31="",$B31=""),"",N(D31)-N(E31)+N(J31)-N(K31))</f>
        <v/>
      </c>
      <c r="Q31" s="84">
        <f>IF(AND($A31="",$B31=""),"",IF(COUNT(L31:M31,O31)=0,"",P31-(N(L31)-N(M31))))</f>
        <v/>
      </c>
      <c r="R31" s="54">
        <f>IF(AND($A31="",$B31=""),"",IF(COUNT(L31:M31,O31)=0,"kein Mandanten-Saldo",IF(OR(AND(L31="",M31="")),"",IF(ABS(ROUND(((ROUND(N(D31)*100,0)+ROUND(N(J31)*100,0)+ROUND(N(M31)*100,0))-(ROUND(N(E31)*100,0)+ROUND(N(K31)*100,0)+ROUND(N(L31)*100,0))),0)-(0))&lt;=0,"OK","ABWEICHUNG"))))</f>
        <v/>
      </c>
      <c r="S31" s="84" t="n"/>
      <c r="T31" s="50" t="n"/>
      <c r="U31" s="50" t="n"/>
      <c r="V31" s="50" t="n"/>
      <c r="W31" s="50" t="n"/>
      <c r="X31" s="50" t="n"/>
      <c r="Y31" s="50" t="n"/>
      <c r="Z31" s="50" t="n"/>
    </row>
    <row r="32">
      <c r="A32" s="50" t="n"/>
      <c r="B32" s="50" t="n"/>
      <c r="C32" s="50" t="n"/>
      <c r="D32" s="84" t="n"/>
      <c r="E32" s="84" t="n"/>
      <c r="F32" s="84" t="n"/>
      <c r="G32" s="50" t="n"/>
      <c r="H32" s="84" t="n"/>
      <c r="I32" s="84" t="n"/>
      <c r="J32" s="84" t="n"/>
      <c r="K32" s="84" t="n"/>
      <c r="L32" s="84" t="n"/>
      <c r="M32" s="84" t="n"/>
      <c r="N32" s="50" t="n"/>
      <c r="O32" s="84" t="n"/>
      <c r="P32" s="84">
        <f>IF(AND($A32="",$B32=""),"",N(D32)-N(E32)+N(J32)-N(K32))</f>
        <v/>
      </c>
      <c r="Q32" s="84">
        <f>IF(AND($A32="",$B32=""),"",IF(COUNT(L32:M32,O32)=0,"",P32-(N(L32)-N(M32))))</f>
        <v/>
      </c>
      <c r="R32" s="54">
        <f>IF(AND($A32="",$B32=""),"",IF(COUNT(L32:M32,O32)=0,"kein Mandanten-Saldo",IF(OR(AND(L32="",M32="")),"",IF(ABS(ROUND(((ROUND(N(D32)*100,0)+ROUND(N(J32)*100,0)+ROUND(N(M32)*100,0))-(ROUND(N(E32)*100,0)+ROUND(N(K32)*100,0)+ROUND(N(L32)*100,0))),0)-(0))&lt;=0,"OK","ABWEICHUNG"))))</f>
        <v/>
      </c>
      <c r="S32" s="84" t="n"/>
      <c r="T32" s="50" t="n"/>
      <c r="U32" s="50" t="n"/>
      <c r="V32" s="50" t="n"/>
      <c r="W32" s="50" t="n"/>
      <c r="X32" s="50" t="n"/>
      <c r="Y32" s="50" t="n"/>
      <c r="Z32" s="50" t="n"/>
    </row>
    <row r="33">
      <c r="A33" s="50" t="n"/>
      <c r="B33" s="50" t="n"/>
      <c r="C33" s="50" t="n"/>
      <c r="D33" s="84" t="n"/>
      <c r="E33" s="84" t="n"/>
      <c r="F33" s="84" t="n"/>
      <c r="G33" s="50" t="n"/>
      <c r="H33" s="84" t="n"/>
      <c r="I33" s="84" t="n"/>
      <c r="J33" s="84" t="n"/>
      <c r="K33" s="84" t="n"/>
      <c r="L33" s="84" t="n"/>
      <c r="M33" s="84" t="n"/>
      <c r="N33" s="50" t="n"/>
      <c r="O33" s="84" t="n"/>
      <c r="P33" s="84">
        <f>IF(AND($A33="",$B33=""),"",N(D33)-N(E33)+N(J33)-N(K33))</f>
        <v/>
      </c>
      <c r="Q33" s="84">
        <f>IF(AND($A33="",$B33=""),"",IF(COUNT(L33:M33,O33)=0,"",P33-(N(L33)-N(M33))))</f>
        <v/>
      </c>
      <c r="R33" s="54">
        <f>IF(AND($A33="",$B33=""),"",IF(COUNT(L33:M33,O33)=0,"kein Mandanten-Saldo",IF(OR(AND(L33="",M33="")),"",IF(ABS(ROUND(((ROUND(N(D33)*100,0)+ROUND(N(J33)*100,0)+ROUND(N(M33)*100,0))-(ROUND(N(E33)*100,0)+ROUND(N(K33)*100,0)+ROUND(N(L33)*100,0))),0)-(0))&lt;=0,"OK","ABWEICHUNG"))))</f>
        <v/>
      </c>
      <c r="S33" s="84" t="n"/>
      <c r="T33" s="50" t="n"/>
      <c r="U33" s="50" t="n"/>
      <c r="V33" s="50" t="n"/>
      <c r="W33" s="50" t="n"/>
      <c r="X33" s="50" t="n"/>
      <c r="Y33" s="50" t="n"/>
      <c r="Z33" s="50" t="n"/>
    </row>
    <row r="34">
      <c r="A34" s="50" t="n"/>
      <c r="B34" s="50" t="n"/>
      <c r="C34" s="50" t="n"/>
      <c r="D34" s="84" t="n"/>
      <c r="E34" s="84" t="n"/>
      <c r="F34" s="84" t="n"/>
      <c r="G34" s="50" t="n"/>
      <c r="H34" s="84" t="n"/>
      <c r="I34" s="84" t="n"/>
      <c r="J34" s="84" t="n"/>
      <c r="K34" s="84" t="n"/>
      <c r="L34" s="84" t="n"/>
      <c r="M34" s="84" t="n"/>
      <c r="N34" s="50" t="n"/>
      <c r="O34" s="84" t="n"/>
      <c r="P34" s="84">
        <f>IF(AND($A34="",$B34=""),"",N(D34)-N(E34)+N(J34)-N(K34))</f>
        <v/>
      </c>
      <c r="Q34" s="84">
        <f>IF(AND($A34="",$B34=""),"",IF(COUNT(L34:M34,O34)=0,"",P34-(N(L34)-N(M34))))</f>
        <v/>
      </c>
      <c r="R34" s="54">
        <f>IF(AND($A34="",$B34=""),"",IF(COUNT(L34:M34,O34)=0,"kein Mandanten-Saldo",IF(OR(AND(L34="",M34="")),"",IF(ABS(ROUND(((ROUND(N(D34)*100,0)+ROUND(N(J34)*100,0)+ROUND(N(M34)*100,0))-(ROUND(N(E34)*100,0)+ROUND(N(K34)*100,0)+ROUND(N(L34)*100,0))),0)-(0))&lt;=0,"OK","ABWEICHUNG"))))</f>
        <v/>
      </c>
      <c r="S34" s="84" t="n"/>
      <c r="T34" s="50" t="n"/>
      <c r="U34" s="50" t="n"/>
      <c r="V34" s="50" t="n"/>
      <c r="W34" s="50" t="n"/>
      <c r="X34" s="50" t="n"/>
      <c r="Y34" s="50" t="n"/>
      <c r="Z34" s="50" t="n"/>
    </row>
    <row r="35">
      <c r="A35" s="50" t="n"/>
      <c r="B35" s="50" t="n"/>
      <c r="C35" s="50" t="n"/>
      <c r="D35" s="84" t="n"/>
      <c r="E35" s="84" t="n"/>
      <c r="F35" s="84" t="n"/>
      <c r="G35" s="50" t="n"/>
      <c r="H35" s="84" t="n"/>
      <c r="I35" s="84" t="n"/>
      <c r="J35" s="84" t="n"/>
      <c r="K35" s="84" t="n"/>
      <c r="L35" s="84" t="n"/>
      <c r="M35" s="84" t="n"/>
      <c r="N35" s="50" t="n"/>
      <c r="O35" s="84" t="n"/>
      <c r="P35" s="84">
        <f>IF(AND($A35="",$B35=""),"",N(D35)-N(E35)+N(J35)-N(K35))</f>
        <v/>
      </c>
      <c r="Q35" s="84">
        <f>IF(AND($A35="",$B35=""),"",IF(COUNT(L35:M35,O35)=0,"",P35-(N(L35)-N(M35))))</f>
        <v/>
      </c>
      <c r="R35" s="54">
        <f>IF(AND($A35="",$B35=""),"",IF(COUNT(L35:M35,O35)=0,"kein Mandanten-Saldo",IF(OR(AND(L35="",M35="")),"",IF(ABS(ROUND(((ROUND(N(D35)*100,0)+ROUND(N(J35)*100,0)+ROUND(N(M35)*100,0))-(ROUND(N(E35)*100,0)+ROUND(N(K35)*100,0)+ROUND(N(L35)*100,0))),0)-(0))&lt;=0,"OK","ABWEICHUNG"))))</f>
        <v/>
      </c>
      <c r="S35" s="84" t="n"/>
      <c r="T35" s="50" t="n"/>
      <c r="U35" s="50" t="n"/>
      <c r="V35" s="50" t="n"/>
      <c r="W35" s="50" t="n"/>
      <c r="X35" s="50" t="n"/>
      <c r="Y35" s="50" t="n"/>
      <c r="Z35" s="50" t="n"/>
    </row>
    <row r="36">
      <c r="A36" s="50" t="n"/>
      <c r="B36" s="50" t="n"/>
      <c r="C36" s="50" t="n"/>
      <c r="D36" s="84" t="n"/>
      <c r="E36" s="84" t="n"/>
      <c r="F36" s="84" t="n"/>
      <c r="G36" s="50" t="n"/>
      <c r="H36" s="84" t="n"/>
      <c r="I36" s="84" t="n"/>
      <c r="J36" s="84" t="n"/>
      <c r="K36" s="84" t="n"/>
      <c r="L36" s="84" t="n"/>
      <c r="M36" s="84" t="n"/>
      <c r="N36" s="50" t="n"/>
      <c r="O36" s="84" t="n"/>
      <c r="P36" s="84">
        <f>IF(AND($A36="",$B36=""),"",N(D36)-N(E36)+N(J36)-N(K36))</f>
        <v/>
      </c>
      <c r="Q36" s="84">
        <f>IF(AND($A36="",$B36=""),"",IF(COUNT(L36:M36,O36)=0,"",P36-(N(L36)-N(M36))))</f>
        <v/>
      </c>
      <c r="R36" s="54">
        <f>IF(AND($A36="",$B36=""),"",IF(COUNT(L36:M36,O36)=0,"kein Mandanten-Saldo",IF(OR(AND(L36="",M36="")),"",IF(ABS(ROUND(((ROUND(N(D36)*100,0)+ROUND(N(J36)*100,0)+ROUND(N(M36)*100,0))-(ROUND(N(E36)*100,0)+ROUND(N(K36)*100,0)+ROUND(N(L36)*100,0))),0)-(0))&lt;=0,"OK","ABWEICHUNG"))))</f>
        <v/>
      </c>
      <c r="S36" s="84" t="n"/>
      <c r="T36" s="50" t="n"/>
      <c r="U36" s="50" t="n"/>
      <c r="V36" s="50" t="n"/>
      <c r="W36" s="50" t="n"/>
      <c r="X36" s="50" t="n"/>
      <c r="Y36" s="50" t="n"/>
      <c r="Z36" s="50" t="n"/>
    </row>
    <row r="37">
      <c r="A37" s="50" t="n"/>
      <c r="B37" s="50" t="n"/>
      <c r="C37" s="50" t="n"/>
      <c r="D37" s="84" t="n"/>
      <c r="E37" s="84" t="n"/>
      <c r="F37" s="84" t="n"/>
      <c r="G37" s="50" t="n"/>
      <c r="H37" s="84" t="n"/>
      <c r="I37" s="84" t="n"/>
      <c r="J37" s="84" t="n"/>
      <c r="K37" s="84" t="n"/>
      <c r="L37" s="84" t="n"/>
      <c r="M37" s="84" t="n"/>
      <c r="N37" s="50" t="n"/>
      <c r="O37" s="84" t="n"/>
      <c r="P37" s="84">
        <f>IF(AND($A37="",$B37=""),"",N(D37)-N(E37)+N(J37)-N(K37))</f>
        <v/>
      </c>
      <c r="Q37" s="84">
        <f>IF(AND($A37="",$B37=""),"",IF(COUNT(L37:M37,O37)=0,"",P37-(N(L37)-N(M37))))</f>
        <v/>
      </c>
      <c r="R37" s="54">
        <f>IF(AND($A37="",$B37=""),"",IF(COUNT(L37:M37,O37)=0,"kein Mandanten-Saldo",IF(OR(AND(L37="",M37="")),"",IF(ABS(ROUND(((ROUND(N(D37)*100,0)+ROUND(N(J37)*100,0)+ROUND(N(M37)*100,0))-(ROUND(N(E37)*100,0)+ROUND(N(K37)*100,0)+ROUND(N(L37)*100,0))),0)-(0))&lt;=0,"OK","ABWEICHUNG"))))</f>
        <v/>
      </c>
      <c r="S37" s="84" t="n"/>
      <c r="T37" s="50" t="n"/>
      <c r="U37" s="50" t="n"/>
      <c r="V37" s="50" t="n"/>
      <c r="W37" s="50" t="n"/>
      <c r="X37" s="50" t="n"/>
      <c r="Y37" s="50" t="n"/>
      <c r="Z37" s="50" t="n"/>
    </row>
    <row r="38">
      <c r="A38" s="50" t="n"/>
      <c r="B38" s="50" t="n"/>
      <c r="C38" s="50" t="n"/>
      <c r="D38" s="84" t="n"/>
      <c r="E38" s="84" t="n"/>
      <c r="F38" s="84" t="n"/>
      <c r="G38" s="50" t="n"/>
      <c r="H38" s="84" t="n"/>
      <c r="I38" s="84" t="n"/>
      <c r="J38" s="84" t="n"/>
      <c r="K38" s="84" t="n"/>
      <c r="L38" s="84" t="n"/>
      <c r="M38" s="84" t="n"/>
      <c r="N38" s="50" t="n"/>
      <c r="O38" s="84" t="n"/>
      <c r="P38" s="84">
        <f>IF(AND($A38="",$B38=""),"",N(D38)-N(E38)+N(J38)-N(K38))</f>
        <v/>
      </c>
      <c r="Q38" s="84">
        <f>IF(AND($A38="",$B38=""),"",IF(COUNT(L38:M38,O38)=0,"",P38-(N(L38)-N(M38))))</f>
        <v/>
      </c>
      <c r="R38" s="54">
        <f>IF(AND($A38="",$B38=""),"",IF(COUNT(L38:M38,O38)=0,"kein Mandanten-Saldo",IF(OR(AND(L38="",M38="")),"",IF(ABS(ROUND(((ROUND(N(D38)*100,0)+ROUND(N(J38)*100,0)+ROUND(N(M38)*100,0))-(ROUND(N(E38)*100,0)+ROUND(N(K38)*100,0)+ROUND(N(L38)*100,0))),0)-(0))&lt;=0,"OK","ABWEICHUNG"))))</f>
        <v/>
      </c>
      <c r="S38" s="84" t="n"/>
      <c r="T38" s="50" t="n"/>
      <c r="U38" s="50" t="n"/>
      <c r="V38" s="50" t="n"/>
      <c r="W38" s="50" t="n"/>
      <c r="X38" s="50" t="n"/>
      <c r="Y38" s="50" t="n"/>
      <c r="Z38" s="50" t="n"/>
    </row>
    <row r="39">
      <c r="A39" s="50" t="n"/>
      <c r="B39" s="50" t="n"/>
      <c r="C39" s="50" t="n"/>
      <c r="D39" s="84" t="n"/>
      <c r="E39" s="84" t="n"/>
      <c r="F39" s="84" t="n"/>
      <c r="G39" s="50" t="n"/>
      <c r="H39" s="84" t="n"/>
      <c r="I39" s="84" t="n"/>
      <c r="J39" s="84" t="n"/>
      <c r="K39" s="84" t="n"/>
      <c r="L39" s="84" t="n"/>
      <c r="M39" s="84" t="n"/>
      <c r="N39" s="50" t="n"/>
      <c r="O39" s="84" t="n"/>
      <c r="P39" s="84">
        <f>IF(AND($A39="",$B39=""),"",N(D39)-N(E39)+N(J39)-N(K39))</f>
        <v/>
      </c>
      <c r="Q39" s="84">
        <f>IF(AND($A39="",$B39=""),"",IF(COUNT(L39:M39,O39)=0,"",P39-(N(L39)-N(M39))))</f>
        <v/>
      </c>
      <c r="R39" s="54">
        <f>IF(AND($A39="",$B39=""),"",IF(COUNT(L39:M39,O39)=0,"kein Mandanten-Saldo",IF(OR(AND(L39="",M39="")),"",IF(ABS(ROUND(((ROUND(N(D39)*100,0)+ROUND(N(J39)*100,0)+ROUND(N(M39)*100,0))-(ROUND(N(E39)*100,0)+ROUND(N(K39)*100,0)+ROUND(N(L39)*100,0))),0)-(0))&lt;=0,"OK","ABWEICHUNG"))))</f>
        <v/>
      </c>
      <c r="S39" s="84" t="n"/>
      <c r="T39" s="50" t="n"/>
      <c r="U39" s="50" t="n"/>
      <c r="V39" s="50" t="n"/>
      <c r="W39" s="50" t="n"/>
      <c r="X39" s="50" t="n"/>
      <c r="Y39" s="50" t="n"/>
      <c r="Z39" s="50" t="n"/>
    </row>
    <row r="40">
      <c r="A40" s="50" t="n"/>
      <c r="B40" s="50" t="n"/>
      <c r="C40" s="50" t="n"/>
      <c r="D40" s="84" t="n"/>
      <c r="E40" s="84" t="n"/>
      <c r="F40" s="84" t="n"/>
      <c r="G40" s="50" t="n"/>
      <c r="H40" s="84" t="n"/>
      <c r="I40" s="84" t="n"/>
      <c r="J40" s="84" t="n"/>
      <c r="K40" s="84" t="n"/>
      <c r="L40" s="84" t="n"/>
      <c r="M40" s="84" t="n"/>
      <c r="N40" s="50" t="n"/>
      <c r="O40" s="84" t="n"/>
      <c r="P40" s="84">
        <f>IF(AND($A40="",$B40=""),"",N(D40)-N(E40)+N(J40)-N(K40))</f>
        <v/>
      </c>
      <c r="Q40" s="84">
        <f>IF(AND($A40="",$B40=""),"",IF(COUNT(L40:M40,O40)=0,"",P40-(N(L40)-N(M40))))</f>
        <v/>
      </c>
      <c r="R40" s="54">
        <f>IF(AND($A40="",$B40=""),"",IF(COUNT(L40:M40,O40)=0,"kein Mandanten-Saldo",IF(OR(AND(L40="",M40="")),"",IF(ABS(ROUND(((ROUND(N(D40)*100,0)+ROUND(N(J40)*100,0)+ROUND(N(M40)*100,0))-(ROUND(N(E40)*100,0)+ROUND(N(K40)*100,0)+ROUND(N(L40)*100,0))),0)-(0))&lt;=0,"OK","ABWEICHUNG"))))</f>
        <v/>
      </c>
      <c r="S40" s="84" t="n"/>
      <c r="T40" s="50" t="n"/>
      <c r="U40" s="50" t="n"/>
      <c r="V40" s="50" t="n"/>
      <c r="W40" s="50" t="n"/>
      <c r="X40" s="50" t="n"/>
      <c r="Y40" s="50" t="n"/>
      <c r="Z40" s="50" t="n"/>
    </row>
    <row r="41">
      <c r="A41" s="50" t="n"/>
      <c r="B41" s="50" t="n"/>
      <c r="C41" s="50" t="n"/>
      <c r="D41" s="84" t="n"/>
      <c r="E41" s="84" t="n"/>
      <c r="F41" s="84" t="n"/>
      <c r="G41" s="50" t="n"/>
      <c r="H41" s="84" t="n"/>
      <c r="I41" s="84" t="n"/>
      <c r="J41" s="84" t="n"/>
      <c r="K41" s="84" t="n"/>
      <c r="L41" s="84" t="n"/>
      <c r="M41" s="84" t="n"/>
      <c r="N41" s="50" t="n"/>
      <c r="O41" s="84" t="n"/>
      <c r="P41" s="84">
        <f>IF(AND($A41="",$B41=""),"",N(D41)-N(E41)+N(J41)-N(K41))</f>
        <v/>
      </c>
      <c r="Q41" s="84">
        <f>IF(AND($A41="",$B41=""),"",IF(COUNT(L41:M41,O41)=0,"",P41-(N(L41)-N(M41))))</f>
        <v/>
      </c>
      <c r="R41" s="54">
        <f>IF(AND($A41="",$B41=""),"",IF(COUNT(L41:M41,O41)=0,"kein Mandanten-Saldo",IF(OR(AND(L41="",M41="")),"",IF(ABS(ROUND(((ROUND(N(D41)*100,0)+ROUND(N(J41)*100,0)+ROUND(N(M41)*100,0))-(ROUND(N(E41)*100,0)+ROUND(N(K41)*100,0)+ROUND(N(L41)*100,0))),0)-(0))&lt;=0,"OK","ABWEICHUNG"))))</f>
        <v/>
      </c>
      <c r="S41" s="84" t="n"/>
      <c r="T41" s="50" t="n"/>
      <c r="U41" s="50" t="n"/>
      <c r="V41" s="50" t="n"/>
      <c r="W41" s="50" t="n"/>
      <c r="X41" s="50" t="n"/>
      <c r="Y41" s="50" t="n"/>
      <c r="Z41" s="50" t="n"/>
    </row>
    <row r="42">
      <c r="A42" s="50" t="n"/>
      <c r="B42" s="50" t="n"/>
      <c r="C42" s="50" t="n"/>
      <c r="D42" s="84" t="n"/>
      <c r="E42" s="84" t="n"/>
      <c r="F42" s="84" t="n"/>
      <c r="G42" s="50" t="n"/>
      <c r="H42" s="84" t="n"/>
      <c r="I42" s="84" t="n"/>
      <c r="J42" s="84" t="n"/>
      <c r="K42" s="84" t="n"/>
      <c r="L42" s="84" t="n"/>
      <c r="M42" s="84" t="n"/>
      <c r="N42" s="50" t="n"/>
      <c r="O42" s="84" t="n"/>
      <c r="P42" s="84">
        <f>IF(AND($A42="",$B42=""),"",N(D42)-N(E42)+N(J42)-N(K42))</f>
        <v/>
      </c>
      <c r="Q42" s="84">
        <f>IF(AND($A42="",$B42=""),"",IF(COUNT(L42:M42,O42)=0,"",P42-(N(L42)-N(M42))))</f>
        <v/>
      </c>
      <c r="R42" s="54">
        <f>IF(AND($A42="",$B42=""),"",IF(COUNT(L42:M42,O42)=0,"kein Mandanten-Saldo",IF(OR(AND(L42="",M42="")),"",IF(ABS(ROUND(((ROUND(N(D42)*100,0)+ROUND(N(J42)*100,0)+ROUND(N(M42)*100,0))-(ROUND(N(E42)*100,0)+ROUND(N(K42)*100,0)+ROUND(N(L42)*100,0))),0)-(0))&lt;=0,"OK","ABWEICHUNG"))))</f>
        <v/>
      </c>
      <c r="S42" s="84" t="n"/>
      <c r="T42" s="50" t="n"/>
      <c r="U42" s="50" t="n"/>
      <c r="V42" s="50" t="n"/>
      <c r="W42" s="50" t="n"/>
      <c r="X42" s="50" t="n"/>
      <c r="Y42" s="50" t="n"/>
      <c r="Z42" s="50" t="n"/>
    </row>
    <row r="43">
      <c r="A43" s="50" t="n"/>
      <c r="B43" s="50" t="n"/>
      <c r="C43" s="50" t="n"/>
      <c r="D43" s="84" t="n"/>
      <c r="E43" s="84" t="n"/>
      <c r="F43" s="84" t="n"/>
      <c r="G43" s="50" t="n"/>
      <c r="H43" s="84" t="n"/>
      <c r="I43" s="84" t="n"/>
      <c r="J43" s="84" t="n"/>
      <c r="K43" s="84" t="n"/>
      <c r="L43" s="84" t="n"/>
      <c r="M43" s="84" t="n"/>
      <c r="N43" s="50" t="n"/>
      <c r="O43" s="84" t="n"/>
      <c r="P43" s="84">
        <f>IF(AND($A43="",$B43=""),"",N(D43)-N(E43)+N(J43)-N(K43))</f>
        <v/>
      </c>
      <c r="Q43" s="84">
        <f>IF(AND($A43="",$B43=""),"",IF(COUNT(L43:M43,O43)=0,"",P43-(N(L43)-N(M43))))</f>
        <v/>
      </c>
      <c r="R43" s="54">
        <f>IF(AND($A43="",$B43=""),"",IF(COUNT(L43:M43,O43)=0,"kein Mandanten-Saldo",IF(OR(AND(L43="",M43="")),"",IF(ABS(ROUND(((ROUND(N(D43)*100,0)+ROUND(N(J43)*100,0)+ROUND(N(M43)*100,0))-(ROUND(N(E43)*100,0)+ROUND(N(K43)*100,0)+ROUND(N(L43)*100,0))),0)-(0))&lt;=0,"OK","ABWEICHUNG"))))</f>
        <v/>
      </c>
      <c r="S43" s="84" t="n"/>
      <c r="T43" s="50" t="n"/>
      <c r="U43" s="50" t="n"/>
      <c r="V43" s="50" t="n"/>
      <c r="W43" s="50" t="n"/>
      <c r="X43" s="50" t="n"/>
      <c r="Y43" s="50" t="n"/>
      <c r="Z43" s="50" t="n"/>
    </row>
    <row r="44">
      <c r="A44" s="50" t="n"/>
      <c r="B44" s="50" t="n"/>
      <c r="C44" s="50" t="n"/>
      <c r="D44" s="84" t="n"/>
      <c r="E44" s="84" t="n"/>
      <c r="F44" s="84" t="n"/>
      <c r="G44" s="50" t="n"/>
      <c r="H44" s="84" t="n"/>
      <c r="I44" s="84" t="n"/>
      <c r="J44" s="84" t="n"/>
      <c r="K44" s="84" t="n"/>
      <c r="L44" s="84" t="n"/>
      <c r="M44" s="84" t="n"/>
      <c r="N44" s="50" t="n"/>
      <c r="O44" s="84" t="n"/>
      <c r="P44" s="84">
        <f>IF(AND($A44="",$B44=""),"",N(D44)-N(E44)+N(J44)-N(K44))</f>
        <v/>
      </c>
      <c r="Q44" s="84">
        <f>IF(AND($A44="",$B44=""),"",IF(COUNT(L44:M44,O44)=0,"",P44-(N(L44)-N(M44))))</f>
        <v/>
      </c>
      <c r="R44" s="54">
        <f>IF(AND($A44="",$B44=""),"",IF(COUNT(L44:M44,O44)=0,"kein Mandanten-Saldo",IF(OR(AND(L44="",M44="")),"",IF(ABS(ROUND(((ROUND(N(D44)*100,0)+ROUND(N(J44)*100,0)+ROUND(N(M44)*100,0))-(ROUND(N(E44)*100,0)+ROUND(N(K44)*100,0)+ROUND(N(L44)*100,0))),0)-(0))&lt;=0,"OK","ABWEICHUNG"))))</f>
        <v/>
      </c>
      <c r="S44" s="84" t="n"/>
      <c r="T44" s="50" t="n"/>
      <c r="U44" s="50" t="n"/>
      <c r="V44" s="50" t="n"/>
      <c r="W44" s="50" t="n"/>
      <c r="X44" s="50" t="n"/>
      <c r="Y44" s="50" t="n"/>
      <c r="Z44" s="50" t="n"/>
    </row>
    <row r="45">
      <c r="A45" s="50" t="n"/>
      <c r="B45" s="50" t="n"/>
      <c r="C45" s="50" t="n"/>
      <c r="D45" s="84" t="n"/>
      <c r="E45" s="84" t="n"/>
      <c r="F45" s="84" t="n"/>
      <c r="G45" s="50" t="n"/>
      <c r="H45" s="84" t="n"/>
      <c r="I45" s="84" t="n"/>
      <c r="J45" s="84" t="n"/>
      <c r="K45" s="84" t="n"/>
      <c r="L45" s="84" t="n"/>
      <c r="M45" s="84" t="n"/>
      <c r="N45" s="50" t="n"/>
      <c r="O45" s="84" t="n"/>
      <c r="P45" s="84">
        <f>IF(AND($A45="",$B45=""),"",N(D45)-N(E45)+N(J45)-N(K45))</f>
        <v/>
      </c>
      <c r="Q45" s="84">
        <f>IF(AND($A45="",$B45=""),"",IF(COUNT(L45:M45,O45)=0,"",P45-(N(L45)-N(M45))))</f>
        <v/>
      </c>
      <c r="R45" s="54">
        <f>IF(AND($A45="",$B45=""),"",IF(COUNT(L45:M45,O45)=0,"kein Mandanten-Saldo",IF(OR(AND(L45="",M45="")),"",IF(ABS(ROUND(((ROUND(N(D45)*100,0)+ROUND(N(J45)*100,0)+ROUND(N(M45)*100,0))-(ROUND(N(E45)*100,0)+ROUND(N(K45)*100,0)+ROUND(N(L45)*100,0))),0)-(0))&lt;=0,"OK","ABWEICHUNG"))))</f>
        <v/>
      </c>
      <c r="S45" s="84" t="n"/>
      <c r="T45" s="50" t="n"/>
      <c r="U45" s="50" t="n"/>
      <c r="V45" s="50" t="n"/>
      <c r="W45" s="50" t="n"/>
      <c r="X45" s="50" t="n"/>
      <c r="Y45" s="50" t="n"/>
      <c r="Z45" s="50" t="n"/>
    </row>
    <row r="46">
      <c r="A46" s="50" t="n"/>
      <c r="B46" s="50" t="n"/>
      <c r="C46" s="50" t="n"/>
      <c r="D46" s="84" t="n"/>
      <c r="E46" s="84" t="n"/>
      <c r="F46" s="84" t="n"/>
      <c r="G46" s="50" t="n"/>
      <c r="H46" s="84" t="n"/>
      <c r="I46" s="84" t="n"/>
      <c r="J46" s="84" t="n"/>
      <c r="K46" s="84" t="n"/>
      <c r="L46" s="84" t="n"/>
      <c r="M46" s="84" t="n"/>
      <c r="N46" s="50" t="n"/>
      <c r="O46" s="84" t="n"/>
      <c r="P46" s="84">
        <f>IF(AND($A46="",$B46=""),"",N(D46)-N(E46)+N(J46)-N(K46))</f>
        <v/>
      </c>
      <c r="Q46" s="84">
        <f>IF(AND($A46="",$B46=""),"",IF(COUNT(L46:M46,O46)=0,"",P46-(N(L46)-N(M46))))</f>
        <v/>
      </c>
      <c r="R46" s="54">
        <f>IF(AND($A46="",$B46=""),"",IF(COUNT(L46:M46,O46)=0,"kein Mandanten-Saldo",IF(OR(AND(L46="",M46="")),"",IF(ABS(ROUND(((ROUND(N(D46)*100,0)+ROUND(N(J46)*100,0)+ROUND(N(M46)*100,0))-(ROUND(N(E46)*100,0)+ROUND(N(K46)*100,0)+ROUND(N(L46)*100,0))),0)-(0))&lt;=0,"OK","ABWEICHUNG"))))</f>
        <v/>
      </c>
      <c r="S46" s="84" t="n"/>
      <c r="T46" s="50" t="n"/>
      <c r="U46" s="50" t="n"/>
      <c r="V46" s="50" t="n"/>
      <c r="W46" s="50" t="n"/>
      <c r="X46" s="50" t="n"/>
      <c r="Y46" s="50" t="n"/>
      <c r="Z46" s="50" t="n"/>
    </row>
    <row r="47">
      <c r="A47" s="50" t="n"/>
      <c r="B47" s="50" t="n"/>
      <c r="C47" s="50" t="n"/>
      <c r="D47" s="84" t="n"/>
      <c r="E47" s="84" t="n"/>
      <c r="F47" s="84" t="n"/>
      <c r="G47" s="50" t="n"/>
      <c r="H47" s="84" t="n"/>
      <c r="I47" s="84" t="n"/>
      <c r="J47" s="84" t="n"/>
      <c r="K47" s="84" t="n"/>
      <c r="L47" s="84" t="n"/>
      <c r="M47" s="84" t="n"/>
      <c r="N47" s="50" t="n"/>
      <c r="O47" s="84" t="n"/>
      <c r="P47" s="84">
        <f>IF(AND($A47="",$B47=""),"",N(D47)-N(E47)+N(J47)-N(K47))</f>
        <v/>
      </c>
      <c r="Q47" s="84">
        <f>IF(AND($A47="",$B47=""),"",IF(COUNT(L47:M47,O47)=0,"",P47-(N(L47)-N(M47))))</f>
        <v/>
      </c>
      <c r="R47" s="54">
        <f>IF(AND($A47="",$B47=""),"",IF(COUNT(L47:M47,O47)=0,"kein Mandanten-Saldo",IF(OR(AND(L47="",M47="")),"",IF(ABS(ROUND(((ROUND(N(D47)*100,0)+ROUND(N(J47)*100,0)+ROUND(N(M47)*100,0))-(ROUND(N(E47)*100,0)+ROUND(N(K47)*100,0)+ROUND(N(L47)*100,0))),0)-(0))&lt;=0,"OK","ABWEICHUNG"))))</f>
        <v/>
      </c>
      <c r="S47" s="84" t="n"/>
      <c r="T47" s="50" t="n"/>
      <c r="U47" s="50" t="n"/>
      <c r="V47" s="50" t="n"/>
      <c r="W47" s="50" t="n"/>
      <c r="X47" s="50" t="n"/>
      <c r="Y47" s="50" t="n"/>
      <c r="Z47" s="50" t="n"/>
    </row>
    <row r="48">
      <c r="A48" s="50" t="n"/>
      <c r="B48" s="50" t="n"/>
      <c r="C48" s="50" t="n"/>
      <c r="D48" s="84" t="n"/>
      <c r="E48" s="84" t="n"/>
      <c r="F48" s="84" t="n"/>
      <c r="G48" s="50" t="n"/>
      <c r="H48" s="84" t="n"/>
      <c r="I48" s="84" t="n"/>
      <c r="J48" s="84" t="n"/>
      <c r="K48" s="84" t="n"/>
      <c r="L48" s="84" t="n"/>
      <c r="M48" s="84" t="n"/>
      <c r="N48" s="50" t="n"/>
      <c r="O48" s="84" t="n"/>
      <c r="P48" s="84">
        <f>IF(AND($A48="",$B48=""),"",N(D48)-N(E48)+N(J48)-N(K48))</f>
        <v/>
      </c>
      <c r="Q48" s="84">
        <f>IF(AND($A48="",$B48=""),"",IF(COUNT(L48:M48,O48)=0,"",P48-(N(L48)-N(M48))))</f>
        <v/>
      </c>
      <c r="R48" s="54">
        <f>IF(AND($A48="",$B48=""),"",IF(COUNT(L48:M48,O48)=0,"kein Mandanten-Saldo",IF(OR(AND(L48="",M48="")),"",IF(ABS(ROUND(((ROUND(N(D48)*100,0)+ROUND(N(J48)*100,0)+ROUND(N(M48)*100,0))-(ROUND(N(E48)*100,0)+ROUND(N(K48)*100,0)+ROUND(N(L48)*100,0))),0)-(0))&lt;=0,"OK","ABWEICHUNG"))))</f>
        <v/>
      </c>
      <c r="S48" s="84" t="n"/>
      <c r="T48" s="50" t="n"/>
      <c r="U48" s="50" t="n"/>
      <c r="V48" s="50" t="n"/>
      <c r="W48" s="50" t="n"/>
      <c r="X48" s="50" t="n"/>
      <c r="Y48" s="50" t="n"/>
      <c r="Z48" s="50" t="n"/>
    </row>
    <row r="49">
      <c r="A49" s="50" t="n"/>
      <c r="B49" s="50" t="n"/>
      <c r="C49" s="50" t="n"/>
      <c r="D49" s="84" t="n"/>
      <c r="E49" s="84" t="n"/>
      <c r="F49" s="84" t="n"/>
      <c r="G49" s="50" t="n"/>
      <c r="H49" s="84" t="n"/>
      <c r="I49" s="84" t="n"/>
      <c r="J49" s="84" t="n"/>
      <c r="K49" s="84" t="n"/>
      <c r="L49" s="84" t="n"/>
      <c r="M49" s="84" t="n"/>
      <c r="N49" s="50" t="n"/>
      <c r="O49" s="84" t="n"/>
      <c r="P49" s="84">
        <f>IF(AND($A49="",$B49=""),"",N(D49)-N(E49)+N(J49)-N(K49))</f>
        <v/>
      </c>
      <c r="Q49" s="84">
        <f>IF(AND($A49="",$B49=""),"",IF(COUNT(L49:M49,O49)=0,"",P49-(N(L49)-N(M49))))</f>
        <v/>
      </c>
      <c r="R49" s="54">
        <f>IF(AND($A49="",$B49=""),"",IF(COUNT(L49:M49,O49)=0,"kein Mandanten-Saldo",IF(OR(AND(L49="",M49="")),"",IF(ABS(ROUND(((ROUND(N(D49)*100,0)+ROUND(N(J49)*100,0)+ROUND(N(M49)*100,0))-(ROUND(N(E49)*100,0)+ROUND(N(K49)*100,0)+ROUND(N(L49)*100,0))),0)-(0))&lt;=0,"OK","ABWEICHUNG"))))</f>
        <v/>
      </c>
      <c r="S49" s="84" t="n"/>
      <c r="T49" s="50" t="n"/>
      <c r="U49" s="50" t="n"/>
      <c r="V49" s="50" t="n"/>
      <c r="W49" s="50" t="n"/>
      <c r="X49" s="50" t="n"/>
      <c r="Y49" s="50" t="n"/>
      <c r="Z49" s="50" t="n"/>
    </row>
    <row r="50">
      <c r="A50" s="50" t="n"/>
      <c r="B50" s="50" t="n"/>
      <c r="C50" s="50" t="n"/>
      <c r="D50" s="84" t="n"/>
      <c r="E50" s="84" t="n"/>
      <c r="F50" s="84" t="n"/>
      <c r="G50" s="50" t="n"/>
      <c r="H50" s="84" t="n"/>
      <c r="I50" s="84" t="n"/>
      <c r="J50" s="84" t="n"/>
      <c r="K50" s="84" t="n"/>
      <c r="L50" s="84" t="n"/>
      <c r="M50" s="84" t="n"/>
      <c r="N50" s="50" t="n"/>
      <c r="O50" s="84" t="n"/>
      <c r="P50" s="84">
        <f>IF(AND($A50="",$B50=""),"",N(D50)-N(E50)+N(J50)-N(K50))</f>
        <v/>
      </c>
      <c r="Q50" s="84">
        <f>IF(AND($A50="",$B50=""),"",IF(COUNT(L50:M50,O50)=0,"",P50-(N(L50)-N(M50))))</f>
        <v/>
      </c>
      <c r="R50" s="54">
        <f>IF(AND($A50="",$B50=""),"",IF(COUNT(L50:M50,O50)=0,"kein Mandanten-Saldo",IF(OR(AND(L50="",M50="")),"",IF(ABS(ROUND(((ROUND(N(D50)*100,0)+ROUND(N(J50)*100,0)+ROUND(N(M50)*100,0))-(ROUND(N(E50)*100,0)+ROUND(N(K50)*100,0)+ROUND(N(L50)*100,0))),0)-(0))&lt;=0,"OK","ABWEICHUNG"))))</f>
        <v/>
      </c>
      <c r="S50" s="84" t="n"/>
      <c r="T50" s="50" t="n"/>
      <c r="U50" s="50" t="n"/>
      <c r="V50" s="50" t="n"/>
      <c r="W50" s="50" t="n"/>
      <c r="X50" s="50" t="n"/>
      <c r="Y50" s="50" t="n"/>
      <c r="Z50" s="50" t="n"/>
    </row>
    <row r="51">
      <c r="A51" s="50" t="n"/>
      <c r="B51" s="50" t="n"/>
      <c r="C51" s="50" t="n"/>
      <c r="D51" s="84" t="n"/>
      <c r="E51" s="84" t="n"/>
      <c r="F51" s="84" t="n"/>
      <c r="G51" s="50" t="n"/>
      <c r="H51" s="84" t="n"/>
      <c r="I51" s="84" t="n"/>
      <c r="J51" s="84" t="n"/>
      <c r="K51" s="84" t="n"/>
      <c r="L51" s="84" t="n"/>
      <c r="M51" s="84" t="n"/>
      <c r="N51" s="50" t="n"/>
      <c r="O51" s="84" t="n"/>
      <c r="P51" s="84">
        <f>IF(AND($A51="",$B51=""),"",N(D51)-N(E51)+N(J51)-N(K51))</f>
        <v/>
      </c>
      <c r="Q51" s="84">
        <f>IF(AND($A51="",$B51=""),"",IF(COUNT(L51:M51,O51)=0,"",P51-(N(L51)-N(M51))))</f>
        <v/>
      </c>
      <c r="R51" s="54">
        <f>IF(AND($A51="",$B51=""),"",IF(COUNT(L51:M51,O51)=0,"kein Mandanten-Saldo",IF(OR(AND(L51="",M51="")),"",IF(ABS(ROUND(((ROUND(N(D51)*100,0)+ROUND(N(J51)*100,0)+ROUND(N(M51)*100,0))-(ROUND(N(E51)*100,0)+ROUND(N(K51)*100,0)+ROUND(N(L51)*100,0))),0)-(0))&lt;=0,"OK","ABWEICHUNG"))))</f>
        <v/>
      </c>
      <c r="S51" s="84" t="n"/>
      <c r="T51" s="50" t="n"/>
      <c r="U51" s="50" t="n"/>
      <c r="V51" s="50" t="n"/>
      <c r="W51" s="50" t="n"/>
      <c r="X51" s="50" t="n"/>
      <c r="Y51" s="50" t="n"/>
      <c r="Z51" s="50" t="n"/>
    </row>
    <row r="52">
      <c r="A52" s="50" t="n"/>
      <c r="B52" s="50" t="n"/>
      <c r="C52" s="50" t="n"/>
      <c r="D52" s="84" t="n"/>
      <c r="E52" s="84" t="n"/>
      <c r="F52" s="84" t="n"/>
      <c r="G52" s="50" t="n"/>
      <c r="H52" s="84" t="n"/>
      <c r="I52" s="84" t="n"/>
      <c r="J52" s="84" t="n"/>
      <c r="K52" s="84" t="n"/>
      <c r="L52" s="84" t="n"/>
      <c r="M52" s="84" t="n"/>
      <c r="N52" s="50" t="n"/>
      <c r="O52" s="84" t="n"/>
      <c r="P52" s="84">
        <f>IF(AND($A52="",$B52=""),"",N(D52)-N(E52)+N(J52)-N(K52))</f>
        <v/>
      </c>
      <c r="Q52" s="84">
        <f>IF(AND($A52="",$B52=""),"",IF(COUNT(L52:M52,O52)=0,"",P52-(N(L52)-N(M52))))</f>
        <v/>
      </c>
      <c r="R52" s="54">
        <f>IF(AND($A52="",$B52=""),"",IF(COUNT(L52:M52,O52)=0,"kein Mandanten-Saldo",IF(OR(AND(L52="",M52="")),"",IF(ABS(ROUND(((ROUND(N(D52)*100,0)+ROUND(N(J52)*100,0)+ROUND(N(M52)*100,0))-(ROUND(N(E52)*100,0)+ROUND(N(K52)*100,0)+ROUND(N(L52)*100,0))),0)-(0))&lt;=0,"OK","ABWEICHUNG"))))</f>
        <v/>
      </c>
      <c r="S52" s="84" t="n"/>
      <c r="T52" s="50" t="n"/>
      <c r="U52" s="50" t="n"/>
      <c r="V52" s="50" t="n"/>
      <c r="W52" s="50" t="n"/>
      <c r="X52" s="50" t="n"/>
      <c r="Y52" s="50" t="n"/>
      <c r="Z52" s="50" t="n"/>
    </row>
    <row r="53">
      <c r="A53" s="50" t="n"/>
      <c r="B53" s="50" t="n"/>
      <c r="C53" s="50" t="n"/>
      <c r="D53" s="84" t="n"/>
      <c r="E53" s="84" t="n"/>
      <c r="F53" s="84" t="n"/>
      <c r="G53" s="50" t="n"/>
      <c r="H53" s="84" t="n"/>
      <c r="I53" s="84" t="n"/>
      <c r="J53" s="84" t="n"/>
      <c r="K53" s="84" t="n"/>
      <c r="L53" s="84" t="n"/>
      <c r="M53" s="84" t="n"/>
      <c r="N53" s="50" t="n"/>
      <c r="O53" s="84" t="n"/>
      <c r="P53" s="84">
        <f>IF(AND($A53="",$B53=""),"",N(D53)-N(E53)+N(J53)-N(K53))</f>
        <v/>
      </c>
      <c r="Q53" s="84">
        <f>IF(AND($A53="",$B53=""),"",IF(COUNT(L53:M53,O53)=0,"",P53-(N(L53)-N(M53))))</f>
        <v/>
      </c>
      <c r="R53" s="54">
        <f>IF(AND($A53="",$B53=""),"",IF(COUNT(L53:M53,O53)=0,"kein Mandanten-Saldo",IF(OR(AND(L53="",M53="")),"",IF(ABS(ROUND(((ROUND(N(D53)*100,0)+ROUND(N(J53)*100,0)+ROUND(N(M53)*100,0))-(ROUND(N(E53)*100,0)+ROUND(N(K53)*100,0)+ROUND(N(L53)*100,0))),0)-(0))&lt;=0,"OK","ABWEICHUNG"))))</f>
        <v/>
      </c>
      <c r="S53" s="84" t="n"/>
      <c r="T53" s="50" t="n"/>
      <c r="U53" s="50" t="n"/>
      <c r="V53" s="50" t="n"/>
      <c r="W53" s="50" t="n"/>
      <c r="X53" s="50" t="n"/>
      <c r="Y53" s="50" t="n"/>
      <c r="Z53" s="50" t="n"/>
    </row>
    <row r="54">
      <c r="A54" s="50" t="n"/>
      <c r="B54" s="50" t="n"/>
      <c r="C54" s="50" t="n"/>
      <c r="D54" s="84" t="n"/>
      <c r="E54" s="84" t="n"/>
      <c r="F54" s="84" t="n"/>
      <c r="G54" s="50" t="n"/>
      <c r="H54" s="84" t="n"/>
      <c r="I54" s="84" t="n"/>
      <c r="J54" s="84" t="n"/>
      <c r="K54" s="84" t="n"/>
      <c r="L54" s="84" t="n"/>
      <c r="M54" s="84" t="n"/>
      <c r="N54" s="50" t="n"/>
      <c r="O54" s="84" t="n"/>
      <c r="P54" s="84">
        <f>IF(AND($A54="",$B54=""),"",N(D54)-N(E54)+N(J54)-N(K54))</f>
        <v/>
      </c>
      <c r="Q54" s="84">
        <f>IF(AND($A54="",$B54=""),"",IF(COUNT(L54:M54,O54)=0,"",P54-(N(L54)-N(M54))))</f>
        <v/>
      </c>
      <c r="R54" s="54">
        <f>IF(AND($A54="",$B54=""),"",IF(COUNT(L54:M54,O54)=0,"kein Mandanten-Saldo",IF(OR(AND(L54="",M54="")),"",IF(ABS(ROUND(((ROUND(N(D54)*100,0)+ROUND(N(J54)*100,0)+ROUND(N(M54)*100,0))-(ROUND(N(E54)*100,0)+ROUND(N(K54)*100,0)+ROUND(N(L54)*100,0))),0)-(0))&lt;=0,"OK","ABWEICHUNG"))))</f>
        <v/>
      </c>
      <c r="S54" s="84" t="n"/>
      <c r="T54" s="50" t="n"/>
      <c r="U54" s="50" t="n"/>
      <c r="V54" s="50" t="n"/>
      <c r="W54" s="50" t="n"/>
      <c r="X54" s="50" t="n"/>
      <c r="Y54" s="50" t="n"/>
      <c r="Z54" s="50" t="n"/>
    </row>
    <row r="55">
      <c r="A55" s="50" t="n"/>
      <c r="B55" s="50" t="n"/>
      <c r="C55" s="50" t="n"/>
      <c r="D55" s="84" t="n"/>
      <c r="E55" s="84" t="n"/>
      <c r="F55" s="84" t="n"/>
      <c r="G55" s="50" t="n"/>
      <c r="H55" s="84" t="n"/>
      <c r="I55" s="84" t="n"/>
      <c r="J55" s="84" t="n"/>
      <c r="K55" s="84" t="n"/>
      <c r="L55" s="84" t="n"/>
      <c r="M55" s="84" t="n"/>
      <c r="N55" s="50" t="n"/>
      <c r="O55" s="84" t="n"/>
      <c r="P55" s="84">
        <f>IF(AND($A55="",$B55=""),"",N(D55)-N(E55)+N(J55)-N(K55))</f>
        <v/>
      </c>
      <c r="Q55" s="84">
        <f>IF(AND($A55="",$B55=""),"",IF(COUNT(L55:M55,O55)=0,"",P55-(N(L55)-N(M55))))</f>
        <v/>
      </c>
      <c r="R55" s="54">
        <f>IF(AND($A55="",$B55=""),"",IF(COUNT(L55:M55,O55)=0,"kein Mandanten-Saldo",IF(OR(AND(L55="",M55="")),"",IF(ABS(ROUND(((ROUND(N(D55)*100,0)+ROUND(N(J55)*100,0)+ROUND(N(M55)*100,0))-(ROUND(N(E55)*100,0)+ROUND(N(K55)*100,0)+ROUND(N(L55)*100,0))),0)-(0))&lt;=0,"OK","ABWEICHUNG"))))</f>
        <v/>
      </c>
      <c r="S55" s="84" t="n"/>
      <c r="T55" s="50" t="n"/>
      <c r="U55" s="50" t="n"/>
      <c r="V55" s="50" t="n"/>
      <c r="W55" s="50" t="n"/>
      <c r="X55" s="50" t="n"/>
      <c r="Y55" s="50" t="n"/>
      <c r="Z55" s="50" t="n"/>
    </row>
    <row r="56">
      <c r="A56" s="50" t="n"/>
      <c r="B56" s="50" t="n"/>
      <c r="C56" s="50" t="n"/>
      <c r="D56" s="84" t="n"/>
      <c r="E56" s="84" t="n"/>
      <c r="F56" s="84" t="n"/>
      <c r="G56" s="50" t="n"/>
      <c r="H56" s="84" t="n"/>
      <c r="I56" s="84" t="n"/>
      <c r="J56" s="84" t="n"/>
      <c r="K56" s="84" t="n"/>
      <c r="L56" s="84" t="n"/>
      <c r="M56" s="84" t="n"/>
      <c r="N56" s="50" t="n"/>
      <c r="O56" s="84" t="n"/>
      <c r="P56" s="84">
        <f>IF(AND($A56="",$B56=""),"",N(D56)-N(E56)+N(J56)-N(K56))</f>
        <v/>
      </c>
      <c r="Q56" s="84">
        <f>IF(AND($A56="",$B56=""),"",IF(COUNT(L56:M56,O56)=0,"",P56-(N(L56)-N(M56))))</f>
        <v/>
      </c>
      <c r="R56" s="54">
        <f>IF(AND($A56="",$B56=""),"",IF(COUNT(L56:M56,O56)=0,"kein Mandanten-Saldo",IF(OR(AND(L56="",M56="")),"",IF(ABS(ROUND(((ROUND(N(D56)*100,0)+ROUND(N(J56)*100,0)+ROUND(N(M56)*100,0))-(ROUND(N(E56)*100,0)+ROUND(N(K56)*100,0)+ROUND(N(L56)*100,0))),0)-(0))&lt;=0,"OK","ABWEICHUNG"))))</f>
        <v/>
      </c>
      <c r="S56" s="84" t="n"/>
      <c r="T56" s="50" t="n"/>
      <c r="U56" s="50" t="n"/>
      <c r="V56" s="50" t="n"/>
      <c r="W56" s="50" t="n"/>
      <c r="X56" s="50" t="n"/>
      <c r="Y56" s="50" t="n"/>
      <c r="Z56" s="50" t="n"/>
    </row>
    <row r="57">
      <c r="A57" s="50" t="n"/>
      <c r="B57" s="50" t="n"/>
      <c r="C57" s="50" t="n"/>
      <c r="D57" s="84" t="n"/>
      <c r="E57" s="84" t="n"/>
      <c r="F57" s="84" t="n"/>
      <c r="G57" s="50" t="n"/>
      <c r="H57" s="84" t="n"/>
      <c r="I57" s="84" t="n"/>
      <c r="J57" s="84" t="n"/>
      <c r="K57" s="84" t="n"/>
      <c r="L57" s="84" t="n"/>
      <c r="M57" s="84" t="n"/>
      <c r="N57" s="50" t="n"/>
      <c r="O57" s="84" t="n"/>
      <c r="P57" s="84">
        <f>IF(AND($A57="",$B57=""),"",N(D57)-N(E57)+N(J57)-N(K57))</f>
        <v/>
      </c>
      <c r="Q57" s="84">
        <f>IF(AND($A57="",$B57=""),"",IF(COUNT(L57:M57,O57)=0,"",P57-(N(L57)-N(M57))))</f>
        <v/>
      </c>
      <c r="R57" s="54">
        <f>IF(AND($A57="",$B57=""),"",IF(COUNT(L57:M57,O57)=0,"kein Mandanten-Saldo",IF(OR(AND(L57="",M57="")),"",IF(ABS(ROUND(((ROUND(N(D57)*100,0)+ROUND(N(J57)*100,0)+ROUND(N(M57)*100,0))-(ROUND(N(E57)*100,0)+ROUND(N(K57)*100,0)+ROUND(N(L57)*100,0))),0)-(0))&lt;=0,"OK","ABWEICHUNG"))))</f>
        <v/>
      </c>
      <c r="S57" s="84" t="n"/>
      <c r="T57" s="50" t="n"/>
      <c r="U57" s="50" t="n"/>
      <c r="V57" s="50" t="n"/>
      <c r="W57" s="50" t="n"/>
      <c r="X57" s="50" t="n"/>
      <c r="Y57" s="50" t="n"/>
      <c r="Z57" s="50" t="n"/>
    </row>
    <row r="58">
      <c r="A58" s="50" t="n"/>
      <c r="B58" s="50" t="n"/>
      <c r="C58" s="50" t="n"/>
      <c r="D58" s="84" t="n"/>
      <c r="E58" s="84" t="n"/>
      <c r="F58" s="84" t="n"/>
      <c r="G58" s="50" t="n"/>
      <c r="H58" s="84" t="n"/>
      <c r="I58" s="84" t="n"/>
      <c r="J58" s="84" t="n"/>
      <c r="K58" s="84" t="n"/>
      <c r="L58" s="84" t="n"/>
      <c r="M58" s="84" t="n"/>
      <c r="N58" s="50" t="n"/>
      <c r="O58" s="84" t="n"/>
      <c r="P58" s="84">
        <f>IF(AND($A58="",$B58=""),"",N(D58)-N(E58)+N(J58)-N(K58))</f>
        <v/>
      </c>
      <c r="Q58" s="84">
        <f>IF(AND($A58="",$B58=""),"",IF(COUNT(L58:M58,O58)=0,"",P58-(N(L58)-N(M58))))</f>
        <v/>
      </c>
      <c r="R58" s="54">
        <f>IF(AND($A58="",$B58=""),"",IF(COUNT(L58:M58,O58)=0,"kein Mandanten-Saldo",IF(OR(AND(L58="",M58="")),"",IF(ABS(ROUND(((ROUND(N(D58)*100,0)+ROUND(N(J58)*100,0)+ROUND(N(M58)*100,0))-(ROUND(N(E58)*100,0)+ROUND(N(K58)*100,0)+ROUND(N(L58)*100,0))),0)-(0))&lt;=0,"OK","ABWEICHUNG"))))</f>
        <v/>
      </c>
      <c r="S58" s="84" t="n"/>
      <c r="T58" s="50" t="n"/>
      <c r="U58" s="50" t="n"/>
      <c r="V58" s="50" t="n"/>
      <c r="W58" s="50" t="n"/>
      <c r="X58" s="50" t="n"/>
      <c r="Y58" s="50" t="n"/>
      <c r="Z58" s="50" t="n"/>
    </row>
    <row r="59">
      <c r="A59" s="50" t="n"/>
      <c r="B59" s="50" t="n"/>
      <c r="C59" s="50" t="n"/>
      <c r="D59" s="84" t="n"/>
      <c r="E59" s="84" t="n"/>
      <c r="F59" s="84" t="n"/>
      <c r="G59" s="50" t="n"/>
      <c r="H59" s="84" t="n"/>
      <c r="I59" s="84" t="n"/>
      <c r="J59" s="84" t="n"/>
      <c r="K59" s="84" t="n"/>
      <c r="L59" s="84" t="n"/>
      <c r="M59" s="84" t="n"/>
      <c r="N59" s="50" t="n"/>
      <c r="O59" s="84" t="n"/>
      <c r="P59" s="84">
        <f>IF(AND($A59="",$B59=""),"",N(D59)-N(E59)+N(J59)-N(K59))</f>
        <v/>
      </c>
      <c r="Q59" s="84">
        <f>IF(AND($A59="",$B59=""),"",IF(COUNT(L59:M59,O59)=0,"",P59-(N(L59)-N(M59))))</f>
        <v/>
      </c>
      <c r="R59" s="54">
        <f>IF(AND($A59="",$B59=""),"",IF(COUNT(L59:M59,O59)=0,"kein Mandanten-Saldo",IF(OR(AND(L59="",M59="")),"",IF(ABS(ROUND(((ROUND(N(D59)*100,0)+ROUND(N(J59)*100,0)+ROUND(N(M59)*100,0))-(ROUND(N(E59)*100,0)+ROUND(N(K59)*100,0)+ROUND(N(L59)*100,0))),0)-(0))&lt;=0,"OK","ABWEICHUNG"))))</f>
        <v/>
      </c>
      <c r="S59" s="84" t="n"/>
      <c r="T59" s="50" t="n"/>
      <c r="U59" s="50" t="n"/>
      <c r="V59" s="50" t="n"/>
      <c r="W59" s="50" t="n"/>
      <c r="X59" s="50" t="n"/>
      <c r="Y59" s="50" t="n"/>
      <c r="Z59" s="50" t="n"/>
    </row>
    <row r="60">
      <c r="A60" s="50" t="n"/>
      <c r="B60" s="50" t="n"/>
      <c r="C60" s="50" t="n"/>
      <c r="D60" s="84" t="n"/>
      <c r="E60" s="84" t="n"/>
      <c r="F60" s="84" t="n"/>
      <c r="G60" s="50" t="n"/>
      <c r="H60" s="84" t="n"/>
      <c r="I60" s="84" t="n"/>
      <c r="J60" s="84" t="n"/>
      <c r="K60" s="84" t="n"/>
      <c r="L60" s="84" t="n"/>
      <c r="M60" s="84" t="n"/>
      <c r="N60" s="50" t="n"/>
      <c r="O60" s="84" t="n"/>
      <c r="P60" s="84">
        <f>IF(AND($A60="",$B60=""),"",N(D60)-N(E60)+N(J60)-N(K60))</f>
        <v/>
      </c>
      <c r="Q60" s="84">
        <f>IF(AND($A60="",$B60=""),"",IF(COUNT(L60:M60,O60)=0,"",P60-(N(L60)-N(M60))))</f>
        <v/>
      </c>
      <c r="R60" s="54">
        <f>IF(AND($A60="",$B60=""),"",IF(COUNT(L60:M60,O60)=0,"kein Mandanten-Saldo",IF(OR(AND(L60="",M60="")),"",IF(ABS(ROUND(((ROUND(N(D60)*100,0)+ROUND(N(J60)*100,0)+ROUND(N(M60)*100,0))-(ROUND(N(E60)*100,0)+ROUND(N(K60)*100,0)+ROUND(N(L60)*100,0))),0)-(0))&lt;=0,"OK","ABWEICHUNG"))))</f>
        <v/>
      </c>
      <c r="S60" s="84" t="n"/>
      <c r="T60" s="50" t="n"/>
      <c r="U60" s="50" t="n"/>
      <c r="V60" s="50" t="n"/>
      <c r="W60" s="50" t="n"/>
      <c r="X60" s="50" t="n"/>
      <c r="Y60" s="50" t="n"/>
      <c r="Z60" s="50" t="n"/>
    </row>
    <row r="61">
      <c r="A61" s="50" t="n"/>
      <c r="B61" s="50" t="n"/>
      <c r="C61" s="50" t="n"/>
      <c r="D61" s="84" t="n"/>
      <c r="E61" s="84" t="n"/>
      <c r="F61" s="84" t="n"/>
      <c r="G61" s="50" t="n"/>
      <c r="H61" s="84" t="n"/>
      <c r="I61" s="84" t="n"/>
      <c r="J61" s="84" t="n"/>
      <c r="K61" s="84" t="n"/>
      <c r="L61" s="84" t="n"/>
      <c r="M61" s="84" t="n"/>
      <c r="N61" s="50" t="n"/>
      <c r="O61" s="84" t="n"/>
      <c r="P61" s="84">
        <f>IF(AND($A61="",$B61=""),"",N(D61)-N(E61)+N(J61)-N(K61))</f>
        <v/>
      </c>
      <c r="Q61" s="84">
        <f>IF(AND($A61="",$B61=""),"",IF(COUNT(L61:M61,O61)=0,"",P61-(N(L61)-N(M61))))</f>
        <v/>
      </c>
      <c r="R61" s="54">
        <f>IF(AND($A61="",$B61=""),"",IF(COUNT(L61:M61,O61)=0,"kein Mandanten-Saldo",IF(OR(AND(L61="",M61="")),"",IF(ABS(ROUND(((ROUND(N(D61)*100,0)+ROUND(N(J61)*100,0)+ROUND(N(M61)*100,0))-(ROUND(N(E61)*100,0)+ROUND(N(K61)*100,0)+ROUND(N(L61)*100,0))),0)-(0))&lt;=0,"OK","ABWEICHUNG"))))</f>
        <v/>
      </c>
      <c r="S61" s="84" t="n"/>
      <c r="T61" s="50" t="n"/>
      <c r="U61" s="50" t="n"/>
      <c r="V61" s="50" t="n"/>
      <c r="W61" s="50" t="n"/>
      <c r="X61" s="50" t="n"/>
      <c r="Y61" s="50" t="n"/>
      <c r="Z61" s="50" t="n"/>
    </row>
    <row r="62">
      <c r="A62" s="50" t="n"/>
      <c r="B62" s="50" t="n"/>
      <c r="C62" s="50" t="n"/>
      <c r="D62" s="84" t="n"/>
      <c r="E62" s="84" t="n"/>
      <c r="F62" s="84" t="n"/>
      <c r="G62" s="50" t="n"/>
      <c r="H62" s="84" t="n"/>
      <c r="I62" s="84" t="n"/>
      <c r="J62" s="84" t="n"/>
      <c r="K62" s="84" t="n"/>
      <c r="L62" s="84" t="n"/>
      <c r="M62" s="84" t="n"/>
      <c r="N62" s="50" t="n"/>
      <c r="O62" s="84" t="n"/>
      <c r="P62" s="84">
        <f>IF(AND($A62="",$B62=""),"",N(D62)-N(E62)+N(J62)-N(K62))</f>
        <v/>
      </c>
      <c r="Q62" s="84">
        <f>IF(AND($A62="",$B62=""),"",IF(COUNT(L62:M62,O62)=0,"",P62-(N(L62)-N(M62))))</f>
        <v/>
      </c>
      <c r="R62" s="54">
        <f>IF(AND($A62="",$B62=""),"",IF(COUNT(L62:M62,O62)=0,"kein Mandanten-Saldo",IF(OR(AND(L62="",M62="")),"",IF(ABS(ROUND(((ROUND(N(D62)*100,0)+ROUND(N(J62)*100,0)+ROUND(N(M62)*100,0))-(ROUND(N(E62)*100,0)+ROUND(N(K62)*100,0)+ROUND(N(L62)*100,0))),0)-(0))&lt;=0,"OK","ABWEICHUNG"))))</f>
        <v/>
      </c>
      <c r="S62" s="84" t="n"/>
      <c r="T62" s="50" t="n"/>
      <c r="U62" s="50" t="n"/>
      <c r="V62" s="50" t="n"/>
      <c r="W62" s="50" t="n"/>
      <c r="X62" s="50" t="n"/>
      <c r="Y62" s="50" t="n"/>
      <c r="Z62" s="50" t="n"/>
    </row>
    <row r="63">
      <c r="A63" s="50" t="n"/>
      <c r="B63" s="50" t="n"/>
      <c r="C63" s="50" t="n"/>
      <c r="D63" s="84" t="n"/>
      <c r="E63" s="84" t="n"/>
      <c r="F63" s="84" t="n"/>
      <c r="G63" s="50" t="n"/>
      <c r="H63" s="84" t="n"/>
      <c r="I63" s="84" t="n"/>
      <c r="J63" s="84" t="n"/>
      <c r="K63" s="84" t="n"/>
      <c r="L63" s="84" t="n"/>
      <c r="M63" s="84" t="n"/>
      <c r="N63" s="50" t="n"/>
      <c r="O63" s="84" t="n"/>
      <c r="P63" s="84">
        <f>IF(AND($A63="",$B63=""),"",N(D63)-N(E63)+N(J63)-N(K63))</f>
        <v/>
      </c>
      <c r="Q63" s="84">
        <f>IF(AND($A63="",$B63=""),"",IF(COUNT(L63:M63,O63)=0,"",P63-(N(L63)-N(M63))))</f>
        <v/>
      </c>
      <c r="R63" s="54">
        <f>IF(AND($A63="",$B63=""),"",IF(COUNT(L63:M63,O63)=0,"kein Mandanten-Saldo",IF(OR(AND(L63="",M63="")),"",IF(ABS(ROUND(((ROUND(N(D63)*100,0)+ROUND(N(J63)*100,0)+ROUND(N(M63)*100,0))-(ROUND(N(E63)*100,0)+ROUND(N(K63)*100,0)+ROUND(N(L63)*100,0))),0)-(0))&lt;=0,"OK","ABWEICHUNG"))))</f>
        <v/>
      </c>
      <c r="S63" s="84" t="n"/>
      <c r="T63" s="50" t="n"/>
      <c r="U63" s="50" t="n"/>
      <c r="V63" s="50" t="n"/>
      <c r="W63" s="50" t="n"/>
      <c r="X63" s="50" t="n"/>
      <c r="Y63" s="50" t="n"/>
      <c r="Z63" s="50" t="n"/>
    </row>
    <row r="64">
      <c r="A64" s="50" t="n"/>
      <c r="B64" s="50" t="n"/>
      <c r="C64" s="50" t="n"/>
      <c r="D64" s="84" t="n"/>
      <c r="E64" s="84" t="n"/>
      <c r="F64" s="84" t="n"/>
      <c r="G64" s="50" t="n"/>
      <c r="H64" s="84" t="n"/>
      <c r="I64" s="84" t="n"/>
      <c r="J64" s="84" t="n"/>
      <c r="K64" s="84" t="n"/>
      <c r="L64" s="84" t="n"/>
      <c r="M64" s="84" t="n"/>
      <c r="N64" s="50" t="n"/>
      <c r="O64" s="84" t="n"/>
      <c r="P64" s="84">
        <f>IF(AND($A64="",$B64=""),"",N(D64)-N(E64)+N(J64)-N(K64))</f>
        <v/>
      </c>
      <c r="Q64" s="84">
        <f>IF(AND($A64="",$B64=""),"",IF(COUNT(L64:M64,O64)=0,"",P64-(N(L64)-N(M64))))</f>
        <v/>
      </c>
      <c r="R64" s="54">
        <f>IF(AND($A64="",$B64=""),"",IF(COUNT(L64:M64,O64)=0,"kein Mandanten-Saldo",IF(OR(AND(L64="",M64="")),"",IF(ABS(ROUND(((ROUND(N(D64)*100,0)+ROUND(N(J64)*100,0)+ROUND(N(M64)*100,0))-(ROUND(N(E64)*100,0)+ROUND(N(K64)*100,0)+ROUND(N(L64)*100,0))),0)-(0))&lt;=0,"OK","ABWEICHUNG"))))</f>
        <v/>
      </c>
      <c r="S64" s="84" t="n"/>
      <c r="T64" s="50" t="n"/>
      <c r="U64" s="50" t="n"/>
      <c r="V64" s="50" t="n"/>
      <c r="W64" s="50" t="n"/>
      <c r="X64" s="50" t="n"/>
      <c r="Y64" s="50" t="n"/>
      <c r="Z64" s="50" t="n"/>
    </row>
    <row r="65">
      <c r="A65" s="50" t="n"/>
      <c r="B65" s="50" t="n"/>
      <c r="C65" s="50" t="n"/>
      <c r="D65" s="84" t="n"/>
      <c r="E65" s="84" t="n"/>
      <c r="F65" s="84" t="n"/>
      <c r="G65" s="50" t="n"/>
      <c r="H65" s="84" t="n"/>
      <c r="I65" s="84" t="n"/>
      <c r="J65" s="84" t="n"/>
      <c r="K65" s="84" t="n"/>
      <c r="L65" s="84" t="n"/>
      <c r="M65" s="84" t="n"/>
      <c r="N65" s="50" t="n"/>
      <c r="O65" s="84" t="n"/>
      <c r="P65" s="84">
        <f>IF(AND($A65="",$B65=""),"",N(D65)-N(E65)+N(J65)-N(K65))</f>
        <v/>
      </c>
      <c r="Q65" s="84">
        <f>IF(AND($A65="",$B65=""),"",IF(COUNT(L65:M65,O65)=0,"",P65-(N(L65)-N(M65))))</f>
        <v/>
      </c>
      <c r="R65" s="54">
        <f>IF(AND($A65="",$B65=""),"",IF(COUNT(L65:M65,O65)=0,"kein Mandanten-Saldo",IF(OR(AND(L65="",M65="")),"",IF(ABS(ROUND(((ROUND(N(D65)*100,0)+ROUND(N(J65)*100,0)+ROUND(N(M65)*100,0))-(ROUND(N(E65)*100,0)+ROUND(N(K65)*100,0)+ROUND(N(L65)*100,0))),0)-(0))&lt;=0,"OK","ABWEICHUNG"))))</f>
        <v/>
      </c>
      <c r="S65" s="84" t="n"/>
      <c r="T65" s="50" t="n"/>
      <c r="U65" s="50" t="n"/>
      <c r="V65" s="50" t="n"/>
      <c r="W65" s="50" t="n"/>
      <c r="X65" s="50" t="n"/>
      <c r="Y65" s="50" t="n"/>
      <c r="Z65" s="50" t="n"/>
    </row>
    <row r="66">
      <c r="A66" s="50" t="n"/>
      <c r="B66" s="50" t="n"/>
      <c r="C66" s="50" t="n"/>
      <c r="D66" s="84" t="n"/>
      <c r="E66" s="84" t="n"/>
      <c r="F66" s="84" t="n"/>
      <c r="G66" s="50" t="n"/>
      <c r="H66" s="84" t="n"/>
      <c r="I66" s="84" t="n"/>
      <c r="J66" s="84" t="n"/>
      <c r="K66" s="84" t="n"/>
      <c r="L66" s="84" t="n"/>
      <c r="M66" s="84" t="n"/>
      <c r="N66" s="50" t="n"/>
      <c r="O66" s="84" t="n"/>
      <c r="P66" s="84">
        <f>IF(AND($A66="",$B66=""),"",N(D66)-N(E66)+N(J66)-N(K66))</f>
        <v/>
      </c>
      <c r="Q66" s="84">
        <f>IF(AND($A66="",$B66=""),"",IF(COUNT(L66:M66,O66)=0,"",P66-(N(L66)-N(M66))))</f>
        <v/>
      </c>
      <c r="R66" s="54">
        <f>IF(AND($A66="",$B66=""),"",IF(COUNT(L66:M66,O66)=0,"kein Mandanten-Saldo",IF(OR(AND(L66="",M66="")),"",IF(ABS(ROUND(((ROUND(N(D66)*100,0)+ROUND(N(J66)*100,0)+ROUND(N(M66)*100,0))-(ROUND(N(E66)*100,0)+ROUND(N(K66)*100,0)+ROUND(N(L66)*100,0))),0)-(0))&lt;=0,"OK","ABWEICHUNG"))))</f>
        <v/>
      </c>
      <c r="S66" s="84" t="n"/>
      <c r="T66" s="50" t="n"/>
      <c r="U66" s="50" t="n"/>
      <c r="V66" s="50" t="n"/>
      <c r="W66" s="50" t="n"/>
      <c r="X66" s="50" t="n"/>
      <c r="Y66" s="50" t="n"/>
      <c r="Z66" s="50" t="n"/>
    </row>
    <row r="67">
      <c r="A67" s="50" t="n"/>
      <c r="B67" s="50" t="n"/>
      <c r="C67" s="50" t="n"/>
      <c r="D67" s="84" t="n"/>
      <c r="E67" s="84" t="n"/>
      <c r="F67" s="84" t="n"/>
      <c r="G67" s="50" t="n"/>
      <c r="H67" s="84" t="n"/>
      <c r="I67" s="84" t="n"/>
      <c r="J67" s="84" t="n"/>
      <c r="K67" s="84" t="n"/>
      <c r="L67" s="84" t="n"/>
      <c r="M67" s="84" t="n"/>
      <c r="N67" s="50" t="n"/>
      <c r="O67" s="84" t="n"/>
      <c r="P67" s="84">
        <f>IF(AND($A67="",$B67=""),"",N(D67)-N(E67)+N(J67)-N(K67))</f>
        <v/>
      </c>
      <c r="Q67" s="84">
        <f>IF(AND($A67="",$B67=""),"",IF(COUNT(L67:M67,O67)=0,"",P67-(N(L67)-N(M67))))</f>
        <v/>
      </c>
      <c r="R67" s="54">
        <f>IF(AND($A67="",$B67=""),"",IF(COUNT(L67:M67,O67)=0,"kein Mandanten-Saldo",IF(OR(AND(L67="",M67="")),"",IF(ABS(ROUND(((ROUND(N(D67)*100,0)+ROUND(N(J67)*100,0)+ROUND(N(M67)*100,0))-(ROUND(N(E67)*100,0)+ROUND(N(K67)*100,0)+ROUND(N(L67)*100,0))),0)-(0))&lt;=0,"OK","ABWEICHUNG"))))</f>
        <v/>
      </c>
      <c r="S67" s="84" t="n"/>
      <c r="T67" s="50" t="n"/>
      <c r="U67" s="50" t="n"/>
      <c r="V67" s="50" t="n"/>
      <c r="W67" s="50" t="n"/>
      <c r="X67" s="50" t="n"/>
      <c r="Y67" s="50" t="n"/>
      <c r="Z67" s="50" t="n"/>
    </row>
    <row r="68">
      <c r="A68" s="50" t="n"/>
      <c r="B68" s="50" t="n"/>
      <c r="C68" s="50" t="n"/>
      <c r="D68" s="84" t="n"/>
      <c r="E68" s="84" t="n"/>
      <c r="F68" s="84" t="n"/>
      <c r="G68" s="50" t="n"/>
      <c r="H68" s="84" t="n"/>
      <c r="I68" s="84" t="n"/>
      <c r="J68" s="84" t="n"/>
      <c r="K68" s="84" t="n"/>
      <c r="L68" s="84" t="n"/>
      <c r="M68" s="84" t="n"/>
      <c r="N68" s="50" t="n"/>
      <c r="O68" s="84" t="n"/>
      <c r="P68" s="84">
        <f>IF(AND($A68="",$B68=""),"",N(D68)-N(E68)+N(J68)-N(K68))</f>
        <v/>
      </c>
      <c r="Q68" s="84">
        <f>IF(AND($A68="",$B68=""),"",IF(COUNT(L68:M68,O68)=0,"",P68-(N(L68)-N(M68))))</f>
        <v/>
      </c>
      <c r="R68" s="54">
        <f>IF(AND($A68="",$B68=""),"",IF(COUNT(L68:M68,O68)=0,"kein Mandanten-Saldo",IF(OR(AND(L68="",M68="")),"",IF(ABS(ROUND(((ROUND(N(D68)*100,0)+ROUND(N(J68)*100,0)+ROUND(N(M68)*100,0))-(ROUND(N(E68)*100,0)+ROUND(N(K68)*100,0)+ROUND(N(L68)*100,0))),0)-(0))&lt;=0,"OK","ABWEICHUNG"))))</f>
        <v/>
      </c>
      <c r="S68" s="84" t="n"/>
      <c r="T68" s="50" t="n"/>
      <c r="U68" s="50" t="n"/>
      <c r="V68" s="50" t="n"/>
      <c r="W68" s="50" t="n"/>
      <c r="X68" s="50" t="n"/>
      <c r="Y68" s="50" t="n"/>
      <c r="Z68" s="50" t="n"/>
    </row>
    <row r="69">
      <c r="A69" s="50" t="n"/>
      <c r="B69" s="50" t="n"/>
      <c r="C69" s="50" t="n"/>
      <c r="D69" s="84" t="n"/>
      <c r="E69" s="84" t="n"/>
      <c r="F69" s="84" t="n"/>
      <c r="G69" s="50" t="n"/>
      <c r="H69" s="84" t="n"/>
      <c r="I69" s="84" t="n"/>
      <c r="J69" s="84" t="n"/>
      <c r="K69" s="84" t="n"/>
      <c r="L69" s="84" t="n"/>
      <c r="M69" s="84" t="n"/>
      <c r="N69" s="50" t="n"/>
      <c r="O69" s="84" t="n"/>
      <c r="P69" s="84">
        <f>IF(AND($A69="",$B69=""),"",N(D69)-N(E69)+N(J69)-N(K69))</f>
        <v/>
      </c>
      <c r="Q69" s="84">
        <f>IF(AND($A69="",$B69=""),"",IF(COUNT(L69:M69,O69)=0,"",P69-(N(L69)-N(M69))))</f>
        <v/>
      </c>
      <c r="R69" s="54">
        <f>IF(AND($A69="",$B69=""),"",IF(COUNT(L69:M69,O69)=0,"kein Mandanten-Saldo",IF(OR(AND(L69="",M69="")),"",IF(ABS(ROUND(((ROUND(N(D69)*100,0)+ROUND(N(J69)*100,0)+ROUND(N(M69)*100,0))-(ROUND(N(E69)*100,0)+ROUND(N(K69)*100,0)+ROUND(N(L69)*100,0))),0)-(0))&lt;=0,"OK","ABWEICHUNG"))))</f>
        <v/>
      </c>
      <c r="S69" s="84" t="n"/>
      <c r="T69" s="50" t="n"/>
      <c r="U69" s="50" t="n"/>
      <c r="V69" s="50" t="n"/>
      <c r="W69" s="50" t="n"/>
      <c r="X69" s="50" t="n"/>
      <c r="Y69" s="50" t="n"/>
      <c r="Z69" s="50" t="n"/>
    </row>
    <row r="70">
      <c r="A70" s="50" t="n"/>
      <c r="B70" s="50" t="n"/>
      <c r="C70" s="50" t="n"/>
      <c r="D70" s="84" t="n"/>
      <c r="E70" s="84" t="n"/>
      <c r="F70" s="84" t="n"/>
      <c r="G70" s="50" t="n"/>
      <c r="H70" s="84" t="n"/>
      <c r="I70" s="84" t="n"/>
      <c r="J70" s="84" t="n"/>
      <c r="K70" s="84" t="n"/>
      <c r="L70" s="84" t="n"/>
      <c r="M70" s="84" t="n"/>
      <c r="N70" s="50" t="n"/>
      <c r="O70" s="84" t="n"/>
      <c r="P70" s="84">
        <f>IF(AND($A70="",$B70=""),"",N(D70)-N(E70)+N(J70)-N(K70))</f>
        <v/>
      </c>
      <c r="Q70" s="84">
        <f>IF(AND($A70="",$B70=""),"",IF(COUNT(L70:M70,O70)=0,"",P70-(N(L70)-N(M70))))</f>
        <v/>
      </c>
      <c r="R70" s="54">
        <f>IF(AND($A70="",$B70=""),"",IF(COUNT(L70:M70,O70)=0,"kein Mandanten-Saldo",IF(OR(AND(L70="",M70="")),"",IF(ABS(ROUND(((ROUND(N(D70)*100,0)+ROUND(N(J70)*100,0)+ROUND(N(M70)*100,0))-(ROUND(N(E70)*100,0)+ROUND(N(K70)*100,0)+ROUND(N(L70)*100,0))),0)-(0))&lt;=0,"OK","ABWEICHUNG"))))</f>
        <v/>
      </c>
      <c r="S70" s="84" t="n"/>
      <c r="T70" s="50" t="n"/>
      <c r="U70" s="50" t="n"/>
      <c r="V70" s="50" t="n"/>
      <c r="W70" s="50" t="n"/>
      <c r="X70" s="50" t="n"/>
      <c r="Y70" s="50" t="n"/>
      <c r="Z70" s="50" t="n"/>
    </row>
    <row r="71">
      <c r="A71" s="50" t="n"/>
      <c r="B71" s="50" t="n"/>
      <c r="C71" s="50" t="n"/>
      <c r="D71" s="84" t="n"/>
      <c r="E71" s="84" t="n"/>
      <c r="F71" s="84" t="n"/>
      <c r="G71" s="50" t="n"/>
      <c r="H71" s="84" t="n"/>
      <c r="I71" s="84" t="n"/>
      <c r="J71" s="84" t="n"/>
      <c r="K71" s="84" t="n"/>
      <c r="L71" s="84" t="n"/>
      <c r="M71" s="84" t="n"/>
      <c r="N71" s="50" t="n"/>
      <c r="O71" s="84" t="n"/>
      <c r="P71" s="84">
        <f>IF(AND($A71="",$B71=""),"",N(D71)-N(E71)+N(J71)-N(K71))</f>
        <v/>
      </c>
      <c r="Q71" s="84">
        <f>IF(AND($A71="",$B71=""),"",IF(COUNT(L71:M71,O71)=0,"",P71-(N(L71)-N(M71))))</f>
        <v/>
      </c>
      <c r="R71" s="54">
        <f>IF(AND($A71="",$B71=""),"",IF(COUNT(L71:M71,O71)=0,"kein Mandanten-Saldo",IF(OR(AND(L71="",M71="")),"",IF(ABS(ROUND(((ROUND(N(D71)*100,0)+ROUND(N(J71)*100,0)+ROUND(N(M71)*100,0))-(ROUND(N(E71)*100,0)+ROUND(N(K71)*100,0)+ROUND(N(L71)*100,0))),0)-(0))&lt;=0,"OK","ABWEICHUNG"))))</f>
        <v/>
      </c>
      <c r="S71" s="84" t="n"/>
      <c r="T71" s="50" t="n"/>
      <c r="U71" s="50" t="n"/>
      <c r="V71" s="50" t="n"/>
      <c r="W71" s="50" t="n"/>
      <c r="X71" s="50" t="n"/>
      <c r="Y71" s="50" t="n"/>
      <c r="Z71" s="50" t="n"/>
    </row>
    <row r="72">
      <c r="A72" s="50" t="n"/>
      <c r="B72" s="50" t="n"/>
      <c r="C72" s="50" t="n"/>
      <c r="D72" s="84" t="n"/>
      <c r="E72" s="84" t="n"/>
      <c r="F72" s="84" t="n"/>
      <c r="G72" s="50" t="n"/>
      <c r="H72" s="84" t="n"/>
      <c r="I72" s="84" t="n"/>
      <c r="J72" s="84" t="n"/>
      <c r="K72" s="84" t="n"/>
      <c r="L72" s="84" t="n"/>
      <c r="M72" s="84" t="n"/>
      <c r="N72" s="50" t="n"/>
      <c r="O72" s="84" t="n"/>
      <c r="P72" s="84">
        <f>IF(AND($A72="",$B72=""),"",N(D72)-N(E72)+N(J72)-N(K72))</f>
        <v/>
      </c>
      <c r="Q72" s="84">
        <f>IF(AND($A72="",$B72=""),"",IF(COUNT(L72:M72,O72)=0,"",P72-(N(L72)-N(M72))))</f>
        <v/>
      </c>
      <c r="R72" s="54">
        <f>IF(AND($A72="",$B72=""),"",IF(COUNT(L72:M72,O72)=0,"kein Mandanten-Saldo",IF(OR(AND(L72="",M72="")),"",IF(ABS(ROUND(((ROUND(N(D72)*100,0)+ROUND(N(J72)*100,0)+ROUND(N(M72)*100,0))-(ROUND(N(E72)*100,0)+ROUND(N(K72)*100,0)+ROUND(N(L72)*100,0))),0)-(0))&lt;=0,"OK","ABWEICHUNG"))))</f>
        <v/>
      </c>
      <c r="S72" s="84" t="n"/>
      <c r="T72" s="50" t="n"/>
      <c r="U72" s="50" t="n"/>
      <c r="V72" s="50" t="n"/>
      <c r="W72" s="50" t="n"/>
      <c r="X72" s="50" t="n"/>
      <c r="Y72" s="50" t="n"/>
      <c r="Z72" s="50" t="n"/>
    </row>
    <row r="73">
      <c r="A73" s="50" t="n"/>
      <c r="B73" s="50" t="n"/>
      <c r="C73" s="50" t="n"/>
      <c r="D73" s="84" t="n"/>
      <c r="E73" s="84" t="n"/>
      <c r="F73" s="84" t="n"/>
      <c r="G73" s="50" t="n"/>
      <c r="H73" s="84" t="n"/>
      <c r="I73" s="84" t="n"/>
      <c r="J73" s="84" t="n"/>
      <c r="K73" s="84" t="n"/>
      <c r="L73" s="84" t="n"/>
      <c r="M73" s="84" t="n"/>
      <c r="N73" s="50" t="n"/>
      <c r="O73" s="84" t="n"/>
      <c r="P73" s="84">
        <f>IF(AND($A73="",$B73=""),"",N(D73)-N(E73)+N(J73)-N(K73))</f>
        <v/>
      </c>
      <c r="Q73" s="84">
        <f>IF(AND($A73="",$B73=""),"",IF(COUNT(L73:M73,O73)=0,"",P73-(N(L73)-N(M73))))</f>
        <v/>
      </c>
      <c r="R73" s="54">
        <f>IF(AND($A73="",$B73=""),"",IF(COUNT(L73:M73,O73)=0,"kein Mandanten-Saldo",IF(OR(AND(L73="",M73="")),"",IF(ABS(ROUND(((ROUND(N(D73)*100,0)+ROUND(N(J73)*100,0)+ROUND(N(M73)*100,0))-(ROUND(N(E73)*100,0)+ROUND(N(K73)*100,0)+ROUND(N(L73)*100,0))),0)-(0))&lt;=0,"OK","ABWEICHUNG"))))</f>
        <v/>
      </c>
      <c r="S73" s="84" t="n"/>
      <c r="T73" s="50" t="n"/>
      <c r="U73" s="50" t="n"/>
      <c r="V73" s="50" t="n"/>
      <c r="W73" s="50" t="n"/>
      <c r="X73" s="50" t="n"/>
      <c r="Y73" s="50" t="n"/>
      <c r="Z73" s="50" t="n"/>
    </row>
    <row r="74">
      <c r="A74" s="50" t="n"/>
      <c r="B74" s="50" t="n"/>
      <c r="C74" s="50" t="n"/>
      <c r="D74" s="84" t="n"/>
      <c r="E74" s="84" t="n"/>
      <c r="F74" s="84" t="n"/>
      <c r="G74" s="50" t="n"/>
      <c r="H74" s="84" t="n"/>
      <c r="I74" s="84" t="n"/>
      <c r="J74" s="84" t="n"/>
      <c r="K74" s="84" t="n"/>
      <c r="L74" s="84" t="n"/>
      <c r="M74" s="84" t="n"/>
      <c r="N74" s="50" t="n"/>
      <c r="O74" s="84" t="n"/>
      <c r="P74" s="84">
        <f>IF(AND($A74="",$B74=""),"",N(D74)-N(E74)+N(J74)-N(K74))</f>
        <v/>
      </c>
      <c r="Q74" s="84">
        <f>IF(AND($A74="",$B74=""),"",IF(COUNT(L74:M74,O74)=0,"",P74-(N(L74)-N(M74))))</f>
        <v/>
      </c>
      <c r="R74" s="54">
        <f>IF(AND($A74="",$B74=""),"",IF(COUNT(L74:M74,O74)=0,"kein Mandanten-Saldo",IF(OR(AND(L74="",M74="")),"",IF(ABS(ROUND(((ROUND(N(D74)*100,0)+ROUND(N(J74)*100,0)+ROUND(N(M74)*100,0))-(ROUND(N(E74)*100,0)+ROUND(N(K74)*100,0)+ROUND(N(L74)*100,0))),0)-(0))&lt;=0,"OK","ABWEICHUNG"))))</f>
        <v/>
      </c>
      <c r="S74" s="84" t="n"/>
      <c r="T74" s="50" t="n"/>
      <c r="U74" s="50" t="n"/>
      <c r="V74" s="50" t="n"/>
      <c r="W74" s="50" t="n"/>
      <c r="X74" s="50" t="n"/>
      <c r="Y74" s="50" t="n"/>
      <c r="Z74" s="50" t="n"/>
    </row>
    <row r="75">
      <c r="A75" s="50" t="n"/>
      <c r="B75" s="50" t="n"/>
      <c r="C75" s="50" t="n"/>
      <c r="D75" s="84" t="n"/>
      <c r="E75" s="84" t="n"/>
      <c r="F75" s="84" t="n"/>
      <c r="G75" s="50" t="n"/>
      <c r="H75" s="84" t="n"/>
      <c r="I75" s="84" t="n"/>
      <c r="J75" s="84" t="n"/>
      <c r="K75" s="84" t="n"/>
      <c r="L75" s="84" t="n"/>
      <c r="M75" s="84" t="n"/>
      <c r="N75" s="50" t="n"/>
      <c r="O75" s="84" t="n"/>
      <c r="P75" s="84">
        <f>IF(AND($A75="",$B75=""),"",N(D75)-N(E75)+N(J75)-N(K75))</f>
        <v/>
      </c>
      <c r="Q75" s="84">
        <f>IF(AND($A75="",$B75=""),"",IF(COUNT(L75:M75,O75)=0,"",P75-(N(L75)-N(M75))))</f>
        <v/>
      </c>
      <c r="R75" s="54">
        <f>IF(AND($A75="",$B75=""),"",IF(COUNT(L75:M75,O75)=0,"kein Mandanten-Saldo",IF(OR(AND(L75="",M75="")),"",IF(ABS(ROUND(((ROUND(N(D75)*100,0)+ROUND(N(J75)*100,0)+ROUND(N(M75)*100,0))-(ROUND(N(E75)*100,0)+ROUND(N(K75)*100,0)+ROUND(N(L75)*100,0))),0)-(0))&lt;=0,"OK","ABWEICHUNG"))))</f>
        <v/>
      </c>
      <c r="S75" s="84" t="n"/>
      <c r="T75" s="50" t="n"/>
      <c r="U75" s="50" t="n"/>
      <c r="V75" s="50" t="n"/>
      <c r="W75" s="50" t="n"/>
      <c r="X75" s="50" t="n"/>
      <c r="Y75" s="50" t="n"/>
      <c r="Z75" s="50" t="n"/>
    </row>
    <row r="76">
      <c r="A76" s="50" t="n"/>
      <c r="B76" s="50" t="n"/>
      <c r="C76" s="50" t="n"/>
      <c r="D76" s="84" t="n"/>
      <c r="E76" s="84" t="n"/>
      <c r="F76" s="84" t="n"/>
      <c r="G76" s="50" t="n"/>
      <c r="H76" s="84" t="n"/>
      <c r="I76" s="84" t="n"/>
      <c r="J76" s="84" t="n"/>
      <c r="K76" s="84" t="n"/>
      <c r="L76" s="84" t="n"/>
      <c r="M76" s="84" t="n"/>
      <c r="N76" s="50" t="n"/>
      <c r="O76" s="84" t="n"/>
      <c r="P76" s="84">
        <f>IF(AND($A76="",$B76=""),"",N(D76)-N(E76)+N(J76)-N(K76))</f>
        <v/>
      </c>
      <c r="Q76" s="84">
        <f>IF(AND($A76="",$B76=""),"",IF(COUNT(L76:M76,O76)=0,"",P76-(N(L76)-N(M76))))</f>
        <v/>
      </c>
      <c r="R76" s="54">
        <f>IF(AND($A76="",$B76=""),"",IF(COUNT(L76:M76,O76)=0,"kein Mandanten-Saldo",IF(OR(AND(L76="",M76="")),"",IF(ABS(ROUND(((ROUND(N(D76)*100,0)+ROUND(N(J76)*100,0)+ROUND(N(M76)*100,0))-(ROUND(N(E76)*100,0)+ROUND(N(K76)*100,0)+ROUND(N(L76)*100,0))),0)-(0))&lt;=0,"OK","ABWEICHUNG"))))</f>
        <v/>
      </c>
      <c r="S76" s="84" t="n"/>
      <c r="T76" s="50" t="n"/>
      <c r="U76" s="50" t="n"/>
      <c r="V76" s="50" t="n"/>
      <c r="W76" s="50" t="n"/>
      <c r="X76" s="50" t="n"/>
      <c r="Y76" s="50" t="n"/>
      <c r="Z76" s="50" t="n"/>
    </row>
    <row r="77">
      <c r="A77" s="50" t="n"/>
      <c r="B77" s="50" t="n"/>
      <c r="C77" s="50" t="n"/>
      <c r="D77" s="84" t="n"/>
      <c r="E77" s="84" t="n"/>
      <c r="F77" s="84" t="n"/>
      <c r="G77" s="50" t="n"/>
      <c r="H77" s="84" t="n"/>
      <c r="I77" s="84" t="n"/>
      <c r="J77" s="84" t="n"/>
      <c r="K77" s="84" t="n"/>
      <c r="L77" s="84" t="n"/>
      <c r="M77" s="84" t="n"/>
      <c r="N77" s="50" t="n"/>
      <c r="O77" s="84" t="n"/>
      <c r="P77" s="84">
        <f>IF(AND($A77="",$B77=""),"",N(D77)-N(E77)+N(J77)-N(K77))</f>
        <v/>
      </c>
      <c r="Q77" s="84">
        <f>IF(AND($A77="",$B77=""),"",IF(COUNT(L77:M77,O77)=0,"",P77-(N(L77)-N(M77))))</f>
        <v/>
      </c>
      <c r="R77" s="54">
        <f>IF(AND($A77="",$B77=""),"",IF(COUNT(L77:M77,O77)=0,"kein Mandanten-Saldo",IF(OR(AND(L77="",M77="")),"",IF(ABS(ROUND(((ROUND(N(D77)*100,0)+ROUND(N(J77)*100,0)+ROUND(N(M77)*100,0))-(ROUND(N(E77)*100,0)+ROUND(N(K77)*100,0)+ROUND(N(L77)*100,0))),0)-(0))&lt;=0,"OK","ABWEICHUNG"))))</f>
        <v/>
      </c>
      <c r="S77" s="84" t="n"/>
      <c r="T77" s="50" t="n"/>
      <c r="U77" s="50" t="n"/>
      <c r="V77" s="50" t="n"/>
      <c r="W77" s="50" t="n"/>
      <c r="X77" s="50" t="n"/>
      <c r="Y77" s="50" t="n"/>
      <c r="Z77" s="50" t="n"/>
    </row>
    <row r="78">
      <c r="A78" s="50" t="n"/>
      <c r="B78" s="50" t="n"/>
      <c r="C78" s="50" t="n"/>
      <c r="D78" s="84" t="n"/>
      <c r="E78" s="84" t="n"/>
      <c r="F78" s="84" t="n"/>
      <c r="G78" s="50" t="n"/>
      <c r="H78" s="84" t="n"/>
      <c r="I78" s="84" t="n"/>
      <c r="J78" s="84" t="n"/>
      <c r="K78" s="84" t="n"/>
      <c r="L78" s="84" t="n"/>
      <c r="M78" s="84" t="n"/>
      <c r="N78" s="50" t="n"/>
      <c r="O78" s="84" t="n"/>
      <c r="P78" s="84">
        <f>IF(AND($A78="",$B78=""),"",N(D78)-N(E78)+N(J78)-N(K78))</f>
        <v/>
      </c>
      <c r="Q78" s="84">
        <f>IF(AND($A78="",$B78=""),"",IF(COUNT(L78:M78,O78)=0,"",P78-(N(L78)-N(M78))))</f>
        <v/>
      </c>
      <c r="R78" s="54">
        <f>IF(AND($A78="",$B78=""),"",IF(COUNT(L78:M78,O78)=0,"kein Mandanten-Saldo",IF(OR(AND(L78="",M78="")),"",IF(ABS(ROUND(((ROUND(N(D78)*100,0)+ROUND(N(J78)*100,0)+ROUND(N(M78)*100,0))-(ROUND(N(E78)*100,0)+ROUND(N(K78)*100,0)+ROUND(N(L78)*100,0))),0)-(0))&lt;=0,"OK","ABWEICHUNG"))))</f>
        <v/>
      </c>
      <c r="S78" s="84" t="n"/>
      <c r="T78" s="50" t="n"/>
      <c r="U78" s="50" t="n"/>
      <c r="V78" s="50" t="n"/>
      <c r="W78" s="50" t="n"/>
      <c r="X78" s="50" t="n"/>
      <c r="Y78" s="50" t="n"/>
      <c r="Z78" s="50" t="n"/>
    </row>
    <row r="79">
      <c r="A79" s="50" t="n"/>
      <c r="B79" s="50" t="n"/>
      <c r="C79" s="50" t="n"/>
      <c r="D79" s="84" t="n"/>
      <c r="E79" s="84" t="n"/>
      <c r="F79" s="84" t="n"/>
      <c r="G79" s="50" t="n"/>
      <c r="H79" s="84" t="n"/>
      <c r="I79" s="84" t="n"/>
      <c r="J79" s="84" t="n"/>
      <c r="K79" s="84" t="n"/>
      <c r="L79" s="84" t="n"/>
      <c r="M79" s="84" t="n"/>
      <c r="N79" s="50" t="n"/>
      <c r="O79" s="84" t="n"/>
      <c r="P79" s="84">
        <f>IF(AND($A79="",$B79=""),"",N(D79)-N(E79)+N(J79)-N(K79))</f>
        <v/>
      </c>
      <c r="Q79" s="84">
        <f>IF(AND($A79="",$B79=""),"",IF(COUNT(L79:M79,O79)=0,"",P79-(N(L79)-N(M79))))</f>
        <v/>
      </c>
      <c r="R79" s="54">
        <f>IF(AND($A79="",$B79=""),"",IF(COUNT(L79:M79,O79)=0,"kein Mandanten-Saldo",IF(OR(AND(L79="",M79="")),"",IF(ABS(ROUND(((ROUND(N(D79)*100,0)+ROUND(N(J79)*100,0)+ROUND(N(M79)*100,0))-(ROUND(N(E79)*100,0)+ROUND(N(K79)*100,0)+ROUND(N(L79)*100,0))),0)-(0))&lt;=0,"OK","ABWEICHUNG"))))</f>
        <v/>
      </c>
      <c r="S79" s="84" t="n"/>
      <c r="T79" s="50" t="n"/>
      <c r="U79" s="50" t="n"/>
      <c r="V79" s="50" t="n"/>
      <c r="W79" s="50" t="n"/>
      <c r="X79" s="50" t="n"/>
      <c r="Y79" s="50" t="n"/>
      <c r="Z79" s="50" t="n"/>
    </row>
    <row r="80">
      <c r="A80" s="50" t="n"/>
      <c r="B80" s="50" t="n"/>
      <c r="C80" s="50" t="n"/>
      <c r="D80" s="84" t="n"/>
      <c r="E80" s="84" t="n"/>
      <c r="F80" s="84" t="n"/>
      <c r="G80" s="50" t="n"/>
      <c r="H80" s="84" t="n"/>
      <c r="I80" s="84" t="n"/>
      <c r="J80" s="84" t="n"/>
      <c r="K80" s="84" t="n"/>
      <c r="L80" s="84" t="n"/>
      <c r="M80" s="84" t="n"/>
      <c r="N80" s="50" t="n"/>
      <c r="O80" s="84" t="n"/>
      <c r="P80" s="84">
        <f>IF(AND($A80="",$B80=""),"",N(D80)-N(E80)+N(J80)-N(K80))</f>
        <v/>
      </c>
      <c r="Q80" s="84">
        <f>IF(AND($A80="",$B80=""),"",IF(COUNT(L80:M80,O80)=0,"",P80-(N(L80)-N(M80))))</f>
        <v/>
      </c>
      <c r="R80" s="54">
        <f>IF(AND($A80="",$B80=""),"",IF(COUNT(L80:M80,O80)=0,"kein Mandanten-Saldo",IF(OR(AND(L80="",M80="")),"",IF(ABS(ROUND(((ROUND(N(D80)*100,0)+ROUND(N(J80)*100,0)+ROUND(N(M80)*100,0))-(ROUND(N(E80)*100,0)+ROUND(N(K80)*100,0)+ROUND(N(L80)*100,0))),0)-(0))&lt;=0,"OK","ABWEICHUNG"))))</f>
        <v/>
      </c>
      <c r="S80" s="84" t="n"/>
      <c r="T80" s="50" t="n"/>
      <c r="U80" s="50" t="n"/>
      <c r="V80" s="50" t="n"/>
      <c r="W80" s="50" t="n"/>
      <c r="X80" s="50" t="n"/>
      <c r="Y80" s="50" t="n"/>
      <c r="Z80" s="50" t="n"/>
    </row>
    <row r="81">
      <c r="A81" s="50" t="n"/>
      <c r="B81" s="50" t="n"/>
      <c r="C81" s="50" t="n"/>
      <c r="D81" s="84" t="n"/>
      <c r="E81" s="84" t="n"/>
      <c r="F81" s="84" t="n"/>
      <c r="G81" s="50" t="n"/>
      <c r="H81" s="84" t="n"/>
      <c r="I81" s="84" t="n"/>
      <c r="J81" s="84" t="n"/>
      <c r="K81" s="84" t="n"/>
      <c r="L81" s="84" t="n"/>
      <c r="M81" s="84" t="n"/>
      <c r="N81" s="50" t="n"/>
      <c r="O81" s="84" t="n"/>
      <c r="P81" s="84">
        <f>IF(AND($A81="",$B81=""),"",N(D81)-N(E81)+N(J81)-N(K81))</f>
        <v/>
      </c>
      <c r="Q81" s="84">
        <f>IF(AND($A81="",$B81=""),"",IF(COUNT(L81:M81,O81)=0,"",P81-(N(L81)-N(M81))))</f>
        <v/>
      </c>
      <c r="R81" s="54">
        <f>IF(AND($A81="",$B81=""),"",IF(COUNT(L81:M81,O81)=0,"kein Mandanten-Saldo",IF(OR(AND(L81="",M81="")),"",IF(ABS(ROUND(((ROUND(N(D81)*100,0)+ROUND(N(J81)*100,0)+ROUND(N(M81)*100,0))-(ROUND(N(E81)*100,0)+ROUND(N(K81)*100,0)+ROUND(N(L81)*100,0))),0)-(0))&lt;=0,"OK","ABWEICHUNG"))))</f>
        <v/>
      </c>
      <c r="S81" s="84" t="n"/>
      <c r="T81" s="50" t="n"/>
      <c r="U81" s="50" t="n"/>
      <c r="V81" s="50" t="n"/>
      <c r="W81" s="50" t="n"/>
      <c r="X81" s="50" t="n"/>
      <c r="Y81" s="50" t="n"/>
      <c r="Z81" s="50" t="n"/>
    </row>
    <row r="82">
      <c r="A82" s="50" t="n"/>
      <c r="B82" s="50" t="n"/>
      <c r="C82" s="50" t="n"/>
      <c r="D82" s="84" t="n"/>
      <c r="E82" s="84" t="n"/>
      <c r="F82" s="84" t="n"/>
      <c r="G82" s="50" t="n"/>
      <c r="H82" s="84" t="n"/>
      <c r="I82" s="84" t="n"/>
      <c r="J82" s="84" t="n"/>
      <c r="K82" s="84" t="n"/>
      <c r="L82" s="84" t="n"/>
      <c r="M82" s="84" t="n"/>
      <c r="N82" s="50" t="n"/>
      <c r="O82" s="84" t="n"/>
      <c r="P82" s="84">
        <f>IF(AND($A82="",$B82=""),"",N(D82)-N(E82)+N(J82)-N(K82))</f>
        <v/>
      </c>
      <c r="Q82" s="84">
        <f>IF(AND($A82="",$B82=""),"",IF(COUNT(L82:M82,O82)=0,"",P82-(N(L82)-N(M82))))</f>
        <v/>
      </c>
      <c r="R82" s="54">
        <f>IF(AND($A82="",$B82=""),"",IF(COUNT(L82:M82,O82)=0,"kein Mandanten-Saldo",IF(OR(AND(L82="",M82="")),"",IF(ABS(ROUND(((ROUND(N(D82)*100,0)+ROUND(N(J82)*100,0)+ROUND(N(M82)*100,0))-(ROUND(N(E82)*100,0)+ROUND(N(K82)*100,0)+ROUND(N(L82)*100,0))),0)-(0))&lt;=0,"OK","ABWEICHUNG"))))</f>
        <v/>
      </c>
      <c r="S82" s="84" t="n"/>
      <c r="T82" s="50" t="n"/>
      <c r="U82" s="50" t="n"/>
      <c r="V82" s="50" t="n"/>
      <c r="W82" s="50" t="n"/>
      <c r="X82" s="50" t="n"/>
      <c r="Y82" s="50" t="n"/>
      <c r="Z82" s="50" t="n"/>
    </row>
    <row r="83">
      <c r="A83" s="50" t="n"/>
      <c r="B83" s="50" t="n"/>
      <c r="C83" s="50" t="n"/>
      <c r="D83" s="84" t="n"/>
      <c r="E83" s="84" t="n"/>
      <c r="F83" s="84" t="n"/>
      <c r="G83" s="50" t="n"/>
      <c r="H83" s="84" t="n"/>
      <c r="I83" s="84" t="n"/>
      <c r="J83" s="84" t="n"/>
      <c r="K83" s="84" t="n"/>
      <c r="L83" s="84" t="n"/>
      <c r="M83" s="84" t="n"/>
      <c r="N83" s="50" t="n"/>
      <c r="O83" s="84" t="n"/>
      <c r="P83" s="84">
        <f>IF(AND($A83="",$B83=""),"",N(D83)-N(E83)+N(J83)-N(K83))</f>
        <v/>
      </c>
      <c r="Q83" s="84">
        <f>IF(AND($A83="",$B83=""),"",IF(COUNT(L83:M83,O83)=0,"",P83-(N(L83)-N(M83))))</f>
        <v/>
      </c>
      <c r="R83" s="54">
        <f>IF(AND($A83="",$B83=""),"",IF(COUNT(L83:M83,O83)=0,"kein Mandanten-Saldo",IF(OR(AND(L83="",M83="")),"",IF(ABS(ROUND(((ROUND(N(D83)*100,0)+ROUND(N(J83)*100,0)+ROUND(N(M83)*100,0))-(ROUND(N(E83)*100,0)+ROUND(N(K83)*100,0)+ROUND(N(L83)*100,0))),0)-(0))&lt;=0,"OK","ABWEICHUNG"))))</f>
        <v/>
      </c>
      <c r="S83" s="84" t="n"/>
      <c r="T83" s="50" t="n"/>
      <c r="U83" s="50" t="n"/>
      <c r="V83" s="50" t="n"/>
      <c r="W83" s="50" t="n"/>
      <c r="X83" s="50" t="n"/>
      <c r="Y83" s="50" t="n"/>
      <c r="Z83" s="50" t="n"/>
    </row>
    <row r="84">
      <c r="A84" s="50" t="n"/>
      <c r="B84" s="50" t="n"/>
      <c r="C84" s="50" t="n"/>
      <c r="D84" s="84" t="n"/>
      <c r="E84" s="84" t="n"/>
      <c r="F84" s="84" t="n"/>
      <c r="G84" s="50" t="n"/>
      <c r="H84" s="84" t="n"/>
      <c r="I84" s="84" t="n"/>
      <c r="J84" s="84" t="n"/>
      <c r="K84" s="84" t="n"/>
      <c r="L84" s="84" t="n"/>
      <c r="M84" s="84" t="n"/>
      <c r="N84" s="50" t="n"/>
      <c r="O84" s="84" t="n"/>
      <c r="P84" s="84">
        <f>IF(AND($A84="",$B84=""),"",N(D84)-N(E84)+N(J84)-N(K84))</f>
        <v/>
      </c>
      <c r="Q84" s="84">
        <f>IF(AND($A84="",$B84=""),"",IF(COUNT(L84:M84,O84)=0,"",P84-(N(L84)-N(M84))))</f>
        <v/>
      </c>
      <c r="R84" s="54">
        <f>IF(AND($A84="",$B84=""),"",IF(COUNT(L84:M84,O84)=0,"kein Mandanten-Saldo",IF(OR(AND(L84="",M84="")),"",IF(ABS(ROUND(((ROUND(N(D84)*100,0)+ROUND(N(J84)*100,0)+ROUND(N(M84)*100,0))-(ROUND(N(E84)*100,0)+ROUND(N(K84)*100,0)+ROUND(N(L84)*100,0))),0)-(0))&lt;=0,"OK","ABWEICHUNG"))))</f>
        <v/>
      </c>
      <c r="S84" s="84" t="n"/>
      <c r="T84" s="50" t="n"/>
      <c r="U84" s="50" t="n"/>
      <c r="V84" s="50" t="n"/>
      <c r="W84" s="50" t="n"/>
      <c r="X84" s="50" t="n"/>
      <c r="Y84" s="50" t="n"/>
      <c r="Z84" s="50" t="n"/>
    </row>
    <row r="85">
      <c r="A85" s="50" t="n"/>
      <c r="B85" s="50" t="n"/>
      <c r="C85" s="50" t="n"/>
      <c r="D85" s="84" t="n"/>
      <c r="E85" s="84" t="n"/>
      <c r="F85" s="84" t="n"/>
      <c r="G85" s="50" t="n"/>
      <c r="H85" s="84" t="n"/>
      <c r="I85" s="84" t="n"/>
      <c r="J85" s="84" t="n"/>
      <c r="K85" s="84" t="n"/>
      <c r="L85" s="84" t="n"/>
      <c r="M85" s="84" t="n"/>
      <c r="N85" s="50" t="n"/>
      <c r="O85" s="84" t="n"/>
      <c r="P85" s="84">
        <f>IF(AND($A85="",$B85=""),"",N(D85)-N(E85)+N(J85)-N(K85))</f>
        <v/>
      </c>
      <c r="Q85" s="84">
        <f>IF(AND($A85="",$B85=""),"",IF(COUNT(L85:M85,O85)=0,"",P85-(N(L85)-N(M85))))</f>
        <v/>
      </c>
      <c r="R85" s="54">
        <f>IF(AND($A85="",$B85=""),"",IF(COUNT(L85:M85,O85)=0,"kein Mandanten-Saldo",IF(OR(AND(L85="",M85="")),"",IF(ABS(ROUND(((ROUND(N(D85)*100,0)+ROUND(N(J85)*100,0)+ROUND(N(M85)*100,0))-(ROUND(N(E85)*100,0)+ROUND(N(K85)*100,0)+ROUND(N(L85)*100,0))),0)-(0))&lt;=0,"OK","ABWEICHUNG"))))</f>
        <v/>
      </c>
      <c r="S85" s="84" t="n"/>
      <c r="T85" s="50" t="n"/>
      <c r="U85" s="50" t="n"/>
      <c r="V85" s="50" t="n"/>
      <c r="W85" s="50" t="n"/>
      <c r="X85" s="50" t="n"/>
      <c r="Y85" s="50" t="n"/>
      <c r="Z85" s="50" t="n"/>
    </row>
    <row r="86">
      <c r="A86" s="50" t="n"/>
      <c r="B86" s="50" t="n"/>
      <c r="C86" s="50" t="n"/>
      <c r="D86" s="84" t="n"/>
      <c r="E86" s="84" t="n"/>
      <c r="F86" s="84" t="n"/>
      <c r="G86" s="50" t="n"/>
      <c r="H86" s="84" t="n"/>
      <c r="I86" s="84" t="n"/>
      <c r="J86" s="84" t="n"/>
      <c r="K86" s="84" t="n"/>
      <c r="L86" s="84" t="n"/>
      <c r="M86" s="84" t="n"/>
      <c r="N86" s="50" t="n"/>
      <c r="O86" s="84" t="n"/>
      <c r="P86" s="84">
        <f>IF(AND($A86="",$B86=""),"",N(D86)-N(E86)+N(J86)-N(K86))</f>
        <v/>
      </c>
      <c r="Q86" s="84">
        <f>IF(AND($A86="",$B86=""),"",IF(COUNT(L86:M86,O86)=0,"",P86-(N(L86)-N(M86))))</f>
        <v/>
      </c>
      <c r="R86" s="54">
        <f>IF(AND($A86="",$B86=""),"",IF(COUNT(L86:M86,O86)=0,"kein Mandanten-Saldo",IF(OR(AND(L86="",M86="")),"",IF(ABS(ROUND(((ROUND(N(D86)*100,0)+ROUND(N(J86)*100,0)+ROUND(N(M86)*100,0))-(ROUND(N(E86)*100,0)+ROUND(N(K86)*100,0)+ROUND(N(L86)*100,0))),0)-(0))&lt;=0,"OK","ABWEICHUNG"))))</f>
        <v/>
      </c>
      <c r="S86" s="84" t="n"/>
      <c r="T86" s="50" t="n"/>
      <c r="U86" s="50" t="n"/>
      <c r="V86" s="50" t="n"/>
      <c r="W86" s="50" t="n"/>
      <c r="X86" s="50" t="n"/>
      <c r="Y86" s="50" t="n"/>
      <c r="Z86" s="50" t="n"/>
    </row>
    <row r="87">
      <c r="A87" s="50" t="n"/>
      <c r="B87" s="50" t="n"/>
      <c r="C87" s="50" t="n"/>
      <c r="D87" s="84" t="n"/>
      <c r="E87" s="84" t="n"/>
      <c r="F87" s="84" t="n"/>
      <c r="G87" s="50" t="n"/>
      <c r="H87" s="84" t="n"/>
      <c r="I87" s="84" t="n"/>
      <c r="J87" s="84" t="n"/>
      <c r="K87" s="84" t="n"/>
      <c r="L87" s="84" t="n"/>
      <c r="M87" s="84" t="n"/>
      <c r="N87" s="50" t="n"/>
      <c r="O87" s="84" t="n"/>
      <c r="P87" s="84">
        <f>IF(AND($A87="",$B87=""),"",N(D87)-N(E87)+N(J87)-N(K87))</f>
        <v/>
      </c>
      <c r="Q87" s="84">
        <f>IF(AND($A87="",$B87=""),"",IF(COUNT(L87:M87,O87)=0,"",P87-(N(L87)-N(M87))))</f>
        <v/>
      </c>
      <c r="R87" s="54">
        <f>IF(AND($A87="",$B87=""),"",IF(COUNT(L87:M87,O87)=0,"kein Mandanten-Saldo",IF(OR(AND(L87="",M87="")),"",IF(ABS(ROUND(((ROUND(N(D87)*100,0)+ROUND(N(J87)*100,0)+ROUND(N(M87)*100,0))-(ROUND(N(E87)*100,0)+ROUND(N(K87)*100,0)+ROUND(N(L87)*100,0))),0)-(0))&lt;=0,"OK","ABWEICHUNG"))))</f>
        <v/>
      </c>
      <c r="S87" s="84" t="n"/>
      <c r="T87" s="50" t="n"/>
      <c r="U87" s="50" t="n"/>
      <c r="V87" s="50" t="n"/>
      <c r="W87" s="50" t="n"/>
      <c r="X87" s="50" t="n"/>
      <c r="Y87" s="50" t="n"/>
      <c r="Z87" s="50" t="n"/>
    </row>
    <row r="88">
      <c r="A88" s="50" t="n"/>
      <c r="B88" s="50" t="n"/>
      <c r="C88" s="50" t="n"/>
      <c r="D88" s="84" t="n"/>
      <c r="E88" s="84" t="n"/>
      <c r="F88" s="84" t="n"/>
      <c r="G88" s="50" t="n"/>
      <c r="H88" s="84" t="n"/>
      <c r="I88" s="84" t="n"/>
      <c r="J88" s="84" t="n"/>
      <c r="K88" s="84" t="n"/>
      <c r="L88" s="84" t="n"/>
      <c r="M88" s="84" t="n"/>
      <c r="N88" s="50" t="n"/>
      <c r="O88" s="84" t="n"/>
      <c r="P88" s="84">
        <f>IF(AND($A88="",$B88=""),"",N(D88)-N(E88)+N(J88)-N(K88))</f>
        <v/>
      </c>
      <c r="Q88" s="84">
        <f>IF(AND($A88="",$B88=""),"",IF(COUNT(L88:M88,O88)=0,"",P88-(N(L88)-N(M88))))</f>
        <v/>
      </c>
      <c r="R88" s="54">
        <f>IF(AND($A88="",$B88=""),"",IF(COUNT(L88:M88,O88)=0,"kein Mandanten-Saldo",IF(OR(AND(L88="",M88="")),"",IF(ABS(ROUND(((ROUND(N(D88)*100,0)+ROUND(N(J88)*100,0)+ROUND(N(M88)*100,0))-(ROUND(N(E88)*100,0)+ROUND(N(K88)*100,0)+ROUND(N(L88)*100,0))),0)-(0))&lt;=0,"OK","ABWEICHUNG"))))</f>
        <v/>
      </c>
      <c r="S88" s="84" t="n"/>
      <c r="T88" s="50" t="n"/>
      <c r="U88" s="50" t="n"/>
      <c r="V88" s="50" t="n"/>
      <c r="W88" s="50" t="n"/>
      <c r="X88" s="50" t="n"/>
      <c r="Y88" s="50" t="n"/>
      <c r="Z88" s="50" t="n"/>
    </row>
    <row r="89">
      <c r="A89" s="50" t="n"/>
      <c r="B89" s="50" t="n"/>
      <c r="C89" s="50" t="n"/>
      <c r="D89" s="84" t="n"/>
      <c r="E89" s="84" t="n"/>
      <c r="F89" s="84" t="n"/>
      <c r="G89" s="50" t="n"/>
      <c r="H89" s="84" t="n"/>
      <c r="I89" s="84" t="n"/>
      <c r="J89" s="84" t="n"/>
      <c r="K89" s="84" t="n"/>
      <c r="L89" s="84" t="n"/>
      <c r="M89" s="84" t="n"/>
      <c r="N89" s="50" t="n"/>
      <c r="O89" s="84" t="n"/>
      <c r="P89" s="84">
        <f>IF(AND($A89="",$B89=""),"",N(D89)-N(E89)+N(J89)-N(K89))</f>
        <v/>
      </c>
      <c r="Q89" s="84">
        <f>IF(AND($A89="",$B89=""),"",IF(COUNT(L89:M89,O89)=0,"",P89-(N(L89)-N(M89))))</f>
        <v/>
      </c>
      <c r="R89" s="54">
        <f>IF(AND($A89="",$B89=""),"",IF(COUNT(L89:M89,O89)=0,"kein Mandanten-Saldo",IF(OR(AND(L89="",M89="")),"",IF(ABS(ROUND(((ROUND(N(D89)*100,0)+ROUND(N(J89)*100,0)+ROUND(N(M89)*100,0))-(ROUND(N(E89)*100,0)+ROUND(N(K89)*100,0)+ROUND(N(L89)*100,0))),0)-(0))&lt;=0,"OK","ABWEICHUNG"))))</f>
        <v/>
      </c>
      <c r="S89" s="84" t="n"/>
      <c r="T89" s="50" t="n"/>
      <c r="U89" s="50" t="n"/>
      <c r="V89" s="50" t="n"/>
      <c r="W89" s="50" t="n"/>
      <c r="X89" s="50" t="n"/>
      <c r="Y89" s="50" t="n"/>
      <c r="Z89" s="50" t="n"/>
    </row>
    <row r="90">
      <c r="A90" s="50" t="n"/>
      <c r="B90" s="50" t="n"/>
      <c r="C90" s="50" t="n"/>
      <c r="D90" s="84" t="n"/>
      <c r="E90" s="84" t="n"/>
      <c r="F90" s="84" t="n"/>
      <c r="G90" s="50" t="n"/>
      <c r="H90" s="84" t="n"/>
      <c r="I90" s="84" t="n"/>
      <c r="J90" s="84" t="n"/>
      <c r="K90" s="84" t="n"/>
      <c r="L90" s="84" t="n"/>
      <c r="M90" s="84" t="n"/>
      <c r="N90" s="50" t="n"/>
      <c r="O90" s="84" t="n"/>
      <c r="P90" s="84">
        <f>IF(AND($A90="",$B90=""),"",N(D90)-N(E90)+N(J90)-N(K90))</f>
        <v/>
      </c>
      <c r="Q90" s="84">
        <f>IF(AND($A90="",$B90=""),"",IF(COUNT(L90:M90,O90)=0,"",P90-(N(L90)-N(M90))))</f>
        <v/>
      </c>
      <c r="R90" s="54">
        <f>IF(AND($A90="",$B90=""),"",IF(COUNT(L90:M90,O90)=0,"kein Mandanten-Saldo",IF(OR(AND(L90="",M90="")),"",IF(ABS(ROUND(((ROUND(N(D90)*100,0)+ROUND(N(J90)*100,0)+ROUND(N(M90)*100,0))-(ROUND(N(E90)*100,0)+ROUND(N(K90)*100,0)+ROUND(N(L90)*100,0))),0)-(0))&lt;=0,"OK","ABWEICHUNG"))))</f>
        <v/>
      </c>
      <c r="S90" s="84" t="n"/>
      <c r="T90" s="50" t="n"/>
      <c r="U90" s="50" t="n"/>
      <c r="V90" s="50" t="n"/>
      <c r="W90" s="50" t="n"/>
      <c r="X90" s="50" t="n"/>
      <c r="Y90" s="50" t="n"/>
      <c r="Z90" s="50" t="n"/>
    </row>
    <row r="91">
      <c r="A91" s="50" t="n"/>
      <c r="B91" s="50" t="n"/>
      <c r="C91" s="50" t="n"/>
      <c r="D91" s="84" t="n"/>
      <c r="E91" s="84" t="n"/>
      <c r="F91" s="84" t="n"/>
      <c r="G91" s="50" t="n"/>
      <c r="H91" s="84" t="n"/>
      <c r="I91" s="84" t="n"/>
      <c r="J91" s="84" t="n"/>
      <c r="K91" s="84" t="n"/>
      <c r="L91" s="84" t="n"/>
      <c r="M91" s="84" t="n"/>
      <c r="N91" s="50" t="n"/>
      <c r="O91" s="84" t="n"/>
      <c r="P91" s="84">
        <f>IF(AND($A91="",$B91=""),"",N(D91)-N(E91)+N(J91)-N(K91))</f>
        <v/>
      </c>
      <c r="Q91" s="84">
        <f>IF(AND($A91="",$B91=""),"",IF(COUNT(L91:M91,O91)=0,"",P91-(N(L91)-N(M91))))</f>
        <v/>
      </c>
      <c r="R91" s="54">
        <f>IF(AND($A91="",$B91=""),"",IF(COUNT(L91:M91,O91)=0,"kein Mandanten-Saldo",IF(OR(AND(L91="",M91="")),"",IF(ABS(ROUND(((ROUND(N(D91)*100,0)+ROUND(N(J91)*100,0)+ROUND(N(M91)*100,0))-(ROUND(N(E91)*100,0)+ROUND(N(K91)*100,0)+ROUND(N(L91)*100,0))),0)-(0))&lt;=0,"OK","ABWEICHUNG"))))</f>
        <v/>
      </c>
      <c r="S91" s="84" t="n"/>
      <c r="T91" s="50" t="n"/>
      <c r="U91" s="50" t="n"/>
      <c r="V91" s="50" t="n"/>
      <c r="W91" s="50" t="n"/>
      <c r="X91" s="50" t="n"/>
      <c r="Y91" s="50" t="n"/>
      <c r="Z91" s="50" t="n"/>
    </row>
    <row r="92">
      <c r="A92" s="50" t="n"/>
      <c r="B92" s="50" t="n"/>
      <c r="C92" s="50" t="n"/>
      <c r="D92" s="84" t="n"/>
      <c r="E92" s="84" t="n"/>
      <c r="F92" s="84" t="n"/>
      <c r="G92" s="50" t="n"/>
      <c r="H92" s="84" t="n"/>
      <c r="I92" s="84" t="n"/>
      <c r="J92" s="84" t="n"/>
      <c r="K92" s="84" t="n"/>
      <c r="L92" s="84" t="n"/>
      <c r="M92" s="84" t="n"/>
      <c r="N92" s="50" t="n"/>
      <c r="O92" s="84" t="n"/>
      <c r="P92" s="84">
        <f>IF(AND($A92="",$B92=""),"",N(D92)-N(E92)+N(J92)-N(K92))</f>
        <v/>
      </c>
      <c r="Q92" s="84">
        <f>IF(AND($A92="",$B92=""),"",IF(COUNT(L92:M92,O92)=0,"",P92-(N(L92)-N(M92))))</f>
        <v/>
      </c>
      <c r="R92" s="54">
        <f>IF(AND($A92="",$B92=""),"",IF(COUNT(L92:M92,O92)=0,"kein Mandanten-Saldo",IF(OR(AND(L92="",M92="")),"",IF(ABS(ROUND(((ROUND(N(D92)*100,0)+ROUND(N(J92)*100,0)+ROUND(N(M92)*100,0))-(ROUND(N(E92)*100,0)+ROUND(N(K92)*100,0)+ROUND(N(L92)*100,0))),0)-(0))&lt;=0,"OK","ABWEICHUNG"))))</f>
        <v/>
      </c>
      <c r="S92" s="84" t="n"/>
      <c r="T92" s="50" t="n"/>
      <c r="U92" s="50" t="n"/>
      <c r="V92" s="50" t="n"/>
      <c r="W92" s="50" t="n"/>
      <c r="X92" s="50" t="n"/>
      <c r="Y92" s="50" t="n"/>
      <c r="Z92" s="50" t="n"/>
    </row>
    <row r="93">
      <c r="A93" s="50" t="n"/>
      <c r="B93" s="50" t="n"/>
      <c r="C93" s="50" t="n"/>
      <c r="D93" s="84" t="n"/>
      <c r="E93" s="84" t="n"/>
      <c r="F93" s="84" t="n"/>
      <c r="G93" s="50" t="n"/>
      <c r="H93" s="84" t="n"/>
      <c r="I93" s="84" t="n"/>
      <c r="J93" s="84" t="n"/>
      <c r="K93" s="84" t="n"/>
      <c r="L93" s="84" t="n"/>
      <c r="M93" s="84" t="n"/>
      <c r="N93" s="50" t="n"/>
      <c r="O93" s="84" t="n"/>
      <c r="P93" s="84">
        <f>IF(AND($A93="",$B93=""),"",N(D93)-N(E93)+N(J93)-N(K93))</f>
        <v/>
      </c>
      <c r="Q93" s="84">
        <f>IF(AND($A93="",$B93=""),"",IF(COUNT(L93:M93,O93)=0,"",P93-(N(L93)-N(M93))))</f>
        <v/>
      </c>
      <c r="R93" s="54">
        <f>IF(AND($A93="",$B93=""),"",IF(COUNT(L93:M93,O93)=0,"kein Mandanten-Saldo",IF(OR(AND(L93="",M93="")),"",IF(ABS(ROUND(((ROUND(N(D93)*100,0)+ROUND(N(J93)*100,0)+ROUND(N(M93)*100,0))-(ROUND(N(E93)*100,0)+ROUND(N(K93)*100,0)+ROUND(N(L93)*100,0))),0)-(0))&lt;=0,"OK","ABWEICHUNG"))))</f>
        <v/>
      </c>
      <c r="S93" s="84" t="n"/>
      <c r="T93" s="50" t="n"/>
      <c r="U93" s="50" t="n"/>
      <c r="V93" s="50" t="n"/>
      <c r="W93" s="50" t="n"/>
      <c r="X93" s="50" t="n"/>
      <c r="Y93" s="50" t="n"/>
      <c r="Z93" s="50" t="n"/>
    </row>
    <row r="94">
      <c r="A94" s="50" t="n"/>
      <c r="B94" s="50" t="n"/>
      <c r="C94" s="50" t="n"/>
      <c r="D94" s="84" t="n"/>
      <c r="E94" s="84" t="n"/>
      <c r="F94" s="84" t="n"/>
      <c r="G94" s="50" t="n"/>
      <c r="H94" s="84" t="n"/>
      <c r="I94" s="84" t="n"/>
      <c r="J94" s="84" t="n"/>
      <c r="K94" s="84" t="n"/>
      <c r="L94" s="84" t="n"/>
      <c r="M94" s="84" t="n"/>
      <c r="N94" s="50" t="n"/>
      <c r="O94" s="84" t="n"/>
      <c r="P94" s="84">
        <f>IF(AND($A94="",$B94=""),"",N(D94)-N(E94)+N(J94)-N(K94))</f>
        <v/>
      </c>
      <c r="Q94" s="84">
        <f>IF(AND($A94="",$B94=""),"",IF(COUNT(L94:M94,O94)=0,"",P94-(N(L94)-N(M94))))</f>
        <v/>
      </c>
      <c r="R94" s="54">
        <f>IF(AND($A94="",$B94=""),"",IF(COUNT(L94:M94,O94)=0,"kein Mandanten-Saldo",IF(OR(AND(L94="",M94="")),"",IF(ABS(ROUND(((ROUND(N(D94)*100,0)+ROUND(N(J94)*100,0)+ROUND(N(M94)*100,0))-(ROUND(N(E94)*100,0)+ROUND(N(K94)*100,0)+ROUND(N(L94)*100,0))),0)-(0))&lt;=0,"OK","ABWEICHUNG"))))</f>
        <v/>
      </c>
      <c r="S94" s="84" t="n"/>
      <c r="T94" s="50" t="n"/>
      <c r="U94" s="50" t="n"/>
      <c r="V94" s="50" t="n"/>
      <c r="W94" s="50" t="n"/>
      <c r="X94" s="50" t="n"/>
      <c r="Y94" s="50" t="n"/>
      <c r="Z94" s="50" t="n"/>
    </row>
    <row r="95">
      <c r="A95" s="50" t="n"/>
      <c r="B95" s="50" t="n"/>
      <c r="C95" s="50" t="n"/>
      <c r="D95" s="84" t="n"/>
      <c r="E95" s="84" t="n"/>
      <c r="F95" s="84" t="n"/>
      <c r="G95" s="50" t="n"/>
      <c r="H95" s="84" t="n"/>
      <c r="I95" s="84" t="n"/>
      <c r="J95" s="84" t="n"/>
      <c r="K95" s="84" t="n"/>
      <c r="L95" s="84" t="n"/>
      <c r="M95" s="84" t="n"/>
      <c r="N95" s="50" t="n"/>
      <c r="O95" s="84" t="n"/>
      <c r="P95" s="84">
        <f>IF(AND($A95="",$B95=""),"",N(D95)-N(E95)+N(J95)-N(K95))</f>
        <v/>
      </c>
      <c r="Q95" s="84">
        <f>IF(AND($A95="",$B95=""),"",IF(COUNT(L95:M95,O95)=0,"",P95-(N(L95)-N(M95))))</f>
        <v/>
      </c>
      <c r="R95" s="54">
        <f>IF(AND($A95="",$B95=""),"",IF(COUNT(L95:M95,O95)=0,"kein Mandanten-Saldo",IF(OR(AND(L95="",M95="")),"",IF(ABS(ROUND(((ROUND(N(D95)*100,0)+ROUND(N(J95)*100,0)+ROUND(N(M95)*100,0))-(ROUND(N(E95)*100,0)+ROUND(N(K95)*100,0)+ROUND(N(L95)*100,0))),0)-(0))&lt;=0,"OK","ABWEICHUNG"))))</f>
        <v/>
      </c>
      <c r="S95" s="84" t="n"/>
      <c r="T95" s="50" t="n"/>
      <c r="U95" s="50" t="n"/>
      <c r="V95" s="50" t="n"/>
      <c r="W95" s="50" t="n"/>
      <c r="X95" s="50" t="n"/>
      <c r="Y95" s="50" t="n"/>
      <c r="Z95" s="50" t="n"/>
    </row>
    <row r="96">
      <c r="A96" s="50" t="n"/>
      <c r="B96" s="50" t="n"/>
      <c r="C96" s="50" t="n"/>
      <c r="D96" s="84" t="n"/>
      <c r="E96" s="84" t="n"/>
      <c r="F96" s="84" t="n"/>
      <c r="G96" s="50" t="n"/>
      <c r="H96" s="84" t="n"/>
      <c r="I96" s="84" t="n"/>
      <c r="J96" s="84" t="n"/>
      <c r="K96" s="84" t="n"/>
      <c r="L96" s="84" t="n"/>
      <c r="M96" s="84" t="n"/>
      <c r="N96" s="50" t="n"/>
      <c r="O96" s="84" t="n"/>
      <c r="P96" s="84">
        <f>IF(AND($A96="",$B96=""),"",N(D96)-N(E96)+N(J96)-N(K96))</f>
        <v/>
      </c>
      <c r="Q96" s="84">
        <f>IF(AND($A96="",$B96=""),"",IF(COUNT(L96:M96,O96)=0,"",P96-(N(L96)-N(M96))))</f>
        <v/>
      </c>
      <c r="R96" s="54">
        <f>IF(AND($A96="",$B96=""),"",IF(COUNT(L96:M96,O96)=0,"kein Mandanten-Saldo",IF(OR(AND(L96="",M96="")),"",IF(ABS(ROUND(((ROUND(N(D96)*100,0)+ROUND(N(J96)*100,0)+ROUND(N(M96)*100,0))-(ROUND(N(E96)*100,0)+ROUND(N(K96)*100,0)+ROUND(N(L96)*100,0))),0)-(0))&lt;=0,"OK","ABWEICHUNG"))))</f>
        <v/>
      </c>
      <c r="S96" s="84" t="n"/>
      <c r="T96" s="50" t="n"/>
      <c r="U96" s="50" t="n"/>
      <c r="V96" s="50" t="n"/>
      <c r="W96" s="50" t="n"/>
      <c r="X96" s="50" t="n"/>
      <c r="Y96" s="50" t="n"/>
      <c r="Z96" s="50" t="n"/>
    </row>
    <row r="97">
      <c r="A97" s="50" t="n"/>
      <c r="B97" s="50" t="n"/>
      <c r="C97" s="50" t="n"/>
      <c r="D97" s="84" t="n"/>
      <c r="E97" s="84" t="n"/>
      <c r="F97" s="84" t="n"/>
      <c r="G97" s="50" t="n"/>
      <c r="H97" s="84" t="n"/>
      <c r="I97" s="84" t="n"/>
      <c r="J97" s="84" t="n"/>
      <c r="K97" s="84" t="n"/>
      <c r="L97" s="84" t="n"/>
      <c r="M97" s="84" t="n"/>
      <c r="N97" s="50" t="n"/>
      <c r="O97" s="84" t="n"/>
      <c r="P97" s="84">
        <f>IF(AND($A97="",$B97=""),"",N(D97)-N(E97)+N(J97)-N(K97))</f>
        <v/>
      </c>
      <c r="Q97" s="84">
        <f>IF(AND($A97="",$B97=""),"",IF(COUNT(L97:M97,O97)=0,"",P97-(N(L97)-N(M97))))</f>
        <v/>
      </c>
      <c r="R97" s="54">
        <f>IF(AND($A97="",$B97=""),"",IF(COUNT(L97:M97,O97)=0,"kein Mandanten-Saldo",IF(OR(AND(L97="",M97="")),"",IF(ABS(ROUND(((ROUND(N(D97)*100,0)+ROUND(N(J97)*100,0)+ROUND(N(M97)*100,0))-(ROUND(N(E97)*100,0)+ROUND(N(K97)*100,0)+ROUND(N(L97)*100,0))),0)-(0))&lt;=0,"OK","ABWEICHUNG"))))</f>
        <v/>
      </c>
      <c r="S97" s="84" t="n"/>
      <c r="T97" s="50" t="n"/>
      <c r="U97" s="50" t="n"/>
      <c r="V97" s="50" t="n"/>
      <c r="W97" s="50" t="n"/>
      <c r="X97" s="50" t="n"/>
      <c r="Y97" s="50" t="n"/>
      <c r="Z97" s="50" t="n"/>
    </row>
    <row r="98">
      <c r="A98" s="50" t="n"/>
      <c r="B98" s="50" t="n"/>
      <c r="C98" s="50" t="n"/>
      <c r="D98" s="84" t="n"/>
      <c r="E98" s="84" t="n"/>
      <c r="F98" s="84" t="n"/>
      <c r="G98" s="50" t="n"/>
      <c r="H98" s="84" t="n"/>
      <c r="I98" s="84" t="n"/>
      <c r="J98" s="84" t="n"/>
      <c r="K98" s="84" t="n"/>
      <c r="L98" s="84" t="n"/>
      <c r="M98" s="84" t="n"/>
      <c r="N98" s="50" t="n"/>
      <c r="O98" s="84" t="n"/>
      <c r="P98" s="84">
        <f>IF(AND($A98="",$B98=""),"",N(D98)-N(E98)+N(J98)-N(K98))</f>
        <v/>
      </c>
      <c r="Q98" s="84">
        <f>IF(AND($A98="",$B98=""),"",IF(COUNT(L98:M98,O98)=0,"",P98-(N(L98)-N(M98))))</f>
        <v/>
      </c>
      <c r="R98" s="54">
        <f>IF(AND($A98="",$B98=""),"",IF(COUNT(L98:M98,O98)=0,"kein Mandanten-Saldo",IF(OR(AND(L98="",M98="")),"",IF(ABS(ROUND(((ROUND(N(D98)*100,0)+ROUND(N(J98)*100,0)+ROUND(N(M98)*100,0))-(ROUND(N(E98)*100,0)+ROUND(N(K98)*100,0)+ROUND(N(L98)*100,0))),0)-(0))&lt;=0,"OK","ABWEICHUNG"))))</f>
        <v/>
      </c>
      <c r="S98" s="84" t="n"/>
      <c r="T98" s="50" t="n"/>
      <c r="U98" s="50" t="n"/>
      <c r="V98" s="50" t="n"/>
      <c r="W98" s="50" t="n"/>
      <c r="X98" s="50" t="n"/>
      <c r="Y98" s="50" t="n"/>
      <c r="Z98" s="50" t="n"/>
    </row>
    <row r="99">
      <c r="A99" s="50" t="n"/>
      <c r="B99" s="50" t="n"/>
      <c r="C99" s="50" t="n"/>
      <c r="D99" s="84" t="n"/>
      <c r="E99" s="84" t="n"/>
      <c r="F99" s="84" t="n"/>
      <c r="G99" s="50" t="n"/>
      <c r="H99" s="84" t="n"/>
      <c r="I99" s="84" t="n"/>
      <c r="J99" s="84" t="n"/>
      <c r="K99" s="84" t="n"/>
      <c r="L99" s="84" t="n"/>
      <c r="M99" s="84" t="n"/>
      <c r="N99" s="50" t="n"/>
      <c r="O99" s="84" t="n"/>
      <c r="P99" s="84">
        <f>IF(AND($A99="",$B99=""),"",N(D99)-N(E99)+N(J99)-N(K99))</f>
        <v/>
      </c>
      <c r="Q99" s="84">
        <f>IF(AND($A99="",$B99=""),"",IF(COUNT(L99:M99,O99)=0,"",P99-(N(L99)-N(M99))))</f>
        <v/>
      </c>
      <c r="R99" s="54">
        <f>IF(AND($A99="",$B99=""),"",IF(COUNT(L99:M99,O99)=0,"kein Mandanten-Saldo",IF(OR(AND(L99="",M99="")),"",IF(ABS(ROUND(((ROUND(N(D99)*100,0)+ROUND(N(J99)*100,0)+ROUND(N(M99)*100,0))-(ROUND(N(E99)*100,0)+ROUND(N(K99)*100,0)+ROUND(N(L99)*100,0))),0)-(0))&lt;=0,"OK","ABWEICHUNG"))))</f>
        <v/>
      </c>
      <c r="S99" s="84" t="n"/>
      <c r="T99" s="50" t="n"/>
      <c r="U99" s="50" t="n"/>
      <c r="V99" s="50" t="n"/>
      <c r="W99" s="50" t="n"/>
      <c r="X99" s="50" t="n"/>
      <c r="Y99" s="50" t="n"/>
      <c r="Z99" s="50" t="n"/>
    </row>
    <row r="100">
      <c r="A100" s="50" t="n"/>
      <c r="B100" s="50" t="n"/>
      <c r="C100" s="50" t="n"/>
      <c r="D100" s="84" t="n"/>
      <c r="E100" s="84" t="n"/>
      <c r="F100" s="84" t="n"/>
      <c r="G100" s="50" t="n"/>
      <c r="H100" s="84" t="n"/>
      <c r="I100" s="84" t="n"/>
      <c r="J100" s="84" t="n"/>
      <c r="K100" s="84" t="n"/>
      <c r="L100" s="84" t="n"/>
      <c r="M100" s="84" t="n"/>
      <c r="N100" s="50" t="n"/>
      <c r="O100" s="84" t="n"/>
      <c r="P100" s="84">
        <f>IF(AND($A100="",$B100=""),"",N(D100)-N(E100)+N(J100)-N(K100))</f>
        <v/>
      </c>
      <c r="Q100" s="84">
        <f>IF(AND($A100="",$B100=""),"",IF(COUNT(L100:M100,O100)=0,"",P100-(N(L100)-N(M100))))</f>
        <v/>
      </c>
      <c r="R100" s="54">
        <f>IF(AND($A100="",$B100=""),"",IF(COUNT(L100:M100,O100)=0,"kein Mandanten-Saldo",IF(OR(AND(L100="",M100="")),"",IF(ABS(ROUND(((ROUND(N(D100)*100,0)+ROUND(N(J100)*100,0)+ROUND(N(M100)*100,0))-(ROUND(N(E100)*100,0)+ROUND(N(K100)*100,0)+ROUND(N(L100)*100,0))),0)-(0))&lt;=0,"OK","ABWEICHUNG"))))</f>
        <v/>
      </c>
      <c r="S100" s="84" t="n"/>
      <c r="T100" s="50" t="n"/>
      <c r="U100" s="50" t="n"/>
      <c r="V100" s="50" t="n"/>
      <c r="W100" s="50" t="n"/>
      <c r="X100" s="50" t="n"/>
      <c r="Y100" s="50" t="n"/>
      <c r="Z100" s="50" t="n"/>
    </row>
    <row r="101">
      <c r="A101" s="50" t="n"/>
      <c r="B101" s="50" t="n"/>
      <c r="C101" s="50" t="n"/>
      <c r="D101" s="84" t="n"/>
      <c r="E101" s="84" t="n"/>
      <c r="F101" s="84" t="n"/>
      <c r="G101" s="50" t="n"/>
      <c r="H101" s="84" t="n"/>
      <c r="I101" s="84" t="n"/>
      <c r="J101" s="84" t="n"/>
      <c r="K101" s="84" t="n"/>
      <c r="L101" s="84" t="n"/>
      <c r="M101" s="84" t="n"/>
      <c r="N101" s="50" t="n"/>
      <c r="O101" s="84" t="n"/>
      <c r="P101" s="84">
        <f>IF(AND($A101="",$B101=""),"",N(D101)-N(E101)+N(J101)-N(K101))</f>
        <v/>
      </c>
      <c r="Q101" s="84">
        <f>IF(AND($A101="",$B101=""),"",IF(COUNT(L101:M101,O101)=0,"",P101-(N(L101)-N(M101))))</f>
        <v/>
      </c>
      <c r="R101" s="54">
        <f>IF(AND($A101="",$B101=""),"",IF(COUNT(L101:M101,O101)=0,"kein Mandanten-Saldo",IF(OR(AND(L101="",M101="")),"",IF(ABS(ROUND(((ROUND(N(D101)*100,0)+ROUND(N(J101)*100,0)+ROUND(N(M101)*100,0))-(ROUND(N(E101)*100,0)+ROUND(N(K101)*100,0)+ROUND(N(L101)*100,0))),0)-(0))&lt;=0,"OK","ABWEICHUNG"))))</f>
        <v/>
      </c>
      <c r="S101" s="84" t="n"/>
      <c r="T101" s="50" t="n"/>
      <c r="U101" s="50" t="n"/>
      <c r="V101" s="50" t="n"/>
      <c r="W101" s="50" t="n"/>
      <c r="X101" s="50" t="n"/>
      <c r="Y101" s="50" t="n"/>
      <c r="Z101" s="50" t="n"/>
    </row>
    <row r="102">
      <c r="A102" s="50" t="n"/>
      <c r="B102" s="50" t="n"/>
      <c r="C102" s="50" t="n"/>
      <c r="D102" s="84" t="n"/>
      <c r="E102" s="84" t="n"/>
      <c r="F102" s="84" t="n"/>
      <c r="G102" s="50" t="n"/>
      <c r="H102" s="84" t="n"/>
      <c r="I102" s="84" t="n"/>
      <c r="J102" s="84" t="n"/>
      <c r="K102" s="84" t="n"/>
      <c r="L102" s="84" t="n"/>
      <c r="M102" s="84" t="n"/>
      <c r="N102" s="50" t="n"/>
      <c r="O102" s="84" t="n"/>
      <c r="P102" s="84">
        <f>IF(AND($A102="",$B102=""),"",N(D102)-N(E102)+N(J102)-N(K102))</f>
        <v/>
      </c>
      <c r="Q102" s="84">
        <f>IF(AND($A102="",$B102=""),"",IF(COUNT(L102:M102,O102)=0,"",P102-(N(L102)-N(M102))))</f>
        <v/>
      </c>
      <c r="R102" s="54">
        <f>IF(AND($A102="",$B102=""),"",IF(COUNT(L102:M102,O102)=0,"kein Mandanten-Saldo",IF(OR(AND(L102="",M102="")),"",IF(ABS(ROUND(((ROUND(N(D102)*100,0)+ROUND(N(J102)*100,0)+ROUND(N(M102)*100,0))-(ROUND(N(E102)*100,0)+ROUND(N(K102)*100,0)+ROUND(N(L102)*100,0))),0)-(0))&lt;=0,"OK","ABWEICHUNG"))))</f>
        <v/>
      </c>
      <c r="S102" s="84" t="n"/>
      <c r="T102" s="50" t="n"/>
      <c r="U102" s="50" t="n"/>
      <c r="V102" s="50" t="n"/>
      <c r="W102" s="50" t="n"/>
      <c r="X102" s="50" t="n"/>
      <c r="Y102" s="50" t="n"/>
      <c r="Z102" s="50" t="n"/>
    </row>
    <row r="103">
      <c r="A103" s="50" t="n"/>
      <c r="B103" s="50" t="n"/>
      <c r="C103" s="50" t="n"/>
      <c r="D103" s="84" t="n"/>
      <c r="E103" s="84" t="n"/>
      <c r="F103" s="84" t="n"/>
      <c r="G103" s="50" t="n"/>
      <c r="H103" s="84" t="n"/>
      <c r="I103" s="84" t="n"/>
      <c r="J103" s="84" t="n"/>
      <c r="K103" s="84" t="n"/>
      <c r="L103" s="84" t="n"/>
      <c r="M103" s="84" t="n"/>
      <c r="N103" s="50" t="n"/>
      <c r="O103" s="84" t="n"/>
      <c r="P103" s="84">
        <f>IF(AND($A103="",$B103=""),"",N(D103)-N(E103)+N(J103)-N(K103))</f>
        <v/>
      </c>
      <c r="Q103" s="84">
        <f>IF(AND($A103="",$B103=""),"",IF(COUNT(L103:M103,O103)=0,"",P103-(N(L103)-N(M103))))</f>
        <v/>
      </c>
      <c r="R103" s="54">
        <f>IF(AND($A103="",$B103=""),"",IF(COUNT(L103:M103,O103)=0,"kein Mandanten-Saldo",IF(OR(AND(L103="",M103="")),"",IF(ABS(ROUND(((ROUND(N(D103)*100,0)+ROUND(N(J103)*100,0)+ROUND(N(M103)*100,0))-(ROUND(N(E103)*100,0)+ROUND(N(K103)*100,0)+ROUND(N(L103)*100,0))),0)-(0))&lt;=0,"OK","ABWEICHUNG"))))</f>
        <v/>
      </c>
      <c r="S103" s="84" t="n"/>
      <c r="T103" s="50" t="n"/>
      <c r="U103" s="50" t="n"/>
      <c r="V103" s="50" t="n"/>
      <c r="W103" s="50" t="n"/>
      <c r="X103" s="50" t="n"/>
      <c r="Y103" s="50" t="n"/>
      <c r="Z103" s="50" t="n"/>
    </row>
    <row r="104">
      <c r="A104" s="50" t="n"/>
      <c r="B104" s="50" t="n"/>
      <c r="C104" s="50" t="n"/>
      <c r="D104" s="84" t="n"/>
      <c r="E104" s="84" t="n"/>
      <c r="F104" s="84" t="n"/>
      <c r="G104" s="50" t="n"/>
      <c r="H104" s="84" t="n"/>
      <c r="I104" s="84" t="n"/>
      <c r="J104" s="84" t="n"/>
      <c r="K104" s="84" t="n"/>
      <c r="L104" s="84" t="n"/>
      <c r="M104" s="84" t="n"/>
      <c r="N104" s="50" t="n"/>
      <c r="O104" s="84" t="n"/>
      <c r="P104" s="84">
        <f>IF(AND($A104="",$B104=""),"",N(D104)-N(E104)+N(J104)-N(K104))</f>
        <v/>
      </c>
      <c r="Q104" s="84">
        <f>IF(AND($A104="",$B104=""),"",IF(COUNT(L104:M104,O104)=0,"",P104-(N(L104)-N(M104))))</f>
        <v/>
      </c>
      <c r="R104" s="54">
        <f>IF(AND($A104="",$B104=""),"",IF(COUNT(L104:M104,O104)=0,"kein Mandanten-Saldo",IF(OR(AND(L104="",M104="")),"",IF(ABS(ROUND(((ROUND(N(D104)*100,0)+ROUND(N(J104)*100,0)+ROUND(N(M104)*100,0))-(ROUND(N(E104)*100,0)+ROUND(N(K104)*100,0)+ROUND(N(L104)*100,0))),0)-(0))&lt;=0,"OK","ABWEICHUNG"))))</f>
        <v/>
      </c>
      <c r="S104" s="84" t="n"/>
      <c r="T104" s="50" t="n"/>
      <c r="U104" s="50" t="n"/>
      <c r="V104" s="50" t="n"/>
      <c r="W104" s="50" t="n"/>
      <c r="X104" s="50" t="n"/>
      <c r="Y104" s="50" t="n"/>
      <c r="Z104" s="50" t="n"/>
    </row>
    <row r="105">
      <c r="A105" s="50" t="n"/>
      <c r="B105" s="50" t="n"/>
      <c r="C105" s="50" t="n"/>
      <c r="D105" s="84" t="n"/>
      <c r="E105" s="84" t="n"/>
      <c r="F105" s="84" t="n"/>
      <c r="G105" s="50" t="n"/>
      <c r="H105" s="84" t="n"/>
      <c r="I105" s="84" t="n"/>
      <c r="J105" s="84" t="n"/>
      <c r="K105" s="84" t="n"/>
      <c r="L105" s="84" t="n"/>
      <c r="M105" s="84" t="n"/>
      <c r="N105" s="50" t="n"/>
      <c r="O105" s="84" t="n"/>
      <c r="P105" s="84">
        <f>IF(AND($A105="",$B105=""),"",N(D105)-N(E105)+N(J105)-N(K105))</f>
        <v/>
      </c>
      <c r="Q105" s="84">
        <f>IF(AND($A105="",$B105=""),"",IF(COUNT(L105:M105,O105)=0,"",P105-(N(L105)-N(M105))))</f>
        <v/>
      </c>
      <c r="R105" s="54">
        <f>IF(AND($A105="",$B105=""),"",IF(COUNT(L105:M105,O105)=0,"kein Mandanten-Saldo",IF(OR(AND(L105="",M105="")),"",IF(ABS(ROUND(((ROUND(N(D105)*100,0)+ROUND(N(J105)*100,0)+ROUND(N(M105)*100,0))-(ROUND(N(E105)*100,0)+ROUND(N(K105)*100,0)+ROUND(N(L105)*100,0))),0)-(0))&lt;=0,"OK","ABWEICHUNG"))))</f>
        <v/>
      </c>
      <c r="S105" s="84" t="n"/>
      <c r="T105" s="50" t="n"/>
      <c r="U105" s="50" t="n"/>
      <c r="V105" s="50" t="n"/>
      <c r="W105" s="50" t="n"/>
      <c r="X105" s="50" t="n"/>
      <c r="Y105" s="50" t="n"/>
      <c r="Z105" s="50" t="n"/>
    </row>
    <row r="106">
      <c r="A106" s="50" t="n"/>
      <c r="B106" s="50" t="n"/>
      <c r="C106" s="50" t="n"/>
      <c r="D106" s="84" t="n"/>
      <c r="E106" s="84" t="n"/>
      <c r="F106" s="84" t="n"/>
      <c r="G106" s="50" t="n"/>
      <c r="H106" s="84" t="n"/>
      <c r="I106" s="84" t="n"/>
      <c r="J106" s="84" t="n"/>
      <c r="K106" s="84" t="n"/>
      <c r="L106" s="84" t="n"/>
      <c r="M106" s="84" t="n"/>
      <c r="N106" s="50" t="n"/>
      <c r="O106" s="84" t="n"/>
      <c r="P106" s="84">
        <f>IF(AND($A106="",$B106=""),"",N(D106)-N(E106)+N(J106)-N(K106))</f>
        <v/>
      </c>
      <c r="Q106" s="84">
        <f>IF(AND($A106="",$B106=""),"",IF(COUNT(L106:M106,O106)=0,"",P106-(N(L106)-N(M106))))</f>
        <v/>
      </c>
      <c r="R106" s="54">
        <f>IF(AND($A106="",$B106=""),"",IF(COUNT(L106:M106,O106)=0,"kein Mandanten-Saldo",IF(OR(AND(L106="",M106="")),"",IF(ABS(ROUND(((ROUND(N(D106)*100,0)+ROUND(N(J106)*100,0)+ROUND(N(M106)*100,0))-(ROUND(N(E106)*100,0)+ROUND(N(K106)*100,0)+ROUND(N(L106)*100,0))),0)-(0))&lt;=0,"OK","ABWEICHUNG"))))</f>
        <v/>
      </c>
      <c r="S106" s="84" t="n"/>
      <c r="T106" s="50" t="n"/>
      <c r="U106" s="50" t="n"/>
      <c r="V106" s="50" t="n"/>
      <c r="W106" s="50" t="n"/>
      <c r="X106" s="50" t="n"/>
      <c r="Y106" s="50" t="n"/>
      <c r="Z106" s="50" t="n"/>
    </row>
    <row r="107">
      <c r="A107" s="50" t="n"/>
      <c r="B107" s="50" t="n"/>
      <c r="C107" s="50" t="n"/>
      <c r="D107" s="84" t="n"/>
      <c r="E107" s="84" t="n"/>
      <c r="F107" s="84" t="n"/>
      <c r="G107" s="50" t="n"/>
      <c r="H107" s="84" t="n"/>
      <c r="I107" s="84" t="n"/>
      <c r="J107" s="84" t="n"/>
      <c r="K107" s="84" t="n"/>
      <c r="L107" s="84" t="n"/>
      <c r="M107" s="84" t="n"/>
      <c r="N107" s="50" t="n"/>
      <c r="O107" s="84" t="n"/>
      <c r="P107" s="84">
        <f>IF(AND($A107="",$B107=""),"",N(D107)-N(E107)+N(J107)-N(K107))</f>
        <v/>
      </c>
      <c r="Q107" s="84">
        <f>IF(AND($A107="",$B107=""),"",IF(COUNT(L107:M107,O107)=0,"",P107-(N(L107)-N(M107))))</f>
        <v/>
      </c>
      <c r="R107" s="54">
        <f>IF(AND($A107="",$B107=""),"",IF(COUNT(L107:M107,O107)=0,"kein Mandanten-Saldo",IF(OR(AND(L107="",M107="")),"",IF(ABS(ROUND(((ROUND(N(D107)*100,0)+ROUND(N(J107)*100,0)+ROUND(N(M107)*100,0))-(ROUND(N(E107)*100,0)+ROUND(N(K107)*100,0)+ROUND(N(L107)*100,0))),0)-(0))&lt;=0,"OK","ABWEICHUNG"))))</f>
        <v/>
      </c>
      <c r="S107" s="84" t="n"/>
      <c r="T107" s="50" t="n"/>
      <c r="U107" s="50" t="n"/>
      <c r="V107" s="50" t="n"/>
      <c r="W107" s="50" t="n"/>
      <c r="X107" s="50" t="n"/>
      <c r="Y107" s="50" t="n"/>
      <c r="Z107" s="50" t="n"/>
    </row>
    <row r="108">
      <c r="A108" s="50" t="n"/>
      <c r="B108" s="50" t="n"/>
      <c r="C108" s="50" t="n"/>
      <c r="D108" s="84" t="n"/>
      <c r="E108" s="84" t="n"/>
      <c r="F108" s="84" t="n"/>
      <c r="G108" s="50" t="n"/>
      <c r="H108" s="84" t="n"/>
      <c r="I108" s="84" t="n"/>
      <c r="J108" s="84" t="n"/>
      <c r="K108" s="84" t="n"/>
      <c r="L108" s="84" t="n"/>
      <c r="M108" s="84" t="n"/>
      <c r="N108" s="50" t="n"/>
      <c r="O108" s="84" t="n"/>
      <c r="P108" s="84">
        <f>IF(AND($A108="",$B108=""),"",N(D108)-N(E108)+N(J108)-N(K108))</f>
        <v/>
      </c>
      <c r="Q108" s="84">
        <f>IF(AND($A108="",$B108=""),"",IF(COUNT(L108:M108,O108)=0,"",P108-(N(L108)-N(M108))))</f>
        <v/>
      </c>
      <c r="R108" s="54">
        <f>IF(AND($A108="",$B108=""),"",IF(COUNT(L108:M108,O108)=0,"kein Mandanten-Saldo",IF(OR(AND(L108="",M108="")),"",IF(ABS(ROUND(((ROUND(N(D108)*100,0)+ROUND(N(J108)*100,0)+ROUND(N(M108)*100,0))-(ROUND(N(E108)*100,0)+ROUND(N(K108)*100,0)+ROUND(N(L108)*100,0))),0)-(0))&lt;=0,"OK","ABWEICHUNG"))))</f>
        <v/>
      </c>
      <c r="S108" s="84" t="n"/>
      <c r="T108" s="50" t="n"/>
      <c r="U108" s="50" t="n"/>
      <c r="V108" s="50" t="n"/>
      <c r="W108" s="50" t="n"/>
      <c r="X108" s="50" t="n"/>
      <c r="Y108" s="50" t="n"/>
      <c r="Z108" s="50" t="n"/>
    </row>
    <row r="109">
      <c r="A109" s="50" t="n"/>
      <c r="B109" s="50" t="n"/>
      <c r="C109" s="50" t="n"/>
      <c r="D109" s="84" t="n"/>
      <c r="E109" s="84" t="n"/>
      <c r="F109" s="84" t="n"/>
      <c r="G109" s="50" t="n"/>
      <c r="H109" s="84" t="n"/>
      <c r="I109" s="84" t="n"/>
      <c r="J109" s="84" t="n"/>
      <c r="K109" s="84" t="n"/>
      <c r="L109" s="84" t="n"/>
      <c r="M109" s="84" t="n"/>
      <c r="N109" s="50" t="n"/>
      <c r="O109" s="84" t="n"/>
      <c r="P109" s="84">
        <f>IF(AND($A109="",$B109=""),"",N(D109)-N(E109)+N(J109)-N(K109))</f>
        <v/>
      </c>
      <c r="Q109" s="84">
        <f>IF(AND($A109="",$B109=""),"",IF(COUNT(L109:M109,O109)=0,"",P109-(N(L109)-N(M109))))</f>
        <v/>
      </c>
      <c r="R109" s="54">
        <f>IF(AND($A109="",$B109=""),"",IF(COUNT(L109:M109,O109)=0,"kein Mandanten-Saldo",IF(OR(AND(L109="",M109="")),"",IF(ABS(ROUND(((ROUND(N(D109)*100,0)+ROUND(N(J109)*100,0)+ROUND(N(M109)*100,0))-(ROUND(N(E109)*100,0)+ROUND(N(K109)*100,0)+ROUND(N(L109)*100,0))),0)-(0))&lt;=0,"OK","ABWEICHUNG"))))</f>
        <v/>
      </c>
      <c r="S109" s="84" t="n"/>
      <c r="T109" s="50" t="n"/>
      <c r="U109" s="50" t="n"/>
      <c r="V109" s="50" t="n"/>
      <c r="W109" s="50" t="n"/>
      <c r="X109" s="50" t="n"/>
      <c r="Y109" s="50" t="n"/>
      <c r="Z109" s="50" t="n"/>
    </row>
    <row r="110">
      <c r="A110" s="50" t="n"/>
      <c r="B110" s="50" t="n"/>
      <c r="C110" s="50" t="n"/>
      <c r="D110" s="84" t="n"/>
      <c r="E110" s="84" t="n"/>
      <c r="F110" s="84" t="n"/>
      <c r="G110" s="50" t="n"/>
      <c r="H110" s="84" t="n"/>
      <c r="I110" s="84" t="n"/>
      <c r="J110" s="84" t="n"/>
      <c r="K110" s="84" t="n"/>
      <c r="L110" s="84" t="n"/>
      <c r="M110" s="84" t="n"/>
      <c r="N110" s="50" t="n"/>
      <c r="O110" s="84" t="n"/>
      <c r="P110" s="84">
        <f>IF(AND($A110="",$B110=""),"",N(D110)-N(E110)+N(J110)-N(K110))</f>
        <v/>
      </c>
      <c r="Q110" s="84">
        <f>IF(AND($A110="",$B110=""),"",IF(COUNT(L110:M110,O110)=0,"",P110-(N(L110)-N(M110))))</f>
        <v/>
      </c>
      <c r="R110" s="54">
        <f>IF(AND($A110="",$B110=""),"",IF(COUNT(L110:M110,O110)=0,"kein Mandanten-Saldo",IF(OR(AND(L110="",M110="")),"",IF(ABS(ROUND(((ROUND(N(D110)*100,0)+ROUND(N(J110)*100,0)+ROUND(N(M110)*100,0))-(ROUND(N(E110)*100,0)+ROUND(N(K110)*100,0)+ROUND(N(L110)*100,0))),0)-(0))&lt;=0,"OK","ABWEICHUNG"))))</f>
        <v/>
      </c>
      <c r="S110" s="84" t="n"/>
      <c r="T110" s="50" t="n"/>
      <c r="U110" s="50" t="n"/>
      <c r="V110" s="50" t="n"/>
      <c r="W110" s="50" t="n"/>
      <c r="X110" s="50" t="n"/>
      <c r="Y110" s="50" t="n"/>
      <c r="Z110" s="50" t="n"/>
    </row>
    <row r="111">
      <c r="A111" s="50" t="n"/>
      <c r="B111" s="50" t="n"/>
      <c r="C111" s="50" t="n"/>
      <c r="D111" s="84" t="n"/>
      <c r="E111" s="84" t="n"/>
      <c r="F111" s="84" t="n"/>
      <c r="G111" s="50" t="n"/>
      <c r="H111" s="84" t="n"/>
      <c r="I111" s="84" t="n"/>
      <c r="J111" s="84" t="n"/>
      <c r="K111" s="84" t="n"/>
      <c r="L111" s="84" t="n"/>
      <c r="M111" s="84" t="n"/>
      <c r="N111" s="50" t="n"/>
      <c r="O111" s="84" t="n"/>
      <c r="P111" s="84">
        <f>IF(AND($A111="",$B111=""),"",N(D111)-N(E111)+N(J111)-N(K111))</f>
        <v/>
      </c>
      <c r="Q111" s="84">
        <f>IF(AND($A111="",$B111=""),"",IF(COUNT(L111:M111,O111)=0,"",P111-(N(L111)-N(M111))))</f>
        <v/>
      </c>
      <c r="R111" s="54">
        <f>IF(AND($A111="",$B111=""),"",IF(COUNT(L111:M111,O111)=0,"kein Mandanten-Saldo",IF(OR(AND(L111="",M111="")),"",IF(ABS(ROUND(((ROUND(N(D111)*100,0)+ROUND(N(J111)*100,0)+ROUND(N(M111)*100,0))-(ROUND(N(E111)*100,0)+ROUND(N(K111)*100,0)+ROUND(N(L111)*100,0))),0)-(0))&lt;=0,"OK","ABWEICHUNG"))))</f>
        <v/>
      </c>
      <c r="S111" s="84" t="n"/>
      <c r="T111" s="50" t="n"/>
      <c r="U111" s="50" t="n"/>
      <c r="V111" s="50" t="n"/>
      <c r="W111" s="50" t="n"/>
      <c r="X111" s="50" t="n"/>
      <c r="Y111" s="50" t="n"/>
      <c r="Z111" s="50" t="n"/>
    </row>
    <row r="112">
      <c r="A112" s="50" t="n"/>
      <c r="B112" s="50" t="n"/>
      <c r="C112" s="50" t="n"/>
      <c r="D112" s="84" t="n"/>
      <c r="E112" s="84" t="n"/>
      <c r="F112" s="84" t="n"/>
      <c r="G112" s="50" t="n"/>
      <c r="H112" s="84" t="n"/>
      <c r="I112" s="84" t="n"/>
      <c r="J112" s="84" t="n"/>
      <c r="K112" s="84" t="n"/>
      <c r="L112" s="84" t="n"/>
      <c r="M112" s="84" t="n"/>
      <c r="N112" s="50" t="n"/>
      <c r="O112" s="84" t="n"/>
      <c r="P112" s="84">
        <f>IF(AND($A112="",$B112=""),"",N(D112)-N(E112)+N(J112)-N(K112))</f>
        <v/>
      </c>
      <c r="Q112" s="84">
        <f>IF(AND($A112="",$B112=""),"",IF(COUNT(L112:M112,O112)=0,"",P112-(N(L112)-N(M112))))</f>
        <v/>
      </c>
      <c r="R112" s="54">
        <f>IF(AND($A112="",$B112=""),"",IF(COUNT(L112:M112,O112)=0,"kein Mandanten-Saldo",IF(OR(AND(L112="",M112="")),"",IF(ABS(ROUND(((ROUND(N(D112)*100,0)+ROUND(N(J112)*100,0)+ROUND(N(M112)*100,0))-(ROUND(N(E112)*100,0)+ROUND(N(K112)*100,0)+ROUND(N(L112)*100,0))),0)-(0))&lt;=0,"OK","ABWEICHUNG"))))</f>
        <v/>
      </c>
      <c r="S112" s="84" t="n"/>
      <c r="T112" s="50" t="n"/>
      <c r="U112" s="50" t="n"/>
      <c r="V112" s="50" t="n"/>
      <c r="W112" s="50" t="n"/>
      <c r="X112" s="50" t="n"/>
      <c r="Y112" s="50" t="n"/>
      <c r="Z112" s="50" t="n"/>
    </row>
    <row r="113">
      <c r="A113" s="50" t="n"/>
      <c r="B113" s="50" t="n"/>
      <c r="C113" s="50" t="n"/>
      <c r="D113" s="84" t="n"/>
      <c r="E113" s="84" t="n"/>
      <c r="F113" s="84" t="n"/>
      <c r="G113" s="50" t="n"/>
      <c r="H113" s="84" t="n"/>
      <c r="I113" s="84" t="n"/>
      <c r="J113" s="84" t="n"/>
      <c r="K113" s="84" t="n"/>
      <c r="L113" s="84" t="n"/>
      <c r="M113" s="84" t="n"/>
      <c r="N113" s="50" t="n"/>
      <c r="O113" s="84" t="n"/>
      <c r="P113" s="84">
        <f>IF(AND($A113="",$B113=""),"",N(D113)-N(E113)+N(J113)-N(K113))</f>
        <v/>
      </c>
      <c r="Q113" s="84">
        <f>IF(AND($A113="",$B113=""),"",IF(COUNT(L113:M113,O113)=0,"",P113-(N(L113)-N(M113))))</f>
        <v/>
      </c>
      <c r="R113" s="54">
        <f>IF(AND($A113="",$B113=""),"",IF(COUNT(L113:M113,O113)=0,"kein Mandanten-Saldo",IF(OR(AND(L113="",M113="")),"",IF(ABS(ROUND(((ROUND(N(D113)*100,0)+ROUND(N(J113)*100,0)+ROUND(N(M113)*100,0))-(ROUND(N(E113)*100,0)+ROUND(N(K113)*100,0)+ROUND(N(L113)*100,0))),0)-(0))&lt;=0,"OK","ABWEICHUNG"))))</f>
        <v/>
      </c>
      <c r="S113" s="84" t="n"/>
      <c r="T113" s="50" t="n"/>
      <c r="U113" s="50" t="n"/>
      <c r="V113" s="50" t="n"/>
      <c r="W113" s="50" t="n"/>
      <c r="X113" s="50" t="n"/>
      <c r="Y113" s="50" t="n"/>
      <c r="Z113" s="50" t="n"/>
    </row>
    <row r="114">
      <c r="A114" s="50" t="n"/>
      <c r="B114" s="50" t="n"/>
      <c r="C114" s="50" t="n"/>
      <c r="D114" s="84" t="n"/>
      <c r="E114" s="84" t="n"/>
      <c r="F114" s="84" t="n"/>
      <c r="G114" s="50" t="n"/>
      <c r="H114" s="84" t="n"/>
      <c r="I114" s="84" t="n"/>
      <c r="J114" s="84" t="n"/>
      <c r="K114" s="84" t="n"/>
      <c r="L114" s="84" t="n"/>
      <c r="M114" s="84" t="n"/>
      <c r="N114" s="50" t="n"/>
      <c r="O114" s="84" t="n"/>
      <c r="P114" s="84">
        <f>IF(AND($A114="",$B114=""),"",N(D114)-N(E114)+N(J114)-N(K114))</f>
        <v/>
      </c>
      <c r="Q114" s="84">
        <f>IF(AND($A114="",$B114=""),"",IF(COUNT(L114:M114,O114)=0,"",P114-(N(L114)-N(M114))))</f>
        <v/>
      </c>
      <c r="R114" s="54">
        <f>IF(AND($A114="",$B114=""),"",IF(COUNT(L114:M114,O114)=0,"kein Mandanten-Saldo",IF(OR(AND(L114="",M114="")),"",IF(ABS(ROUND(((ROUND(N(D114)*100,0)+ROUND(N(J114)*100,0)+ROUND(N(M114)*100,0))-(ROUND(N(E114)*100,0)+ROUND(N(K114)*100,0)+ROUND(N(L114)*100,0))),0)-(0))&lt;=0,"OK","ABWEICHUNG"))))</f>
        <v/>
      </c>
      <c r="S114" s="84" t="n"/>
      <c r="T114" s="50" t="n"/>
      <c r="U114" s="50" t="n"/>
      <c r="V114" s="50" t="n"/>
      <c r="W114" s="50" t="n"/>
      <c r="X114" s="50" t="n"/>
      <c r="Y114" s="50" t="n"/>
      <c r="Z114" s="50" t="n"/>
    </row>
    <row r="115">
      <c r="A115" s="50" t="n"/>
      <c r="B115" s="50" t="n"/>
      <c r="C115" s="50" t="n"/>
      <c r="D115" s="84" t="n"/>
      <c r="E115" s="84" t="n"/>
      <c r="F115" s="84" t="n"/>
      <c r="G115" s="50" t="n"/>
      <c r="H115" s="84" t="n"/>
      <c r="I115" s="84" t="n"/>
      <c r="J115" s="84" t="n"/>
      <c r="K115" s="84" t="n"/>
      <c r="L115" s="84" t="n"/>
      <c r="M115" s="84" t="n"/>
      <c r="N115" s="50" t="n"/>
      <c r="O115" s="84" t="n"/>
      <c r="P115" s="84">
        <f>IF(AND($A115="",$B115=""),"",N(D115)-N(E115)+N(J115)-N(K115))</f>
        <v/>
      </c>
      <c r="Q115" s="84">
        <f>IF(AND($A115="",$B115=""),"",IF(COUNT(L115:M115,O115)=0,"",P115-(N(L115)-N(M115))))</f>
        <v/>
      </c>
      <c r="R115" s="54">
        <f>IF(AND($A115="",$B115=""),"",IF(COUNT(L115:M115,O115)=0,"kein Mandanten-Saldo",IF(OR(AND(L115="",M115="")),"",IF(ABS(ROUND(((ROUND(N(D115)*100,0)+ROUND(N(J115)*100,0)+ROUND(N(M115)*100,0))-(ROUND(N(E115)*100,0)+ROUND(N(K115)*100,0)+ROUND(N(L115)*100,0))),0)-(0))&lt;=0,"OK","ABWEICHUNG"))))</f>
        <v/>
      </c>
      <c r="S115" s="84" t="n"/>
      <c r="T115" s="50" t="n"/>
      <c r="U115" s="50" t="n"/>
      <c r="V115" s="50" t="n"/>
      <c r="W115" s="50" t="n"/>
      <c r="X115" s="50" t="n"/>
      <c r="Y115" s="50" t="n"/>
      <c r="Z115" s="50" t="n"/>
    </row>
    <row r="116">
      <c r="A116" s="50" t="n"/>
      <c r="B116" s="50" t="n"/>
      <c r="C116" s="50" t="n"/>
      <c r="D116" s="84" t="n"/>
      <c r="E116" s="84" t="n"/>
      <c r="F116" s="84" t="n"/>
      <c r="G116" s="50" t="n"/>
      <c r="H116" s="84" t="n"/>
      <c r="I116" s="84" t="n"/>
      <c r="J116" s="84" t="n"/>
      <c r="K116" s="84" t="n"/>
      <c r="L116" s="84" t="n"/>
      <c r="M116" s="84" t="n"/>
      <c r="N116" s="50" t="n"/>
      <c r="O116" s="84" t="n"/>
      <c r="P116" s="84">
        <f>IF(AND($A116="",$B116=""),"",N(D116)-N(E116)+N(J116)-N(K116))</f>
        <v/>
      </c>
      <c r="Q116" s="84">
        <f>IF(AND($A116="",$B116=""),"",IF(COUNT(L116:M116,O116)=0,"",P116-(N(L116)-N(M116))))</f>
        <v/>
      </c>
      <c r="R116" s="54">
        <f>IF(AND($A116="",$B116=""),"",IF(COUNT(L116:M116,O116)=0,"kein Mandanten-Saldo",IF(OR(AND(L116="",M116="")),"",IF(ABS(ROUND(((ROUND(N(D116)*100,0)+ROUND(N(J116)*100,0)+ROUND(N(M116)*100,0))-(ROUND(N(E116)*100,0)+ROUND(N(K116)*100,0)+ROUND(N(L116)*100,0))),0)-(0))&lt;=0,"OK","ABWEICHUNG"))))</f>
        <v/>
      </c>
      <c r="S116" s="84" t="n"/>
      <c r="T116" s="50" t="n"/>
      <c r="U116" s="50" t="n"/>
      <c r="V116" s="50" t="n"/>
      <c r="W116" s="50" t="n"/>
      <c r="X116" s="50" t="n"/>
      <c r="Y116" s="50" t="n"/>
      <c r="Z116" s="50" t="n"/>
    </row>
    <row r="117">
      <c r="A117" s="50" t="n"/>
      <c r="B117" s="50" t="n"/>
      <c r="C117" s="50" t="n"/>
      <c r="D117" s="84" t="n"/>
      <c r="E117" s="84" t="n"/>
      <c r="F117" s="84" t="n"/>
      <c r="G117" s="50" t="n"/>
      <c r="H117" s="84" t="n"/>
      <c r="I117" s="84" t="n"/>
      <c r="J117" s="84" t="n"/>
      <c r="K117" s="84" t="n"/>
      <c r="L117" s="84" t="n"/>
      <c r="M117" s="84" t="n"/>
      <c r="N117" s="50" t="n"/>
      <c r="O117" s="84" t="n"/>
      <c r="P117" s="84">
        <f>IF(AND($A117="",$B117=""),"",N(D117)-N(E117)+N(J117)-N(K117))</f>
        <v/>
      </c>
      <c r="Q117" s="84">
        <f>IF(AND($A117="",$B117=""),"",IF(COUNT(L117:M117,O117)=0,"",P117-(N(L117)-N(M117))))</f>
        <v/>
      </c>
      <c r="R117" s="54">
        <f>IF(AND($A117="",$B117=""),"",IF(COUNT(L117:M117,O117)=0,"kein Mandanten-Saldo",IF(OR(AND(L117="",M117="")),"",IF(ABS(ROUND(((ROUND(N(D117)*100,0)+ROUND(N(J117)*100,0)+ROUND(N(M117)*100,0))-(ROUND(N(E117)*100,0)+ROUND(N(K117)*100,0)+ROUND(N(L117)*100,0))),0)-(0))&lt;=0,"OK","ABWEICHUNG"))))</f>
        <v/>
      </c>
      <c r="S117" s="84" t="n"/>
      <c r="T117" s="50" t="n"/>
      <c r="U117" s="50" t="n"/>
      <c r="V117" s="50" t="n"/>
      <c r="W117" s="50" t="n"/>
      <c r="X117" s="50" t="n"/>
      <c r="Y117" s="50" t="n"/>
      <c r="Z117" s="50" t="n"/>
    </row>
    <row r="118">
      <c r="A118" s="50" t="n"/>
      <c r="B118" s="50" t="n"/>
      <c r="C118" s="50" t="n"/>
      <c r="D118" s="84" t="n"/>
      <c r="E118" s="84" t="n"/>
      <c r="F118" s="84" t="n"/>
      <c r="G118" s="50" t="n"/>
      <c r="H118" s="84" t="n"/>
      <c r="I118" s="84" t="n"/>
      <c r="J118" s="84" t="n"/>
      <c r="K118" s="84" t="n"/>
      <c r="L118" s="84" t="n"/>
      <c r="M118" s="84" t="n"/>
      <c r="N118" s="50" t="n"/>
      <c r="O118" s="84" t="n"/>
      <c r="P118" s="84">
        <f>IF(AND($A118="",$B118=""),"",N(D118)-N(E118)+N(J118)-N(K118))</f>
        <v/>
      </c>
      <c r="Q118" s="84">
        <f>IF(AND($A118="",$B118=""),"",IF(COUNT(L118:M118,O118)=0,"",P118-(N(L118)-N(M118))))</f>
        <v/>
      </c>
      <c r="R118" s="54">
        <f>IF(AND($A118="",$B118=""),"",IF(COUNT(L118:M118,O118)=0,"kein Mandanten-Saldo",IF(OR(AND(L118="",M118="")),"",IF(ABS(ROUND(((ROUND(N(D118)*100,0)+ROUND(N(J118)*100,0)+ROUND(N(M118)*100,0))-(ROUND(N(E118)*100,0)+ROUND(N(K118)*100,0)+ROUND(N(L118)*100,0))),0)-(0))&lt;=0,"OK","ABWEICHUNG"))))</f>
        <v/>
      </c>
      <c r="S118" s="84" t="n"/>
      <c r="T118" s="50" t="n"/>
      <c r="U118" s="50" t="n"/>
      <c r="V118" s="50" t="n"/>
      <c r="W118" s="50" t="n"/>
      <c r="X118" s="50" t="n"/>
      <c r="Y118" s="50" t="n"/>
      <c r="Z118" s="50" t="n"/>
    </row>
    <row r="119">
      <c r="A119" s="50" t="n"/>
      <c r="B119" s="50" t="n"/>
      <c r="C119" s="50" t="n"/>
      <c r="D119" s="84" t="n"/>
      <c r="E119" s="84" t="n"/>
      <c r="F119" s="84" t="n"/>
      <c r="G119" s="50" t="n"/>
      <c r="H119" s="84" t="n"/>
      <c r="I119" s="84" t="n"/>
      <c r="J119" s="84" t="n"/>
      <c r="K119" s="84" t="n"/>
      <c r="L119" s="84" t="n"/>
      <c r="M119" s="84" t="n"/>
      <c r="N119" s="50" t="n"/>
      <c r="O119" s="84" t="n"/>
      <c r="P119" s="84">
        <f>IF(AND($A119="",$B119=""),"",N(D119)-N(E119)+N(J119)-N(K119))</f>
        <v/>
      </c>
      <c r="Q119" s="84">
        <f>IF(AND($A119="",$B119=""),"",IF(COUNT(L119:M119,O119)=0,"",P119-(N(L119)-N(M119))))</f>
        <v/>
      </c>
      <c r="R119" s="54">
        <f>IF(AND($A119="",$B119=""),"",IF(COUNT(L119:M119,O119)=0,"kein Mandanten-Saldo",IF(OR(AND(L119="",M119="")),"",IF(ABS(ROUND(((ROUND(N(D119)*100,0)+ROUND(N(J119)*100,0)+ROUND(N(M119)*100,0))-(ROUND(N(E119)*100,0)+ROUND(N(K119)*100,0)+ROUND(N(L119)*100,0))),0)-(0))&lt;=0,"OK","ABWEICHUNG"))))</f>
        <v/>
      </c>
      <c r="S119" s="84" t="n"/>
      <c r="T119" s="50" t="n"/>
      <c r="U119" s="50" t="n"/>
      <c r="V119" s="50" t="n"/>
      <c r="W119" s="50" t="n"/>
      <c r="X119" s="50" t="n"/>
      <c r="Y119" s="50" t="n"/>
      <c r="Z119" s="50" t="n"/>
    </row>
    <row r="120">
      <c r="A120" s="50" t="n"/>
      <c r="B120" s="50" t="n"/>
      <c r="C120" s="50" t="n"/>
      <c r="D120" s="84" t="n"/>
      <c r="E120" s="84" t="n"/>
      <c r="F120" s="84" t="n"/>
      <c r="G120" s="50" t="n"/>
      <c r="H120" s="84" t="n"/>
      <c r="I120" s="84" t="n"/>
      <c r="J120" s="84" t="n"/>
      <c r="K120" s="84" t="n"/>
      <c r="L120" s="84" t="n"/>
      <c r="M120" s="84" t="n"/>
      <c r="N120" s="50" t="n"/>
      <c r="O120" s="84" t="n"/>
      <c r="P120" s="84">
        <f>IF(AND($A120="",$B120=""),"",N(D120)-N(E120)+N(J120)-N(K120))</f>
        <v/>
      </c>
      <c r="Q120" s="84">
        <f>IF(AND($A120="",$B120=""),"",IF(COUNT(L120:M120,O120)=0,"",P120-(N(L120)-N(M120))))</f>
        <v/>
      </c>
      <c r="R120" s="54">
        <f>IF(AND($A120="",$B120=""),"",IF(COUNT(L120:M120,O120)=0,"kein Mandanten-Saldo",IF(OR(AND(L120="",M120="")),"",IF(ABS(ROUND(((ROUND(N(D120)*100,0)+ROUND(N(J120)*100,0)+ROUND(N(M120)*100,0))-(ROUND(N(E120)*100,0)+ROUND(N(K120)*100,0)+ROUND(N(L120)*100,0))),0)-(0))&lt;=0,"OK","ABWEICHUNG"))))</f>
        <v/>
      </c>
      <c r="S120" s="84" t="n"/>
      <c r="T120" s="50" t="n"/>
      <c r="U120" s="50" t="n"/>
      <c r="V120" s="50" t="n"/>
      <c r="W120" s="50" t="n"/>
      <c r="X120" s="50" t="n"/>
      <c r="Y120" s="50" t="n"/>
      <c r="Z120" s="50" t="n"/>
    </row>
    <row r="121">
      <c r="A121" s="50" t="n"/>
      <c r="B121" s="50" t="n"/>
      <c r="C121" s="50" t="n"/>
      <c r="D121" s="84" t="n"/>
      <c r="E121" s="84" t="n"/>
      <c r="F121" s="84" t="n"/>
      <c r="G121" s="50" t="n"/>
      <c r="H121" s="84" t="n"/>
      <c r="I121" s="84" t="n"/>
      <c r="J121" s="84" t="n"/>
      <c r="K121" s="84" t="n"/>
      <c r="L121" s="84" t="n"/>
      <c r="M121" s="84" t="n"/>
      <c r="N121" s="50" t="n"/>
      <c r="O121" s="84" t="n"/>
      <c r="P121" s="84">
        <f>IF(AND($A121="",$B121=""),"",N(D121)-N(E121)+N(J121)-N(K121))</f>
        <v/>
      </c>
      <c r="Q121" s="84">
        <f>IF(AND($A121="",$B121=""),"",IF(COUNT(L121:M121,O121)=0,"",P121-(N(L121)-N(M121))))</f>
        <v/>
      </c>
      <c r="R121" s="54">
        <f>IF(AND($A121="",$B121=""),"",IF(COUNT(L121:M121,O121)=0,"kein Mandanten-Saldo",IF(OR(AND(L121="",M121="")),"",IF(ABS(ROUND(((ROUND(N(D121)*100,0)+ROUND(N(J121)*100,0)+ROUND(N(M121)*100,0))-(ROUND(N(E121)*100,0)+ROUND(N(K121)*100,0)+ROUND(N(L121)*100,0))),0)-(0))&lt;=0,"OK","ABWEICHUNG"))))</f>
        <v/>
      </c>
      <c r="S121" s="84" t="n"/>
      <c r="T121" s="50" t="n"/>
      <c r="U121" s="50" t="n"/>
      <c r="V121" s="50" t="n"/>
      <c r="W121" s="50" t="n"/>
      <c r="X121" s="50" t="n"/>
      <c r="Y121" s="50" t="n"/>
      <c r="Z121" s="50" t="n"/>
    </row>
    <row r="122">
      <c r="A122" s="50" t="n"/>
      <c r="B122" s="50" t="n"/>
      <c r="C122" s="50" t="n"/>
      <c r="D122" s="84" t="n"/>
      <c r="E122" s="84" t="n"/>
      <c r="F122" s="84" t="n"/>
      <c r="G122" s="50" t="n"/>
      <c r="H122" s="84" t="n"/>
      <c r="I122" s="84" t="n"/>
      <c r="J122" s="84" t="n"/>
      <c r="K122" s="84" t="n"/>
      <c r="L122" s="84" t="n"/>
      <c r="M122" s="84" t="n"/>
      <c r="N122" s="50" t="n"/>
      <c r="O122" s="84" t="n"/>
      <c r="P122" s="84">
        <f>IF(AND($A122="",$B122=""),"",N(D122)-N(E122)+N(J122)-N(K122))</f>
        <v/>
      </c>
      <c r="Q122" s="84">
        <f>IF(AND($A122="",$B122=""),"",IF(COUNT(L122:M122,O122)=0,"",P122-(N(L122)-N(M122))))</f>
        <v/>
      </c>
      <c r="R122" s="54">
        <f>IF(AND($A122="",$B122=""),"",IF(COUNT(L122:M122,O122)=0,"kein Mandanten-Saldo",IF(OR(AND(L122="",M122="")),"",IF(ABS(ROUND(((ROUND(N(D122)*100,0)+ROUND(N(J122)*100,0)+ROUND(N(M122)*100,0))-(ROUND(N(E122)*100,0)+ROUND(N(K122)*100,0)+ROUND(N(L122)*100,0))),0)-(0))&lt;=0,"OK","ABWEICHUNG"))))</f>
        <v/>
      </c>
      <c r="S122" s="84" t="n"/>
      <c r="T122" s="50" t="n"/>
      <c r="U122" s="50" t="n"/>
      <c r="V122" s="50" t="n"/>
      <c r="W122" s="50" t="n"/>
      <c r="X122" s="50" t="n"/>
      <c r="Y122" s="50" t="n"/>
      <c r="Z122" s="50" t="n"/>
    </row>
    <row r="123">
      <c r="A123" s="50" t="n"/>
      <c r="B123" s="50" t="n"/>
      <c r="C123" s="50" t="n"/>
      <c r="D123" s="84" t="n"/>
      <c r="E123" s="84" t="n"/>
      <c r="F123" s="84" t="n"/>
      <c r="G123" s="50" t="n"/>
      <c r="H123" s="84" t="n"/>
      <c r="I123" s="84" t="n"/>
      <c r="J123" s="84" t="n"/>
      <c r="K123" s="84" t="n"/>
      <c r="L123" s="84" t="n"/>
      <c r="M123" s="84" t="n"/>
      <c r="N123" s="50" t="n"/>
      <c r="O123" s="84" t="n"/>
      <c r="P123" s="84">
        <f>IF(AND($A123="",$B123=""),"",N(D123)-N(E123)+N(J123)-N(K123))</f>
        <v/>
      </c>
      <c r="Q123" s="84">
        <f>IF(AND($A123="",$B123=""),"",IF(COUNT(L123:M123,O123)=0,"",P123-(N(L123)-N(M123))))</f>
        <v/>
      </c>
      <c r="R123" s="54">
        <f>IF(AND($A123="",$B123=""),"",IF(COUNT(L123:M123,O123)=0,"kein Mandanten-Saldo",IF(OR(AND(L123="",M123="")),"",IF(ABS(ROUND(((ROUND(N(D123)*100,0)+ROUND(N(J123)*100,0)+ROUND(N(M123)*100,0))-(ROUND(N(E123)*100,0)+ROUND(N(K123)*100,0)+ROUND(N(L123)*100,0))),0)-(0))&lt;=0,"OK","ABWEICHUNG"))))</f>
        <v/>
      </c>
      <c r="S123" s="84" t="n"/>
      <c r="T123" s="50" t="n"/>
      <c r="U123" s="50" t="n"/>
      <c r="V123" s="50" t="n"/>
      <c r="W123" s="50" t="n"/>
      <c r="X123" s="50" t="n"/>
      <c r="Y123" s="50" t="n"/>
      <c r="Z123" s="50" t="n"/>
    </row>
    <row r="124">
      <c r="A124" s="50" t="n"/>
      <c r="B124" s="50" t="n"/>
      <c r="C124" s="50" t="n"/>
      <c r="D124" s="84" t="n"/>
      <c r="E124" s="84" t="n"/>
      <c r="F124" s="84" t="n"/>
      <c r="G124" s="50" t="n"/>
      <c r="H124" s="84" t="n"/>
      <c r="I124" s="84" t="n"/>
      <c r="J124" s="84" t="n"/>
      <c r="K124" s="84" t="n"/>
      <c r="L124" s="84" t="n"/>
      <c r="M124" s="84" t="n"/>
      <c r="N124" s="50" t="n"/>
      <c r="O124" s="84" t="n"/>
      <c r="P124" s="84">
        <f>IF(AND($A124="",$B124=""),"",N(D124)-N(E124)+N(J124)-N(K124))</f>
        <v/>
      </c>
      <c r="Q124" s="84">
        <f>IF(AND($A124="",$B124=""),"",IF(COUNT(L124:M124,O124)=0,"",P124-(N(L124)-N(M124))))</f>
        <v/>
      </c>
      <c r="R124" s="54">
        <f>IF(AND($A124="",$B124=""),"",IF(COUNT(L124:M124,O124)=0,"kein Mandanten-Saldo",IF(OR(AND(L124="",M124="")),"",IF(ABS(ROUND(((ROUND(N(D124)*100,0)+ROUND(N(J124)*100,0)+ROUND(N(M124)*100,0))-(ROUND(N(E124)*100,0)+ROUND(N(K124)*100,0)+ROUND(N(L124)*100,0))),0)-(0))&lt;=0,"OK","ABWEICHUNG"))))</f>
        <v/>
      </c>
      <c r="S124" s="84" t="n"/>
      <c r="T124" s="50" t="n"/>
      <c r="U124" s="50" t="n"/>
      <c r="V124" s="50" t="n"/>
      <c r="W124" s="50" t="n"/>
      <c r="X124" s="50" t="n"/>
      <c r="Y124" s="50" t="n"/>
      <c r="Z124" s="50" t="n"/>
    </row>
    <row r="125">
      <c r="A125" s="50" t="n"/>
      <c r="B125" s="50" t="n"/>
      <c r="C125" s="50" t="n"/>
      <c r="D125" s="84" t="n"/>
      <c r="E125" s="84" t="n"/>
      <c r="F125" s="84" t="n"/>
      <c r="G125" s="50" t="n"/>
      <c r="H125" s="84" t="n"/>
      <c r="I125" s="84" t="n"/>
      <c r="J125" s="84" t="n"/>
      <c r="K125" s="84" t="n"/>
      <c r="L125" s="84" t="n"/>
      <c r="M125" s="84" t="n"/>
      <c r="N125" s="50" t="n"/>
      <c r="O125" s="84" t="n"/>
      <c r="P125" s="84">
        <f>IF(AND($A125="",$B125=""),"",N(D125)-N(E125)+N(J125)-N(K125))</f>
        <v/>
      </c>
      <c r="Q125" s="84">
        <f>IF(AND($A125="",$B125=""),"",IF(COUNT(L125:M125,O125)=0,"",P125-(N(L125)-N(M125))))</f>
        <v/>
      </c>
      <c r="R125" s="54">
        <f>IF(AND($A125="",$B125=""),"",IF(COUNT(L125:M125,O125)=0,"kein Mandanten-Saldo",IF(OR(AND(L125="",M125="")),"",IF(ABS(ROUND(((ROUND(N(D125)*100,0)+ROUND(N(J125)*100,0)+ROUND(N(M125)*100,0))-(ROUND(N(E125)*100,0)+ROUND(N(K125)*100,0)+ROUND(N(L125)*100,0))),0)-(0))&lt;=0,"OK","ABWEICHUNG"))))</f>
        <v/>
      </c>
      <c r="S125" s="84" t="n"/>
      <c r="T125" s="50" t="n"/>
      <c r="U125" s="50" t="n"/>
      <c r="V125" s="50" t="n"/>
      <c r="W125" s="50" t="n"/>
      <c r="X125" s="50" t="n"/>
      <c r="Y125" s="50" t="n"/>
      <c r="Z125" s="50" t="n"/>
    </row>
    <row r="126">
      <c r="A126" s="50" t="n"/>
      <c r="B126" s="50" t="n"/>
      <c r="C126" s="50" t="n"/>
      <c r="D126" s="84" t="n"/>
      <c r="E126" s="84" t="n"/>
      <c r="F126" s="84" t="n"/>
      <c r="G126" s="50" t="n"/>
      <c r="H126" s="84" t="n"/>
      <c r="I126" s="84" t="n"/>
      <c r="J126" s="84" t="n"/>
      <c r="K126" s="84" t="n"/>
      <c r="L126" s="84" t="n"/>
      <c r="M126" s="84" t="n"/>
      <c r="N126" s="50" t="n"/>
      <c r="O126" s="84" t="n"/>
      <c r="P126" s="84">
        <f>IF(AND($A126="",$B126=""),"",N(D126)-N(E126)+N(J126)-N(K126))</f>
        <v/>
      </c>
      <c r="Q126" s="84">
        <f>IF(AND($A126="",$B126=""),"",IF(COUNT(L126:M126,O126)=0,"",P126-(N(L126)-N(M126))))</f>
        <v/>
      </c>
      <c r="R126" s="54">
        <f>IF(AND($A126="",$B126=""),"",IF(COUNT(L126:M126,O126)=0,"kein Mandanten-Saldo",IF(OR(AND(L126="",M126="")),"",IF(ABS(ROUND(((ROUND(N(D126)*100,0)+ROUND(N(J126)*100,0)+ROUND(N(M126)*100,0))-(ROUND(N(E126)*100,0)+ROUND(N(K126)*100,0)+ROUND(N(L126)*100,0))),0)-(0))&lt;=0,"OK","ABWEICHUNG"))))</f>
        <v/>
      </c>
      <c r="S126" s="84" t="n"/>
      <c r="T126" s="50" t="n"/>
      <c r="U126" s="50" t="n"/>
      <c r="V126" s="50" t="n"/>
      <c r="W126" s="50" t="n"/>
      <c r="X126" s="50" t="n"/>
      <c r="Y126" s="50" t="n"/>
      <c r="Z126" s="50" t="n"/>
    </row>
    <row r="127">
      <c r="A127" s="50" t="n"/>
      <c r="B127" s="50" t="n"/>
      <c r="C127" s="50" t="n"/>
      <c r="D127" s="84" t="n"/>
      <c r="E127" s="84" t="n"/>
      <c r="F127" s="84" t="n"/>
      <c r="G127" s="50" t="n"/>
      <c r="H127" s="84" t="n"/>
      <c r="I127" s="84" t="n"/>
      <c r="J127" s="84" t="n"/>
      <c r="K127" s="84" t="n"/>
      <c r="L127" s="84" t="n"/>
      <c r="M127" s="84" t="n"/>
      <c r="N127" s="50" t="n"/>
      <c r="O127" s="84" t="n"/>
      <c r="P127" s="84">
        <f>IF(AND($A127="",$B127=""),"",N(D127)-N(E127)+N(J127)-N(K127))</f>
        <v/>
      </c>
      <c r="Q127" s="84">
        <f>IF(AND($A127="",$B127=""),"",IF(COUNT(L127:M127,O127)=0,"",P127-(N(L127)-N(M127))))</f>
        <v/>
      </c>
      <c r="R127" s="54">
        <f>IF(AND($A127="",$B127=""),"",IF(COUNT(L127:M127,O127)=0,"kein Mandanten-Saldo",IF(OR(AND(L127="",M127="")),"",IF(ABS(ROUND(((ROUND(N(D127)*100,0)+ROUND(N(J127)*100,0)+ROUND(N(M127)*100,0))-(ROUND(N(E127)*100,0)+ROUND(N(K127)*100,0)+ROUND(N(L127)*100,0))),0)-(0))&lt;=0,"OK","ABWEICHUNG"))))</f>
        <v/>
      </c>
      <c r="S127" s="84" t="n"/>
      <c r="T127" s="50" t="n"/>
      <c r="U127" s="50" t="n"/>
      <c r="V127" s="50" t="n"/>
      <c r="W127" s="50" t="n"/>
      <c r="X127" s="50" t="n"/>
      <c r="Y127" s="50" t="n"/>
      <c r="Z127" s="50" t="n"/>
    </row>
    <row r="128">
      <c r="A128" s="50" t="n"/>
      <c r="B128" s="50" t="n"/>
      <c r="C128" s="50" t="n"/>
      <c r="D128" s="84" t="n"/>
      <c r="E128" s="84" t="n"/>
      <c r="F128" s="84" t="n"/>
      <c r="G128" s="50" t="n"/>
      <c r="H128" s="84" t="n"/>
      <c r="I128" s="84" t="n"/>
      <c r="J128" s="84" t="n"/>
      <c r="K128" s="84" t="n"/>
      <c r="L128" s="84" t="n"/>
      <c r="M128" s="84" t="n"/>
      <c r="N128" s="50" t="n"/>
      <c r="O128" s="84" t="n"/>
      <c r="P128" s="84">
        <f>IF(AND($A128="",$B128=""),"",N(D128)-N(E128)+N(J128)-N(K128))</f>
        <v/>
      </c>
      <c r="Q128" s="84">
        <f>IF(AND($A128="",$B128=""),"",IF(COUNT(L128:M128,O128)=0,"",P128-(N(L128)-N(M128))))</f>
        <v/>
      </c>
      <c r="R128" s="54">
        <f>IF(AND($A128="",$B128=""),"",IF(COUNT(L128:M128,O128)=0,"kein Mandanten-Saldo",IF(OR(AND(L128="",M128="")),"",IF(ABS(ROUND(((ROUND(N(D128)*100,0)+ROUND(N(J128)*100,0)+ROUND(N(M128)*100,0))-(ROUND(N(E128)*100,0)+ROUND(N(K128)*100,0)+ROUND(N(L128)*100,0))),0)-(0))&lt;=0,"OK","ABWEICHUNG"))))</f>
        <v/>
      </c>
      <c r="S128" s="84" t="n"/>
      <c r="T128" s="50" t="n"/>
      <c r="U128" s="50" t="n"/>
      <c r="V128" s="50" t="n"/>
      <c r="W128" s="50" t="n"/>
      <c r="X128" s="50" t="n"/>
      <c r="Y128" s="50" t="n"/>
      <c r="Z128" s="50" t="n"/>
    </row>
    <row r="129">
      <c r="A129" s="50" t="n"/>
      <c r="B129" s="50" t="n"/>
      <c r="C129" s="50" t="n"/>
      <c r="D129" s="84" t="n"/>
      <c r="E129" s="84" t="n"/>
      <c r="F129" s="84" t="n"/>
      <c r="G129" s="50" t="n"/>
      <c r="H129" s="84" t="n"/>
      <c r="I129" s="84" t="n"/>
      <c r="J129" s="84" t="n"/>
      <c r="K129" s="84" t="n"/>
      <c r="L129" s="84" t="n"/>
      <c r="M129" s="84" t="n"/>
      <c r="N129" s="50" t="n"/>
      <c r="O129" s="84" t="n"/>
      <c r="P129" s="84">
        <f>IF(AND($A129="",$B129=""),"",N(D129)-N(E129)+N(J129)-N(K129))</f>
        <v/>
      </c>
      <c r="Q129" s="84">
        <f>IF(AND($A129="",$B129=""),"",IF(COUNT(L129:M129,O129)=0,"",P129-(N(L129)-N(M129))))</f>
        <v/>
      </c>
      <c r="R129" s="54">
        <f>IF(AND($A129="",$B129=""),"",IF(COUNT(L129:M129,O129)=0,"kein Mandanten-Saldo",IF(OR(AND(L129="",M129="")),"",IF(ABS(ROUND(((ROUND(N(D129)*100,0)+ROUND(N(J129)*100,0)+ROUND(N(M129)*100,0))-(ROUND(N(E129)*100,0)+ROUND(N(K129)*100,0)+ROUND(N(L129)*100,0))),0)-(0))&lt;=0,"OK","ABWEICHUNG"))))</f>
        <v/>
      </c>
      <c r="S129" s="84" t="n"/>
      <c r="T129" s="50" t="n"/>
      <c r="U129" s="50" t="n"/>
      <c r="V129" s="50" t="n"/>
      <c r="W129" s="50" t="n"/>
      <c r="X129" s="50" t="n"/>
      <c r="Y129" s="50" t="n"/>
      <c r="Z129" s="50" t="n"/>
    </row>
    <row r="130">
      <c r="A130" s="50" t="n"/>
      <c r="B130" s="50" t="n"/>
      <c r="C130" s="50" t="n"/>
      <c r="D130" s="84" t="n"/>
      <c r="E130" s="84" t="n"/>
      <c r="F130" s="84" t="n"/>
      <c r="G130" s="50" t="n"/>
      <c r="H130" s="84" t="n"/>
      <c r="I130" s="84" t="n"/>
      <c r="J130" s="84" t="n"/>
      <c r="K130" s="84" t="n"/>
      <c r="L130" s="84" t="n"/>
      <c r="M130" s="84" t="n"/>
      <c r="N130" s="50" t="n"/>
      <c r="O130" s="84" t="n"/>
      <c r="P130" s="84">
        <f>IF(AND($A130="",$B130=""),"",N(D130)-N(E130)+N(J130)-N(K130))</f>
        <v/>
      </c>
      <c r="Q130" s="84">
        <f>IF(AND($A130="",$B130=""),"",IF(COUNT(L130:M130,O130)=0,"",P130-(N(L130)-N(M130))))</f>
        <v/>
      </c>
      <c r="R130" s="54">
        <f>IF(AND($A130="",$B130=""),"",IF(COUNT(L130:M130,O130)=0,"kein Mandanten-Saldo",IF(OR(AND(L130="",M130="")),"",IF(ABS(ROUND(((ROUND(N(D130)*100,0)+ROUND(N(J130)*100,0)+ROUND(N(M130)*100,0))-(ROUND(N(E130)*100,0)+ROUND(N(K130)*100,0)+ROUND(N(L130)*100,0))),0)-(0))&lt;=0,"OK","ABWEICHUNG"))))</f>
        <v/>
      </c>
      <c r="S130" s="84" t="n"/>
      <c r="T130" s="50" t="n"/>
      <c r="U130" s="50" t="n"/>
      <c r="V130" s="50" t="n"/>
      <c r="W130" s="50" t="n"/>
      <c r="X130" s="50" t="n"/>
      <c r="Y130" s="50" t="n"/>
      <c r="Z130" s="50" t="n"/>
    </row>
    <row r="131">
      <c r="A131" s="50" t="n"/>
      <c r="B131" s="50" t="n"/>
      <c r="C131" s="50" t="n"/>
      <c r="D131" s="84" t="n"/>
      <c r="E131" s="84" t="n"/>
      <c r="F131" s="84" t="n"/>
      <c r="G131" s="50" t="n"/>
      <c r="H131" s="84" t="n"/>
      <c r="I131" s="84" t="n"/>
      <c r="J131" s="84" t="n"/>
      <c r="K131" s="84" t="n"/>
      <c r="L131" s="84" t="n"/>
      <c r="M131" s="84" t="n"/>
      <c r="N131" s="50" t="n"/>
      <c r="O131" s="84" t="n"/>
      <c r="P131" s="84">
        <f>IF(AND($A131="",$B131=""),"",N(D131)-N(E131)+N(J131)-N(K131))</f>
        <v/>
      </c>
      <c r="Q131" s="84">
        <f>IF(AND($A131="",$B131=""),"",IF(COUNT(L131:M131,O131)=0,"",P131-(N(L131)-N(M131))))</f>
        <v/>
      </c>
      <c r="R131" s="54">
        <f>IF(AND($A131="",$B131=""),"",IF(COUNT(L131:M131,O131)=0,"kein Mandanten-Saldo",IF(OR(AND(L131="",M131="")),"",IF(ABS(ROUND(((ROUND(N(D131)*100,0)+ROUND(N(J131)*100,0)+ROUND(N(M131)*100,0))-(ROUND(N(E131)*100,0)+ROUND(N(K131)*100,0)+ROUND(N(L131)*100,0))),0)-(0))&lt;=0,"OK","ABWEICHUNG"))))</f>
        <v/>
      </c>
      <c r="S131" s="84" t="n"/>
      <c r="T131" s="50" t="n"/>
      <c r="U131" s="50" t="n"/>
      <c r="V131" s="50" t="n"/>
      <c r="W131" s="50" t="n"/>
      <c r="X131" s="50" t="n"/>
      <c r="Y131" s="50" t="n"/>
      <c r="Z131" s="50" t="n"/>
    </row>
    <row r="132">
      <c r="A132" s="50" t="n"/>
      <c r="B132" s="50" t="n"/>
      <c r="C132" s="50" t="n"/>
      <c r="D132" s="84" t="n"/>
      <c r="E132" s="84" t="n"/>
      <c r="F132" s="84" t="n"/>
      <c r="G132" s="50" t="n"/>
      <c r="H132" s="84" t="n"/>
      <c r="I132" s="84" t="n"/>
      <c r="J132" s="84" t="n"/>
      <c r="K132" s="84" t="n"/>
      <c r="L132" s="84" t="n"/>
      <c r="M132" s="84" t="n"/>
      <c r="N132" s="50" t="n"/>
      <c r="O132" s="84" t="n"/>
      <c r="P132" s="84">
        <f>IF(AND($A132="",$B132=""),"",N(D132)-N(E132)+N(J132)-N(K132))</f>
        <v/>
      </c>
      <c r="Q132" s="84">
        <f>IF(AND($A132="",$B132=""),"",IF(COUNT(L132:M132,O132)=0,"",P132-(N(L132)-N(M132))))</f>
        <v/>
      </c>
      <c r="R132" s="54">
        <f>IF(AND($A132="",$B132=""),"",IF(COUNT(L132:M132,O132)=0,"kein Mandanten-Saldo",IF(OR(AND(L132="",M132="")),"",IF(ABS(ROUND(((ROUND(N(D132)*100,0)+ROUND(N(J132)*100,0)+ROUND(N(M132)*100,0))-(ROUND(N(E132)*100,0)+ROUND(N(K132)*100,0)+ROUND(N(L132)*100,0))),0)-(0))&lt;=0,"OK","ABWEICHUNG"))))</f>
        <v/>
      </c>
      <c r="S132" s="84" t="n"/>
      <c r="T132" s="50" t="n"/>
      <c r="U132" s="50" t="n"/>
      <c r="V132" s="50" t="n"/>
      <c r="W132" s="50" t="n"/>
      <c r="X132" s="50" t="n"/>
      <c r="Y132" s="50" t="n"/>
      <c r="Z132" s="50" t="n"/>
    </row>
    <row r="133">
      <c r="A133" s="50" t="n"/>
      <c r="B133" s="50" t="n"/>
      <c r="C133" s="50" t="n"/>
      <c r="D133" s="84" t="n"/>
      <c r="E133" s="84" t="n"/>
      <c r="F133" s="84" t="n"/>
      <c r="G133" s="50" t="n"/>
      <c r="H133" s="84" t="n"/>
      <c r="I133" s="84" t="n"/>
      <c r="J133" s="84" t="n"/>
      <c r="K133" s="84" t="n"/>
      <c r="L133" s="84" t="n"/>
      <c r="M133" s="84" t="n"/>
      <c r="N133" s="50" t="n"/>
      <c r="O133" s="84" t="n"/>
      <c r="P133" s="84">
        <f>IF(AND($A133="",$B133=""),"",N(D133)-N(E133)+N(J133)-N(K133))</f>
        <v/>
      </c>
      <c r="Q133" s="84">
        <f>IF(AND($A133="",$B133=""),"",IF(COUNT(L133:M133,O133)=0,"",P133-(N(L133)-N(M133))))</f>
        <v/>
      </c>
      <c r="R133" s="54">
        <f>IF(AND($A133="",$B133=""),"",IF(COUNT(L133:M133,O133)=0,"kein Mandanten-Saldo",IF(OR(AND(L133="",M133="")),"",IF(ABS(ROUND(((ROUND(N(D133)*100,0)+ROUND(N(J133)*100,0)+ROUND(N(M133)*100,0))-(ROUND(N(E133)*100,0)+ROUND(N(K133)*100,0)+ROUND(N(L133)*100,0))),0)-(0))&lt;=0,"OK","ABWEICHUNG"))))</f>
        <v/>
      </c>
      <c r="S133" s="84" t="n"/>
      <c r="T133" s="50" t="n"/>
      <c r="U133" s="50" t="n"/>
      <c r="V133" s="50" t="n"/>
      <c r="W133" s="50" t="n"/>
      <c r="X133" s="50" t="n"/>
      <c r="Y133" s="50" t="n"/>
      <c r="Z133" s="50" t="n"/>
    </row>
    <row r="134">
      <c r="A134" s="50" t="n"/>
      <c r="B134" s="50" t="n"/>
      <c r="C134" s="50" t="n"/>
      <c r="D134" s="84" t="n"/>
      <c r="E134" s="84" t="n"/>
      <c r="F134" s="84" t="n"/>
      <c r="G134" s="50" t="n"/>
      <c r="H134" s="84" t="n"/>
      <c r="I134" s="84" t="n"/>
      <c r="J134" s="84" t="n"/>
      <c r="K134" s="84" t="n"/>
      <c r="L134" s="84" t="n"/>
      <c r="M134" s="84" t="n"/>
      <c r="N134" s="50" t="n"/>
      <c r="O134" s="84" t="n"/>
      <c r="P134" s="84">
        <f>IF(AND($A134="",$B134=""),"",N(D134)-N(E134)+N(J134)-N(K134))</f>
        <v/>
      </c>
      <c r="Q134" s="84">
        <f>IF(AND($A134="",$B134=""),"",IF(COUNT(L134:M134,O134)=0,"",P134-(N(L134)-N(M134))))</f>
        <v/>
      </c>
      <c r="R134" s="54">
        <f>IF(AND($A134="",$B134=""),"",IF(COUNT(L134:M134,O134)=0,"kein Mandanten-Saldo",IF(OR(AND(L134="",M134="")),"",IF(ABS(ROUND(((ROUND(N(D134)*100,0)+ROUND(N(J134)*100,0)+ROUND(N(M134)*100,0))-(ROUND(N(E134)*100,0)+ROUND(N(K134)*100,0)+ROUND(N(L134)*100,0))),0)-(0))&lt;=0,"OK","ABWEICHUNG"))))</f>
        <v/>
      </c>
      <c r="S134" s="84" t="n"/>
      <c r="T134" s="50" t="n"/>
      <c r="U134" s="50" t="n"/>
      <c r="V134" s="50" t="n"/>
      <c r="W134" s="50" t="n"/>
      <c r="X134" s="50" t="n"/>
      <c r="Y134" s="50" t="n"/>
      <c r="Z134" s="50" t="n"/>
    </row>
    <row r="135">
      <c r="A135" s="50" t="n"/>
      <c r="B135" s="50" t="n"/>
      <c r="C135" s="50" t="n"/>
      <c r="D135" s="84" t="n"/>
      <c r="E135" s="84" t="n"/>
      <c r="F135" s="84" t="n"/>
      <c r="G135" s="50" t="n"/>
      <c r="H135" s="84" t="n"/>
      <c r="I135" s="84" t="n"/>
      <c r="J135" s="84" t="n"/>
      <c r="K135" s="84" t="n"/>
      <c r="L135" s="84" t="n"/>
      <c r="M135" s="84" t="n"/>
      <c r="N135" s="50" t="n"/>
      <c r="O135" s="84" t="n"/>
      <c r="P135" s="84">
        <f>IF(AND($A135="",$B135=""),"",N(D135)-N(E135)+N(J135)-N(K135))</f>
        <v/>
      </c>
      <c r="Q135" s="84">
        <f>IF(AND($A135="",$B135=""),"",IF(COUNT(L135:M135,O135)=0,"",P135-(N(L135)-N(M135))))</f>
        <v/>
      </c>
      <c r="R135" s="54">
        <f>IF(AND($A135="",$B135=""),"",IF(COUNT(L135:M135,O135)=0,"kein Mandanten-Saldo",IF(OR(AND(L135="",M135="")),"",IF(ABS(ROUND(((ROUND(N(D135)*100,0)+ROUND(N(J135)*100,0)+ROUND(N(M135)*100,0))-(ROUND(N(E135)*100,0)+ROUND(N(K135)*100,0)+ROUND(N(L135)*100,0))),0)-(0))&lt;=0,"OK","ABWEICHUNG"))))</f>
        <v/>
      </c>
      <c r="S135" s="84" t="n"/>
      <c r="T135" s="50" t="n"/>
      <c r="U135" s="50" t="n"/>
      <c r="V135" s="50" t="n"/>
      <c r="W135" s="50" t="n"/>
      <c r="X135" s="50" t="n"/>
      <c r="Y135" s="50" t="n"/>
      <c r="Z135" s="50" t="n"/>
    </row>
    <row r="136">
      <c r="A136" s="50" t="n"/>
      <c r="B136" s="50" t="n"/>
      <c r="C136" s="50" t="n"/>
      <c r="D136" s="84" t="n"/>
      <c r="E136" s="84" t="n"/>
      <c r="F136" s="84" t="n"/>
      <c r="G136" s="50" t="n"/>
      <c r="H136" s="84" t="n"/>
      <c r="I136" s="84" t="n"/>
      <c r="J136" s="84" t="n"/>
      <c r="K136" s="84" t="n"/>
      <c r="L136" s="84" t="n"/>
      <c r="M136" s="84" t="n"/>
      <c r="N136" s="50" t="n"/>
      <c r="O136" s="84" t="n"/>
      <c r="P136" s="84">
        <f>IF(AND($A136="",$B136=""),"",N(D136)-N(E136)+N(J136)-N(K136))</f>
        <v/>
      </c>
      <c r="Q136" s="84">
        <f>IF(AND($A136="",$B136=""),"",IF(COUNT(L136:M136,O136)=0,"",P136-(N(L136)-N(M136))))</f>
        <v/>
      </c>
      <c r="R136" s="54">
        <f>IF(AND($A136="",$B136=""),"",IF(COUNT(L136:M136,O136)=0,"kein Mandanten-Saldo",IF(OR(AND(L136="",M136="")),"",IF(ABS(ROUND(((ROUND(N(D136)*100,0)+ROUND(N(J136)*100,0)+ROUND(N(M136)*100,0))-(ROUND(N(E136)*100,0)+ROUND(N(K136)*100,0)+ROUND(N(L136)*100,0))),0)-(0))&lt;=0,"OK","ABWEICHUNG"))))</f>
        <v/>
      </c>
      <c r="S136" s="84" t="n"/>
      <c r="T136" s="50" t="n"/>
      <c r="U136" s="50" t="n"/>
      <c r="V136" s="50" t="n"/>
      <c r="W136" s="50" t="n"/>
      <c r="X136" s="50" t="n"/>
      <c r="Y136" s="50" t="n"/>
      <c r="Z136" s="50" t="n"/>
    </row>
    <row r="137">
      <c r="A137" s="50" t="n"/>
      <c r="B137" s="50" t="n"/>
      <c r="C137" s="50" t="n"/>
      <c r="D137" s="84" t="n"/>
      <c r="E137" s="84" t="n"/>
      <c r="F137" s="84" t="n"/>
      <c r="G137" s="50" t="n"/>
      <c r="H137" s="84" t="n"/>
      <c r="I137" s="84" t="n"/>
      <c r="J137" s="84" t="n"/>
      <c r="K137" s="84" t="n"/>
      <c r="L137" s="84" t="n"/>
      <c r="M137" s="84" t="n"/>
      <c r="N137" s="50" t="n"/>
      <c r="O137" s="84" t="n"/>
      <c r="P137" s="84">
        <f>IF(AND($A137="",$B137=""),"",N(D137)-N(E137)+N(J137)-N(K137))</f>
        <v/>
      </c>
      <c r="Q137" s="84">
        <f>IF(AND($A137="",$B137=""),"",IF(COUNT(L137:M137,O137)=0,"",P137-(N(L137)-N(M137))))</f>
        <v/>
      </c>
      <c r="R137" s="54">
        <f>IF(AND($A137="",$B137=""),"",IF(COUNT(L137:M137,O137)=0,"kein Mandanten-Saldo",IF(OR(AND(L137="",M137="")),"",IF(ABS(ROUND(((ROUND(N(D137)*100,0)+ROUND(N(J137)*100,0)+ROUND(N(M137)*100,0))-(ROUND(N(E137)*100,0)+ROUND(N(K137)*100,0)+ROUND(N(L137)*100,0))),0)-(0))&lt;=0,"OK","ABWEICHUNG"))))</f>
        <v/>
      </c>
      <c r="S137" s="84" t="n"/>
      <c r="T137" s="50" t="n"/>
      <c r="U137" s="50" t="n"/>
      <c r="V137" s="50" t="n"/>
      <c r="W137" s="50" t="n"/>
      <c r="X137" s="50" t="n"/>
      <c r="Y137" s="50" t="n"/>
      <c r="Z137" s="50" t="n"/>
    </row>
    <row r="138">
      <c r="A138" s="50" t="n"/>
      <c r="B138" s="50" t="n"/>
      <c r="C138" s="50" t="n"/>
      <c r="D138" s="84" t="n"/>
      <c r="E138" s="84" t="n"/>
      <c r="F138" s="84" t="n"/>
      <c r="G138" s="50" t="n"/>
      <c r="H138" s="84" t="n"/>
      <c r="I138" s="84" t="n"/>
      <c r="J138" s="84" t="n"/>
      <c r="K138" s="84" t="n"/>
      <c r="L138" s="84" t="n"/>
      <c r="M138" s="84" t="n"/>
      <c r="N138" s="50" t="n"/>
      <c r="O138" s="84" t="n"/>
      <c r="P138" s="84">
        <f>IF(AND($A138="",$B138=""),"",N(D138)-N(E138)+N(J138)-N(K138))</f>
        <v/>
      </c>
      <c r="Q138" s="84">
        <f>IF(AND($A138="",$B138=""),"",IF(COUNT(L138:M138,O138)=0,"",P138-(N(L138)-N(M138))))</f>
        <v/>
      </c>
      <c r="R138" s="54">
        <f>IF(AND($A138="",$B138=""),"",IF(COUNT(L138:M138,O138)=0,"kein Mandanten-Saldo",IF(OR(AND(L138="",M138="")),"",IF(ABS(ROUND(((ROUND(N(D138)*100,0)+ROUND(N(J138)*100,0)+ROUND(N(M138)*100,0))-(ROUND(N(E138)*100,0)+ROUND(N(K138)*100,0)+ROUND(N(L138)*100,0))),0)-(0))&lt;=0,"OK","ABWEICHUNG"))))</f>
        <v/>
      </c>
      <c r="S138" s="84" t="n"/>
      <c r="T138" s="50" t="n"/>
      <c r="U138" s="50" t="n"/>
      <c r="V138" s="50" t="n"/>
      <c r="W138" s="50" t="n"/>
      <c r="X138" s="50" t="n"/>
      <c r="Y138" s="50" t="n"/>
      <c r="Z138" s="50" t="n"/>
    </row>
    <row r="139">
      <c r="A139" s="50" t="n"/>
      <c r="B139" s="50" t="n"/>
      <c r="C139" s="50" t="n"/>
      <c r="D139" s="84" t="n"/>
      <c r="E139" s="84" t="n"/>
      <c r="F139" s="84" t="n"/>
      <c r="G139" s="50" t="n"/>
      <c r="H139" s="84" t="n"/>
      <c r="I139" s="84" t="n"/>
      <c r="J139" s="84" t="n"/>
      <c r="K139" s="84" t="n"/>
      <c r="L139" s="84" t="n"/>
      <c r="M139" s="84" t="n"/>
      <c r="N139" s="50" t="n"/>
      <c r="O139" s="84" t="n"/>
      <c r="P139" s="84">
        <f>IF(AND($A139="",$B139=""),"",N(D139)-N(E139)+N(J139)-N(K139))</f>
        <v/>
      </c>
      <c r="Q139" s="84">
        <f>IF(AND($A139="",$B139=""),"",IF(COUNT(L139:M139,O139)=0,"",P139-(N(L139)-N(M139))))</f>
        <v/>
      </c>
      <c r="R139" s="54">
        <f>IF(AND($A139="",$B139=""),"",IF(COUNT(L139:M139,O139)=0,"kein Mandanten-Saldo",IF(OR(AND(L139="",M139="")),"",IF(ABS(ROUND(((ROUND(N(D139)*100,0)+ROUND(N(J139)*100,0)+ROUND(N(M139)*100,0))-(ROUND(N(E139)*100,0)+ROUND(N(K139)*100,0)+ROUND(N(L139)*100,0))),0)-(0))&lt;=0,"OK","ABWEICHUNG"))))</f>
        <v/>
      </c>
      <c r="S139" s="84" t="n"/>
      <c r="T139" s="50" t="n"/>
      <c r="U139" s="50" t="n"/>
      <c r="V139" s="50" t="n"/>
      <c r="W139" s="50" t="n"/>
      <c r="X139" s="50" t="n"/>
      <c r="Y139" s="50" t="n"/>
      <c r="Z139" s="50" t="n"/>
    </row>
    <row r="140">
      <c r="A140" s="50" t="n"/>
      <c r="B140" s="50" t="n"/>
      <c r="C140" s="50" t="n"/>
      <c r="D140" s="84" t="n"/>
      <c r="E140" s="84" t="n"/>
      <c r="F140" s="84" t="n"/>
      <c r="G140" s="50" t="n"/>
      <c r="H140" s="84" t="n"/>
      <c r="I140" s="84" t="n"/>
      <c r="J140" s="84" t="n"/>
      <c r="K140" s="84" t="n"/>
      <c r="L140" s="84" t="n"/>
      <c r="M140" s="84" t="n"/>
      <c r="N140" s="50" t="n"/>
      <c r="O140" s="84" t="n"/>
      <c r="P140" s="84">
        <f>IF(AND($A140="",$B140=""),"",N(D140)-N(E140)+N(J140)-N(K140))</f>
        <v/>
      </c>
      <c r="Q140" s="84">
        <f>IF(AND($A140="",$B140=""),"",IF(COUNT(L140:M140,O140)=0,"",P140-(N(L140)-N(M140))))</f>
        <v/>
      </c>
      <c r="R140" s="54">
        <f>IF(AND($A140="",$B140=""),"",IF(COUNT(L140:M140,O140)=0,"kein Mandanten-Saldo",IF(OR(AND(L140="",M140="")),"",IF(ABS(ROUND(((ROUND(N(D140)*100,0)+ROUND(N(J140)*100,0)+ROUND(N(M140)*100,0))-(ROUND(N(E140)*100,0)+ROUND(N(K140)*100,0)+ROUND(N(L140)*100,0))),0)-(0))&lt;=0,"OK","ABWEICHUNG"))))</f>
        <v/>
      </c>
      <c r="S140" s="84" t="n"/>
      <c r="T140" s="50" t="n"/>
      <c r="U140" s="50" t="n"/>
      <c r="V140" s="50" t="n"/>
      <c r="W140" s="50" t="n"/>
      <c r="X140" s="50" t="n"/>
      <c r="Y140" s="50" t="n"/>
      <c r="Z140" s="50" t="n"/>
    </row>
    <row r="141">
      <c r="A141" s="50" t="n"/>
      <c r="B141" s="50" t="n"/>
      <c r="C141" s="50" t="n"/>
      <c r="D141" s="84" t="n"/>
      <c r="E141" s="84" t="n"/>
      <c r="F141" s="84" t="n"/>
      <c r="G141" s="50" t="n"/>
      <c r="H141" s="84" t="n"/>
      <c r="I141" s="84" t="n"/>
      <c r="J141" s="84" t="n"/>
      <c r="K141" s="84" t="n"/>
      <c r="L141" s="84" t="n"/>
      <c r="M141" s="84" t="n"/>
      <c r="N141" s="50" t="n"/>
      <c r="O141" s="84" t="n"/>
      <c r="P141" s="84">
        <f>IF(AND($A141="",$B141=""),"",N(D141)-N(E141)+N(J141)-N(K141))</f>
        <v/>
      </c>
      <c r="Q141" s="84">
        <f>IF(AND($A141="",$B141=""),"",IF(COUNT(L141:M141,O141)=0,"",P141-(N(L141)-N(M141))))</f>
        <v/>
      </c>
      <c r="R141" s="54">
        <f>IF(AND($A141="",$B141=""),"",IF(COUNT(L141:M141,O141)=0,"kein Mandanten-Saldo",IF(OR(AND(L141="",M141="")),"",IF(ABS(ROUND(((ROUND(N(D141)*100,0)+ROUND(N(J141)*100,0)+ROUND(N(M141)*100,0))-(ROUND(N(E141)*100,0)+ROUND(N(K141)*100,0)+ROUND(N(L141)*100,0))),0)-(0))&lt;=0,"OK","ABWEICHUNG"))))</f>
        <v/>
      </c>
      <c r="S141" s="84" t="n"/>
      <c r="T141" s="50" t="n"/>
      <c r="U141" s="50" t="n"/>
      <c r="V141" s="50" t="n"/>
      <c r="W141" s="50" t="n"/>
      <c r="X141" s="50" t="n"/>
      <c r="Y141" s="50" t="n"/>
      <c r="Z141" s="50" t="n"/>
    </row>
    <row r="142">
      <c r="A142" s="50" t="n"/>
      <c r="B142" s="50" t="n"/>
      <c r="C142" s="50" t="n"/>
      <c r="D142" s="84" t="n"/>
      <c r="E142" s="84" t="n"/>
      <c r="F142" s="84" t="n"/>
      <c r="G142" s="50" t="n"/>
      <c r="H142" s="84" t="n"/>
      <c r="I142" s="84" t="n"/>
      <c r="J142" s="84" t="n"/>
      <c r="K142" s="84" t="n"/>
      <c r="L142" s="84" t="n"/>
      <c r="M142" s="84" t="n"/>
      <c r="N142" s="50" t="n"/>
      <c r="O142" s="84" t="n"/>
      <c r="P142" s="84">
        <f>IF(AND($A142="",$B142=""),"",N(D142)-N(E142)+N(J142)-N(K142))</f>
        <v/>
      </c>
      <c r="Q142" s="84">
        <f>IF(AND($A142="",$B142=""),"",IF(COUNT(L142:M142,O142)=0,"",P142-(N(L142)-N(M142))))</f>
        <v/>
      </c>
      <c r="R142" s="54">
        <f>IF(AND($A142="",$B142=""),"",IF(COUNT(L142:M142,O142)=0,"kein Mandanten-Saldo",IF(OR(AND(L142="",M142="")),"",IF(ABS(ROUND(((ROUND(N(D142)*100,0)+ROUND(N(J142)*100,0)+ROUND(N(M142)*100,0))-(ROUND(N(E142)*100,0)+ROUND(N(K142)*100,0)+ROUND(N(L142)*100,0))),0)-(0))&lt;=0,"OK","ABWEICHUNG"))))</f>
        <v/>
      </c>
      <c r="S142" s="84" t="n"/>
      <c r="T142" s="50" t="n"/>
      <c r="U142" s="50" t="n"/>
      <c r="V142" s="50" t="n"/>
      <c r="W142" s="50" t="n"/>
      <c r="X142" s="50" t="n"/>
      <c r="Y142" s="50" t="n"/>
      <c r="Z142" s="50" t="n"/>
    </row>
    <row r="143">
      <c r="A143" s="50" t="n"/>
      <c r="B143" s="50" t="n"/>
      <c r="C143" s="50" t="n"/>
      <c r="D143" s="84" t="n"/>
      <c r="E143" s="84" t="n"/>
      <c r="F143" s="84" t="n"/>
      <c r="G143" s="50" t="n"/>
      <c r="H143" s="84" t="n"/>
      <c r="I143" s="84" t="n"/>
      <c r="J143" s="84" t="n"/>
      <c r="K143" s="84" t="n"/>
      <c r="L143" s="84" t="n"/>
      <c r="M143" s="84" t="n"/>
      <c r="N143" s="50" t="n"/>
      <c r="O143" s="84" t="n"/>
      <c r="P143" s="84">
        <f>IF(AND($A143="",$B143=""),"",N(D143)-N(E143)+N(J143)-N(K143))</f>
        <v/>
      </c>
      <c r="Q143" s="84">
        <f>IF(AND($A143="",$B143=""),"",IF(COUNT(L143:M143,O143)=0,"",P143-(N(L143)-N(M143))))</f>
        <v/>
      </c>
      <c r="R143" s="54">
        <f>IF(AND($A143="",$B143=""),"",IF(COUNT(L143:M143,O143)=0,"kein Mandanten-Saldo",IF(OR(AND(L143="",M143="")),"",IF(ABS(ROUND(((ROUND(N(D143)*100,0)+ROUND(N(J143)*100,0)+ROUND(N(M143)*100,0))-(ROUND(N(E143)*100,0)+ROUND(N(K143)*100,0)+ROUND(N(L143)*100,0))),0)-(0))&lt;=0,"OK","ABWEICHUNG"))))</f>
        <v/>
      </c>
      <c r="S143" s="84" t="n"/>
      <c r="T143" s="50" t="n"/>
      <c r="U143" s="50" t="n"/>
      <c r="V143" s="50" t="n"/>
      <c r="W143" s="50" t="n"/>
      <c r="X143" s="50" t="n"/>
      <c r="Y143" s="50" t="n"/>
      <c r="Z143" s="50" t="n"/>
    </row>
    <row r="144">
      <c r="A144" s="50" t="n"/>
      <c r="B144" s="50" t="n"/>
      <c r="C144" s="50" t="n"/>
      <c r="D144" s="84" t="n"/>
      <c r="E144" s="84" t="n"/>
      <c r="F144" s="84" t="n"/>
      <c r="G144" s="50" t="n"/>
      <c r="H144" s="84" t="n"/>
      <c r="I144" s="84" t="n"/>
      <c r="J144" s="84" t="n"/>
      <c r="K144" s="84" t="n"/>
      <c r="L144" s="84" t="n"/>
      <c r="M144" s="84" t="n"/>
      <c r="N144" s="50" t="n"/>
      <c r="O144" s="84" t="n"/>
      <c r="P144" s="84">
        <f>IF(AND($A144="",$B144=""),"",N(D144)-N(E144)+N(J144)-N(K144))</f>
        <v/>
      </c>
      <c r="Q144" s="84">
        <f>IF(AND($A144="",$B144=""),"",IF(COUNT(L144:M144,O144)=0,"",P144-(N(L144)-N(M144))))</f>
        <v/>
      </c>
      <c r="R144" s="54">
        <f>IF(AND($A144="",$B144=""),"",IF(COUNT(L144:M144,O144)=0,"kein Mandanten-Saldo",IF(OR(AND(L144="",M144="")),"",IF(ABS(ROUND(((ROUND(N(D144)*100,0)+ROUND(N(J144)*100,0)+ROUND(N(M144)*100,0))-(ROUND(N(E144)*100,0)+ROUND(N(K144)*100,0)+ROUND(N(L144)*100,0))),0)-(0))&lt;=0,"OK","ABWEICHUNG"))))</f>
        <v/>
      </c>
      <c r="S144" s="84" t="n"/>
      <c r="T144" s="50" t="n"/>
      <c r="U144" s="50" t="n"/>
      <c r="V144" s="50" t="n"/>
      <c r="W144" s="50" t="n"/>
      <c r="X144" s="50" t="n"/>
      <c r="Y144" s="50" t="n"/>
      <c r="Z144" s="50" t="n"/>
    </row>
    <row r="145">
      <c r="A145" s="50" t="n"/>
      <c r="B145" s="50" t="n"/>
      <c r="C145" s="50" t="n"/>
      <c r="D145" s="84" t="n"/>
      <c r="E145" s="84" t="n"/>
      <c r="F145" s="84" t="n"/>
      <c r="G145" s="50" t="n"/>
      <c r="H145" s="84" t="n"/>
      <c r="I145" s="84" t="n"/>
      <c r="J145" s="84" t="n"/>
      <c r="K145" s="84" t="n"/>
      <c r="L145" s="84" t="n"/>
      <c r="M145" s="84" t="n"/>
      <c r="N145" s="50" t="n"/>
      <c r="O145" s="84" t="n"/>
      <c r="P145" s="84">
        <f>IF(AND($A145="",$B145=""),"",N(D145)-N(E145)+N(J145)-N(K145))</f>
        <v/>
      </c>
      <c r="Q145" s="84">
        <f>IF(AND($A145="",$B145=""),"",IF(COUNT(L145:M145,O145)=0,"",P145-(N(L145)-N(M145))))</f>
        <v/>
      </c>
      <c r="R145" s="54">
        <f>IF(AND($A145="",$B145=""),"",IF(COUNT(L145:M145,O145)=0,"kein Mandanten-Saldo",IF(OR(AND(L145="",M145="")),"",IF(ABS(ROUND(((ROUND(N(D145)*100,0)+ROUND(N(J145)*100,0)+ROUND(N(M145)*100,0))-(ROUND(N(E145)*100,0)+ROUND(N(K145)*100,0)+ROUND(N(L145)*100,0))),0)-(0))&lt;=0,"OK","ABWEICHUNG"))))</f>
        <v/>
      </c>
      <c r="S145" s="84" t="n"/>
      <c r="T145" s="50" t="n"/>
      <c r="U145" s="50" t="n"/>
      <c r="V145" s="50" t="n"/>
      <c r="W145" s="50" t="n"/>
      <c r="X145" s="50" t="n"/>
      <c r="Y145" s="50" t="n"/>
      <c r="Z145" s="50" t="n"/>
    </row>
    <row r="146">
      <c r="A146" s="50" t="n"/>
      <c r="B146" s="50" t="n"/>
      <c r="C146" s="50" t="n"/>
      <c r="D146" s="84" t="n"/>
      <c r="E146" s="84" t="n"/>
      <c r="F146" s="84" t="n"/>
      <c r="G146" s="50" t="n"/>
      <c r="H146" s="84" t="n"/>
      <c r="I146" s="84" t="n"/>
      <c r="J146" s="84" t="n"/>
      <c r="K146" s="84" t="n"/>
      <c r="L146" s="84" t="n"/>
      <c r="M146" s="84" t="n"/>
      <c r="N146" s="50" t="n"/>
      <c r="O146" s="84" t="n"/>
      <c r="P146" s="84">
        <f>IF(AND($A146="",$B146=""),"",N(D146)-N(E146)+N(J146)-N(K146))</f>
        <v/>
      </c>
      <c r="Q146" s="84">
        <f>IF(AND($A146="",$B146=""),"",IF(COUNT(L146:M146,O146)=0,"",P146-(N(L146)-N(M146))))</f>
        <v/>
      </c>
      <c r="R146" s="54">
        <f>IF(AND($A146="",$B146=""),"",IF(COUNT(L146:M146,O146)=0,"kein Mandanten-Saldo",IF(OR(AND(L146="",M146="")),"",IF(ABS(ROUND(((ROUND(N(D146)*100,0)+ROUND(N(J146)*100,0)+ROUND(N(M146)*100,0))-(ROUND(N(E146)*100,0)+ROUND(N(K146)*100,0)+ROUND(N(L146)*100,0))),0)-(0))&lt;=0,"OK","ABWEICHUNG"))))</f>
        <v/>
      </c>
      <c r="S146" s="84" t="n"/>
      <c r="T146" s="50" t="n"/>
      <c r="U146" s="50" t="n"/>
      <c r="V146" s="50" t="n"/>
      <c r="W146" s="50" t="n"/>
      <c r="X146" s="50" t="n"/>
      <c r="Y146" s="50" t="n"/>
      <c r="Z146" s="50" t="n"/>
    </row>
    <row r="147">
      <c r="A147" s="50" t="n"/>
      <c r="B147" s="50" t="n"/>
      <c r="C147" s="50" t="n"/>
      <c r="D147" s="84" t="n"/>
      <c r="E147" s="84" t="n"/>
      <c r="F147" s="84" t="n"/>
      <c r="G147" s="50" t="n"/>
      <c r="H147" s="84" t="n"/>
      <c r="I147" s="84" t="n"/>
      <c r="J147" s="84" t="n"/>
      <c r="K147" s="84" t="n"/>
      <c r="L147" s="84" t="n"/>
      <c r="M147" s="84" t="n"/>
      <c r="N147" s="50" t="n"/>
      <c r="O147" s="84" t="n"/>
      <c r="P147" s="84">
        <f>IF(AND($A147="",$B147=""),"",N(D147)-N(E147)+N(J147)-N(K147))</f>
        <v/>
      </c>
      <c r="Q147" s="84">
        <f>IF(AND($A147="",$B147=""),"",IF(COUNT(L147:M147,O147)=0,"",P147-(N(L147)-N(M147))))</f>
        <v/>
      </c>
      <c r="R147" s="54">
        <f>IF(AND($A147="",$B147=""),"",IF(COUNT(L147:M147,O147)=0,"kein Mandanten-Saldo",IF(OR(AND(L147="",M147="")),"",IF(ABS(ROUND(((ROUND(N(D147)*100,0)+ROUND(N(J147)*100,0)+ROUND(N(M147)*100,0))-(ROUND(N(E147)*100,0)+ROUND(N(K147)*100,0)+ROUND(N(L147)*100,0))),0)-(0))&lt;=0,"OK","ABWEICHUNG"))))</f>
        <v/>
      </c>
      <c r="S147" s="84" t="n"/>
      <c r="T147" s="50" t="n"/>
      <c r="U147" s="50" t="n"/>
      <c r="V147" s="50" t="n"/>
      <c r="W147" s="50" t="n"/>
      <c r="X147" s="50" t="n"/>
      <c r="Y147" s="50" t="n"/>
      <c r="Z147" s="50" t="n"/>
    </row>
    <row r="148">
      <c r="A148" s="50" t="n"/>
      <c r="B148" s="50" t="n"/>
      <c r="C148" s="50" t="n"/>
      <c r="D148" s="84" t="n"/>
      <c r="E148" s="84" t="n"/>
      <c r="F148" s="84" t="n"/>
      <c r="G148" s="50" t="n"/>
      <c r="H148" s="84" t="n"/>
      <c r="I148" s="84" t="n"/>
      <c r="J148" s="84" t="n"/>
      <c r="K148" s="84" t="n"/>
      <c r="L148" s="84" t="n"/>
      <c r="M148" s="84" t="n"/>
      <c r="N148" s="50" t="n"/>
      <c r="O148" s="84" t="n"/>
      <c r="P148" s="84">
        <f>IF(AND($A148="",$B148=""),"",N(D148)-N(E148)+N(J148)-N(K148))</f>
        <v/>
      </c>
      <c r="Q148" s="84">
        <f>IF(AND($A148="",$B148=""),"",IF(COUNT(L148:M148,O148)=0,"",P148-(N(L148)-N(M148))))</f>
        <v/>
      </c>
      <c r="R148" s="54">
        <f>IF(AND($A148="",$B148=""),"",IF(COUNT(L148:M148,O148)=0,"kein Mandanten-Saldo",IF(OR(AND(L148="",M148="")),"",IF(ABS(ROUND(((ROUND(N(D148)*100,0)+ROUND(N(J148)*100,0)+ROUND(N(M148)*100,0))-(ROUND(N(E148)*100,0)+ROUND(N(K148)*100,0)+ROUND(N(L148)*100,0))),0)-(0))&lt;=0,"OK","ABWEICHUNG"))))</f>
        <v/>
      </c>
      <c r="S148" s="84" t="n"/>
      <c r="T148" s="50" t="n"/>
      <c r="U148" s="50" t="n"/>
      <c r="V148" s="50" t="n"/>
      <c r="W148" s="50" t="n"/>
      <c r="X148" s="50" t="n"/>
      <c r="Y148" s="50" t="n"/>
      <c r="Z148" s="50" t="n"/>
    </row>
    <row r="149">
      <c r="A149" s="50" t="n"/>
      <c r="B149" s="50" t="n"/>
      <c r="C149" s="50" t="n"/>
      <c r="D149" s="84" t="n"/>
      <c r="E149" s="84" t="n"/>
      <c r="F149" s="84" t="n"/>
      <c r="G149" s="50" t="n"/>
      <c r="H149" s="84" t="n"/>
      <c r="I149" s="84" t="n"/>
      <c r="J149" s="84" t="n"/>
      <c r="K149" s="84" t="n"/>
      <c r="L149" s="84" t="n"/>
      <c r="M149" s="84" t="n"/>
      <c r="N149" s="50" t="n"/>
      <c r="O149" s="84" t="n"/>
      <c r="P149" s="84">
        <f>IF(AND($A149="",$B149=""),"",N(D149)-N(E149)+N(J149)-N(K149))</f>
        <v/>
      </c>
      <c r="Q149" s="84">
        <f>IF(AND($A149="",$B149=""),"",IF(COUNT(L149:M149,O149)=0,"",P149-(N(L149)-N(M149))))</f>
        <v/>
      </c>
      <c r="R149" s="54">
        <f>IF(AND($A149="",$B149=""),"",IF(COUNT(L149:M149,O149)=0,"kein Mandanten-Saldo",IF(OR(AND(L149="",M149="")),"",IF(ABS(ROUND(((ROUND(N(D149)*100,0)+ROUND(N(J149)*100,0)+ROUND(N(M149)*100,0))-(ROUND(N(E149)*100,0)+ROUND(N(K149)*100,0)+ROUND(N(L149)*100,0))),0)-(0))&lt;=0,"OK","ABWEICHUNG"))))</f>
        <v/>
      </c>
      <c r="S149" s="84" t="n"/>
      <c r="T149" s="50" t="n"/>
      <c r="U149" s="50" t="n"/>
      <c r="V149" s="50" t="n"/>
      <c r="W149" s="50" t="n"/>
      <c r="X149" s="50" t="n"/>
      <c r="Y149" s="50" t="n"/>
      <c r="Z149" s="50" t="n"/>
    </row>
    <row r="150">
      <c r="A150" s="50" t="n"/>
      <c r="B150" s="50" t="n"/>
      <c r="C150" s="50" t="n"/>
      <c r="D150" s="84" t="n"/>
      <c r="E150" s="84" t="n"/>
      <c r="F150" s="84" t="n"/>
      <c r="G150" s="50" t="n"/>
      <c r="H150" s="84" t="n"/>
      <c r="I150" s="84" t="n"/>
      <c r="J150" s="84" t="n"/>
      <c r="K150" s="84" t="n"/>
      <c r="L150" s="84" t="n"/>
      <c r="M150" s="84" t="n"/>
      <c r="N150" s="50" t="n"/>
      <c r="O150" s="84" t="n"/>
      <c r="P150" s="84">
        <f>IF(AND($A150="",$B150=""),"",N(D150)-N(E150)+N(J150)-N(K150))</f>
        <v/>
      </c>
      <c r="Q150" s="84">
        <f>IF(AND($A150="",$B150=""),"",IF(COUNT(L150:M150,O150)=0,"",P150-(N(L150)-N(M150))))</f>
        <v/>
      </c>
      <c r="R150" s="54">
        <f>IF(AND($A150="",$B150=""),"",IF(COUNT(L150:M150,O150)=0,"kein Mandanten-Saldo",IF(OR(AND(L150="",M150="")),"",IF(ABS(ROUND(((ROUND(N(D150)*100,0)+ROUND(N(J150)*100,0)+ROUND(N(M150)*100,0))-(ROUND(N(E150)*100,0)+ROUND(N(K150)*100,0)+ROUND(N(L150)*100,0))),0)-(0))&lt;=0,"OK","ABWEICHUNG"))))</f>
        <v/>
      </c>
      <c r="S150" s="84" t="n"/>
      <c r="T150" s="50" t="n"/>
      <c r="U150" s="50" t="n"/>
      <c r="V150" s="50" t="n"/>
      <c r="W150" s="50" t="n"/>
      <c r="X150" s="50" t="n"/>
      <c r="Y150" s="50" t="n"/>
      <c r="Z150" s="50" t="n"/>
    </row>
    <row r="151">
      <c r="A151" s="50" t="n"/>
      <c r="B151" s="50" t="n"/>
      <c r="C151" s="50" t="n"/>
      <c r="D151" s="84" t="n"/>
      <c r="E151" s="84" t="n"/>
      <c r="F151" s="84" t="n"/>
      <c r="G151" s="50" t="n"/>
      <c r="H151" s="84" t="n"/>
      <c r="I151" s="84" t="n"/>
      <c r="J151" s="84" t="n"/>
      <c r="K151" s="84" t="n"/>
      <c r="L151" s="84" t="n"/>
      <c r="M151" s="84" t="n"/>
      <c r="N151" s="50" t="n"/>
      <c r="O151" s="84" t="n"/>
      <c r="P151" s="84">
        <f>IF(AND($A151="",$B151=""),"",N(D151)-N(E151)+N(J151)-N(K151))</f>
        <v/>
      </c>
      <c r="Q151" s="84">
        <f>IF(AND($A151="",$B151=""),"",IF(COUNT(L151:M151,O151)=0,"",P151-(N(L151)-N(M151))))</f>
        <v/>
      </c>
      <c r="R151" s="54">
        <f>IF(AND($A151="",$B151=""),"",IF(COUNT(L151:M151,O151)=0,"kein Mandanten-Saldo",IF(OR(AND(L151="",M151="")),"",IF(ABS(ROUND(((ROUND(N(D151)*100,0)+ROUND(N(J151)*100,0)+ROUND(N(M151)*100,0))-(ROUND(N(E151)*100,0)+ROUND(N(K151)*100,0)+ROUND(N(L151)*100,0))),0)-(0))&lt;=0,"OK","ABWEICHUNG"))))</f>
        <v/>
      </c>
      <c r="S151" s="84" t="n"/>
      <c r="T151" s="50" t="n"/>
      <c r="U151" s="50" t="n"/>
      <c r="V151" s="50" t="n"/>
      <c r="W151" s="50" t="n"/>
      <c r="X151" s="50" t="n"/>
      <c r="Y151" s="50" t="n"/>
      <c r="Z151" s="50" t="n"/>
    </row>
    <row r="152">
      <c r="A152" s="50" t="n"/>
      <c r="B152" s="50" t="n"/>
      <c r="C152" s="50" t="n"/>
      <c r="D152" s="84" t="n"/>
      <c r="E152" s="84" t="n"/>
      <c r="F152" s="84" t="n"/>
      <c r="G152" s="50" t="n"/>
      <c r="H152" s="84" t="n"/>
      <c r="I152" s="84" t="n"/>
      <c r="J152" s="84" t="n"/>
      <c r="K152" s="84" t="n"/>
      <c r="L152" s="84" t="n"/>
      <c r="M152" s="84" t="n"/>
      <c r="N152" s="50" t="n"/>
      <c r="O152" s="84" t="n"/>
      <c r="P152" s="84">
        <f>IF(AND($A152="",$B152=""),"",N(D152)-N(E152)+N(J152)-N(K152))</f>
        <v/>
      </c>
      <c r="Q152" s="84">
        <f>IF(AND($A152="",$B152=""),"",IF(COUNT(L152:M152,O152)=0,"",P152-(N(L152)-N(M152))))</f>
        <v/>
      </c>
      <c r="R152" s="54">
        <f>IF(AND($A152="",$B152=""),"",IF(COUNT(L152:M152,O152)=0,"kein Mandanten-Saldo",IF(OR(AND(L152="",M152="")),"",IF(ABS(ROUND(((ROUND(N(D152)*100,0)+ROUND(N(J152)*100,0)+ROUND(N(M152)*100,0))-(ROUND(N(E152)*100,0)+ROUND(N(K152)*100,0)+ROUND(N(L152)*100,0))),0)-(0))&lt;=0,"OK","ABWEICHUNG"))))</f>
        <v/>
      </c>
      <c r="S152" s="84" t="n"/>
      <c r="T152" s="50" t="n"/>
      <c r="U152" s="50" t="n"/>
      <c r="V152" s="50" t="n"/>
      <c r="W152" s="50" t="n"/>
      <c r="X152" s="50" t="n"/>
      <c r="Y152" s="50" t="n"/>
      <c r="Z152" s="50" t="n"/>
    </row>
    <row r="153">
      <c r="A153" s="50" t="n"/>
      <c r="B153" s="50" t="n"/>
      <c r="C153" s="50" t="n"/>
      <c r="D153" s="84" t="n"/>
      <c r="E153" s="84" t="n"/>
      <c r="F153" s="84" t="n"/>
      <c r="G153" s="50" t="n"/>
      <c r="H153" s="84" t="n"/>
      <c r="I153" s="84" t="n"/>
      <c r="J153" s="84" t="n"/>
      <c r="K153" s="84" t="n"/>
      <c r="L153" s="84" t="n"/>
      <c r="M153" s="84" t="n"/>
      <c r="N153" s="50" t="n"/>
      <c r="O153" s="84" t="n"/>
      <c r="P153" s="84">
        <f>IF(AND($A153="",$B153=""),"",N(D153)-N(E153)+N(J153)-N(K153))</f>
        <v/>
      </c>
      <c r="Q153" s="84">
        <f>IF(AND($A153="",$B153=""),"",IF(COUNT(L153:M153,O153)=0,"",P153-(N(L153)-N(M153))))</f>
        <v/>
      </c>
      <c r="R153" s="54">
        <f>IF(AND($A153="",$B153=""),"",IF(COUNT(L153:M153,O153)=0,"kein Mandanten-Saldo",IF(OR(AND(L153="",M153="")),"",IF(ABS(ROUND(((ROUND(N(D153)*100,0)+ROUND(N(J153)*100,0)+ROUND(N(M153)*100,0))-(ROUND(N(E153)*100,0)+ROUND(N(K153)*100,0)+ROUND(N(L153)*100,0))),0)-(0))&lt;=0,"OK","ABWEICHUNG"))))</f>
        <v/>
      </c>
      <c r="S153" s="84" t="n"/>
      <c r="T153" s="50" t="n"/>
      <c r="U153" s="50" t="n"/>
      <c r="V153" s="50" t="n"/>
      <c r="W153" s="50" t="n"/>
      <c r="X153" s="50" t="n"/>
      <c r="Y153" s="50" t="n"/>
      <c r="Z153" s="50" t="n"/>
    </row>
    <row r="154">
      <c r="A154" s="50" t="n"/>
      <c r="B154" s="50" t="n"/>
      <c r="C154" s="50" t="n"/>
      <c r="D154" s="84" t="n"/>
      <c r="E154" s="84" t="n"/>
      <c r="F154" s="84" t="n"/>
      <c r="G154" s="50" t="n"/>
      <c r="H154" s="84" t="n"/>
      <c r="I154" s="84" t="n"/>
      <c r="J154" s="84" t="n"/>
      <c r="K154" s="84" t="n"/>
      <c r="L154" s="84" t="n"/>
      <c r="M154" s="84" t="n"/>
      <c r="N154" s="50" t="n"/>
      <c r="O154" s="84" t="n"/>
      <c r="P154" s="84">
        <f>IF(AND($A154="",$B154=""),"",N(D154)-N(E154)+N(J154)-N(K154))</f>
        <v/>
      </c>
      <c r="Q154" s="84">
        <f>IF(AND($A154="",$B154=""),"",IF(COUNT(L154:M154,O154)=0,"",P154-(N(L154)-N(M154))))</f>
        <v/>
      </c>
      <c r="R154" s="54">
        <f>IF(AND($A154="",$B154=""),"",IF(COUNT(L154:M154,O154)=0,"kein Mandanten-Saldo",IF(OR(AND(L154="",M154="")),"",IF(ABS(ROUND(((ROUND(N(D154)*100,0)+ROUND(N(J154)*100,0)+ROUND(N(M154)*100,0))-(ROUND(N(E154)*100,0)+ROUND(N(K154)*100,0)+ROUND(N(L154)*100,0))),0)-(0))&lt;=0,"OK","ABWEICHUNG"))))</f>
        <v/>
      </c>
      <c r="S154" s="84" t="n"/>
      <c r="T154" s="50" t="n"/>
      <c r="U154" s="50" t="n"/>
      <c r="V154" s="50" t="n"/>
      <c r="W154" s="50" t="n"/>
      <c r="X154" s="50" t="n"/>
      <c r="Y154" s="50" t="n"/>
      <c r="Z154" s="50" t="n"/>
    </row>
    <row r="155">
      <c r="A155" s="50" t="n"/>
      <c r="B155" s="50" t="n"/>
      <c r="C155" s="50" t="n"/>
      <c r="D155" s="84" t="n"/>
      <c r="E155" s="84" t="n"/>
      <c r="F155" s="84" t="n"/>
      <c r="G155" s="50" t="n"/>
      <c r="H155" s="84" t="n"/>
      <c r="I155" s="84" t="n"/>
      <c r="J155" s="84" t="n"/>
      <c r="K155" s="84" t="n"/>
      <c r="L155" s="84" t="n"/>
      <c r="M155" s="84" t="n"/>
      <c r="N155" s="50" t="n"/>
      <c r="O155" s="84" t="n"/>
      <c r="P155" s="84">
        <f>IF(AND($A155="",$B155=""),"",N(D155)-N(E155)+N(J155)-N(K155))</f>
        <v/>
      </c>
      <c r="Q155" s="84">
        <f>IF(AND($A155="",$B155=""),"",IF(COUNT(L155:M155,O155)=0,"",P155-(N(L155)-N(M155))))</f>
        <v/>
      </c>
      <c r="R155" s="54">
        <f>IF(AND($A155="",$B155=""),"",IF(COUNT(L155:M155,O155)=0,"kein Mandanten-Saldo",IF(OR(AND(L155="",M155="")),"",IF(ABS(ROUND(((ROUND(N(D155)*100,0)+ROUND(N(J155)*100,0)+ROUND(N(M155)*100,0))-(ROUND(N(E155)*100,0)+ROUND(N(K155)*100,0)+ROUND(N(L155)*100,0))),0)-(0))&lt;=0,"OK","ABWEICHUNG"))))</f>
        <v/>
      </c>
      <c r="S155" s="84" t="n"/>
      <c r="T155" s="50" t="n"/>
      <c r="U155" s="50" t="n"/>
      <c r="V155" s="50" t="n"/>
      <c r="W155" s="50" t="n"/>
      <c r="X155" s="50" t="n"/>
      <c r="Y155" s="50" t="n"/>
      <c r="Z155" s="50" t="n"/>
    </row>
    <row r="156">
      <c r="A156" s="50" t="n"/>
      <c r="B156" s="50" t="n"/>
      <c r="C156" s="50" t="n"/>
      <c r="D156" s="84" t="n"/>
      <c r="E156" s="84" t="n"/>
      <c r="F156" s="84" t="n"/>
      <c r="G156" s="50" t="n"/>
      <c r="H156" s="84" t="n"/>
      <c r="I156" s="84" t="n"/>
      <c r="J156" s="84" t="n"/>
      <c r="K156" s="84" t="n"/>
      <c r="L156" s="84" t="n"/>
      <c r="M156" s="84" t="n"/>
      <c r="N156" s="50" t="n"/>
      <c r="O156" s="84" t="n"/>
      <c r="P156" s="84">
        <f>IF(AND($A156="",$B156=""),"",N(D156)-N(E156)+N(J156)-N(K156))</f>
        <v/>
      </c>
      <c r="Q156" s="84">
        <f>IF(AND($A156="",$B156=""),"",IF(COUNT(L156:M156,O156)=0,"",P156-(N(L156)-N(M156))))</f>
        <v/>
      </c>
      <c r="R156" s="54">
        <f>IF(AND($A156="",$B156=""),"",IF(COUNT(L156:M156,O156)=0,"kein Mandanten-Saldo",IF(OR(AND(L156="",M156="")),"",IF(ABS(ROUND(((ROUND(N(D156)*100,0)+ROUND(N(J156)*100,0)+ROUND(N(M156)*100,0))-(ROUND(N(E156)*100,0)+ROUND(N(K156)*100,0)+ROUND(N(L156)*100,0))),0)-(0))&lt;=0,"OK","ABWEICHUNG"))))</f>
        <v/>
      </c>
      <c r="S156" s="84" t="n"/>
      <c r="T156" s="50" t="n"/>
      <c r="U156" s="50" t="n"/>
      <c r="V156" s="50" t="n"/>
      <c r="W156" s="50" t="n"/>
      <c r="X156" s="50" t="n"/>
      <c r="Y156" s="50" t="n"/>
      <c r="Z156" s="50" t="n"/>
    </row>
    <row r="157">
      <c r="A157" s="50" t="n"/>
      <c r="B157" s="50" t="n"/>
      <c r="C157" s="50" t="n"/>
      <c r="D157" s="84" t="n"/>
      <c r="E157" s="84" t="n"/>
      <c r="F157" s="84" t="n"/>
      <c r="G157" s="50" t="n"/>
      <c r="H157" s="84" t="n"/>
      <c r="I157" s="84" t="n"/>
      <c r="J157" s="84" t="n"/>
      <c r="K157" s="84" t="n"/>
      <c r="L157" s="84" t="n"/>
      <c r="M157" s="84" t="n"/>
      <c r="N157" s="50" t="n"/>
      <c r="O157" s="84" t="n"/>
      <c r="P157" s="84">
        <f>IF(AND($A157="",$B157=""),"",N(D157)-N(E157)+N(J157)-N(K157))</f>
        <v/>
      </c>
      <c r="Q157" s="84">
        <f>IF(AND($A157="",$B157=""),"",IF(COUNT(L157:M157,O157)=0,"",P157-(N(L157)-N(M157))))</f>
        <v/>
      </c>
      <c r="R157" s="54">
        <f>IF(AND($A157="",$B157=""),"",IF(COUNT(L157:M157,O157)=0,"kein Mandanten-Saldo",IF(OR(AND(L157="",M157="")),"",IF(ABS(ROUND(((ROUND(N(D157)*100,0)+ROUND(N(J157)*100,0)+ROUND(N(M157)*100,0))-(ROUND(N(E157)*100,0)+ROUND(N(K157)*100,0)+ROUND(N(L157)*100,0))),0)-(0))&lt;=0,"OK","ABWEICHUNG"))))</f>
        <v/>
      </c>
      <c r="S157" s="84" t="n"/>
      <c r="T157" s="50" t="n"/>
      <c r="U157" s="50" t="n"/>
      <c r="V157" s="50" t="n"/>
      <c r="W157" s="50" t="n"/>
      <c r="X157" s="50" t="n"/>
      <c r="Y157" s="50" t="n"/>
      <c r="Z157" s="50" t="n"/>
    </row>
    <row r="158">
      <c r="A158" s="50" t="n"/>
      <c r="B158" s="50" t="n"/>
      <c r="C158" s="50" t="n"/>
      <c r="D158" s="84" t="n"/>
      <c r="E158" s="84" t="n"/>
      <c r="F158" s="84" t="n"/>
      <c r="G158" s="50" t="n"/>
      <c r="H158" s="84" t="n"/>
      <c r="I158" s="84" t="n"/>
      <c r="J158" s="84" t="n"/>
      <c r="K158" s="84" t="n"/>
      <c r="L158" s="84" t="n"/>
      <c r="M158" s="84" t="n"/>
      <c r="N158" s="50" t="n"/>
      <c r="O158" s="84" t="n"/>
      <c r="P158" s="84">
        <f>IF(AND($A158="",$B158=""),"",N(D158)-N(E158)+N(J158)-N(K158))</f>
        <v/>
      </c>
      <c r="Q158" s="84">
        <f>IF(AND($A158="",$B158=""),"",IF(COUNT(L158:M158,O158)=0,"",P158-(N(L158)-N(M158))))</f>
        <v/>
      </c>
      <c r="R158" s="54">
        <f>IF(AND($A158="",$B158=""),"",IF(COUNT(L158:M158,O158)=0,"kein Mandanten-Saldo",IF(OR(AND(L158="",M158="")),"",IF(ABS(ROUND(((ROUND(N(D158)*100,0)+ROUND(N(J158)*100,0)+ROUND(N(M158)*100,0))-(ROUND(N(E158)*100,0)+ROUND(N(K158)*100,0)+ROUND(N(L158)*100,0))),0)-(0))&lt;=0,"OK","ABWEICHUNG"))))</f>
        <v/>
      </c>
      <c r="S158" s="84" t="n"/>
      <c r="T158" s="50" t="n"/>
      <c r="U158" s="50" t="n"/>
      <c r="V158" s="50" t="n"/>
      <c r="W158" s="50" t="n"/>
      <c r="X158" s="50" t="n"/>
      <c r="Y158" s="50" t="n"/>
      <c r="Z158" s="50" t="n"/>
    </row>
    <row r="159">
      <c r="A159" s="50" t="n"/>
      <c r="B159" s="50" t="n"/>
      <c r="C159" s="50" t="n"/>
      <c r="D159" s="84" t="n"/>
      <c r="E159" s="84" t="n"/>
      <c r="F159" s="84" t="n"/>
      <c r="G159" s="50" t="n"/>
      <c r="H159" s="84" t="n"/>
      <c r="I159" s="84" t="n"/>
      <c r="J159" s="84" t="n"/>
      <c r="K159" s="84" t="n"/>
      <c r="L159" s="84" t="n"/>
      <c r="M159" s="84" t="n"/>
      <c r="N159" s="50" t="n"/>
      <c r="O159" s="84" t="n"/>
      <c r="P159" s="84">
        <f>IF(AND($A159="",$B159=""),"",N(D159)-N(E159)+N(J159)-N(K159))</f>
        <v/>
      </c>
      <c r="Q159" s="84">
        <f>IF(AND($A159="",$B159=""),"",IF(COUNT(L159:M159,O159)=0,"",P159-(N(L159)-N(M159))))</f>
        <v/>
      </c>
      <c r="R159" s="54">
        <f>IF(AND($A159="",$B159=""),"",IF(COUNT(L159:M159,O159)=0,"kein Mandanten-Saldo",IF(OR(AND(L159="",M159="")),"",IF(ABS(ROUND(((ROUND(N(D159)*100,0)+ROUND(N(J159)*100,0)+ROUND(N(M159)*100,0))-(ROUND(N(E159)*100,0)+ROUND(N(K159)*100,0)+ROUND(N(L159)*100,0))),0)-(0))&lt;=0,"OK","ABWEICHUNG"))))</f>
        <v/>
      </c>
      <c r="S159" s="84" t="n"/>
      <c r="T159" s="50" t="n"/>
      <c r="U159" s="50" t="n"/>
      <c r="V159" s="50" t="n"/>
      <c r="W159" s="50" t="n"/>
      <c r="X159" s="50" t="n"/>
      <c r="Y159" s="50" t="n"/>
      <c r="Z159" s="50" t="n"/>
    </row>
    <row r="160">
      <c r="A160" s="50" t="n"/>
      <c r="B160" s="50" t="n"/>
      <c r="C160" s="50" t="n"/>
      <c r="D160" s="84" t="n"/>
      <c r="E160" s="84" t="n"/>
      <c r="F160" s="84" t="n"/>
      <c r="G160" s="50" t="n"/>
      <c r="H160" s="84" t="n"/>
      <c r="I160" s="84" t="n"/>
      <c r="J160" s="84" t="n"/>
      <c r="K160" s="84" t="n"/>
      <c r="L160" s="84" t="n"/>
      <c r="M160" s="84" t="n"/>
      <c r="N160" s="50" t="n"/>
      <c r="O160" s="84" t="n"/>
      <c r="P160" s="84">
        <f>IF(AND($A160="",$B160=""),"",N(D160)-N(E160)+N(J160)-N(K160))</f>
        <v/>
      </c>
      <c r="Q160" s="84">
        <f>IF(AND($A160="",$B160=""),"",IF(COUNT(L160:M160,O160)=0,"",P160-(N(L160)-N(M160))))</f>
        <v/>
      </c>
      <c r="R160" s="54">
        <f>IF(AND($A160="",$B160=""),"",IF(COUNT(L160:M160,O160)=0,"kein Mandanten-Saldo",IF(OR(AND(L160="",M160="")),"",IF(ABS(ROUND(((ROUND(N(D160)*100,0)+ROUND(N(J160)*100,0)+ROUND(N(M160)*100,0))-(ROUND(N(E160)*100,0)+ROUND(N(K160)*100,0)+ROUND(N(L160)*100,0))),0)-(0))&lt;=0,"OK","ABWEICHUNG"))))</f>
        <v/>
      </c>
      <c r="S160" s="84" t="n"/>
      <c r="T160" s="50" t="n"/>
      <c r="U160" s="50" t="n"/>
      <c r="V160" s="50" t="n"/>
      <c r="W160" s="50" t="n"/>
      <c r="X160" s="50" t="n"/>
      <c r="Y160" s="50" t="n"/>
      <c r="Z160" s="50" t="n"/>
    </row>
    <row r="161">
      <c r="A161" s="50" t="n"/>
      <c r="B161" s="50" t="n"/>
      <c r="C161" s="50" t="n"/>
      <c r="D161" s="84" t="n"/>
      <c r="E161" s="84" t="n"/>
      <c r="F161" s="84" t="n"/>
      <c r="G161" s="50" t="n"/>
      <c r="H161" s="84" t="n"/>
      <c r="I161" s="84" t="n"/>
      <c r="J161" s="84" t="n"/>
      <c r="K161" s="84" t="n"/>
      <c r="L161" s="84" t="n"/>
      <c r="M161" s="84" t="n"/>
      <c r="N161" s="50" t="n"/>
      <c r="O161" s="84" t="n"/>
      <c r="P161" s="84">
        <f>IF(AND($A161="",$B161=""),"",N(D161)-N(E161)+N(J161)-N(K161))</f>
        <v/>
      </c>
      <c r="Q161" s="84">
        <f>IF(AND($A161="",$B161=""),"",IF(COUNT(L161:M161,O161)=0,"",P161-(N(L161)-N(M161))))</f>
        <v/>
      </c>
      <c r="R161" s="54">
        <f>IF(AND($A161="",$B161=""),"",IF(COUNT(L161:M161,O161)=0,"kein Mandanten-Saldo",IF(OR(AND(L161="",M161="")),"",IF(ABS(ROUND(((ROUND(N(D161)*100,0)+ROUND(N(J161)*100,0)+ROUND(N(M161)*100,0))-(ROUND(N(E161)*100,0)+ROUND(N(K161)*100,0)+ROUND(N(L161)*100,0))),0)-(0))&lt;=0,"OK","ABWEICHUNG"))))</f>
        <v/>
      </c>
      <c r="S161" s="84" t="n"/>
      <c r="T161" s="50" t="n"/>
      <c r="U161" s="50" t="n"/>
      <c r="V161" s="50" t="n"/>
      <c r="W161" s="50" t="n"/>
      <c r="X161" s="50" t="n"/>
      <c r="Y161" s="50" t="n"/>
      <c r="Z161" s="50" t="n"/>
    </row>
    <row r="162">
      <c r="A162" s="50" t="n"/>
      <c r="B162" s="50" t="n"/>
      <c r="C162" s="50" t="n"/>
      <c r="D162" s="84" t="n"/>
      <c r="E162" s="84" t="n"/>
      <c r="F162" s="84" t="n"/>
      <c r="G162" s="50" t="n"/>
      <c r="H162" s="84" t="n"/>
      <c r="I162" s="84" t="n"/>
      <c r="J162" s="84" t="n"/>
      <c r="K162" s="84" t="n"/>
      <c r="L162" s="84" t="n"/>
      <c r="M162" s="84" t="n"/>
      <c r="N162" s="50" t="n"/>
      <c r="O162" s="84" t="n"/>
      <c r="P162" s="84">
        <f>IF(AND($A162="",$B162=""),"",N(D162)-N(E162)+N(J162)-N(K162))</f>
        <v/>
      </c>
      <c r="Q162" s="84">
        <f>IF(AND($A162="",$B162=""),"",IF(COUNT(L162:M162,O162)=0,"",P162-(N(L162)-N(M162))))</f>
        <v/>
      </c>
      <c r="R162" s="54">
        <f>IF(AND($A162="",$B162=""),"",IF(COUNT(L162:M162,O162)=0,"kein Mandanten-Saldo",IF(OR(AND(L162="",M162="")),"",IF(ABS(ROUND(((ROUND(N(D162)*100,0)+ROUND(N(J162)*100,0)+ROUND(N(M162)*100,0))-(ROUND(N(E162)*100,0)+ROUND(N(K162)*100,0)+ROUND(N(L162)*100,0))),0)-(0))&lt;=0,"OK","ABWEICHUNG"))))</f>
        <v/>
      </c>
      <c r="S162" s="84" t="n"/>
      <c r="T162" s="50" t="n"/>
      <c r="U162" s="50" t="n"/>
      <c r="V162" s="50" t="n"/>
      <c r="W162" s="50" t="n"/>
      <c r="X162" s="50" t="n"/>
      <c r="Y162" s="50" t="n"/>
      <c r="Z162" s="50" t="n"/>
    </row>
    <row r="163">
      <c r="A163" s="50" t="n"/>
      <c r="B163" s="50" t="n"/>
      <c r="C163" s="50" t="n"/>
      <c r="D163" s="84" t="n"/>
      <c r="E163" s="84" t="n"/>
      <c r="F163" s="84" t="n"/>
      <c r="G163" s="50" t="n"/>
      <c r="H163" s="84" t="n"/>
      <c r="I163" s="84" t="n"/>
      <c r="J163" s="84" t="n"/>
      <c r="K163" s="84" t="n"/>
      <c r="L163" s="84" t="n"/>
      <c r="M163" s="84" t="n"/>
      <c r="N163" s="50" t="n"/>
      <c r="O163" s="84" t="n"/>
      <c r="P163" s="84">
        <f>IF(AND($A163="",$B163=""),"",N(D163)-N(E163)+N(J163)-N(K163))</f>
        <v/>
      </c>
      <c r="Q163" s="84">
        <f>IF(AND($A163="",$B163=""),"",IF(COUNT(L163:M163,O163)=0,"",P163-(N(L163)-N(M163))))</f>
        <v/>
      </c>
      <c r="R163" s="54">
        <f>IF(AND($A163="",$B163=""),"",IF(COUNT(L163:M163,O163)=0,"kein Mandanten-Saldo",IF(OR(AND(L163="",M163="")),"",IF(ABS(ROUND(((ROUND(N(D163)*100,0)+ROUND(N(J163)*100,0)+ROUND(N(M163)*100,0))-(ROUND(N(E163)*100,0)+ROUND(N(K163)*100,0)+ROUND(N(L163)*100,0))),0)-(0))&lt;=0,"OK","ABWEICHUNG"))))</f>
        <v/>
      </c>
      <c r="S163" s="84" t="n"/>
      <c r="T163" s="50" t="n"/>
      <c r="U163" s="50" t="n"/>
      <c r="V163" s="50" t="n"/>
      <c r="W163" s="50" t="n"/>
      <c r="X163" s="50" t="n"/>
      <c r="Y163" s="50" t="n"/>
      <c r="Z163" s="50" t="n"/>
    </row>
    <row r="164">
      <c r="A164" s="50" t="n"/>
      <c r="B164" s="50" t="n"/>
      <c r="C164" s="50" t="n"/>
      <c r="D164" s="84" t="n"/>
      <c r="E164" s="84" t="n"/>
      <c r="F164" s="84" t="n"/>
      <c r="G164" s="50" t="n"/>
      <c r="H164" s="84" t="n"/>
      <c r="I164" s="84" t="n"/>
      <c r="J164" s="84" t="n"/>
      <c r="K164" s="84" t="n"/>
      <c r="L164" s="84" t="n"/>
      <c r="M164" s="84" t="n"/>
      <c r="N164" s="50" t="n"/>
      <c r="O164" s="84" t="n"/>
      <c r="P164" s="84">
        <f>IF(AND($A164="",$B164=""),"",N(D164)-N(E164)+N(J164)-N(K164))</f>
        <v/>
      </c>
      <c r="Q164" s="84">
        <f>IF(AND($A164="",$B164=""),"",IF(COUNT(L164:M164,O164)=0,"",P164-(N(L164)-N(M164))))</f>
        <v/>
      </c>
      <c r="R164" s="54">
        <f>IF(AND($A164="",$B164=""),"",IF(COUNT(L164:M164,O164)=0,"kein Mandanten-Saldo",IF(OR(AND(L164="",M164="")),"",IF(ABS(ROUND(((ROUND(N(D164)*100,0)+ROUND(N(J164)*100,0)+ROUND(N(M164)*100,0))-(ROUND(N(E164)*100,0)+ROUND(N(K164)*100,0)+ROUND(N(L164)*100,0))),0)-(0))&lt;=0,"OK","ABWEICHUNG"))))</f>
        <v/>
      </c>
      <c r="S164" s="84" t="n"/>
      <c r="T164" s="50" t="n"/>
      <c r="U164" s="50" t="n"/>
      <c r="V164" s="50" t="n"/>
      <c r="W164" s="50" t="n"/>
      <c r="X164" s="50" t="n"/>
      <c r="Y164" s="50" t="n"/>
      <c r="Z164" s="50" t="n"/>
    </row>
    <row r="165">
      <c r="A165" s="50" t="n"/>
      <c r="B165" s="50" t="n"/>
      <c r="C165" s="50" t="n"/>
      <c r="D165" s="84" t="n"/>
      <c r="E165" s="84" t="n"/>
      <c r="F165" s="84" t="n"/>
      <c r="G165" s="50" t="n"/>
      <c r="H165" s="84" t="n"/>
      <c r="I165" s="84" t="n"/>
      <c r="J165" s="84" t="n"/>
      <c r="K165" s="84" t="n"/>
      <c r="L165" s="84" t="n"/>
      <c r="M165" s="84" t="n"/>
      <c r="N165" s="50" t="n"/>
      <c r="O165" s="84" t="n"/>
      <c r="P165" s="84">
        <f>IF(AND($A165="",$B165=""),"",N(D165)-N(E165)+N(J165)-N(K165))</f>
        <v/>
      </c>
      <c r="Q165" s="84">
        <f>IF(AND($A165="",$B165=""),"",IF(COUNT(L165:M165,O165)=0,"",P165-(N(L165)-N(M165))))</f>
        <v/>
      </c>
      <c r="R165" s="54">
        <f>IF(AND($A165="",$B165=""),"",IF(COUNT(L165:M165,O165)=0,"kein Mandanten-Saldo",IF(OR(AND(L165="",M165="")),"",IF(ABS(ROUND(((ROUND(N(D165)*100,0)+ROUND(N(J165)*100,0)+ROUND(N(M165)*100,0))-(ROUND(N(E165)*100,0)+ROUND(N(K165)*100,0)+ROUND(N(L165)*100,0))),0)-(0))&lt;=0,"OK","ABWEICHUNG"))))</f>
        <v/>
      </c>
      <c r="S165" s="84" t="n"/>
      <c r="T165" s="50" t="n"/>
      <c r="U165" s="50" t="n"/>
      <c r="V165" s="50" t="n"/>
      <c r="W165" s="50" t="n"/>
      <c r="X165" s="50" t="n"/>
      <c r="Y165" s="50" t="n"/>
      <c r="Z165" s="50" t="n"/>
    </row>
    <row r="166">
      <c r="A166" s="50" t="n"/>
      <c r="B166" s="50" t="n"/>
      <c r="C166" s="50" t="n"/>
      <c r="D166" s="84" t="n"/>
      <c r="E166" s="84" t="n"/>
      <c r="F166" s="84" t="n"/>
      <c r="G166" s="50" t="n"/>
      <c r="H166" s="84" t="n"/>
      <c r="I166" s="84" t="n"/>
      <c r="J166" s="84" t="n"/>
      <c r="K166" s="84" t="n"/>
      <c r="L166" s="84" t="n"/>
      <c r="M166" s="84" t="n"/>
      <c r="N166" s="50" t="n"/>
      <c r="O166" s="84" t="n"/>
      <c r="P166" s="84">
        <f>IF(AND($A166="",$B166=""),"",N(D166)-N(E166)+N(J166)-N(K166))</f>
        <v/>
      </c>
      <c r="Q166" s="84">
        <f>IF(AND($A166="",$B166=""),"",IF(COUNT(L166:M166,O166)=0,"",P166-(N(L166)-N(M166))))</f>
        <v/>
      </c>
      <c r="R166" s="54">
        <f>IF(AND($A166="",$B166=""),"",IF(COUNT(L166:M166,O166)=0,"kein Mandanten-Saldo",IF(OR(AND(L166="",M166="")),"",IF(ABS(ROUND(((ROUND(N(D166)*100,0)+ROUND(N(J166)*100,0)+ROUND(N(M166)*100,0))-(ROUND(N(E166)*100,0)+ROUND(N(K166)*100,0)+ROUND(N(L166)*100,0))),0)-(0))&lt;=0,"OK","ABWEICHUNG"))))</f>
        <v/>
      </c>
      <c r="S166" s="84" t="n"/>
      <c r="T166" s="50" t="n"/>
      <c r="U166" s="50" t="n"/>
      <c r="V166" s="50" t="n"/>
      <c r="W166" s="50" t="n"/>
      <c r="X166" s="50" t="n"/>
      <c r="Y166" s="50" t="n"/>
      <c r="Z166" s="50" t="n"/>
    </row>
    <row r="167">
      <c r="A167" s="50" t="n"/>
      <c r="B167" s="50" t="n"/>
      <c r="C167" s="50" t="n"/>
      <c r="D167" s="84" t="n"/>
      <c r="E167" s="84" t="n"/>
      <c r="F167" s="84" t="n"/>
      <c r="G167" s="50" t="n"/>
      <c r="H167" s="84" t="n"/>
      <c r="I167" s="84" t="n"/>
      <c r="J167" s="84" t="n"/>
      <c r="K167" s="84" t="n"/>
      <c r="L167" s="84" t="n"/>
      <c r="M167" s="84" t="n"/>
      <c r="N167" s="50" t="n"/>
      <c r="O167" s="84" t="n"/>
      <c r="P167" s="84">
        <f>IF(AND($A167="",$B167=""),"",N(D167)-N(E167)+N(J167)-N(K167))</f>
        <v/>
      </c>
      <c r="Q167" s="84">
        <f>IF(AND($A167="",$B167=""),"",IF(COUNT(L167:M167,O167)=0,"",P167-(N(L167)-N(M167))))</f>
        <v/>
      </c>
      <c r="R167" s="54">
        <f>IF(AND($A167="",$B167=""),"",IF(COUNT(L167:M167,O167)=0,"kein Mandanten-Saldo",IF(OR(AND(L167="",M167="")),"",IF(ABS(ROUND(((ROUND(N(D167)*100,0)+ROUND(N(J167)*100,0)+ROUND(N(M167)*100,0))-(ROUND(N(E167)*100,0)+ROUND(N(K167)*100,0)+ROUND(N(L167)*100,0))),0)-(0))&lt;=0,"OK","ABWEICHUNG"))))</f>
        <v/>
      </c>
      <c r="S167" s="84" t="n"/>
      <c r="T167" s="50" t="n"/>
      <c r="U167" s="50" t="n"/>
      <c r="V167" s="50" t="n"/>
      <c r="W167" s="50" t="n"/>
      <c r="X167" s="50" t="n"/>
      <c r="Y167" s="50" t="n"/>
      <c r="Z167" s="50" t="n"/>
    </row>
    <row r="168">
      <c r="A168" s="50" t="n"/>
      <c r="B168" s="50" t="n"/>
      <c r="C168" s="50" t="n"/>
      <c r="D168" s="84" t="n"/>
      <c r="E168" s="84" t="n"/>
      <c r="F168" s="84" t="n"/>
      <c r="G168" s="50" t="n"/>
      <c r="H168" s="84" t="n"/>
      <c r="I168" s="84" t="n"/>
      <c r="J168" s="84" t="n"/>
      <c r="K168" s="84" t="n"/>
      <c r="L168" s="84" t="n"/>
      <c r="M168" s="84" t="n"/>
      <c r="N168" s="50" t="n"/>
      <c r="O168" s="84" t="n"/>
      <c r="P168" s="84">
        <f>IF(AND($A168="",$B168=""),"",N(D168)-N(E168)+N(J168)-N(K168))</f>
        <v/>
      </c>
      <c r="Q168" s="84">
        <f>IF(AND($A168="",$B168=""),"",IF(COUNT(L168:M168,O168)=0,"",P168-(N(L168)-N(M168))))</f>
        <v/>
      </c>
      <c r="R168" s="54">
        <f>IF(AND($A168="",$B168=""),"",IF(COUNT(L168:M168,O168)=0,"kein Mandanten-Saldo",IF(OR(AND(L168="",M168="")),"",IF(ABS(ROUND(((ROUND(N(D168)*100,0)+ROUND(N(J168)*100,0)+ROUND(N(M168)*100,0))-(ROUND(N(E168)*100,0)+ROUND(N(K168)*100,0)+ROUND(N(L168)*100,0))),0)-(0))&lt;=0,"OK","ABWEICHUNG"))))</f>
        <v/>
      </c>
      <c r="S168" s="84" t="n"/>
      <c r="T168" s="50" t="n"/>
      <c r="U168" s="50" t="n"/>
      <c r="V168" s="50" t="n"/>
      <c r="W168" s="50" t="n"/>
      <c r="X168" s="50" t="n"/>
      <c r="Y168" s="50" t="n"/>
      <c r="Z168" s="50" t="n"/>
    </row>
    <row r="169">
      <c r="A169" s="50" t="n"/>
      <c r="B169" s="50" t="n"/>
      <c r="C169" s="50" t="n"/>
      <c r="D169" s="84" t="n"/>
      <c r="E169" s="84" t="n"/>
      <c r="F169" s="84" t="n"/>
      <c r="G169" s="50" t="n"/>
      <c r="H169" s="84" t="n"/>
      <c r="I169" s="84" t="n"/>
      <c r="J169" s="84" t="n"/>
      <c r="K169" s="84" t="n"/>
      <c r="L169" s="84" t="n"/>
      <c r="M169" s="84" t="n"/>
      <c r="N169" s="50" t="n"/>
      <c r="O169" s="84" t="n"/>
      <c r="P169" s="84">
        <f>IF(AND($A169="",$B169=""),"",N(D169)-N(E169)+N(J169)-N(K169))</f>
        <v/>
      </c>
      <c r="Q169" s="84">
        <f>IF(AND($A169="",$B169=""),"",IF(COUNT(L169:M169,O169)=0,"",P169-(N(L169)-N(M169))))</f>
        <v/>
      </c>
      <c r="R169" s="54">
        <f>IF(AND($A169="",$B169=""),"",IF(COUNT(L169:M169,O169)=0,"kein Mandanten-Saldo",IF(OR(AND(L169="",M169="")),"",IF(ABS(ROUND(((ROUND(N(D169)*100,0)+ROUND(N(J169)*100,0)+ROUND(N(M169)*100,0))-(ROUND(N(E169)*100,0)+ROUND(N(K169)*100,0)+ROUND(N(L169)*100,0))),0)-(0))&lt;=0,"OK","ABWEICHUNG"))))</f>
        <v/>
      </c>
      <c r="S169" s="84" t="n"/>
      <c r="T169" s="50" t="n"/>
      <c r="U169" s="50" t="n"/>
      <c r="V169" s="50" t="n"/>
      <c r="W169" s="50" t="n"/>
      <c r="X169" s="50" t="n"/>
      <c r="Y169" s="50" t="n"/>
      <c r="Z169" s="50" t="n"/>
    </row>
    <row r="170">
      <c r="A170" s="50" t="n"/>
      <c r="B170" s="50" t="n"/>
      <c r="C170" s="50" t="n"/>
      <c r="D170" s="84" t="n"/>
      <c r="E170" s="84" t="n"/>
      <c r="F170" s="84" t="n"/>
      <c r="G170" s="50" t="n"/>
      <c r="H170" s="84" t="n"/>
      <c r="I170" s="84" t="n"/>
      <c r="J170" s="84" t="n"/>
      <c r="K170" s="84" t="n"/>
      <c r="L170" s="84" t="n"/>
      <c r="M170" s="84" t="n"/>
      <c r="N170" s="50" t="n"/>
      <c r="O170" s="84" t="n"/>
      <c r="P170" s="84">
        <f>IF(AND($A170="",$B170=""),"",N(D170)-N(E170)+N(J170)-N(K170))</f>
        <v/>
      </c>
      <c r="Q170" s="84">
        <f>IF(AND($A170="",$B170=""),"",IF(COUNT(L170:M170,O170)=0,"",P170-(N(L170)-N(M170))))</f>
        <v/>
      </c>
      <c r="R170" s="54">
        <f>IF(AND($A170="",$B170=""),"",IF(COUNT(L170:M170,O170)=0,"kein Mandanten-Saldo",IF(OR(AND(L170="",M170="")),"",IF(ABS(ROUND(((ROUND(N(D170)*100,0)+ROUND(N(J170)*100,0)+ROUND(N(M170)*100,0))-(ROUND(N(E170)*100,0)+ROUND(N(K170)*100,0)+ROUND(N(L170)*100,0))),0)-(0))&lt;=0,"OK","ABWEICHUNG"))))</f>
        <v/>
      </c>
      <c r="S170" s="84" t="n"/>
      <c r="T170" s="50" t="n"/>
      <c r="U170" s="50" t="n"/>
      <c r="V170" s="50" t="n"/>
      <c r="W170" s="50" t="n"/>
      <c r="X170" s="50" t="n"/>
      <c r="Y170" s="50" t="n"/>
      <c r="Z170" s="50" t="n"/>
    </row>
    <row r="171">
      <c r="A171" s="50" t="n"/>
      <c r="B171" s="50" t="n"/>
      <c r="C171" s="50" t="n"/>
      <c r="D171" s="84" t="n"/>
      <c r="E171" s="84" t="n"/>
      <c r="F171" s="84" t="n"/>
      <c r="G171" s="50" t="n"/>
      <c r="H171" s="84" t="n"/>
      <c r="I171" s="84" t="n"/>
      <c r="J171" s="84" t="n"/>
      <c r="K171" s="84" t="n"/>
      <c r="L171" s="84" t="n"/>
      <c r="M171" s="84" t="n"/>
      <c r="N171" s="50" t="n"/>
      <c r="O171" s="84" t="n"/>
      <c r="P171" s="84">
        <f>IF(AND($A171="",$B171=""),"",N(D171)-N(E171)+N(J171)-N(K171))</f>
        <v/>
      </c>
      <c r="Q171" s="84">
        <f>IF(AND($A171="",$B171=""),"",IF(COUNT(L171:M171,O171)=0,"",P171-(N(L171)-N(M171))))</f>
        <v/>
      </c>
      <c r="R171" s="54">
        <f>IF(AND($A171="",$B171=""),"",IF(COUNT(L171:M171,O171)=0,"kein Mandanten-Saldo",IF(OR(AND(L171="",M171="")),"",IF(ABS(ROUND(((ROUND(N(D171)*100,0)+ROUND(N(J171)*100,0)+ROUND(N(M171)*100,0))-(ROUND(N(E171)*100,0)+ROUND(N(K171)*100,0)+ROUND(N(L171)*100,0))),0)-(0))&lt;=0,"OK","ABWEICHUNG"))))</f>
        <v/>
      </c>
      <c r="S171" s="84" t="n"/>
      <c r="T171" s="50" t="n"/>
      <c r="U171" s="50" t="n"/>
      <c r="V171" s="50" t="n"/>
      <c r="W171" s="50" t="n"/>
      <c r="X171" s="50" t="n"/>
      <c r="Y171" s="50" t="n"/>
      <c r="Z171" s="50" t="n"/>
    </row>
    <row r="172">
      <c r="A172" s="50" t="n"/>
      <c r="B172" s="50" t="n"/>
      <c r="C172" s="50" t="n"/>
      <c r="D172" s="84" t="n"/>
      <c r="E172" s="84" t="n"/>
      <c r="F172" s="84" t="n"/>
      <c r="G172" s="50" t="n"/>
      <c r="H172" s="84" t="n"/>
      <c r="I172" s="84" t="n"/>
      <c r="J172" s="84" t="n"/>
      <c r="K172" s="84" t="n"/>
      <c r="L172" s="84" t="n"/>
      <c r="M172" s="84" t="n"/>
      <c r="N172" s="50" t="n"/>
      <c r="O172" s="84" t="n"/>
      <c r="P172" s="84">
        <f>IF(AND($A172="",$B172=""),"",N(D172)-N(E172)+N(J172)-N(K172))</f>
        <v/>
      </c>
      <c r="Q172" s="84">
        <f>IF(AND($A172="",$B172=""),"",IF(COUNT(L172:M172,O172)=0,"",P172-(N(L172)-N(M172))))</f>
        <v/>
      </c>
      <c r="R172" s="54">
        <f>IF(AND($A172="",$B172=""),"",IF(COUNT(L172:M172,O172)=0,"kein Mandanten-Saldo",IF(OR(AND(L172="",M172="")),"",IF(ABS(ROUND(((ROUND(N(D172)*100,0)+ROUND(N(J172)*100,0)+ROUND(N(M172)*100,0))-(ROUND(N(E172)*100,0)+ROUND(N(K172)*100,0)+ROUND(N(L172)*100,0))),0)-(0))&lt;=0,"OK","ABWEICHUNG"))))</f>
        <v/>
      </c>
      <c r="S172" s="84" t="n"/>
      <c r="T172" s="50" t="n"/>
      <c r="U172" s="50" t="n"/>
      <c r="V172" s="50" t="n"/>
      <c r="W172" s="50" t="n"/>
      <c r="X172" s="50" t="n"/>
      <c r="Y172" s="50" t="n"/>
      <c r="Z172" s="50" t="n"/>
    </row>
    <row r="173">
      <c r="A173" s="50" t="n"/>
      <c r="B173" s="50" t="n"/>
      <c r="C173" s="50" t="n"/>
      <c r="D173" s="84" t="n"/>
      <c r="E173" s="84" t="n"/>
      <c r="F173" s="84" t="n"/>
      <c r="G173" s="50" t="n"/>
      <c r="H173" s="84" t="n"/>
      <c r="I173" s="84" t="n"/>
      <c r="J173" s="84" t="n"/>
      <c r="K173" s="84" t="n"/>
      <c r="L173" s="84" t="n"/>
      <c r="M173" s="84" t="n"/>
      <c r="N173" s="50" t="n"/>
      <c r="O173" s="84" t="n"/>
      <c r="P173" s="84">
        <f>IF(AND($A173="",$B173=""),"",N(D173)-N(E173)+N(J173)-N(K173))</f>
        <v/>
      </c>
      <c r="Q173" s="84">
        <f>IF(AND($A173="",$B173=""),"",IF(COUNT(L173:M173,O173)=0,"",P173-(N(L173)-N(M173))))</f>
        <v/>
      </c>
      <c r="R173" s="54">
        <f>IF(AND($A173="",$B173=""),"",IF(COUNT(L173:M173,O173)=0,"kein Mandanten-Saldo",IF(OR(AND(L173="",M173="")),"",IF(ABS(ROUND(((ROUND(N(D173)*100,0)+ROUND(N(J173)*100,0)+ROUND(N(M173)*100,0))-(ROUND(N(E173)*100,0)+ROUND(N(K173)*100,0)+ROUND(N(L173)*100,0))),0)-(0))&lt;=0,"OK","ABWEICHUNG"))))</f>
        <v/>
      </c>
      <c r="S173" s="84" t="n"/>
      <c r="T173" s="50" t="n"/>
      <c r="U173" s="50" t="n"/>
      <c r="V173" s="50" t="n"/>
      <c r="W173" s="50" t="n"/>
      <c r="X173" s="50" t="n"/>
      <c r="Y173" s="50" t="n"/>
      <c r="Z173" s="50" t="n"/>
    </row>
    <row r="174">
      <c r="A174" s="50" t="n"/>
      <c r="B174" s="50" t="n"/>
      <c r="C174" s="50" t="n"/>
      <c r="D174" s="84" t="n"/>
      <c r="E174" s="84" t="n"/>
      <c r="F174" s="84" t="n"/>
      <c r="G174" s="50" t="n"/>
      <c r="H174" s="84" t="n"/>
      <c r="I174" s="84" t="n"/>
      <c r="J174" s="84" t="n"/>
      <c r="K174" s="84" t="n"/>
      <c r="L174" s="84" t="n"/>
      <c r="M174" s="84" t="n"/>
      <c r="N174" s="50" t="n"/>
      <c r="O174" s="84" t="n"/>
      <c r="P174" s="84">
        <f>IF(AND($A174="",$B174=""),"",N(D174)-N(E174)+N(J174)-N(K174))</f>
        <v/>
      </c>
      <c r="Q174" s="84">
        <f>IF(AND($A174="",$B174=""),"",IF(COUNT(L174:M174,O174)=0,"",P174-(N(L174)-N(M174))))</f>
        <v/>
      </c>
      <c r="R174" s="54">
        <f>IF(AND($A174="",$B174=""),"",IF(COUNT(L174:M174,O174)=0,"kein Mandanten-Saldo",IF(OR(AND(L174="",M174="")),"",IF(ABS(ROUND(((ROUND(N(D174)*100,0)+ROUND(N(J174)*100,0)+ROUND(N(M174)*100,0))-(ROUND(N(E174)*100,0)+ROUND(N(K174)*100,0)+ROUND(N(L174)*100,0))),0)-(0))&lt;=0,"OK","ABWEICHUNG"))))</f>
        <v/>
      </c>
      <c r="S174" s="84" t="n"/>
      <c r="T174" s="50" t="n"/>
      <c r="U174" s="50" t="n"/>
      <c r="V174" s="50" t="n"/>
      <c r="W174" s="50" t="n"/>
      <c r="X174" s="50" t="n"/>
      <c r="Y174" s="50" t="n"/>
      <c r="Z174" s="50" t="n"/>
    </row>
    <row r="175">
      <c r="A175" s="50" t="n"/>
      <c r="B175" s="50" t="n"/>
      <c r="C175" s="50" t="n"/>
      <c r="D175" s="84" t="n"/>
      <c r="E175" s="84" t="n"/>
      <c r="F175" s="84" t="n"/>
      <c r="G175" s="50" t="n"/>
      <c r="H175" s="84" t="n"/>
      <c r="I175" s="84" t="n"/>
      <c r="J175" s="84" t="n"/>
      <c r="K175" s="84" t="n"/>
      <c r="L175" s="84" t="n"/>
      <c r="M175" s="84" t="n"/>
      <c r="N175" s="50" t="n"/>
      <c r="O175" s="84" t="n"/>
      <c r="P175" s="84">
        <f>IF(AND($A175="",$B175=""),"",N(D175)-N(E175)+N(J175)-N(K175))</f>
        <v/>
      </c>
      <c r="Q175" s="84">
        <f>IF(AND($A175="",$B175=""),"",IF(COUNT(L175:M175,O175)=0,"",P175-(N(L175)-N(M175))))</f>
        <v/>
      </c>
      <c r="R175" s="54">
        <f>IF(AND($A175="",$B175=""),"",IF(COUNT(L175:M175,O175)=0,"kein Mandanten-Saldo",IF(OR(AND(L175="",M175="")),"",IF(ABS(ROUND(((ROUND(N(D175)*100,0)+ROUND(N(J175)*100,0)+ROUND(N(M175)*100,0))-(ROUND(N(E175)*100,0)+ROUND(N(K175)*100,0)+ROUND(N(L175)*100,0))),0)-(0))&lt;=0,"OK","ABWEICHUNG"))))</f>
        <v/>
      </c>
      <c r="S175" s="84" t="n"/>
      <c r="T175" s="50" t="n"/>
      <c r="U175" s="50" t="n"/>
      <c r="V175" s="50" t="n"/>
      <c r="W175" s="50" t="n"/>
      <c r="X175" s="50" t="n"/>
      <c r="Y175" s="50" t="n"/>
      <c r="Z175" s="50" t="n"/>
    </row>
    <row r="176">
      <c r="A176" s="50" t="n"/>
      <c r="B176" s="50" t="n"/>
      <c r="C176" s="50" t="n"/>
      <c r="D176" s="84" t="n"/>
      <c r="E176" s="84" t="n"/>
      <c r="F176" s="84" t="n"/>
      <c r="G176" s="50" t="n"/>
      <c r="H176" s="84" t="n"/>
      <c r="I176" s="84" t="n"/>
      <c r="J176" s="84" t="n"/>
      <c r="K176" s="84" t="n"/>
      <c r="L176" s="84" t="n"/>
      <c r="M176" s="84" t="n"/>
      <c r="N176" s="50" t="n"/>
      <c r="O176" s="84" t="n"/>
      <c r="P176" s="84">
        <f>IF(AND($A176="",$B176=""),"",N(D176)-N(E176)+N(J176)-N(K176))</f>
        <v/>
      </c>
      <c r="Q176" s="84">
        <f>IF(AND($A176="",$B176=""),"",IF(COUNT(L176:M176,O176)=0,"",P176-(N(L176)-N(M176))))</f>
        <v/>
      </c>
      <c r="R176" s="54">
        <f>IF(AND($A176="",$B176=""),"",IF(COUNT(L176:M176,O176)=0,"kein Mandanten-Saldo",IF(OR(AND(L176="",M176="")),"",IF(ABS(ROUND(((ROUND(N(D176)*100,0)+ROUND(N(J176)*100,0)+ROUND(N(M176)*100,0))-(ROUND(N(E176)*100,0)+ROUND(N(K176)*100,0)+ROUND(N(L176)*100,0))),0)-(0))&lt;=0,"OK","ABWEICHUNG"))))</f>
        <v/>
      </c>
      <c r="S176" s="84" t="n"/>
      <c r="T176" s="50" t="n"/>
      <c r="U176" s="50" t="n"/>
      <c r="V176" s="50" t="n"/>
      <c r="W176" s="50" t="n"/>
      <c r="X176" s="50" t="n"/>
      <c r="Y176" s="50" t="n"/>
      <c r="Z176" s="50" t="n"/>
    </row>
    <row r="177">
      <c r="A177" s="50" t="n"/>
      <c r="B177" s="50" t="n"/>
      <c r="C177" s="50" t="n"/>
      <c r="D177" s="84" t="n"/>
      <c r="E177" s="84" t="n"/>
      <c r="F177" s="84" t="n"/>
      <c r="G177" s="50" t="n"/>
      <c r="H177" s="84" t="n"/>
      <c r="I177" s="84" t="n"/>
      <c r="J177" s="84" t="n"/>
      <c r="K177" s="84" t="n"/>
      <c r="L177" s="84" t="n"/>
      <c r="M177" s="84" t="n"/>
      <c r="N177" s="50" t="n"/>
      <c r="O177" s="84" t="n"/>
      <c r="P177" s="84">
        <f>IF(AND($A177="",$B177=""),"",N(D177)-N(E177)+N(J177)-N(K177))</f>
        <v/>
      </c>
      <c r="Q177" s="84">
        <f>IF(AND($A177="",$B177=""),"",IF(COUNT(L177:M177,O177)=0,"",P177-(N(L177)-N(M177))))</f>
        <v/>
      </c>
      <c r="R177" s="54">
        <f>IF(AND($A177="",$B177=""),"",IF(COUNT(L177:M177,O177)=0,"kein Mandanten-Saldo",IF(OR(AND(L177="",M177="")),"",IF(ABS(ROUND(((ROUND(N(D177)*100,0)+ROUND(N(J177)*100,0)+ROUND(N(M177)*100,0))-(ROUND(N(E177)*100,0)+ROUND(N(K177)*100,0)+ROUND(N(L177)*100,0))),0)-(0))&lt;=0,"OK","ABWEICHUNG"))))</f>
        <v/>
      </c>
      <c r="S177" s="84" t="n"/>
      <c r="T177" s="50" t="n"/>
      <c r="U177" s="50" t="n"/>
      <c r="V177" s="50" t="n"/>
      <c r="W177" s="50" t="n"/>
      <c r="X177" s="50" t="n"/>
      <c r="Y177" s="50" t="n"/>
      <c r="Z177" s="50" t="n"/>
    </row>
    <row r="178">
      <c r="A178" s="50" t="n"/>
      <c r="B178" s="50" t="n"/>
      <c r="C178" s="50" t="n"/>
      <c r="D178" s="84" t="n"/>
      <c r="E178" s="84" t="n"/>
      <c r="F178" s="84" t="n"/>
      <c r="G178" s="50" t="n"/>
      <c r="H178" s="84" t="n"/>
      <c r="I178" s="84" t="n"/>
      <c r="J178" s="84" t="n"/>
      <c r="K178" s="84" t="n"/>
      <c r="L178" s="84" t="n"/>
      <c r="M178" s="84" t="n"/>
      <c r="N178" s="50" t="n"/>
      <c r="O178" s="84" t="n"/>
      <c r="P178" s="84">
        <f>IF(AND($A178="",$B178=""),"",N(D178)-N(E178)+N(J178)-N(K178))</f>
        <v/>
      </c>
      <c r="Q178" s="84">
        <f>IF(AND($A178="",$B178=""),"",IF(COUNT(L178:M178,O178)=0,"",P178-(N(L178)-N(M178))))</f>
        <v/>
      </c>
      <c r="R178" s="54">
        <f>IF(AND($A178="",$B178=""),"",IF(COUNT(L178:M178,O178)=0,"kein Mandanten-Saldo",IF(OR(AND(L178="",M178="")),"",IF(ABS(ROUND(((ROUND(N(D178)*100,0)+ROUND(N(J178)*100,0)+ROUND(N(M178)*100,0))-(ROUND(N(E178)*100,0)+ROUND(N(K178)*100,0)+ROUND(N(L178)*100,0))),0)-(0))&lt;=0,"OK","ABWEICHUNG"))))</f>
        <v/>
      </c>
      <c r="S178" s="84" t="n"/>
      <c r="T178" s="50" t="n"/>
      <c r="U178" s="50" t="n"/>
      <c r="V178" s="50" t="n"/>
      <c r="W178" s="50" t="n"/>
      <c r="X178" s="50" t="n"/>
      <c r="Y178" s="50" t="n"/>
      <c r="Z178" s="50" t="n"/>
    </row>
    <row r="179">
      <c r="A179" s="50" t="n"/>
      <c r="B179" s="50" t="n"/>
      <c r="C179" s="50" t="n"/>
      <c r="D179" s="84" t="n"/>
      <c r="E179" s="84" t="n"/>
      <c r="F179" s="84" t="n"/>
      <c r="G179" s="50" t="n"/>
      <c r="H179" s="84" t="n"/>
      <c r="I179" s="84" t="n"/>
      <c r="J179" s="84" t="n"/>
      <c r="K179" s="84" t="n"/>
      <c r="L179" s="84" t="n"/>
      <c r="M179" s="84" t="n"/>
      <c r="N179" s="50" t="n"/>
      <c r="O179" s="84" t="n"/>
      <c r="P179" s="84">
        <f>IF(AND($A179="",$B179=""),"",N(D179)-N(E179)+N(J179)-N(K179))</f>
        <v/>
      </c>
      <c r="Q179" s="84">
        <f>IF(AND($A179="",$B179=""),"",IF(COUNT(L179:M179,O179)=0,"",P179-(N(L179)-N(M179))))</f>
        <v/>
      </c>
      <c r="R179" s="54">
        <f>IF(AND($A179="",$B179=""),"",IF(COUNT(L179:M179,O179)=0,"kein Mandanten-Saldo",IF(OR(AND(L179="",M179="")),"",IF(ABS(ROUND(((ROUND(N(D179)*100,0)+ROUND(N(J179)*100,0)+ROUND(N(M179)*100,0))-(ROUND(N(E179)*100,0)+ROUND(N(K179)*100,0)+ROUND(N(L179)*100,0))),0)-(0))&lt;=0,"OK","ABWEICHUNG"))))</f>
        <v/>
      </c>
      <c r="S179" s="84" t="n"/>
      <c r="T179" s="50" t="n"/>
      <c r="U179" s="50" t="n"/>
      <c r="V179" s="50" t="n"/>
      <c r="W179" s="50" t="n"/>
      <c r="X179" s="50" t="n"/>
      <c r="Y179" s="50" t="n"/>
      <c r="Z179" s="50" t="n"/>
    </row>
    <row r="180">
      <c r="A180" s="50" t="n"/>
      <c r="B180" s="50" t="n"/>
      <c r="C180" s="50" t="n"/>
      <c r="D180" s="84" t="n"/>
      <c r="E180" s="84" t="n"/>
      <c r="F180" s="84" t="n"/>
      <c r="G180" s="50" t="n"/>
      <c r="H180" s="84" t="n"/>
      <c r="I180" s="84" t="n"/>
      <c r="J180" s="84" t="n"/>
      <c r="K180" s="84" t="n"/>
      <c r="L180" s="84" t="n"/>
      <c r="M180" s="84" t="n"/>
      <c r="N180" s="50" t="n"/>
      <c r="O180" s="84" t="n"/>
      <c r="P180" s="84">
        <f>IF(AND($A180="",$B180=""),"",N(D180)-N(E180)+N(J180)-N(K180))</f>
        <v/>
      </c>
      <c r="Q180" s="84">
        <f>IF(AND($A180="",$B180=""),"",IF(COUNT(L180:M180,O180)=0,"",P180-(N(L180)-N(M180))))</f>
        <v/>
      </c>
      <c r="R180" s="54">
        <f>IF(AND($A180="",$B180=""),"",IF(COUNT(L180:M180,O180)=0,"kein Mandanten-Saldo",IF(OR(AND(L180="",M180="")),"",IF(ABS(ROUND(((ROUND(N(D180)*100,0)+ROUND(N(J180)*100,0)+ROUND(N(M180)*100,0))-(ROUND(N(E180)*100,0)+ROUND(N(K180)*100,0)+ROUND(N(L180)*100,0))),0)-(0))&lt;=0,"OK","ABWEICHUNG"))))</f>
        <v/>
      </c>
      <c r="S180" s="84" t="n"/>
      <c r="T180" s="50" t="n"/>
      <c r="U180" s="50" t="n"/>
      <c r="V180" s="50" t="n"/>
      <c r="W180" s="50" t="n"/>
      <c r="X180" s="50" t="n"/>
      <c r="Y180" s="50" t="n"/>
      <c r="Z180" s="50" t="n"/>
    </row>
    <row r="181">
      <c r="A181" s="50" t="n"/>
      <c r="B181" s="50" t="n"/>
      <c r="C181" s="50" t="n"/>
      <c r="D181" s="84" t="n"/>
      <c r="E181" s="84" t="n"/>
      <c r="F181" s="84" t="n"/>
      <c r="G181" s="50" t="n"/>
      <c r="H181" s="84" t="n"/>
      <c r="I181" s="84" t="n"/>
      <c r="J181" s="84" t="n"/>
      <c r="K181" s="84" t="n"/>
      <c r="L181" s="84" t="n"/>
      <c r="M181" s="84" t="n"/>
      <c r="N181" s="50" t="n"/>
      <c r="O181" s="84" t="n"/>
      <c r="P181" s="84">
        <f>IF(AND($A181="",$B181=""),"",N(D181)-N(E181)+N(J181)-N(K181))</f>
        <v/>
      </c>
      <c r="Q181" s="84">
        <f>IF(AND($A181="",$B181=""),"",IF(COUNT(L181:M181,O181)=0,"",P181-(N(L181)-N(M181))))</f>
        <v/>
      </c>
      <c r="R181" s="54">
        <f>IF(AND($A181="",$B181=""),"",IF(COUNT(L181:M181,O181)=0,"kein Mandanten-Saldo",IF(OR(AND(L181="",M181="")),"",IF(ABS(ROUND(((ROUND(N(D181)*100,0)+ROUND(N(J181)*100,0)+ROUND(N(M181)*100,0))-(ROUND(N(E181)*100,0)+ROUND(N(K181)*100,0)+ROUND(N(L181)*100,0))),0)-(0))&lt;=0,"OK","ABWEICHUNG"))))</f>
        <v/>
      </c>
      <c r="S181" s="84" t="n"/>
      <c r="T181" s="50" t="n"/>
      <c r="U181" s="50" t="n"/>
      <c r="V181" s="50" t="n"/>
      <c r="W181" s="50" t="n"/>
      <c r="X181" s="50" t="n"/>
      <c r="Y181" s="50" t="n"/>
      <c r="Z181" s="50" t="n"/>
    </row>
    <row r="182">
      <c r="A182" s="50" t="n"/>
      <c r="B182" s="50" t="n"/>
      <c r="C182" s="50" t="n"/>
      <c r="D182" s="84" t="n"/>
      <c r="E182" s="84" t="n"/>
      <c r="F182" s="84" t="n"/>
      <c r="G182" s="50" t="n"/>
      <c r="H182" s="84" t="n"/>
      <c r="I182" s="84" t="n"/>
      <c r="J182" s="84" t="n"/>
      <c r="K182" s="84" t="n"/>
      <c r="L182" s="84" t="n"/>
      <c r="M182" s="84" t="n"/>
      <c r="N182" s="50" t="n"/>
      <c r="O182" s="84" t="n"/>
      <c r="P182" s="84">
        <f>IF(AND($A182="",$B182=""),"",N(D182)-N(E182)+N(J182)-N(K182))</f>
        <v/>
      </c>
      <c r="Q182" s="84">
        <f>IF(AND($A182="",$B182=""),"",IF(COUNT(L182:M182,O182)=0,"",P182-(N(L182)-N(M182))))</f>
        <v/>
      </c>
      <c r="R182" s="54">
        <f>IF(AND($A182="",$B182=""),"",IF(COUNT(L182:M182,O182)=0,"kein Mandanten-Saldo",IF(OR(AND(L182="",M182="")),"",IF(ABS(ROUND(((ROUND(N(D182)*100,0)+ROUND(N(J182)*100,0)+ROUND(N(M182)*100,0))-(ROUND(N(E182)*100,0)+ROUND(N(K182)*100,0)+ROUND(N(L182)*100,0))),0)-(0))&lt;=0,"OK","ABWEICHUNG"))))</f>
        <v/>
      </c>
      <c r="S182" s="84" t="n"/>
      <c r="T182" s="50" t="n"/>
      <c r="U182" s="50" t="n"/>
      <c r="V182" s="50" t="n"/>
      <c r="W182" s="50" t="n"/>
      <c r="X182" s="50" t="n"/>
      <c r="Y182" s="50" t="n"/>
      <c r="Z182" s="50" t="n"/>
    </row>
    <row r="183">
      <c r="A183" s="50" t="n"/>
      <c r="B183" s="50" t="n"/>
      <c r="C183" s="50" t="n"/>
      <c r="D183" s="84" t="n"/>
      <c r="E183" s="84" t="n"/>
      <c r="F183" s="84" t="n"/>
      <c r="G183" s="50" t="n"/>
      <c r="H183" s="84" t="n"/>
      <c r="I183" s="84" t="n"/>
      <c r="J183" s="84" t="n"/>
      <c r="K183" s="84" t="n"/>
      <c r="L183" s="84" t="n"/>
      <c r="M183" s="84" t="n"/>
      <c r="N183" s="50" t="n"/>
      <c r="O183" s="84" t="n"/>
      <c r="P183" s="84">
        <f>IF(AND($A183="",$B183=""),"",N(D183)-N(E183)+N(J183)-N(K183))</f>
        <v/>
      </c>
      <c r="Q183" s="84">
        <f>IF(AND($A183="",$B183=""),"",IF(COUNT(L183:M183,O183)=0,"",P183-(N(L183)-N(M183))))</f>
        <v/>
      </c>
      <c r="R183" s="54">
        <f>IF(AND($A183="",$B183=""),"",IF(COUNT(L183:M183,O183)=0,"kein Mandanten-Saldo",IF(OR(AND(L183="",M183="")),"",IF(ABS(ROUND(((ROUND(N(D183)*100,0)+ROUND(N(J183)*100,0)+ROUND(N(M183)*100,0))-(ROUND(N(E183)*100,0)+ROUND(N(K183)*100,0)+ROUND(N(L183)*100,0))),0)-(0))&lt;=0,"OK","ABWEICHUNG"))))</f>
        <v/>
      </c>
      <c r="S183" s="84" t="n"/>
      <c r="T183" s="50" t="n"/>
      <c r="U183" s="50" t="n"/>
      <c r="V183" s="50" t="n"/>
      <c r="W183" s="50" t="n"/>
      <c r="X183" s="50" t="n"/>
      <c r="Y183" s="50" t="n"/>
      <c r="Z183" s="50" t="n"/>
    </row>
    <row r="184">
      <c r="A184" s="50" t="n"/>
      <c r="B184" s="50" t="n"/>
      <c r="C184" s="50" t="n"/>
      <c r="D184" s="84" t="n"/>
      <c r="E184" s="84" t="n"/>
      <c r="F184" s="84" t="n"/>
      <c r="G184" s="50" t="n"/>
      <c r="H184" s="84" t="n"/>
      <c r="I184" s="84" t="n"/>
      <c r="J184" s="84" t="n"/>
      <c r="K184" s="84" t="n"/>
      <c r="L184" s="84" t="n"/>
      <c r="M184" s="84" t="n"/>
      <c r="N184" s="50" t="n"/>
      <c r="O184" s="84" t="n"/>
      <c r="P184" s="84">
        <f>IF(AND($A184="",$B184=""),"",N(D184)-N(E184)+N(J184)-N(K184))</f>
        <v/>
      </c>
      <c r="Q184" s="84">
        <f>IF(AND($A184="",$B184=""),"",IF(COUNT(L184:M184,O184)=0,"",P184-(N(L184)-N(M184))))</f>
        <v/>
      </c>
      <c r="R184" s="54">
        <f>IF(AND($A184="",$B184=""),"",IF(COUNT(L184:M184,O184)=0,"kein Mandanten-Saldo",IF(OR(AND(L184="",M184="")),"",IF(ABS(ROUND(((ROUND(N(D184)*100,0)+ROUND(N(J184)*100,0)+ROUND(N(M184)*100,0))-(ROUND(N(E184)*100,0)+ROUND(N(K184)*100,0)+ROUND(N(L184)*100,0))),0)-(0))&lt;=0,"OK","ABWEICHUNG"))))</f>
        <v/>
      </c>
      <c r="S184" s="84" t="n"/>
      <c r="T184" s="50" t="n"/>
      <c r="U184" s="50" t="n"/>
      <c r="V184" s="50" t="n"/>
      <c r="W184" s="50" t="n"/>
      <c r="X184" s="50" t="n"/>
      <c r="Y184" s="50" t="n"/>
      <c r="Z184" s="50" t="n"/>
    </row>
    <row r="185">
      <c r="A185" s="50" t="n"/>
      <c r="B185" s="50" t="n"/>
      <c r="C185" s="50" t="n"/>
      <c r="D185" s="84" t="n"/>
      <c r="E185" s="84" t="n"/>
      <c r="F185" s="84" t="n"/>
      <c r="G185" s="50" t="n"/>
      <c r="H185" s="84" t="n"/>
      <c r="I185" s="84" t="n"/>
      <c r="J185" s="84" t="n"/>
      <c r="K185" s="84" t="n"/>
      <c r="L185" s="84" t="n"/>
      <c r="M185" s="84" t="n"/>
      <c r="N185" s="50" t="n"/>
      <c r="O185" s="84" t="n"/>
      <c r="P185" s="84">
        <f>IF(AND($A185="",$B185=""),"",N(D185)-N(E185)+N(J185)-N(K185))</f>
        <v/>
      </c>
      <c r="Q185" s="84">
        <f>IF(AND($A185="",$B185=""),"",IF(COUNT(L185:M185,O185)=0,"",P185-(N(L185)-N(M185))))</f>
        <v/>
      </c>
      <c r="R185" s="54">
        <f>IF(AND($A185="",$B185=""),"",IF(COUNT(L185:M185,O185)=0,"kein Mandanten-Saldo",IF(OR(AND(L185="",M185="")),"",IF(ABS(ROUND(((ROUND(N(D185)*100,0)+ROUND(N(J185)*100,0)+ROUND(N(M185)*100,0))-(ROUND(N(E185)*100,0)+ROUND(N(K185)*100,0)+ROUND(N(L185)*100,0))),0)-(0))&lt;=0,"OK","ABWEICHUNG"))))</f>
        <v/>
      </c>
      <c r="S185" s="84" t="n"/>
      <c r="T185" s="50" t="n"/>
      <c r="U185" s="50" t="n"/>
      <c r="V185" s="50" t="n"/>
      <c r="W185" s="50" t="n"/>
      <c r="X185" s="50" t="n"/>
      <c r="Y185" s="50" t="n"/>
      <c r="Z185" s="50" t="n"/>
    </row>
    <row r="186">
      <c r="A186" s="50" t="n"/>
      <c r="B186" s="50" t="n"/>
      <c r="C186" s="50" t="n"/>
      <c r="D186" s="84" t="n"/>
      <c r="E186" s="84" t="n"/>
      <c r="F186" s="84" t="n"/>
      <c r="G186" s="50" t="n"/>
      <c r="H186" s="84" t="n"/>
      <c r="I186" s="84" t="n"/>
      <c r="J186" s="84" t="n"/>
      <c r="K186" s="84" t="n"/>
      <c r="L186" s="84" t="n"/>
      <c r="M186" s="84" t="n"/>
      <c r="N186" s="50" t="n"/>
      <c r="O186" s="84" t="n"/>
      <c r="P186" s="84">
        <f>IF(AND($A186="",$B186=""),"",N(D186)-N(E186)+N(J186)-N(K186))</f>
        <v/>
      </c>
      <c r="Q186" s="84">
        <f>IF(AND($A186="",$B186=""),"",IF(COUNT(L186:M186,O186)=0,"",P186-(N(L186)-N(M186))))</f>
        <v/>
      </c>
      <c r="R186" s="54">
        <f>IF(AND($A186="",$B186=""),"",IF(COUNT(L186:M186,O186)=0,"kein Mandanten-Saldo",IF(OR(AND(L186="",M186="")),"",IF(ABS(ROUND(((ROUND(N(D186)*100,0)+ROUND(N(J186)*100,0)+ROUND(N(M186)*100,0))-(ROUND(N(E186)*100,0)+ROUND(N(K186)*100,0)+ROUND(N(L186)*100,0))),0)-(0))&lt;=0,"OK","ABWEICHUNG"))))</f>
        <v/>
      </c>
      <c r="S186" s="84" t="n"/>
      <c r="T186" s="50" t="n"/>
      <c r="U186" s="50" t="n"/>
      <c r="V186" s="50" t="n"/>
      <c r="W186" s="50" t="n"/>
      <c r="X186" s="50" t="n"/>
      <c r="Y186" s="50" t="n"/>
      <c r="Z186" s="50" t="n"/>
    </row>
    <row r="187">
      <c r="A187" s="50" t="n"/>
      <c r="B187" s="50" t="n"/>
      <c r="C187" s="50" t="n"/>
      <c r="D187" s="84" t="n"/>
      <c r="E187" s="84" t="n"/>
      <c r="F187" s="84" t="n"/>
      <c r="G187" s="50" t="n"/>
      <c r="H187" s="84" t="n"/>
      <c r="I187" s="84" t="n"/>
      <c r="J187" s="84" t="n"/>
      <c r="K187" s="84" t="n"/>
      <c r="L187" s="84" t="n"/>
      <c r="M187" s="84" t="n"/>
      <c r="N187" s="50" t="n"/>
      <c r="O187" s="84" t="n"/>
      <c r="P187" s="84">
        <f>IF(AND($A187="",$B187=""),"",N(D187)-N(E187)+N(J187)-N(K187))</f>
        <v/>
      </c>
      <c r="Q187" s="84">
        <f>IF(AND($A187="",$B187=""),"",IF(COUNT(L187:M187,O187)=0,"",P187-(N(L187)-N(M187))))</f>
        <v/>
      </c>
      <c r="R187" s="54">
        <f>IF(AND($A187="",$B187=""),"",IF(COUNT(L187:M187,O187)=0,"kein Mandanten-Saldo",IF(OR(AND(L187="",M187="")),"",IF(ABS(ROUND(((ROUND(N(D187)*100,0)+ROUND(N(J187)*100,0)+ROUND(N(M187)*100,0))-(ROUND(N(E187)*100,0)+ROUND(N(K187)*100,0)+ROUND(N(L187)*100,0))),0)-(0))&lt;=0,"OK","ABWEICHUNG"))))</f>
        <v/>
      </c>
      <c r="S187" s="84" t="n"/>
      <c r="T187" s="50" t="n"/>
      <c r="U187" s="50" t="n"/>
      <c r="V187" s="50" t="n"/>
      <c r="W187" s="50" t="n"/>
      <c r="X187" s="50" t="n"/>
      <c r="Y187" s="50" t="n"/>
      <c r="Z187" s="50" t="n"/>
    </row>
    <row r="188">
      <c r="A188" s="50" t="n"/>
      <c r="B188" s="50" t="n"/>
      <c r="C188" s="50" t="n"/>
      <c r="D188" s="84" t="n"/>
      <c r="E188" s="84" t="n"/>
      <c r="F188" s="84" t="n"/>
      <c r="G188" s="50" t="n"/>
      <c r="H188" s="84" t="n"/>
      <c r="I188" s="84" t="n"/>
      <c r="J188" s="84" t="n"/>
      <c r="K188" s="84" t="n"/>
      <c r="L188" s="84" t="n"/>
      <c r="M188" s="84" t="n"/>
      <c r="N188" s="50" t="n"/>
      <c r="O188" s="84" t="n"/>
      <c r="P188" s="84">
        <f>IF(AND($A188="",$B188=""),"",N(D188)-N(E188)+N(J188)-N(K188))</f>
        <v/>
      </c>
      <c r="Q188" s="84">
        <f>IF(AND($A188="",$B188=""),"",IF(COUNT(L188:M188,O188)=0,"",P188-(N(L188)-N(M188))))</f>
        <v/>
      </c>
      <c r="R188" s="54">
        <f>IF(AND($A188="",$B188=""),"",IF(COUNT(L188:M188,O188)=0,"kein Mandanten-Saldo",IF(OR(AND(L188="",M188="")),"",IF(ABS(ROUND(((ROUND(N(D188)*100,0)+ROUND(N(J188)*100,0)+ROUND(N(M188)*100,0))-(ROUND(N(E188)*100,0)+ROUND(N(K188)*100,0)+ROUND(N(L188)*100,0))),0)-(0))&lt;=0,"OK","ABWEICHUNG"))))</f>
        <v/>
      </c>
      <c r="S188" s="84" t="n"/>
      <c r="T188" s="50" t="n"/>
      <c r="U188" s="50" t="n"/>
      <c r="V188" s="50" t="n"/>
      <c r="W188" s="50" t="n"/>
      <c r="X188" s="50" t="n"/>
      <c r="Y188" s="50" t="n"/>
      <c r="Z188" s="50" t="n"/>
    </row>
    <row r="189">
      <c r="A189" s="50" t="n"/>
      <c r="B189" s="50" t="n"/>
      <c r="C189" s="50" t="n"/>
      <c r="D189" s="84" t="n"/>
      <c r="E189" s="84" t="n"/>
      <c r="F189" s="84" t="n"/>
      <c r="G189" s="50" t="n"/>
      <c r="H189" s="84" t="n"/>
      <c r="I189" s="84" t="n"/>
      <c r="J189" s="84" t="n"/>
      <c r="K189" s="84" t="n"/>
      <c r="L189" s="84" t="n"/>
      <c r="M189" s="84" t="n"/>
      <c r="N189" s="50" t="n"/>
      <c r="O189" s="84" t="n"/>
      <c r="P189" s="84">
        <f>IF(AND($A189="",$B189=""),"",N(D189)-N(E189)+N(J189)-N(K189))</f>
        <v/>
      </c>
      <c r="Q189" s="84">
        <f>IF(AND($A189="",$B189=""),"",IF(COUNT(L189:M189,O189)=0,"",P189-(N(L189)-N(M189))))</f>
        <v/>
      </c>
      <c r="R189" s="54">
        <f>IF(AND($A189="",$B189=""),"",IF(COUNT(L189:M189,O189)=0,"kein Mandanten-Saldo",IF(OR(AND(L189="",M189="")),"",IF(ABS(ROUND(((ROUND(N(D189)*100,0)+ROUND(N(J189)*100,0)+ROUND(N(M189)*100,0))-(ROUND(N(E189)*100,0)+ROUND(N(K189)*100,0)+ROUND(N(L189)*100,0))),0)-(0))&lt;=0,"OK","ABWEICHUNG"))))</f>
        <v/>
      </c>
      <c r="S189" s="84" t="n"/>
      <c r="T189" s="50" t="n"/>
      <c r="U189" s="50" t="n"/>
      <c r="V189" s="50" t="n"/>
      <c r="W189" s="50" t="n"/>
      <c r="X189" s="50" t="n"/>
      <c r="Y189" s="50" t="n"/>
      <c r="Z189" s="50" t="n"/>
    </row>
    <row r="190">
      <c r="A190" s="50" t="n"/>
      <c r="B190" s="50" t="n"/>
      <c r="C190" s="50" t="n"/>
      <c r="D190" s="84" t="n"/>
      <c r="E190" s="84" t="n"/>
      <c r="F190" s="84" t="n"/>
      <c r="G190" s="50" t="n"/>
      <c r="H190" s="84" t="n"/>
      <c r="I190" s="84" t="n"/>
      <c r="J190" s="84" t="n"/>
      <c r="K190" s="84" t="n"/>
      <c r="L190" s="84" t="n"/>
      <c r="M190" s="84" t="n"/>
      <c r="N190" s="50" t="n"/>
      <c r="O190" s="84" t="n"/>
      <c r="P190" s="84">
        <f>IF(AND($A190="",$B190=""),"",N(D190)-N(E190)+N(J190)-N(K190))</f>
        <v/>
      </c>
      <c r="Q190" s="84">
        <f>IF(AND($A190="",$B190=""),"",IF(COUNT(L190:M190,O190)=0,"",P190-(N(L190)-N(M190))))</f>
        <v/>
      </c>
      <c r="R190" s="54">
        <f>IF(AND($A190="",$B190=""),"",IF(COUNT(L190:M190,O190)=0,"kein Mandanten-Saldo",IF(OR(AND(L190="",M190="")),"",IF(ABS(ROUND(((ROUND(N(D190)*100,0)+ROUND(N(J190)*100,0)+ROUND(N(M190)*100,0))-(ROUND(N(E190)*100,0)+ROUND(N(K190)*100,0)+ROUND(N(L190)*100,0))),0)-(0))&lt;=0,"OK","ABWEICHUNG"))))</f>
        <v/>
      </c>
      <c r="S190" s="84" t="n"/>
      <c r="T190" s="50" t="n"/>
      <c r="U190" s="50" t="n"/>
      <c r="V190" s="50" t="n"/>
      <c r="W190" s="50" t="n"/>
      <c r="X190" s="50" t="n"/>
      <c r="Y190" s="50" t="n"/>
      <c r="Z190" s="50" t="n"/>
    </row>
    <row r="191">
      <c r="A191" s="50" t="n"/>
      <c r="B191" s="50" t="n"/>
      <c r="C191" s="50" t="n"/>
      <c r="D191" s="84" t="n"/>
      <c r="E191" s="84" t="n"/>
      <c r="F191" s="84" t="n"/>
      <c r="G191" s="50" t="n"/>
      <c r="H191" s="84" t="n"/>
      <c r="I191" s="84" t="n"/>
      <c r="J191" s="84" t="n"/>
      <c r="K191" s="84" t="n"/>
      <c r="L191" s="84" t="n"/>
      <c r="M191" s="84" t="n"/>
      <c r="N191" s="50" t="n"/>
      <c r="O191" s="84" t="n"/>
      <c r="P191" s="84">
        <f>IF(AND($A191="",$B191=""),"",N(D191)-N(E191)+N(J191)-N(K191))</f>
        <v/>
      </c>
      <c r="Q191" s="84">
        <f>IF(AND($A191="",$B191=""),"",IF(COUNT(L191:M191,O191)=0,"",P191-(N(L191)-N(M191))))</f>
        <v/>
      </c>
      <c r="R191" s="54">
        <f>IF(AND($A191="",$B191=""),"",IF(COUNT(L191:M191,O191)=0,"kein Mandanten-Saldo",IF(OR(AND(L191="",M191="")),"",IF(ABS(ROUND(((ROUND(N(D191)*100,0)+ROUND(N(J191)*100,0)+ROUND(N(M191)*100,0))-(ROUND(N(E191)*100,0)+ROUND(N(K191)*100,0)+ROUND(N(L191)*100,0))),0)-(0))&lt;=0,"OK","ABWEICHUNG"))))</f>
        <v/>
      </c>
      <c r="S191" s="84" t="n"/>
      <c r="T191" s="50" t="n"/>
      <c r="U191" s="50" t="n"/>
      <c r="V191" s="50" t="n"/>
      <c r="W191" s="50" t="n"/>
      <c r="X191" s="50" t="n"/>
      <c r="Y191" s="50" t="n"/>
      <c r="Z191" s="50" t="n"/>
    </row>
    <row r="192">
      <c r="A192" s="50" t="n"/>
      <c r="B192" s="50" t="n"/>
      <c r="C192" s="50" t="n"/>
      <c r="D192" s="84" t="n"/>
      <c r="E192" s="84" t="n"/>
      <c r="F192" s="84" t="n"/>
      <c r="G192" s="50" t="n"/>
      <c r="H192" s="84" t="n"/>
      <c r="I192" s="84" t="n"/>
      <c r="J192" s="84" t="n"/>
      <c r="K192" s="84" t="n"/>
      <c r="L192" s="84" t="n"/>
      <c r="M192" s="84" t="n"/>
      <c r="N192" s="50" t="n"/>
      <c r="O192" s="84" t="n"/>
      <c r="P192" s="84">
        <f>IF(AND($A192="",$B192=""),"",N(D192)-N(E192)+N(J192)-N(K192))</f>
        <v/>
      </c>
      <c r="Q192" s="84">
        <f>IF(AND($A192="",$B192=""),"",IF(COUNT(L192:M192,O192)=0,"",P192-(N(L192)-N(M192))))</f>
        <v/>
      </c>
      <c r="R192" s="54">
        <f>IF(AND($A192="",$B192=""),"",IF(COUNT(L192:M192,O192)=0,"kein Mandanten-Saldo",IF(OR(AND(L192="",M192="")),"",IF(ABS(ROUND(((ROUND(N(D192)*100,0)+ROUND(N(J192)*100,0)+ROUND(N(M192)*100,0))-(ROUND(N(E192)*100,0)+ROUND(N(K192)*100,0)+ROUND(N(L192)*100,0))),0)-(0))&lt;=0,"OK","ABWEICHUNG"))))</f>
        <v/>
      </c>
      <c r="S192" s="84" t="n"/>
      <c r="T192" s="50" t="n"/>
      <c r="U192" s="50" t="n"/>
      <c r="V192" s="50" t="n"/>
      <c r="W192" s="50" t="n"/>
      <c r="X192" s="50" t="n"/>
      <c r="Y192" s="50" t="n"/>
      <c r="Z192" s="50" t="n"/>
    </row>
    <row r="193">
      <c r="A193" s="50" t="n"/>
      <c r="B193" s="50" t="n"/>
      <c r="C193" s="50" t="n"/>
      <c r="D193" s="84" t="n"/>
      <c r="E193" s="84" t="n"/>
      <c r="F193" s="84" t="n"/>
      <c r="G193" s="50" t="n"/>
      <c r="H193" s="84" t="n"/>
      <c r="I193" s="84" t="n"/>
      <c r="J193" s="84" t="n"/>
      <c r="K193" s="84" t="n"/>
      <c r="L193" s="84" t="n"/>
      <c r="M193" s="84" t="n"/>
      <c r="N193" s="50" t="n"/>
      <c r="O193" s="84" t="n"/>
      <c r="P193" s="84">
        <f>IF(AND($A193="",$B193=""),"",N(D193)-N(E193)+N(J193)-N(K193))</f>
        <v/>
      </c>
      <c r="Q193" s="84">
        <f>IF(AND($A193="",$B193=""),"",IF(COUNT(L193:M193,O193)=0,"",P193-(N(L193)-N(M193))))</f>
        <v/>
      </c>
      <c r="R193" s="54">
        <f>IF(AND($A193="",$B193=""),"",IF(COUNT(L193:M193,O193)=0,"kein Mandanten-Saldo",IF(OR(AND(L193="",M193="")),"",IF(ABS(ROUND(((ROUND(N(D193)*100,0)+ROUND(N(J193)*100,0)+ROUND(N(M193)*100,0))-(ROUND(N(E193)*100,0)+ROUND(N(K193)*100,0)+ROUND(N(L193)*100,0))),0)-(0))&lt;=0,"OK","ABWEICHUNG"))))</f>
        <v/>
      </c>
      <c r="S193" s="84" t="n"/>
      <c r="T193" s="50" t="n"/>
      <c r="U193" s="50" t="n"/>
      <c r="V193" s="50" t="n"/>
      <c r="W193" s="50" t="n"/>
      <c r="X193" s="50" t="n"/>
      <c r="Y193" s="50" t="n"/>
      <c r="Z193" s="50" t="n"/>
    </row>
    <row r="194">
      <c r="A194" s="50" t="n"/>
      <c r="B194" s="50" t="n"/>
      <c r="C194" s="50" t="n"/>
      <c r="D194" s="84" t="n"/>
      <c r="E194" s="84" t="n"/>
      <c r="F194" s="84" t="n"/>
      <c r="G194" s="50" t="n"/>
      <c r="H194" s="84" t="n"/>
      <c r="I194" s="84" t="n"/>
      <c r="J194" s="84" t="n"/>
      <c r="K194" s="84" t="n"/>
      <c r="L194" s="84" t="n"/>
      <c r="M194" s="84" t="n"/>
      <c r="N194" s="50" t="n"/>
      <c r="O194" s="84" t="n"/>
      <c r="P194" s="84">
        <f>IF(AND($A194="",$B194=""),"",N(D194)-N(E194)+N(J194)-N(K194))</f>
        <v/>
      </c>
      <c r="Q194" s="84">
        <f>IF(AND($A194="",$B194=""),"",IF(COUNT(L194:M194,O194)=0,"",P194-(N(L194)-N(M194))))</f>
        <v/>
      </c>
      <c r="R194" s="54">
        <f>IF(AND($A194="",$B194=""),"",IF(COUNT(L194:M194,O194)=0,"kein Mandanten-Saldo",IF(OR(AND(L194="",M194="")),"",IF(ABS(ROUND(((ROUND(N(D194)*100,0)+ROUND(N(J194)*100,0)+ROUND(N(M194)*100,0))-(ROUND(N(E194)*100,0)+ROUND(N(K194)*100,0)+ROUND(N(L194)*100,0))),0)-(0))&lt;=0,"OK","ABWEICHUNG"))))</f>
        <v/>
      </c>
      <c r="S194" s="84" t="n"/>
      <c r="T194" s="50" t="n"/>
      <c r="U194" s="50" t="n"/>
      <c r="V194" s="50" t="n"/>
      <c r="W194" s="50" t="n"/>
      <c r="X194" s="50" t="n"/>
      <c r="Y194" s="50" t="n"/>
      <c r="Z194" s="50" t="n"/>
    </row>
    <row r="195">
      <c r="A195" s="50" t="n"/>
      <c r="B195" s="50" t="n"/>
      <c r="C195" s="50" t="n"/>
      <c r="D195" s="84" t="n"/>
      <c r="E195" s="84" t="n"/>
      <c r="F195" s="84" t="n"/>
      <c r="G195" s="50" t="n"/>
      <c r="H195" s="84" t="n"/>
      <c r="I195" s="84" t="n"/>
      <c r="J195" s="84" t="n"/>
      <c r="K195" s="84" t="n"/>
      <c r="L195" s="84" t="n"/>
      <c r="M195" s="84" t="n"/>
      <c r="N195" s="50" t="n"/>
      <c r="O195" s="84" t="n"/>
      <c r="P195" s="84">
        <f>IF(AND($A195="",$B195=""),"",N(D195)-N(E195)+N(J195)-N(K195))</f>
        <v/>
      </c>
      <c r="Q195" s="84">
        <f>IF(AND($A195="",$B195=""),"",IF(COUNT(L195:M195,O195)=0,"",P195-(N(L195)-N(M195))))</f>
        <v/>
      </c>
      <c r="R195" s="54">
        <f>IF(AND($A195="",$B195=""),"",IF(COUNT(L195:M195,O195)=0,"kein Mandanten-Saldo",IF(OR(AND(L195="",M195="")),"",IF(ABS(ROUND(((ROUND(N(D195)*100,0)+ROUND(N(J195)*100,0)+ROUND(N(M195)*100,0))-(ROUND(N(E195)*100,0)+ROUND(N(K195)*100,0)+ROUND(N(L195)*100,0))),0)-(0))&lt;=0,"OK","ABWEICHUNG"))))</f>
        <v/>
      </c>
      <c r="S195" s="84" t="n"/>
      <c r="T195" s="50" t="n"/>
      <c r="U195" s="50" t="n"/>
      <c r="V195" s="50" t="n"/>
      <c r="W195" s="50" t="n"/>
      <c r="X195" s="50" t="n"/>
      <c r="Y195" s="50" t="n"/>
      <c r="Z195" s="50" t="n"/>
    </row>
    <row r="196">
      <c r="A196" s="50" t="n"/>
      <c r="B196" s="50" t="n"/>
      <c r="C196" s="50" t="n"/>
      <c r="D196" s="84" t="n"/>
      <c r="E196" s="84" t="n"/>
      <c r="F196" s="84" t="n"/>
      <c r="G196" s="50" t="n"/>
      <c r="H196" s="84" t="n"/>
      <c r="I196" s="84" t="n"/>
      <c r="J196" s="84" t="n"/>
      <c r="K196" s="84" t="n"/>
      <c r="L196" s="84" t="n"/>
      <c r="M196" s="84" t="n"/>
      <c r="N196" s="50" t="n"/>
      <c r="O196" s="84" t="n"/>
      <c r="P196" s="84">
        <f>IF(AND($A196="",$B196=""),"",N(D196)-N(E196)+N(J196)-N(K196))</f>
        <v/>
      </c>
      <c r="Q196" s="84">
        <f>IF(AND($A196="",$B196=""),"",IF(COUNT(L196:M196,O196)=0,"",P196-(N(L196)-N(M196))))</f>
        <v/>
      </c>
      <c r="R196" s="54">
        <f>IF(AND($A196="",$B196=""),"",IF(COUNT(L196:M196,O196)=0,"kein Mandanten-Saldo",IF(OR(AND(L196="",M196="")),"",IF(ABS(ROUND(((ROUND(N(D196)*100,0)+ROUND(N(J196)*100,0)+ROUND(N(M196)*100,0))-(ROUND(N(E196)*100,0)+ROUND(N(K196)*100,0)+ROUND(N(L196)*100,0))),0)-(0))&lt;=0,"OK","ABWEICHUNG"))))</f>
        <v/>
      </c>
      <c r="S196" s="84" t="n"/>
      <c r="T196" s="50" t="n"/>
      <c r="U196" s="50" t="n"/>
      <c r="V196" s="50" t="n"/>
      <c r="W196" s="50" t="n"/>
      <c r="X196" s="50" t="n"/>
      <c r="Y196" s="50" t="n"/>
      <c r="Z196" s="50" t="n"/>
    </row>
    <row r="197">
      <c r="A197" s="50" t="n"/>
      <c r="B197" s="50" t="n"/>
      <c r="C197" s="50" t="n"/>
      <c r="D197" s="84" t="n"/>
      <c r="E197" s="84" t="n"/>
      <c r="F197" s="84" t="n"/>
      <c r="G197" s="50" t="n"/>
      <c r="H197" s="84" t="n"/>
      <c r="I197" s="84" t="n"/>
      <c r="J197" s="84" t="n"/>
      <c r="K197" s="84" t="n"/>
      <c r="L197" s="84" t="n"/>
      <c r="M197" s="84" t="n"/>
      <c r="N197" s="50" t="n"/>
      <c r="O197" s="84" t="n"/>
      <c r="P197" s="84">
        <f>IF(AND($A197="",$B197=""),"",N(D197)-N(E197)+N(J197)-N(K197))</f>
        <v/>
      </c>
      <c r="Q197" s="84">
        <f>IF(AND($A197="",$B197=""),"",IF(COUNT(L197:M197,O197)=0,"",P197-(N(L197)-N(M197))))</f>
        <v/>
      </c>
      <c r="R197" s="54">
        <f>IF(AND($A197="",$B197=""),"",IF(COUNT(L197:M197,O197)=0,"kein Mandanten-Saldo",IF(OR(AND(L197="",M197="")),"",IF(ABS(ROUND(((ROUND(N(D197)*100,0)+ROUND(N(J197)*100,0)+ROUND(N(M197)*100,0))-(ROUND(N(E197)*100,0)+ROUND(N(K197)*100,0)+ROUND(N(L197)*100,0))),0)-(0))&lt;=0,"OK","ABWEICHUNG"))))</f>
        <v/>
      </c>
      <c r="S197" s="84" t="n"/>
      <c r="T197" s="50" t="n"/>
      <c r="U197" s="50" t="n"/>
      <c r="V197" s="50" t="n"/>
      <c r="W197" s="50" t="n"/>
      <c r="X197" s="50" t="n"/>
      <c r="Y197" s="50" t="n"/>
      <c r="Z197" s="50" t="n"/>
    </row>
    <row r="198">
      <c r="A198" s="50" t="n"/>
      <c r="B198" s="50" t="n"/>
      <c r="C198" s="50" t="n"/>
      <c r="D198" s="84" t="n"/>
      <c r="E198" s="84" t="n"/>
      <c r="F198" s="84" t="n"/>
      <c r="G198" s="50" t="n"/>
      <c r="H198" s="84" t="n"/>
      <c r="I198" s="84" t="n"/>
      <c r="J198" s="84" t="n"/>
      <c r="K198" s="84" t="n"/>
      <c r="L198" s="84" t="n"/>
      <c r="M198" s="84" t="n"/>
      <c r="N198" s="50" t="n"/>
      <c r="O198" s="84" t="n"/>
      <c r="P198" s="84">
        <f>IF(AND($A198="",$B198=""),"",N(D198)-N(E198)+N(J198)-N(K198))</f>
        <v/>
      </c>
      <c r="Q198" s="84">
        <f>IF(AND($A198="",$B198=""),"",IF(COUNT(L198:M198,O198)=0,"",P198-(N(L198)-N(M198))))</f>
        <v/>
      </c>
      <c r="R198" s="54">
        <f>IF(AND($A198="",$B198=""),"",IF(COUNT(L198:M198,O198)=0,"kein Mandanten-Saldo",IF(OR(AND(L198="",M198="")),"",IF(ABS(ROUND(((ROUND(N(D198)*100,0)+ROUND(N(J198)*100,0)+ROUND(N(M198)*100,0))-(ROUND(N(E198)*100,0)+ROUND(N(K198)*100,0)+ROUND(N(L198)*100,0))),0)-(0))&lt;=0,"OK","ABWEICHUNG"))))</f>
        <v/>
      </c>
      <c r="S198" s="84" t="n"/>
      <c r="T198" s="50" t="n"/>
      <c r="U198" s="50" t="n"/>
      <c r="V198" s="50" t="n"/>
      <c r="W198" s="50" t="n"/>
      <c r="X198" s="50" t="n"/>
      <c r="Y198" s="50" t="n"/>
      <c r="Z198" s="50" t="n"/>
    </row>
    <row r="199">
      <c r="A199" s="50" t="n"/>
      <c r="B199" s="50" t="n"/>
      <c r="C199" s="50" t="n"/>
      <c r="D199" s="84" t="n"/>
      <c r="E199" s="84" t="n"/>
      <c r="F199" s="84" t="n"/>
      <c r="G199" s="50" t="n"/>
      <c r="H199" s="84" t="n"/>
      <c r="I199" s="84" t="n"/>
      <c r="J199" s="84" t="n"/>
      <c r="K199" s="84" t="n"/>
      <c r="L199" s="84" t="n"/>
      <c r="M199" s="84" t="n"/>
      <c r="N199" s="50" t="n"/>
      <c r="O199" s="84" t="n"/>
      <c r="P199" s="84">
        <f>IF(AND($A199="",$B199=""),"",N(D199)-N(E199)+N(J199)-N(K199))</f>
        <v/>
      </c>
      <c r="Q199" s="84">
        <f>IF(AND($A199="",$B199=""),"",IF(COUNT(L199:M199,O199)=0,"",P199-(N(L199)-N(M199))))</f>
        <v/>
      </c>
      <c r="R199" s="54">
        <f>IF(AND($A199="",$B199=""),"",IF(COUNT(L199:M199,O199)=0,"kein Mandanten-Saldo",IF(OR(AND(L199="",M199="")),"",IF(ABS(ROUND(((ROUND(N(D199)*100,0)+ROUND(N(J199)*100,0)+ROUND(N(M199)*100,0))-(ROUND(N(E199)*100,0)+ROUND(N(K199)*100,0)+ROUND(N(L199)*100,0))),0)-(0))&lt;=0,"OK","ABWEICHUNG"))))</f>
        <v/>
      </c>
      <c r="S199" s="84" t="n"/>
      <c r="T199" s="50" t="n"/>
      <c r="U199" s="50" t="n"/>
      <c r="V199" s="50" t="n"/>
      <c r="W199" s="50" t="n"/>
      <c r="X199" s="50" t="n"/>
      <c r="Y199" s="50" t="n"/>
      <c r="Z199" s="50" t="n"/>
    </row>
    <row r="200">
      <c r="A200" s="50" t="n"/>
      <c r="B200" s="50" t="n"/>
      <c r="C200" s="50" t="n"/>
      <c r="D200" s="84" t="n"/>
      <c r="E200" s="84" t="n"/>
      <c r="F200" s="84" t="n"/>
      <c r="G200" s="50" t="n"/>
      <c r="H200" s="84" t="n"/>
      <c r="I200" s="84" t="n"/>
      <c r="J200" s="84" t="n"/>
      <c r="K200" s="84" t="n"/>
      <c r="L200" s="84" t="n"/>
      <c r="M200" s="84" t="n"/>
      <c r="N200" s="50" t="n"/>
      <c r="O200" s="84" t="n"/>
      <c r="P200" s="84">
        <f>IF(AND($A200="",$B200=""),"",N(D200)-N(E200)+N(J200)-N(K200))</f>
        <v/>
      </c>
      <c r="Q200" s="84">
        <f>IF(AND($A200="",$B200=""),"",IF(COUNT(L200:M200,O200)=0,"",P200-(N(L200)-N(M200))))</f>
        <v/>
      </c>
      <c r="R200" s="54">
        <f>IF(AND($A200="",$B200=""),"",IF(COUNT(L200:M200,O200)=0,"kein Mandanten-Saldo",IF(OR(AND(L200="",M200="")),"",IF(ABS(ROUND(((ROUND(N(D200)*100,0)+ROUND(N(J200)*100,0)+ROUND(N(M200)*100,0))-(ROUND(N(E200)*100,0)+ROUND(N(K200)*100,0)+ROUND(N(L200)*100,0))),0)-(0))&lt;=0,"OK","ABWEICHUNG"))))</f>
        <v/>
      </c>
      <c r="S200" s="84" t="n"/>
      <c r="T200" s="50" t="n"/>
      <c r="U200" s="50" t="n"/>
      <c r="V200" s="50" t="n"/>
      <c r="W200" s="50" t="n"/>
      <c r="X200" s="50" t="n"/>
      <c r="Y200" s="50" t="n"/>
      <c r="Z200" s="50" t="n"/>
    </row>
    <row r="201">
      <c r="A201" s="50" t="n"/>
      <c r="B201" s="50" t="n"/>
      <c r="C201" s="50" t="n"/>
      <c r="D201" s="84" t="n"/>
      <c r="E201" s="84" t="n"/>
      <c r="F201" s="84" t="n"/>
      <c r="G201" s="50" t="n"/>
      <c r="H201" s="84" t="n"/>
      <c r="I201" s="84" t="n"/>
      <c r="J201" s="84" t="n"/>
      <c r="K201" s="84" t="n"/>
      <c r="L201" s="84" t="n"/>
      <c r="M201" s="84" t="n"/>
      <c r="N201" s="50" t="n"/>
      <c r="O201" s="84" t="n"/>
      <c r="P201" s="84">
        <f>IF(AND($A201="",$B201=""),"",N(D201)-N(E201)+N(J201)-N(K201))</f>
        <v/>
      </c>
      <c r="Q201" s="84">
        <f>IF(AND($A201="",$B201=""),"",IF(COUNT(L201:M201,O201)=0,"",P201-(N(L201)-N(M201))))</f>
        <v/>
      </c>
      <c r="R201" s="54">
        <f>IF(AND($A201="",$B201=""),"",IF(COUNT(L201:M201,O201)=0,"kein Mandanten-Saldo",IF(OR(AND(L201="",M201="")),"",IF(ABS(ROUND(((ROUND(N(D201)*100,0)+ROUND(N(J201)*100,0)+ROUND(N(M201)*100,0))-(ROUND(N(E201)*100,0)+ROUND(N(K201)*100,0)+ROUND(N(L201)*100,0))),0)-(0))&lt;=0,"OK","ABWEICHUNG"))))</f>
        <v/>
      </c>
      <c r="S201" s="84" t="n"/>
      <c r="T201" s="50" t="n"/>
      <c r="U201" s="50" t="n"/>
      <c r="V201" s="50" t="n"/>
      <c r="W201" s="50" t="n"/>
      <c r="X201" s="50" t="n"/>
      <c r="Y201" s="50" t="n"/>
      <c r="Z201" s="50" t="n"/>
    </row>
    <row r="202">
      <c r="A202" s="50" t="n"/>
      <c r="B202" s="50" t="n"/>
      <c r="C202" s="50" t="n"/>
      <c r="D202" s="84" t="n"/>
      <c r="E202" s="84" t="n"/>
      <c r="F202" s="84" t="n"/>
      <c r="G202" s="50" t="n"/>
      <c r="H202" s="84" t="n"/>
      <c r="I202" s="84" t="n"/>
      <c r="J202" s="84" t="n"/>
      <c r="K202" s="84" t="n"/>
      <c r="L202" s="84" t="n"/>
      <c r="M202" s="84" t="n"/>
      <c r="N202" s="50" t="n"/>
      <c r="O202" s="84" t="n"/>
      <c r="P202" s="84">
        <f>IF(AND($A202="",$B202=""),"",N(D202)-N(E202)+N(J202)-N(K202))</f>
        <v/>
      </c>
      <c r="Q202" s="84">
        <f>IF(AND($A202="",$B202=""),"",IF(COUNT(L202:M202,O202)=0,"",P202-(N(L202)-N(M202))))</f>
        <v/>
      </c>
      <c r="R202" s="54">
        <f>IF(AND($A202="",$B202=""),"",IF(COUNT(L202:M202,O202)=0,"kein Mandanten-Saldo",IF(OR(AND(L202="",M202="")),"",IF(ABS(ROUND(((ROUND(N(D202)*100,0)+ROUND(N(J202)*100,0)+ROUND(N(M202)*100,0))-(ROUND(N(E202)*100,0)+ROUND(N(K202)*100,0)+ROUND(N(L202)*100,0))),0)-(0))&lt;=0,"OK","ABWEICHUNG"))))</f>
        <v/>
      </c>
      <c r="S202" s="84" t="n"/>
      <c r="T202" s="50" t="n"/>
      <c r="U202" s="50" t="n"/>
      <c r="V202" s="50" t="n"/>
      <c r="W202" s="50" t="n"/>
      <c r="X202" s="50" t="n"/>
      <c r="Y202" s="50" t="n"/>
      <c r="Z202" s="50" t="n"/>
    </row>
    <row r="203">
      <c r="A203" s="50" t="n"/>
      <c r="B203" s="50" t="n"/>
      <c r="C203" s="50" t="n"/>
      <c r="D203" s="84" t="n"/>
      <c r="E203" s="84" t="n"/>
      <c r="F203" s="84" t="n"/>
      <c r="G203" s="50" t="n"/>
      <c r="H203" s="84" t="n"/>
      <c r="I203" s="84" t="n"/>
      <c r="J203" s="84" t="n"/>
      <c r="K203" s="84" t="n"/>
      <c r="L203" s="84" t="n"/>
      <c r="M203" s="84" t="n"/>
      <c r="N203" s="50" t="n"/>
      <c r="O203" s="84" t="n"/>
      <c r="P203" s="84">
        <f>IF(AND($A203="",$B203=""),"",N(D203)-N(E203)+N(J203)-N(K203))</f>
        <v/>
      </c>
      <c r="Q203" s="84">
        <f>IF(AND($A203="",$B203=""),"",IF(COUNT(L203:M203,O203)=0,"",P203-(N(L203)-N(M203))))</f>
        <v/>
      </c>
      <c r="R203" s="54">
        <f>IF(AND($A203="",$B203=""),"",IF(COUNT(L203:M203,O203)=0,"kein Mandanten-Saldo",IF(OR(AND(L203="",M203="")),"",IF(ABS(ROUND(((ROUND(N(D203)*100,0)+ROUND(N(J203)*100,0)+ROUND(N(M203)*100,0))-(ROUND(N(E203)*100,0)+ROUND(N(K203)*100,0)+ROUND(N(L203)*100,0))),0)-(0))&lt;=0,"OK","ABWEICHUNG"))))</f>
        <v/>
      </c>
      <c r="S203" s="84" t="n"/>
      <c r="T203" s="50" t="n"/>
      <c r="U203" s="50" t="n"/>
      <c r="V203" s="50" t="n"/>
      <c r="W203" s="50" t="n"/>
      <c r="X203" s="50" t="n"/>
      <c r="Y203" s="50" t="n"/>
      <c r="Z203" s="50" t="n"/>
    </row>
    <row r="204">
      <c r="A204" s="50" t="n"/>
      <c r="B204" s="50" t="n"/>
      <c r="C204" s="50" t="n"/>
      <c r="D204" s="84" t="n"/>
      <c r="E204" s="84" t="n"/>
      <c r="F204" s="84" t="n"/>
      <c r="G204" s="50" t="n"/>
      <c r="H204" s="84" t="n"/>
      <c r="I204" s="84" t="n"/>
      <c r="J204" s="84" t="n"/>
      <c r="K204" s="84" t="n"/>
      <c r="L204" s="84" t="n"/>
      <c r="M204" s="84" t="n"/>
      <c r="N204" s="50" t="n"/>
      <c r="O204" s="84" t="n"/>
      <c r="P204" s="84">
        <f>IF(AND($A204="",$B204=""),"",N(D204)-N(E204)+N(J204)-N(K204))</f>
        <v/>
      </c>
      <c r="Q204" s="84">
        <f>IF(AND($A204="",$B204=""),"",IF(COUNT(L204:M204,O204)=0,"",P204-(N(L204)-N(M204))))</f>
        <v/>
      </c>
      <c r="R204" s="54">
        <f>IF(AND($A204="",$B204=""),"",IF(COUNT(L204:M204,O204)=0,"kein Mandanten-Saldo",IF(OR(AND(L204="",M204="")),"",IF(ABS(ROUND(((ROUND(N(D204)*100,0)+ROUND(N(J204)*100,0)+ROUND(N(M204)*100,0))-(ROUND(N(E204)*100,0)+ROUND(N(K204)*100,0)+ROUND(N(L204)*100,0))),0)-(0))&lt;=0,"OK","ABWEICHUNG"))))</f>
        <v/>
      </c>
      <c r="S204" s="84" t="n"/>
      <c r="T204" s="50" t="n"/>
      <c r="U204" s="50" t="n"/>
      <c r="V204" s="50" t="n"/>
      <c r="W204" s="50" t="n"/>
      <c r="X204" s="50" t="n"/>
      <c r="Y204" s="50" t="n"/>
      <c r="Z204" s="50" t="n"/>
    </row>
    <row r="205">
      <c r="A205" s="50" t="n"/>
      <c r="B205" s="50" t="n"/>
      <c r="C205" s="50" t="n"/>
      <c r="D205" s="84" t="n"/>
      <c r="E205" s="84" t="n"/>
      <c r="F205" s="84" t="n"/>
      <c r="G205" s="50" t="n"/>
      <c r="H205" s="84" t="n"/>
      <c r="I205" s="84" t="n"/>
      <c r="J205" s="84" t="n"/>
      <c r="K205" s="84" t="n"/>
      <c r="L205" s="84" t="n"/>
      <c r="M205" s="84" t="n"/>
      <c r="N205" s="50" t="n"/>
      <c r="O205" s="84" t="n"/>
      <c r="P205" s="84">
        <f>IF(AND($A205="",$B205=""),"",N(D205)-N(E205)+N(J205)-N(K205))</f>
        <v/>
      </c>
      <c r="Q205" s="84">
        <f>IF(AND($A205="",$B205=""),"",IF(COUNT(L205:M205,O205)=0,"",P205-(N(L205)-N(M205))))</f>
        <v/>
      </c>
      <c r="R205" s="54">
        <f>IF(AND($A205="",$B205=""),"",IF(COUNT(L205:M205,O205)=0,"kein Mandanten-Saldo",IF(OR(AND(L205="",M205="")),"",IF(ABS(ROUND(((ROUND(N(D205)*100,0)+ROUND(N(J205)*100,0)+ROUND(N(M205)*100,0))-(ROUND(N(E205)*100,0)+ROUND(N(K205)*100,0)+ROUND(N(L205)*100,0))),0)-(0))&lt;=0,"OK","ABWEICHUNG"))))</f>
        <v/>
      </c>
      <c r="S205" s="84" t="n"/>
      <c r="T205" s="50" t="n"/>
      <c r="U205" s="50" t="n"/>
      <c r="V205" s="50" t="n"/>
      <c r="W205" s="50" t="n"/>
      <c r="X205" s="50" t="n"/>
      <c r="Y205" s="50" t="n"/>
      <c r="Z205" s="50" t="n"/>
    </row>
    <row r="206">
      <c r="A206" s="50" t="n"/>
      <c r="B206" s="50" t="n"/>
      <c r="C206" s="50" t="n"/>
      <c r="D206" s="84" t="n"/>
      <c r="E206" s="84" t="n"/>
      <c r="F206" s="84" t="n"/>
      <c r="G206" s="50" t="n"/>
      <c r="H206" s="84" t="n"/>
      <c r="I206" s="84" t="n"/>
      <c r="J206" s="84" t="n"/>
      <c r="K206" s="84" t="n"/>
      <c r="L206" s="84" t="n"/>
      <c r="M206" s="84" t="n"/>
      <c r="N206" s="50" t="n"/>
      <c r="O206" s="84" t="n"/>
      <c r="P206" s="84">
        <f>IF(AND($A206="",$B206=""),"",N(D206)-N(E206)+N(J206)-N(K206))</f>
        <v/>
      </c>
      <c r="Q206" s="84">
        <f>IF(AND($A206="",$B206=""),"",IF(COUNT(L206:M206,O206)=0,"",P206-(N(L206)-N(M206))))</f>
        <v/>
      </c>
      <c r="R206" s="54">
        <f>IF(AND($A206="",$B206=""),"",IF(COUNT(L206:M206,O206)=0,"kein Mandanten-Saldo",IF(OR(AND(L206="",M206="")),"",IF(ABS(ROUND(((ROUND(N(D206)*100,0)+ROUND(N(J206)*100,0)+ROUND(N(M206)*100,0))-(ROUND(N(E206)*100,0)+ROUND(N(K206)*100,0)+ROUND(N(L206)*100,0))),0)-(0))&lt;=0,"OK","ABWEICHUNG"))))</f>
        <v/>
      </c>
      <c r="S206" s="84" t="n"/>
      <c r="T206" s="50" t="n"/>
      <c r="U206" s="50" t="n"/>
      <c r="V206" s="50" t="n"/>
      <c r="W206" s="50" t="n"/>
      <c r="X206" s="50" t="n"/>
      <c r="Y206" s="50" t="n"/>
      <c r="Z206" s="50" t="n"/>
    </row>
    <row r="207">
      <c r="A207" s="50" t="n"/>
      <c r="B207" s="50" t="n"/>
      <c r="C207" s="50" t="n"/>
      <c r="D207" s="84" t="n"/>
      <c r="E207" s="84" t="n"/>
      <c r="F207" s="84" t="n"/>
      <c r="G207" s="50" t="n"/>
      <c r="H207" s="84" t="n"/>
      <c r="I207" s="84" t="n"/>
      <c r="J207" s="84" t="n"/>
      <c r="K207" s="84" t="n"/>
      <c r="L207" s="84" t="n"/>
      <c r="M207" s="84" t="n"/>
      <c r="N207" s="50" t="n"/>
      <c r="O207" s="84" t="n"/>
      <c r="P207" s="84">
        <f>IF(AND($A207="",$B207=""),"",N(D207)-N(E207)+N(J207)-N(K207))</f>
        <v/>
      </c>
      <c r="Q207" s="84">
        <f>IF(AND($A207="",$B207=""),"",IF(COUNT(L207:M207,O207)=0,"",P207-(N(L207)-N(M207))))</f>
        <v/>
      </c>
      <c r="R207" s="54">
        <f>IF(AND($A207="",$B207=""),"",IF(COUNT(L207:M207,O207)=0,"kein Mandanten-Saldo",IF(OR(AND(L207="",M207="")),"",IF(ABS(ROUND(((ROUND(N(D207)*100,0)+ROUND(N(J207)*100,0)+ROUND(N(M207)*100,0))-(ROUND(N(E207)*100,0)+ROUND(N(K207)*100,0)+ROUND(N(L207)*100,0))),0)-(0))&lt;=0,"OK","ABWEICHUNG"))))</f>
        <v/>
      </c>
      <c r="S207" s="84" t="n"/>
      <c r="T207" s="50" t="n"/>
      <c r="U207" s="50" t="n"/>
      <c r="V207" s="50" t="n"/>
      <c r="W207" s="50" t="n"/>
      <c r="X207" s="50" t="n"/>
      <c r="Y207" s="50" t="n"/>
      <c r="Z207" s="50" t="n"/>
    </row>
    <row r="208">
      <c r="A208" s="50" t="n"/>
      <c r="B208" s="50" t="n"/>
      <c r="C208" s="50" t="n"/>
      <c r="D208" s="84" t="n"/>
      <c r="E208" s="84" t="n"/>
      <c r="F208" s="84" t="n"/>
      <c r="G208" s="50" t="n"/>
      <c r="H208" s="84" t="n"/>
      <c r="I208" s="84" t="n"/>
      <c r="J208" s="84" t="n"/>
      <c r="K208" s="84" t="n"/>
      <c r="L208" s="84" t="n"/>
      <c r="M208" s="84" t="n"/>
      <c r="N208" s="50" t="n"/>
      <c r="O208" s="84" t="n"/>
      <c r="P208" s="84">
        <f>IF(AND($A208="",$B208=""),"",N(D208)-N(E208)+N(J208)-N(K208))</f>
        <v/>
      </c>
      <c r="Q208" s="84">
        <f>IF(AND($A208="",$B208=""),"",IF(COUNT(L208:M208,O208)=0,"",P208-(N(L208)-N(M208))))</f>
        <v/>
      </c>
      <c r="R208" s="54">
        <f>IF(AND($A208="",$B208=""),"",IF(COUNT(L208:M208,O208)=0,"kein Mandanten-Saldo",IF(OR(AND(L208="",M208="")),"",IF(ABS(ROUND(((ROUND(N(D208)*100,0)+ROUND(N(J208)*100,0)+ROUND(N(M208)*100,0))-(ROUND(N(E208)*100,0)+ROUND(N(K208)*100,0)+ROUND(N(L208)*100,0))),0)-(0))&lt;=0,"OK","ABWEICHUNG"))))</f>
        <v/>
      </c>
      <c r="S208" s="84" t="n"/>
      <c r="T208" s="50" t="n"/>
      <c r="U208" s="50" t="n"/>
      <c r="V208" s="50" t="n"/>
      <c r="W208" s="50" t="n"/>
      <c r="X208" s="50" t="n"/>
      <c r="Y208" s="50" t="n"/>
      <c r="Z208" s="50" t="n"/>
    </row>
    <row r="209">
      <c r="A209" s="50" t="n"/>
      <c r="B209" s="50" t="n"/>
      <c r="C209" s="50" t="n"/>
      <c r="D209" s="84" t="n"/>
      <c r="E209" s="84" t="n"/>
      <c r="F209" s="84" t="n"/>
      <c r="G209" s="50" t="n"/>
      <c r="H209" s="84" t="n"/>
      <c r="I209" s="84" t="n"/>
      <c r="J209" s="84" t="n"/>
      <c r="K209" s="84" t="n"/>
      <c r="L209" s="84" t="n"/>
      <c r="M209" s="84" t="n"/>
      <c r="N209" s="50" t="n"/>
      <c r="O209" s="84" t="n"/>
      <c r="P209" s="84">
        <f>IF(AND($A209="",$B209=""),"",N(D209)-N(E209)+N(J209)-N(K209))</f>
        <v/>
      </c>
      <c r="Q209" s="84">
        <f>IF(AND($A209="",$B209=""),"",IF(COUNT(L209:M209,O209)=0,"",P209-(N(L209)-N(M209))))</f>
        <v/>
      </c>
      <c r="R209" s="54">
        <f>IF(AND($A209="",$B209=""),"",IF(COUNT(L209:M209,O209)=0,"kein Mandanten-Saldo",IF(OR(AND(L209="",M209="")),"",IF(ABS(ROUND(((ROUND(N(D209)*100,0)+ROUND(N(J209)*100,0)+ROUND(N(M209)*100,0))-(ROUND(N(E209)*100,0)+ROUND(N(K209)*100,0)+ROUND(N(L209)*100,0))),0)-(0))&lt;=0,"OK","ABWEICHUNG"))))</f>
        <v/>
      </c>
      <c r="S209" s="84" t="n"/>
      <c r="T209" s="50" t="n"/>
      <c r="U209" s="50" t="n"/>
      <c r="V209" s="50" t="n"/>
      <c r="W209" s="50" t="n"/>
      <c r="X209" s="50" t="n"/>
      <c r="Y209" s="50" t="n"/>
      <c r="Z209" s="50" t="n"/>
    </row>
    <row r="210">
      <c r="A210" s="50" t="n"/>
      <c r="B210" s="50" t="n"/>
      <c r="C210" s="50" t="n"/>
      <c r="D210" s="84" t="n"/>
      <c r="E210" s="84" t="n"/>
      <c r="F210" s="84" t="n"/>
      <c r="G210" s="50" t="n"/>
      <c r="H210" s="84" t="n"/>
      <c r="I210" s="84" t="n"/>
      <c r="J210" s="84" t="n"/>
      <c r="K210" s="84" t="n"/>
      <c r="L210" s="84" t="n"/>
      <c r="M210" s="84" t="n"/>
      <c r="N210" s="50" t="n"/>
      <c r="O210" s="84" t="n"/>
      <c r="P210" s="84">
        <f>IF(AND($A210="",$B210=""),"",N(D210)-N(E210)+N(J210)-N(K210))</f>
        <v/>
      </c>
      <c r="Q210" s="84">
        <f>IF(AND($A210="",$B210=""),"",IF(COUNT(L210:M210,O210)=0,"",P210-(N(L210)-N(M210))))</f>
        <v/>
      </c>
      <c r="R210" s="54">
        <f>IF(AND($A210="",$B210=""),"",IF(COUNT(L210:M210,O210)=0,"kein Mandanten-Saldo",IF(OR(AND(L210="",M210="")),"",IF(ABS(ROUND(((ROUND(N(D210)*100,0)+ROUND(N(J210)*100,0)+ROUND(N(M210)*100,0))-(ROUND(N(E210)*100,0)+ROUND(N(K210)*100,0)+ROUND(N(L210)*100,0))),0)-(0))&lt;=0,"OK","ABWEICHUNG"))))</f>
        <v/>
      </c>
      <c r="S210" s="84" t="n"/>
      <c r="T210" s="50" t="n"/>
      <c r="U210" s="50" t="n"/>
      <c r="V210" s="50" t="n"/>
      <c r="W210" s="50" t="n"/>
      <c r="X210" s="50" t="n"/>
      <c r="Y210" s="50" t="n"/>
      <c r="Z210" s="50" t="n"/>
    </row>
    <row r="211">
      <c r="A211" s="50" t="n"/>
      <c r="B211" s="50" t="n"/>
      <c r="C211" s="50" t="n"/>
      <c r="D211" s="84" t="n"/>
      <c r="E211" s="84" t="n"/>
      <c r="F211" s="84" t="n"/>
      <c r="G211" s="50" t="n"/>
      <c r="H211" s="84" t="n"/>
      <c r="I211" s="84" t="n"/>
      <c r="J211" s="84" t="n"/>
      <c r="K211" s="84" t="n"/>
      <c r="L211" s="84" t="n"/>
      <c r="M211" s="84" t="n"/>
      <c r="N211" s="50" t="n"/>
      <c r="O211" s="84" t="n"/>
      <c r="P211" s="84">
        <f>IF(AND($A211="",$B211=""),"",N(D211)-N(E211)+N(J211)-N(K211))</f>
        <v/>
      </c>
      <c r="Q211" s="84">
        <f>IF(AND($A211="",$B211=""),"",IF(COUNT(L211:M211,O211)=0,"",P211-(N(L211)-N(M211))))</f>
        <v/>
      </c>
      <c r="R211" s="54">
        <f>IF(AND($A211="",$B211=""),"",IF(COUNT(L211:M211,O211)=0,"kein Mandanten-Saldo",IF(OR(AND(L211="",M211="")),"",IF(ABS(ROUND(((ROUND(N(D211)*100,0)+ROUND(N(J211)*100,0)+ROUND(N(M211)*100,0))-(ROUND(N(E211)*100,0)+ROUND(N(K211)*100,0)+ROUND(N(L211)*100,0))),0)-(0))&lt;=0,"OK","ABWEICHUNG"))))</f>
        <v/>
      </c>
      <c r="S211" s="84" t="n"/>
      <c r="T211" s="50" t="n"/>
      <c r="U211" s="50" t="n"/>
      <c r="V211" s="50" t="n"/>
      <c r="W211" s="50" t="n"/>
      <c r="X211" s="50" t="n"/>
      <c r="Y211" s="50" t="n"/>
      <c r="Z211" s="50" t="n"/>
    </row>
    <row r="212">
      <c r="A212" s="50" t="n"/>
      <c r="B212" s="50" t="n"/>
      <c r="C212" s="50" t="n"/>
      <c r="D212" s="84" t="n"/>
      <c r="E212" s="84" t="n"/>
      <c r="F212" s="84" t="n"/>
      <c r="G212" s="50" t="n"/>
      <c r="H212" s="84" t="n"/>
      <c r="I212" s="84" t="n"/>
      <c r="J212" s="84" t="n"/>
      <c r="K212" s="84" t="n"/>
      <c r="L212" s="84" t="n"/>
      <c r="M212" s="84" t="n"/>
      <c r="N212" s="50" t="n"/>
      <c r="O212" s="84" t="n"/>
      <c r="P212" s="84">
        <f>IF(AND($A212="",$B212=""),"",N(D212)-N(E212)+N(J212)-N(K212))</f>
        <v/>
      </c>
      <c r="Q212" s="84">
        <f>IF(AND($A212="",$B212=""),"",IF(COUNT(L212:M212,O212)=0,"",P212-(N(L212)-N(M212))))</f>
        <v/>
      </c>
      <c r="R212" s="54">
        <f>IF(AND($A212="",$B212=""),"",IF(COUNT(L212:M212,O212)=0,"kein Mandanten-Saldo",IF(OR(AND(L212="",M212="")),"",IF(ABS(ROUND(((ROUND(N(D212)*100,0)+ROUND(N(J212)*100,0)+ROUND(N(M212)*100,0))-(ROUND(N(E212)*100,0)+ROUND(N(K212)*100,0)+ROUND(N(L212)*100,0))),0)-(0))&lt;=0,"OK","ABWEICHUNG"))))</f>
        <v/>
      </c>
      <c r="S212" s="84" t="n"/>
      <c r="T212" s="50" t="n"/>
      <c r="U212" s="50" t="n"/>
      <c r="V212" s="50" t="n"/>
      <c r="W212" s="50" t="n"/>
      <c r="X212" s="50" t="n"/>
      <c r="Y212" s="50" t="n"/>
      <c r="Z212" s="50" t="n"/>
    </row>
    <row r="213">
      <c r="A213" s="50" t="n"/>
      <c r="B213" s="50" t="n"/>
      <c r="C213" s="50" t="n"/>
      <c r="D213" s="84" t="n"/>
      <c r="E213" s="84" t="n"/>
      <c r="F213" s="84" t="n"/>
      <c r="G213" s="50" t="n"/>
      <c r="H213" s="84" t="n"/>
      <c r="I213" s="84" t="n"/>
      <c r="J213" s="84" t="n"/>
      <c r="K213" s="84" t="n"/>
      <c r="L213" s="84" t="n"/>
      <c r="M213" s="84" t="n"/>
      <c r="N213" s="50" t="n"/>
      <c r="O213" s="84" t="n"/>
      <c r="P213" s="84">
        <f>IF(AND($A213="",$B213=""),"",N(D213)-N(E213)+N(J213)-N(K213))</f>
        <v/>
      </c>
      <c r="Q213" s="84">
        <f>IF(AND($A213="",$B213=""),"",IF(COUNT(L213:M213,O213)=0,"",P213-(N(L213)-N(M213))))</f>
        <v/>
      </c>
      <c r="R213" s="54">
        <f>IF(AND($A213="",$B213=""),"",IF(COUNT(L213:M213,O213)=0,"kein Mandanten-Saldo",IF(OR(AND(L213="",M213="")),"",IF(ABS(ROUND(((ROUND(N(D213)*100,0)+ROUND(N(J213)*100,0)+ROUND(N(M213)*100,0))-(ROUND(N(E213)*100,0)+ROUND(N(K213)*100,0)+ROUND(N(L213)*100,0))),0)-(0))&lt;=0,"OK","ABWEICHUNG"))))</f>
        <v/>
      </c>
      <c r="S213" s="84" t="n"/>
      <c r="T213" s="50" t="n"/>
      <c r="U213" s="50" t="n"/>
      <c r="V213" s="50" t="n"/>
      <c r="W213" s="50" t="n"/>
      <c r="X213" s="50" t="n"/>
      <c r="Y213" s="50" t="n"/>
      <c r="Z213" s="50" t="n"/>
    </row>
    <row r="214">
      <c r="A214" s="50" t="n"/>
      <c r="B214" s="50" t="n"/>
      <c r="C214" s="50" t="n"/>
      <c r="D214" s="84" t="n"/>
      <c r="E214" s="84" t="n"/>
      <c r="F214" s="84" t="n"/>
      <c r="G214" s="50" t="n"/>
      <c r="H214" s="84" t="n"/>
      <c r="I214" s="84" t="n"/>
      <c r="J214" s="84" t="n"/>
      <c r="K214" s="84" t="n"/>
      <c r="L214" s="84" t="n"/>
      <c r="M214" s="84" t="n"/>
      <c r="N214" s="50" t="n"/>
      <c r="O214" s="84" t="n"/>
      <c r="P214" s="84">
        <f>IF(AND($A214="",$B214=""),"",N(D214)-N(E214)+N(J214)-N(K214))</f>
        <v/>
      </c>
      <c r="Q214" s="84">
        <f>IF(AND($A214="",$B214=""),"",IF(COUNT(L214:M214,O214)=0,"",P214-(N(L214)-N(M214))))</f>
        <v/>
      </c>
      <c r="R214" s="54">
        <f>IF(AND($A214="",$B214=""),"",IF(COUNT(L214:M214,O214)=0,"kein Mandanten-Saldo",IF(OR(AND(L214="",M214="")),"",IF(ABS(ROUND(((ROUND(N(D214)*100,0)+ROUND(N(J214)*100,0)+ROUND(N(M214)*100,0))-(ROUND(N(E214)*100,0)+ROUND(N(K214)*100,0)+ROUND(N(L214)*100,0))),0)-(0))&lt;=0,"OK","ABWEICHUNG"))))</f>
        <v/>
      </c>
      <c r="S214" s="84" t="n"/>
      <c r="T214" s="50" t="n"/>
      <c r="U214" s="50" t="n"/>
      <c r="V214" s="50" t="n"/>
      <c r="W214" s="50" t="n"/>
      <c r="X214" s="50" t="n"/>
      <c r="Y214" s="50" t="n"/>
      <c r="Z214" s="50" t="n"/>
    </row>
    <row r="215">
      <c r="A215" s="50" t="n"/>
      <c r="B215" s="50" t="n"/>
      <c r="C215" s="50" t="n"/>
      <c r="D215" s="84" t="n"/>
      <c r="E215" s="84" t="n"/>
      <c r="F215" s="84" t="n"/>
      <c r="G215" s="50" t="n"/>
      <c r="H215" s="84" t="n"/>
      <c r="I215" s="84" t="n"/>
      <c r="J215" s="84" t="n"/>
      <c r="K215" s="84" t="n"/>
      <c r="L215" s="84" t="n"/>
      <c r="M215" s="84" t="n"/>
      <c r="N215" s="50" t="n"/>
      <c r="O215" s="84" t="n"/>
      <c r="P215" s="84">
        <f>IF(AND($A215="",$B215=""),"",N(D215)-N(E215)+N(J215)-N(K215))</f>
        <v/>
      </c>
      <c r="Q215" s="84">
        <f>IF(AND($A215="",$B215=""),"",IF(COUNT(L215:M215,O215)=0,"",P215-(N(L215)-N(M215))))</f>
        <v/>
      </c>
      <c r="R215" s="54">
        <f>IF(AND($A215="",$B215=""),"",IF(COUNT(L215:M215,O215)=0,"kein Mandanten-Saldo",IF(OR(AND(L215="",M215="")),"",IF(ABS(ROUND(((ROUND(N(D215)*100,0)+ROUND(N(J215)*100,0)+ROUND(N(M215)*100,0))-(ROUND(N(E215)*100,0)+ROUND(N(K215)*100,0)+ROUND(N(L215)*100,0))),0)-(0))&lt;=0,"OK","ABWEICHUNG"))))</f>
        <v/>
      </c>
      <c r="S215" s="84" t="n"/>
      <c r="T215" s="50" t="n"/>
      <c r="U215" s="50" t="n"/>
      <c r="V215" s="50" t="n"/>
      <c r="W215" s="50" t="n"/>
      <c r="X215" s="50" t="n"/>
      <c r="Y215" s="50" t="n"/>
      <c r="Z215" s="50" t="n"/>
    </row>
    <row r="216">
      <c r="A216" s="50" t="n"/>
      <c r="B216" s="50" t="n"/>
      <c r="C216" s="50" t="n"/>
      <c r="D216" s="84" t="n"/>
      <c r="E216" s="84" t="n"/>
      <c r="F216" s="84" t="n"/>
      <c r="G216" s="50" t="n"/>
      <c r="H216" s="84" t="n"/>
      <c r="I216" s="84" t="n"/>
      <c r="J216" s="84" t="n"/>
      <c r="K216" s="84" t="n"/>
      <c r="L216" s="84" t="n"/>
      <c r="M216" s="84" t="n"/>
      <c r="N216" s="50" t="n"/>
      <c r="O216" s="84" t="n"/>
      <c r="P216" s="84">
        <f>IF(AND($A216="",$B216=""),"",N(D216)-N(E216)+N(J216)-N(K216))</f>
        <v/>
      </c>
      <c r="Q216" s="84">
        <f>IF(AND($A216="",$B216=""),"",IF(COUNT(L216:M216,O216)=0,"",P216-(N(L216)-N(M216))))</f>
        <v/>
      </c>
      <c r="R216" s="54">
        <f>IF(AND($A216="",$B216=""),"",IF(COUNT(L216:M216,O216)=0,"kein Mandanten-Saldo",IF(OR(AND(L216="",M216="")),"",IF(ABS(ROUND(((ROUND(N(D216)*100,0)+ROUND(N(J216)*100,0)+ROUND(N(M216)*100,0))-(ROUND(N(E216)*100,0)+ROUND(N(K216)*100,0)+ROUND(N(L216)*100,0))),0)-(0))&lt;=0,"OK","ABWEICHUNG"))))</f>
        <v/>
      </c>
      <c r="S216" s="84" t="n"/>
      <c r="T216" s="50" t="n"/>
      <c r="U216" s="50" t="n"/>
      <c r="V216" s="50" t="n"/>
      <c r="W216" s="50" t="n"/>
      <c r="X216" s="50" t="n"/>
      <c r="Y216" s="50" t="n"/>
      <c r="Z216" s="50" t="n"/>
    </row>
    <row r="217">
      <c r="A217" s="50" t="n"/>
      <c r="B217" s="50" t="n"/>
      <c r="C217" s="50" t="n"/>
      <c r="D217" s="84" t="n"/>
      <c r="E217" s="84" t="n"/>
      <c r="F217" s="84" t="n"/>
      <c r="G217" s="50" t="n"/>
      <c r="H217" s="84" t="n"/>
      <c r="I217" s="84" t="n"/>
      <c r="J217" s="84" t="n"/>
      <c r="K217" s="84" t="n"/>
      <c r="L217" s="84" t="n"/>
      <c r="M217" s="84" t="n"/>
      <c r="N217" s="50" t="n"/>
      <c r="O217" s="84" t="n"/>
      <c r="P217" s="84">
        <f>IF(AND($A217="",$B217=""),"",N(D217)-N(E217)+N(J217)-N(K217))</f>
        <v/>
      </c>
      <c r="Q217" s="84">
        <f>IF(AND($A217="",$B217=""),"",IF(COUNT(L217:M217,O217)=0,"",P217-(N(L217)-N(M217))))</f>
        <v/>
      </c>
      <c r="R217" s="54">
        <f>IF(AND($A217="",$B217=""),"",IF(COUNT(L217:M217,O217)=0,"kein Mandanten-Saldo",IF(OR(AND(L217="",M217="")),"",IF(ABS(ROUND(((ROUND(N(D217)*100,0)+ROUND(N(J217)*100,0)+ROUND(N(M217)*100,0))-(ROUND(N(E217)*100,0)+ROUND(N(K217)*100,0)+ROUND(N(L217)*100,0))),0)-(0))&lt;=0,"OK","ABWEICHUNG"))))</f>
        <v/>
      </c>
      <c r="S217" s="84" t="n"/>
      <c r="T217" s="50" t="n"/>
      <c r="U217" s="50" t="n"/>
      <c r="V217" s="50" t="n"/>
      <c r="W217" s="50" t="n"/>
      <c r="X217" s="50" t="n"/>
      <c r="Y217" s="50" t="n"/>
      <c r="Z217" s="50" t="n"/>
    </row>
    <row r="218">
      <c r="A218" s="50" t="n"/>
      <c r="B218" s="50" t="n"/>
      <c r="C218" s="50" t="n"/>
      <c r="D218" s="84" t="n"/>
      <c r="E218" s="84" t="n"/>
      <c r="F218" s="84" t="n"/>
      <c r="G218" s="50" t="n"/>
      <c r="H218" s="84" t="n"/>
      <c r="I218" s="84" t="n"/>
      <c r="J218" s="84" t="n"/>
      <c r="K218" s="84" t="n"/>
      <c r="L218" s="84" t="n"/>
      <c r="M218" s="84" t="n"/>
      <c r="N218" s="50" t="n"/>
      <c r="O218" s="84" t="n"/>
      <c r="P218" s="84">
        <f>IF(AND($A218="",$B218=""),"",N(D218)-N(E218)+N(J218)-N(K218))</f>
        <v/>
      </c>
      <c r="Q218" s="84">
        <f>IF(AND($A218="",$B218=""),"",IF(COUNT(L218:M218,O218)=0,"",P218-(N(L218)-N(M218))))</f>
        <v/>
      </c>
      <c r="R218" s="54">
        <f>IF(AND($A218="",$B218=""),"",IF(COUNT(L218:M218,O218)=0,"kein Mandanten-Saldo",IF(OR(AND(L218="",M218="")),"",IF(ABS(ROUND(((ROUND(N(D218)*100,0)+ROUND(N(J218)*100,0)+ROUND(N(M218)*100,0))-(ROUND(N(E218)*100,0)+ROUND(N(K218)*100,0)+ROUND(N(L218)*100,0))),0)-(0))&lt;=0,"OK","ABWEICHUNG"))))</f>
        <v/>
      </c>
      <c r="S218" s="84" t="n"/>
      <c r="T218" s="50" t="n"/>
      <c r="U218" s="50" t="n"/>
      <c r="V218" s="50" t="n"/>
      <c r="W218" s="50" t="n"/>
      <c r="X218" s="50" t="n"/>
      <c r="Y218" s="50" t="n"/>
      <c r="Z218" s="50" t="n"/>
    </row>
    <row r="219">
      <c r="A219" s="50" t="n"/>
      <c r="B219" s="50" t="n"/>
      <c r="C219" s="50" t="n"/>
      <c r="D219" s="84" t="n"/>
      <c r="E219" s="84" t="n"/>
      <c r="F219" s="84" t="n"/>
      <c r="G219" s="50" t="n"/>
      <c r="H219" s="84" t="n"/>
      <c r="I219" s="84" t="n"/>
      <c r="J219" s="84" t="n"/>
      <c r="K219" s="84" t="n"/>
      <c r="L219" s="84" t="n"/>
      <c r="M219" s="84" t="n"/>
      <c r="N219" s="50" t="n"/>
      <c r="O219" s="84" t="n"/>
      <c r="P219" s="84">
        <f>IF(AND($A219="",$B219=""),"",N(D219)-N(E219)+N(J219)-N(K219))</f>
        <v/>
      </c>
      <c r="Q219" s="84">
        <f>IF(AND($A219="",$B219=""),"",IF(COUNT(L219:M219,O219)=0,"",P219-(N(L219)-N(M219))))</f>
        <v/>
      </c>
      <c r="R219" s="54">
        <f>IF(AND($A219="",$B219=""),"",IF(COUNT(L219:M219,O219)=0,"kein Mandanten-Saldo",IF(OR(AND(L219="",M219="")),"",IF(ABS(ROUND(((ROUND(N(D219)*100,0)+ROUND(N(J219)*100,0)+ROUND(N(M219)*100,0))-(ROUND(N(E219)*100,0)+ROUND(N(K219)*100,0)+ROUND(N(L219)*100,0))),0)-(0))&lt;=0,"OK","ABWEICHUNG"))))</f>
        <v/>
      </c>
      <c r="S219" s="84" t="n"/>
      <c r="T219" s="50" t="n"/>
      <c r="U219" s="50" t="n"/>
      <c r="V219" s="50" t="n"/>
      <c r="W219" s="50" t="n"/>
      <c r="X219" s="50" t="n"/>
      <c r="Y219" s="50" t="n"/>
      <c r="Z219" s="50" t="n"/>
    </row>
    <row r="220">
      <c r="A220" s="50" t="n"/>
      <c r="B220" s="50" t="n"/>
      <c r="C220" s="50" t="n"/>
      <c r="D220" s="84" t="n"/>
      <c r="E220" s="84" t="n"/>
      <c r="F220" s="84" t="n"/>
      <c r="G220" s="50" t="n"/>
      <c r="H220" s="84" t="n"/>
      <c r="I220" s="84" t="n"/>
      <c r="J220" s="84" t="n"/>
      <c r="K220" s="84" t="n"/>
      <c r="L220" s="84" t="n"/>
      <c r="M220" s="84" t="n"/>
      <c r="N220" s="50" t="n"/>
      <c r="O220" s="84" t="n"/>
      <c r="P220" s="84">
        <f>IF(AND($A220="",$B220=""),"",N(D220)-N(E220)+N(J220)-N(K220))</f>
        <v/>
      </c>
      <c r="Q220" s="84">
        <f>IF(AND($A220="",$B220=""),"",IF(COUNT(L220:M220,O220)=0,"",P220-(N(L220)-N(M220))))</f>
        <v/>
      </c>
      <c r="R220" s="54">
        <f>IF(AND($A220="",$B220=""),"",IF(COUNT(L220:M220,O220)=0,"kein Mandanten-Saldo",IF(OR(AND(L220="",M220="")),"",IF(ABS(ROUND(((ROUND(N(D220)*100,0)+ROUND(N(J220)*100,0)+ROUND(N(M220)*100,0))-(ROUND(N(E220)*100,0)+ROUND(N(K220)*100,0)+ROUND(N(L220)*100,0))),0)-(0))&lt;=0,"OK","ABWEICHUNG"))))</f>
        <v/>
      </c>
      <c r="S220" s="84" t="n"/>
      <c r="T220" s="50" t="n"/>
      <c r="U220" s="50" t="n"/>
      <c r="V220" s="50" t="n"/>
      <c r="W220" s="50" t="n"/>
      <c r="X220" s="50" t="n"/>
      <c r="Y220" s="50" t="n"/>
      <c r="Z220" s="50" t="n"/>
    </row>
    <row r="221">
      <c r="A221" s="50" t="n"/>
      <c r="B221" s="50" t="n"/>
      <c r="C221" s="50" t="n"/>
      <c r="D221" s="84" t="n"/>
      <c r="E221" s="84" t="n"/>
      <c r="F221" s="84" t="n"/>
      <c r="G221" s="50" t="n"/>
      <c r="H221" s="84" t="n"/>
      <c r="I221" s="84" t="n"/>
      <c r="J221" s="84" t="n"/>
      <c r="K221" s="84" t="n"/>
      <c r="L221" s="84" t="n"/>
      <c r="M221" s="84" t="n"/>
      <c r="N221" s="50" t="n"/>
      <c r="O221" s="84" t="n"/>
      <c r="P221" s="84">
        <f>IF(AND($A221="",$B221=""),"",N(D221)-N(E221)+N(J221)-N(K221))</f>
        <v/>
      </c>
      <c r="Q221" s="84">
        <f>IF(AND($A221="",$B221=""),"",IF(COUNT(L221:M221,O221)=0,"",P221-(N(L221)-N(M221))))</f>
        <v/>
      </c>
      <c r="R221" s="54">
        <f>IF(AND($A221="",$B221=""),"",IF(COUNT(L221:M221,O221)=0,"kein Mandanten-Saldo",IF(OR(AND(L221="",M221="")),"",IF(ABS(ROUND(((ROUND(N(D221)*100,0)+ROUND(N(J221)*100,0)+ROUND(N(M221)*100,0))-(ROUND(N(E221)*100,0)+ROUND(N(K221)*100,0)+ROUND(N(L221)*100,0))),0)-(0))&lt;=0,"OK","ABWEICHUNG"))))</f>
        <v/>
      </c>
      <c r="S221" s="84" t="n"/>
      <c r="T221" s="50" t="n"/>
      <c r="U221" s="50" t="n"/>
      <c r="V221" s="50" t="n"/>
      <c r="W221" s="50" t="n"/>
      <c r="X221" s="50" t="n"/>
      <c r="Y221" s="50" t="n"/>
      <c r="Z221" s="50" t="n"/>
    </row>
    <row r="222">
      <c r="A222" s="50" t="n"/>
      <c r="B222" s="50" t="n"/>
      <c r="C222" s="50" t="n"/>
      <c r="D222" s="84" t="n"/>
      <c r="E222" s="84" t="n"/>
      <c r="F222" s="84" t="n"/>
      <c r="G222" s="50" t="n"/>
      <c r="H222" s="84" t="n"/>
      <c r="I222" s="84" t="n"/>
      <c r="J222" s="84" t="n"/>
      <c r="K222" s="84" t="n"/>
      <c r="L222" s="84" t="n"/>
      <c r="M222" s="84" t="n"/>
      <c r="N222" s="50" t="n"/>
      <c r="O222" s="84" t="n"/>
      <c r="P222" s="84">
        <f>IF(AND($A222="",$B222=""),"",N(D222)-N(E222)+N(J222)-N(K222))</f>
        <v/>
      </c>
      <c r="Q222" s="84">
        <f>IF(AND($A222="",$B222=""),"",IF(COUNT(L222:M222,O222)=0,"",P222-(N(L222)-N(M222))))</f>
        <v/>
      </c>
      <c r="R222" s="54">
        <f>IF(AND($A222="",$B222=""),"",IF(COUNT(L222:M222,O222)=0,"kein Mandanten-Saldo",IF(OR(AND(L222="",M222="")),"",IF(ABS(ROUND(((ROUND(N(D222)*100,0)+ROUND(N(J222)*100,0)+ROUND(N(M222)*100,0))-(ROUND(N(E222)*100,0)+ROUND(N(K222)*100,0)+ROUND(N(L222)*100,0))),0)-(0))&lt;=0,"OK","ABWEICHUNG"))))</f>
        <v/>
      </c>
      <c r="S222" s="84" t="n"/>
      <c r="T222" s="50" t="n"/>
      <c r="U222" s="50" t="n"/>
      <c r="V222" s="50" t="n"/>
      <c r="W222" s="50" t="n"/>
      <c r="X222" s="50" t="n"/>
      <c r="Y222" s="50" t="n"/>
      <c r="Z222" s="50" t="n"/>
    </row>
    <row r="223">
      <c r="A223" s="50" t="n"/>
      <c r="B223" s="50" t="n"/>
      <c r="C223" s="50" t="n"/>
      <c r="D223" s="84" t="n"/>
      <c r="E223" s="84" t="n"/>
      <c r="F223" s="84" t="n"/>
      <c r="G223" s="50" t="n"/>
      <c r="H223" s="84" t="n"/>
      <c r="I223" s="84" t="n"/>
      <c r="J223" s="84" t="n"/>
      <c r="K223" s="84" t="n"/>
      <c r="L223" s="84" t="n"/>
      <c r="M223" s="84" t="n"/>
      <c r="N223" s="50" t="n"/>
      <c r="O223" s="84" t="n"/>
      <c r="P223" s="84">
        <f>IF(AND($A223="",$B223=""),"",N(D223)-N(E223)+N(J223)-N(K223))</f>
        <v/>
      </c>
      <c r="Q223" s="84">
        <f>IF(AND($A223="",$B223=""),"",IF(COUNT(L223:M223,O223)=0,"",P223-(N(L223)-N(M223))))</f>
        <v/>
      </c>
      <c r="R223" s="54">
        <f>IF(AND($A223="",$B223=""),"",IF(COUNT(L223:M223,O223)=0,"kein Mandanten-Saldo",IF(OR(AND(L223="",M223="")),"",IF(ABS(ROUND(((ROUND(N(D223)*100,0)+ROUND(N(J223)*100,0)+ROUND(N(M223)*100,0))-(ROUND(N(E223)*100,0)+ROUND(N(K223)*100,0)+ROUND(N(L223)*100,0))),0)-(0))&lt;=0,"OK","ABWEICHUNG"))))</f>
        <v/>
      </c>
      <c r="S223" s="84" t="n"/>
      <c r="T223" s="50" t="n"/>
      <c r="U223" s="50" t="n"/>
      <c r="V223" s="50" t="n"/>
      <c r="W223" s="50" t="n"/>
      <c r="X223" s="50" t="n"/>
      <c r="Y223" s="50" t="n"/>
      <c r="Z223" s="50" t="n"/>
    </row>
    <row r="224">
      <c r="A224" s="50" t="n"/>
      <c r="B224" s="50" t="n"/>
      <c r="C224" s="50" t="n"/>
      <c r="D224" s="84" t="n"/>
      <c r="E224" s="84" t="n"/>
      <c r="F224" s="84" t="n"/>
      <c r="G224" s="50" t="n"/>
      <c r="H224" s="84" t="n"/>
      <c r="I224" s="84" t="n"/>
      <c r="J224" s="84" t="n"/>
      <c r="K224" s="84" t="n"/>
      <c r="L224" s="84" t="n"/>
      <c r="M224" s="84" t="n"/>
      <c r="N224" s="50" t="n"/>
      <c r="O224" s="84" t="n"/>
      <c r="P224" s="84">
        <f>IF(AND($A224="",$B224=""),"",N(D224)-N(E224)+N(J224)-N(K224))</f>
        <v/>
      </c>
      <c r="Q224" s="84">
        <f>IF(AND($A224="",$B224=""),"",IF(COUNT(L224:M224,O224)=0,"",P224-(N(L224)-N(M224))))</f>
        <v/>
      </c>
      <c r="R224" s="54">
        <f>IF(AND($A224="",$B224=""),"",IF(COUNT(L224:M224,O224)=0,"kein Mandanten-Saldo",IF(OR(AND(L224="",M224="")),"",IF(ABS(ROUND(((ROUND(N(D224)*100,0)+ROUND(N(J224)*100,0)+ROUND(N(M224)*100,0))-(ROUND(N(E224)*100,0)+ROUND(N(K224)*100,0)+ROUND(N(L224)*100,0))),0)-(0))&lt;=0,"OK","ABWEICHUNG"))))</f>
        <v/>
      </c>
      <c r="S224" s="84" t="n"/>
      <c r="T224" s="50" t="n"/>
      <c r="U224" s="50" t="n"/>
      <c r="V224" s="50" t="n"/>
      <c r="W224" s="50" t="n"/>
      <c r="X224" s="50" t="n"/>
      <c r="Y224" s="50" t="n"/>
      <c r="Z224" s="50" t="n"/>
    </row>
    <row r="225">
      <c r="A225" s="50" t="n"/>
      <c r="B225" s="50" t="n"/>
      <c r="C225" s="50" t="n"/>
      <c r="D225" s="84" t="n"/>
      <c r="E225" s="84" t="n"/>
      <c r="F225" s="84" t="n"/>
      <c r="G225" s="50" t="n"/>
      <c r="H225" s="84" t="n"/>
      <c r="I225" s="84" t="n"/>
      <c r="J225" s="84" t="n"/>
      <c r="K225" s="84" t="n"/>
      <c r="L225" s="84" t="n"/>
      <c r="M225" s="84" t="n"/>
      <c r="N225" s="50" t="n"/>
      <c r="O225" s="84" t="n"/>
      <c r="P225" s="84">
        <f>IF(AND($A225="",$B225=""),"",N(D225)-N(E225)+N(J225)-N(K225))</f>
        <v/>
      </c>
      <c r="Q225" s="84">
        <f>IF(AND($A225="",$B225=""),"",IF(COUNT(L225:M225,O225)=0,"",P225-(N(L225)-N(M225))))</f>
        <v/>
      </c>
      <c r="R225" s="54">
        <f>IF(AND($A225="",$B225=""),"",IF(COUNT(L225:M225,O225)=0,"kein Mandanten-Saldo",IF(OR(AND(L225="",M225="")),"",IF(ABS(ROUND(((ROUND(N(D225)*100,0)+ROUND(N(J225)*100,0)+ROUND(N(M225)*100,0))-(ROUND(N(E225)*100,0)+ROUND(N(K225)*100,0)+ROUND(N(L225)*100,0))),0)-(0))&lt;=0,"OK","ABWEICHUNG"))))</f>
        <v/>
      </c>
      <c r="S225" s="84" t="n"/>
      <c r="T225" s="50" t="n"/>
      <c r="U225" s="50" t="n"/>
      <c r="V225" s="50" t="n"/>
      <c r="W225" s="50" t="n"/>
      <c r="X225" s="50" t="n"/>
      <c r="Y225" s="50" t="n"/>
      <c r="Z225" s="50" t="n"/>
    </row>
    <row r="226">
      <c r="A226" s="50" t="n"/>
      <c r="B226" s="50" t="n"/>
      <c r="C226" s="50" t="n"/>
      <c r="D226" s="84" t="n"/>
      <c r="E226" s="84" t="n"/>
      <c r="F226" s="84" t="n"/>
      <c r="G226" s="50" t="n"/>
      <c r="H226" s="84" t="n"/>
      <c r="I226" s="84" t="n"/>
      <c r="J226" s="84" t="n"/>
      <c r="K226" s="84" t="n"/>
      <c r="L226" s="84" t="n"/>
      <c r="M226" s="84" t="n"/>
      <c r="N226" s="50" t="n"/>
      <c r="O226" s="84" t="n"/>
      <c r="P226" s="84">
        <f>IF(AND($A226="",$B226=""),"",N(D226)-N(E226)+N(J226)-N(K226))</f>
        <v/>
      </c>
      <c r="Q226" s="84">
        <f>IF(AND($A226="",$B226=""),"",IF(COUNT(L226:M226,O226)=0,"",P226-(N(L226)-N(M226))))</f>
        <v/>
      </c>
      <c r="R226" s="54">
        <f>IF(AND($A226="",$B226=""),"",IF(COUNT(L226:M226,O226)=0,"kein Mandanten-Saldo",IF(OR(AND(L226="",M226="")),"",IF(ABS(ROUND(((ROUND(N(D226)*100,0)+ROUND(N(J226)*100,0)+ROUND(N(M226)*100,0))-(ROUND(N(E226)*100,0)+ROUND(N(K226)*100,0)+ROUND(N(L226)*100,0))),0)-(0))&lt;=0,"OK","ABWEICHUNG"))))</f>
        <v/>
      </c>
      <c r="S226" s="84" t="n"/>
      <c r="T226" s="50" t="n"/>
      <c r="U226" s="50" t="n"/>
      <c r="V226" s="50" t="n"/>
      <c r="W226" s="50" t="n"/>
      <c r="X226" s="50" t="n"/>
      <c r="Y226" s="50" t="n"/>
      <c r="Z226" s="50" t="n"/>
    </row>
    <row r="227">
      <c r="A227" s="50" t="n"/>
      <c r="B227" s="50" t="n"/>
      <c r="C227" s="50" t="n"/>
      <c r="D227" s="84" t="n"/>
      <c r="E227" s="84" t="n"/>
      <c r="F227" s="84" t="n"/>
      <c r="G227" s="50" t="n"/>
      <c r="H227" s="84" t="n"/>
      <c r="I227" s="84" t="n"/>
      <c r="J227" s="84" t="n"/>
      <c r="K227" s="84" t="n"/>
      <c r="L227" s="84" t="n"/>
      <c r="M227" s="84" t="n"/>
      <c r="N227" s="50" t="n"/>
      <c r="O227" s="84" t="n"/>
      <c r="P227" s="84">
        <f>IF(AND($A227="",$B227=""),"",N(D227)-N(E227)+N(J227)-N(K227))</f>
        <v/>
      </c>
      <c r="Q227" s="84">
        <f>IF(AND($A227="",$B227=""),"",IF(COUNT(L227:M227,O227)=0,"",P227-(N(L227)-N(M227))))</f>
        <v/>
      </c>
      <c r="R227" s="54">
        <f>IF(AND($A227="",$B227=""),"",IF(COUNT(L227:M227,O227)=0,"kein Mandanten-Saldo",IF(OR(AND(L227="",M227="")),"",IF(ABS(ROUND(((ROUND(N(D227)*100,0)+ROUND(N(J227)*100,0)+ROUND(N(M227)*100,0))-(ROUND(N(E227)*100,0)+ROUND(N(K227)*100,0)+ROUND(N(L227)*100,0))),0)-(0))&lt;=0,"OK","ABWEICHUNG"))))</f>
        <v/>
      </c>
      <c r="S227" s="84" t="n"/>
      <c r="T227" s="50" t="n"/>
      <c r="U227" s="50" t="n"/>
      <c r="V227" s="50" t="n"/>
      <c r="W227" s="50" t="n"/>
      <c r="X227" s="50" t="n"/>
      <c r="Y227" s="50" t="n"/>
      <c r="Z227" s="50" t="n"/>
    </row>
    <row r="228">
      <c r="A228" s="50" t="n"/>
      <c r="B228" s="50" t="n"/>
      <c r="C228" s="50" t="n"/>
      <c r="D228" s="84" t="n"/>
      <c r="E228" s="84" t="n"/>
      <c r="F228" s="84" t="n"/>
      <c r="G228" s="50" t="n"/>
      <c r="H228" s="84" t="n"/>
      <c r="I228" s="84" t="n"/>
      <c r="J228" s="84" t="n"/>
      <c r="K228" s="84" t="n"/>
      <c r="L228" s="84" t="n"/>
      <c r="M228" s="84" t="n"/>
      <c r="N228" s="50" t="n"/>
      <c r="O228" s="84" t="n"/>
      <c r="P228" s="84">
        <f>IF(AND($A228="",$B228=""),"",N(D228)-N(E228)+N(J228)-N(K228))</f>
        <v/>
      </c>
      <c r="Q228" s="84">
        <f>IF(AND($A228="",$B228=""),"",IF(COUNT(L228:M228,O228)=0,"",P228-(N(L228)-N(M228))))</f>
        <v/>
      </c>
      <c r="R228" s="54">
        <f>IF(AND($A228="",$B228=""),"",IF(COUNT(L228:M228,O228)=0,"kein Mandanten-Saldo",IF(OR(AND(L228="",M228="")),"",IF(ABS(ROUND(((ROUND(N(D228)*100,0)+ROUND(N(J228)*100,0)+ROUND(N(M228)*100,0))-(ROUND(N(E228)*100,0)+ROUND(N(K228)*100,0)+ROUND(N(L228)*100,0))),0)-(0))&lt;=0,"OK","ABWEICHUNG"))))</f>
        <v/>
      </c>
      <c r="S228" s="84" t="n"/>
      <c r="T228" s="50" t="n"/>
      <c r="U228" s="50" t="n"/>
      <c r="V228" s="50" t="n"/>
      <c r="W228" s="50" t="n"/>
      <c r="X228" s="50" t="n"/>
      <c r="Y228" s="50" t="n"/>
      <c r="Z228" s="50" t="n"/>
    </row>
    <row r="229">
      <c r="A229" s="50" t="n"/>
      <c r="B229" s="50" t="n"/>
      <c r="C229" s="50" t="n"/>
      <c r="D229" s="84" t="n"/>
      <c r="E229" s="84" t="n"/>
      <c r="F229" s="84" t="n"/>
      <c r="G229" s="50" t="n"/>
      <c r="H229" s="84" t="n"/>
      <c r="I229" s="84" t="n"/>
      <c r="J229" s="84" t="n"/>
      <c r="K229" s="84" t="n"/>
      <c r="L229" s="84" t="n"/>
      <c r="M229" s="84" t="n"/>
      <c r="N229" s="50" t="n"/>
      <c r="O229" s="84" t="n"/>
      <c r="P229" s="84">
        <f>IF(AND($A229="",$B229=""),"",N(D229)-N(E229)+N(J229)-N(K229))</f>
        <v/>
      </c>
      <c r="Q229" s="84">
        <f>IF(AND($A229="",$B229=""),"",IF(COUNT(L229:M229,O229)=0,"",P229-(N(L229)-N(M229))))</f>
        <v/>
      </c>
      <c r="R229" s="54">
        <f>IF(AND($A229="",$B229=""),"",IF(COUNT(L229:M229,O229)=0,"kein Mandanten-Saldo",IF(OR(AND(L229="",M229="")),"",IF(ABS(ROUND(((ROUND(N(D229)*100,0)+ROUND(N(J229)*100,0)+ROUND(N(M229)*100,0))-(ROUND(N(E229)*100,0)+ROUND(N(K229)*100,0)+ROUND(N(L229)*100,0))),0)-(0))&lt;=0,"OK","ABWEICHUNG"))))</f>
        <v/>
      </c>
      <c r="S229" s="84" t="n"/>
      <c r="T229" s="50" t="n"/>
      <c r="U229" s="50" t="n"/>
      <c r="V229" s="50" t="n"/>
      <c r="W229" s="50" t="n"/>
      <c r="X229" s="50" t="n"/>
      <c r="Y229" s="50" t="n"/>
      <c r="Z229" s="50" t="n"/>
    </row>
    <row r="230">
      <c r="A230" s="50" t="n"/>
      <c r="B230" s="50" t="n"/>
      <c r="C230" s="50" t="n"/>
      <c r="D230" s="84" t="n"/>
      <c r="E230" s="84" t="n"/>
      <c r="F230" s="84" t="n"/>
      <c r="G230" s="50" t="n"/>
      <c r="H230" s="84" t="n"/>
      <c r="I230" s="84" t="n"/>
      <c r="J230" s="84" t="n"/>
      <c r="K230" s="84" t="n"/>
      <c r="L230" s="84" t="n"/>
      <c r="M230" s="84" t="n"/>
      <c r="N230" s="50" t="n"/>
      <c r="O230" s="84" t="n"/>
      <c r="P230" s="84">
        <f>IF(AND($A230="",$B230=""),"",N(D230)-N(E230)+N(J230)-N(K230))</f>
        <v/>
      </c>
      <c r="Q230" s="84">
        <f>IF(AND($A230="",$B230=""),"",IF(COUNT(L230:M230,O230)=0,"",P230-(N(L230)-N(M230))))</f>
        <v/>
      </c>
      <c r="R230" s="54">
        <f>IF(AND($A230="",$B230=""),"",IF(COUNT(L230:M230,O230)=0,"kein Mandanten-Saldo",IF(OR(AND(L230="",M230="")),"",IF(ABS(ROUND(((ROUND(N(D230)*100,0)+ROUND(N(J230)*100,0)+ROUND(N(M230)*100,0))-(ROUND(N(E230)*100,0)+ROUND(N(K230)*100,0)+ROUND(N(L230)*100,0))),0)-(0))&lt;=0,"OK","ABWEICHUNG"))))</f>
        <v/>
      </c>
      <c r="S230" s="84" t="n"/>
      <c r="T230" s="50" t="n"/>
      <c r="U230" s="50" t="n"/>
      <c r="V230" s="50" t="n"/>
      <c r="W230" s="50" t="n"/>
      <c r="X230" s="50" t="n"/>
      <c r="Y230" s="50" t="n"/>
      <c r="Z230" s="50" t="n"/>
    </row>
    <row r="231">
      <c r="A231" s="50" t="n"/>
      <c r="B231" s="50" t="n"/>
      <c r="C231" s="50" t="n"/>
      <c r="D231" s="84" t="n"/>
      <c r="E231" s="84" t="n"/>
      <c r="F231" s="84" t="n"/>
      <c r="G231" s="50" t="n"/>
      <c r="H231" s="84" t="n"/>
      <c r="I231" s="84" t="n"/>
      <c r="J231" s="84" t="n"/>
      <c r="K231" s="84" t="n"/>
      <c r="L231" s="84" t="n"/>
      <c r="M231" s="84" t="n"/>
      <c r="N231" s="50" t="n"/>
      <c r="O231" s="84" t="n"/>
      <c r="P231" s="84">
        <f>IF(AND($A231="",$B231=""),"",N(D231)-N(E231)+N(J231)-N(K231))</f>
        <v/>
      </c>
      <c r="Q231" s="84">
        <f>IF(AND($A231="",$B231=""),"",IF(COUNT(L231:M231,O231)=0,"",P231-(N(L231)-N(M231))))</f>
        <v/>
      </c>
      <c r="R231" s="54">
        <f>IF(AND($A231="",$B231=""),"",IF(COUNT(L231:M231,O231)=0,"kein Mandanten-Saldo",IF(OR(AND(L231="",M231="")),"",IF(ABS(ROUND(((ROUND(N(D231)*100,0)+ROUND(N(J231)*100,0)+ROUND(N(M231)*100,0))-(ROUND(N(E231)*100,0)+ROUND(N(K231)*100,0)+ROUND(N(L231)*100,0))),0)-(0))&lt;=0,"OK","ABWEICHUNG"))))</f>
        <v/>
      </c>
      <c r="S231" s="84" t="n"/>
      <c r="T231" s="50" t="n"/>
      <c r="U231" s="50" t="n"/>
      <c r="V231" s="50" t="n"/>
      <c r="W231" s="50" t="n"/>
      <c r="X231" s="50" t="n"/>
      <c r="Y231" s="50" t="n"/>
      <c r="Z231" s="50" t="n"/>
    </row>
    <row r="232">
      <c r="A232" s="50" t="n"/>
      <c r="B232" s="50" t="n"/>
      <c r="C232" s="50" t="n"/>
      <c r="D232" s="84" t="n"/>
      <c r="E232" s="84" t="n"/>
      <c r="F232" s="84" t="n"/>
      <c r="G232" s="50" t="n"/>
      <c r="H232" s="84" t="n"/>
      <c r="I232" s="84" t="n"/>
      <c r="J232" s="84" t="n"/>
      <c r="K232" s="84" t="n"/>
      <c r="L232" s="84" t="n"/>
      <c r="M232" s="84" t="n"/>
      <c r="N232" s="50" t="n"/>
      <c r="O232" s="84" t="n"/>
      <c r="P232" s="84">
        <f>IF(AND($A232="",$B232=""),"",N(D232)-N(E232)+N(J232)-N(K232))</f>
        <v/>
      </c>
      <c r="Q232" s="84">
        <f>IF(AND($A232="",$B232=""),"",IF(COUNT(L232:M232,O232)=0,"",P232-(N(L232)-N(M232))))</f>
        <v/>
      </c>
      <c r="R232" s="54">
        <f>IF(AND($A232="",$B232=""),"",IF(COUNT(L232:M232,O232)=0,"kein Mandanten-Saldo",IF(OR(AND(L232="",M232="")),"",IF(ABS(ROUND(((ROUND(N(D232)*100,0)+ROUND(N(J232)*100,0)+ROUND(N(M232)*100,0))-(ROUND(N(E232)*100,0)+ROUND(N(K232)*100,0)+ROUND(N(L232)*100,0))),0)-(0))&lt;=0,"OK","ABWEICHUNG"))))</f>
        <v/>
      </c>
      <c r="S232" s="84" t="n"/>
      <c r="T232" s="50" t="n"/>
      <c r="U232" s="50" t="n"/>
      <c r="V232" s="50" t="n"/>
      <c r="W232" s="50" t="n"/>
      <c r="X232" s="50" t="n"/>
      <c r="Y232" s="50" t="n"/>
      <c r="Z232" s="50" t="n"/>
    </row>
    <row r="233">
      <c r="A233" s="50" t="n"/>
      <c r="B233" s="50" t="n"/>
      <c r="C233" s="50" t="n"/>
      <c r="D233" s="84" t="n"/>
      <c r="E233" s="84" t="n"/>
      <c r="F233" s="84" t="n"/>
      <c r="G233" s="50" t="n"/>
      <c r="H233" s="84" t="n"/>
      <c r="I233" s="84" t="n"/>
      <c r="J233" s="84" t="n"/>
      <c r="K233" s="84" t="n"/>
      <c r="L233" s="84" t="n"/>
      <c r="M233" s="84" t="n"/>
      <c r="N233" s="50" t="n"/>
      <c r="O233" s="84" t="n"/>
      <c r="P233" s="84">
        <f>IF(AND($A233="",$B233=""),"",N(D233)-N(E233)+N(J233)-N(K233))</f>
        <v/>
      </c>
      <c r="Q233" s="84">
        <f>IF(AND($A233="",$B233=""),"",IF(COUNT(L233:M233,O233)=0,"",P233-(N(L233)-N(M233))))</f>
        <v/>
      </c>
      <c r="R233" s="54">
        <f>IF(AND($A233="",$B233=""),"",IF(COUNT(L233:M233,O233)=0,"kein Mandanten-Saldo",IF(OR(AND(L233="",M233="")),"",IF(ABS(ROUND(((ROUND(N(D233)*100,0)+ROUND(N(J233)*100,0)+ROUND(N(M233)*100,0))-(ROUND(N(E233)*100,0)+ROUND(N(K233)*100,0)+ROUND(N(L233)*100,0))),0)-(0))&lt;=0,"OK","ABWEICHUNG"))))</f>
        <v/>
      </c>
      <c r="S233" s="84" t="n"/>
      <c r="T233" s="50" t="n"/>
      <c r="U233" s="50" t="n"/>
      <c r="V233" s="50" t="n"/>
      <c r="W233" s="50" t="n"/>
      <c r="X233" s="50" t="n"/>
      <c r="Y233" s="50" t="n"/>
      <c r="Z233" s="50" t="n"/>
    </row>
    <row r="234">
      <c r="A234" s="50" t="n"/>
      <c r="B234" s="50" t="n"/>
      <c r="C234" s="50" t="n"/>
      <c r="D234" s="84" t="n"/>
      <c r="E234" s="84" t="n"/>
      <c r="F234" s="84" t="n"/>
      <c r="G234" s="50" t="n"/>
      <c r="H234" s="84" t="n"/>
      <c r="I234" s="84" t="n"/>
      <c r="J234" s="84" t="n"/>
      <c r="K234" s="84" t="n"/>
      <c r="L234" s="84" t="n"/>
      <c r="M234" s="84" t="n"/>
      <c r="N234" s="50" t="n"/>
      <c r="O234" s="84" t="n"/>
      <c r="P234" s="84">
        <f>IF(AND($A234="",$B234=""),"",N(D234)-N(E234)+N(J234)-N(K234))</f>
        <v/>
      </c>
      <c r="Q234" s="84">
        <f>IF(AND($A234="",$B234=""),"",IF(COUNT(L234:M234,O234)=0,"",P234-(N(L234)-N(M234))))</f>
        <v/>
      </c>
      <c r="R234" s="54">
        <f>IF(AND($A234="",$B234=""),"",IF(COUNT(L234:M234,O234)=0,"kein Mandanten-Saldo",IF(OR(AND(L234="",M234="")),"",IF(ABS(ROUND(((ROUND(N(D234)*100,0)+ROUND(N(J234)*100,0)+ROUND(N(M234)*100,0))-(ROUND(N(E234)*100,0)+ROUND(N(K234)*100,0)+ROUND(N(L234)*100,0))),0)-(0))&lt;=0,"OK","ABWEICHUNG"))))</f>
        <v/>
      </c>
      <c r="S234" s="84" t="n"/>
      <c r="T234" s="50" t="n"/>
      <c r="U234" s="50" t="n"/>
      <c r="V234" s="50" t="n"/>
      <c r="W234" s="50" t="n"/>
      <c r="X234" s="50" t="n"/>
      <c r="Y234" s="50" t="n"/>
      <c r="Z234" s="50" t="n"/>
    </row>
    <row r="235">
      <c r="A235" s="50" t="n"/>
      <c r="B235" s="50" t="n"/>
      <c r="C235" s="50" t="n"/>
      <c r="D235" s="84" t="n"/>
      <c r="E235" s="84" t="n"/>
      <c r="F235" s="84" t="n"/>
      <c r="G235" s="50" t="n"/>
      <c r="H235" s="84" t="n"/>
      <c r="I235" s="84" t="n"/>
      <c r="J235" s="84" t="n"/>
      <c r="K235" s="84" t="n"/>
      <c r="L235" s="84" t="n"/>
      <c r="M235" s="84" t="n"/>
      <c r="N235" s="50" t="n"/>
      <c r="O235" s="84" t="n"/>
      <c r="P235" s="84">
        <f>IF(AND($A235="",$B235=""),"",N(D235)-N(E235)+N(J235)-N(K235))</f>
        <v/>
      </c>
      <c r="Q235" s="84">
        <f>IF(AND($A235="",$B235=""),"",IF(COUNT(L235:M235,O235)=0,"",P235-(N(L235)-N(M235))))</f>
        <v/>
      </c>
      <c r="R235" s="54">
        <f>IF(AND($A235="",$B235=""),"",IF(COUNT(L235:M235,O235)=0,"kein Mandanten-Saldo",IF(OR(AND(L235="",M235="")),"",IF(ABS(ROUND(((ROUND(N(D235)*100,0)+ROUND(N(J235)*100,0)+ROUND(N(M235)*100,0))-(ROUND(N(E235)*100,0)+ROUND(N(K235)*100,0)+ROUND(N(L235)*100,0))),0)-(0))&lt;=0,"OK","ABWEICHUNG"))))</f>
        <v/>
      </c>
      <c r="S235" s="84" t="n"/>
      <c r="T235" s="50" t="n"/>
      <c r="U235" s="50" t="n"/>
      <c r="V235" s="50" t="n"/>
      <c r="W235" s="50" t="n"/>
      <c r="X235" s="50" t="n"/>
      <c r="Y235" s="50" t="n"/>
      <c r="Z235" s="50" t="n"/>
    </row>
    <row r="236">
      <c r="A236" s="50" t="n"/>
      <c r="B236" s="50" t="n"/>
      <c r="C236" s="50" t="n"/>
      <c r="D236" s="84" t="n"/>
      <c r="E236" s="84" t="n"/>
      <c r="F236" s="84" t="n"/>
      <c r="G236" s="50" t="n"/>
      <c r="H236" s="84" t="n"/>
      <c r="I236" s="84" t="n"/>
      <c r="J236" s="84" t="n"/>
      <c r="K236" s="84" t="n"/>
      <c r="L236" s="84" t="n"/>
      <c r="M236" s="84" t="n"/>
      <c r="N236" s="50" t="n"/>
      <c r="O236" s="84" t="n"/>
      <c r="P236" s="84">
        <f>IF(AND($A236="",$B236=""),"",N(D236)-N(E236)+N(J236)-N(K236))</f>
        <v/>
      </c>
      <c r="Q236" s="84">
        <f>IF(AND($A236="",$B236=""),"",IF(COUNT(L236:M236,O236)=0,"",P236-(N(L236)-N(M236))))</f>
        <v/>
      </c>
      <c r="R236" s="54">
        <f>IF(AND($A236="",$B236=""),"",IF(COUNT(L236:M236,O236)=0,"kein Mandanten-Saldo",IF(OR(AND(L236="",M236="")),"",IF(ABS(ROUND(((ROUND(N(D236)*100,0)+ROUND(N(J236)*100,0)+ROUND(N(M236)*100,0))-(ROUND(N(E236)*100,0)+ROUND(N(K236)*100,0)+ROUND(N(L236)*100,0))),0)-(0))&lt;=0,"OK","ABWEICHUNG"))))</f>
        <v/>
      </c>
      <c r="S236" s="84" t="n"/>
      <c r="T236" s="50" t="n"/>
      <c r="U236" s="50" t="n"/>
      <c r="V236" s="50" t="n"/>
      <c r="W236" s="50" t="n"/>
      <c r="X236" s="50" t="n"/>
      <c r="Y236" s="50" t="n"/>
      <c r="Z236" s="50" t="n"/>
    </row>
    <row r="237">
      <c r="A237" s="50" t="n"/>
      <c r="B237" s="50" t="n"/>
      <c r="C237" s="50" t="n"/>
      <c r="D237" s="84" t="n"/>
      <c r="E237" s="84" t="n"/>
      <c r="F237" s="84" t="n"/>
      <c r="G237" s="50" t="n"/>
      <c r="H237" s="84" t="n"/>
      <c r="I237" s="84" t="n"/>
      <c r="J237" s="84" t="n"/>
      <c r="K237" s="84" t="n"/>
      <c r="L237" s="84" t="n"/>
      <c r="M237" s="84" t="n"/>
      <c r="N237" s="50" t="n"/>
      <c r="O237" s="84" t="n"/>
      <c r="P237" s="84">
        <f>IF(AND($A237="",$B237=""),"",N(D237)-N(E237)+N(J237)-N(K237))</f>
        <v/>
      </c>
      <c r="Q237" s="84">
        <f>IF(AND($A237="",$B237=""),"",IF(COUNT(L237:M237,O237)=0,"",P237-(N(L237)-N(M237))))</f>
        <v/>
      </c>
      <c r="R237" s="54">
        <f>IF(AND($A237="",$B237=""),"",IF(COUNT(L237:M237,O237)=0,"kein Mandanten-Saldo",IF(OR(AND(L237="",M237="")),"",IF(ABS(ROUND(((ROUND(N(D237)*100,0)+ROUND(N(J237)*100,0)+ROUND(N(M237)*100,0))-(ROUND(N(E237)*100,0)+ROUND(N(K237)*100,0)+ROUND(N(L237)*100,0))),0)-(0))&lt;=0,"OK","ABWEICHUNG"))))</f>
        <v/>
      </c>
      <c r="S237" s="84" t="n"/>
      <c r="T237" s="50" t="n"/>
      <c r="U237" s="50" t="n"/>
      <c r="V237" s="50" t="n"/>
      <c r="W237" s="50" t="n"/>
      <c r="X237" s="50" t="n"/>
      <c r="Y237" s="50" t="n"/>
      <c r="Z237" s="50" t="n"/>
    </row>
    <row r="238">
      <c r="A238" s="50" t="n"/>
      <c r="B238" s="50" t="n"/>
      <c r="C238" s="50" t="n"/>
      <c r="D238" s="84" t="n"/>
      <c r="E238" s="84" t="n"/>
      <c r="F238" s="84" t="n"/>
      <c r="G238" s="50" t="n"/>
      <c r="H238" s="84" t="n"/>
      <c r="I238" s="84" t="n"/>
      <c r="J238" s="84" t="n"/>
      <c r="K238" s="84" t="n"/>
      <c r="L238" s="84" t="n"/>
      <c r="M238" s="84" t="n"/>
      <c r="N238" s="50" t="n"/>
      <c r="O238" s="84" t="n"/>
      <c r="P238" s="84">
        <f>IF(AND($A238="",$B238=""),"",N(D238)-N(E238)+N(J238)-N(K238))</f>
        <v/>
      </c>
      <c r="Q238" s="84">
        <f>IF(AND($A238="",$B238=""),"",IF(COUNT(L238:M238,O238)=0,"",P238-(N(L238)-N(M238))))</f>
        <v/>
      </c>
      <c r="R238" s="54">
        <f>IF(AND($A238="",$B238=""),"",IF(COUNT(L238:M238,O238)=0,"kein Mandanten-Saldo",IF(OR(AND(L238="",M238="")),"",IF(ABS(ROUND(((ROUND(N(D238)*100,0)+ROUND(N(J238)*100,0)+ROUND(N(M238)*100,0))-(ROUND(N(E238)*100,0)+ROUND(N(K238)*100,0)+ROUND(N(L238)*100,0))),0)-(0))&lt;=0,"OK","ABWEICHUNG"))))</f>
        <v/>
      </c>
      <c r="S238" s="84" t="n"/>
      <c r="T238" s="50" t="n"/>
      <c r="U238" s="50" t="n"/>
      <c r="V238" s="50" t="n"/>
      <c r="W238" s="50" t="n"/>
      <c r="X238" s="50" t="n"/>
      <c r="Y238" s="50" t="n"/>
      <c r="Z238" s="50" t="n"/>
    </row>
    <row r="239">
      <c r="A239" s="50" t="n"/>
      <c r="B239" s="50" t="n"/>
      <c r="C239" s="50" t="n"/>
      <c r="D239" s="84" t="n"/>
      <c r="E239" s="84" t="n"/>
      <c r="F239" s="84" t="n"/>
      <c r="G239" s="50" t="n"/>
      <c r="H239" s="84" t="n"/>
      <c r="I239" s="84" t="n"/>
      <c r="J239" s="84" t="n"/>
      <c r="K239" s="84" t="n"/>
      <c r="L239" s="84" t="n"/>
      <c r="M239" s="84" t="n"/>
      <c r="N239" s="50" t="n"/>
      <c r="O239" s="84" t="n"/>
      <c r="P239" s="84">
        <f>IF(AND($A239="",$B239=""),"",N(D239)-N(E239)+N(J239)-N(K239))</f>
        <v/>
      </c>
      <c r="Q239" s="84">
        <f>IF(AND($A239="",$B239=""),"",IF(COUNT(L239:M239,O239)=0,"",P239-(N(L239)-N(M239))))</f>
        <v/>
      </c>
      <c r="R239" s="54">
        <f>IF(AND($A239="",$B239=""),"",IF(COUNT(L239:M239,O239)=0,"kein Mandanten-Saldo",IF(OR(AND(L239="",M239="")),"",IF(ABS(ROUND(((ROUND(N(D239)*100,0)+ROUND(N(J239)*100,0)+ROUND(N(M239)*100,0))-(ROUND(N(E239)*100,0)+ROUND(N(K239)*100,0)+ROUND(N(L239)*100,0))),0)-(0))&lt;=0,"OK","ABWEICHUNG"))))</f>
        <v/>
      </c>
      <c r="S239" s="84" t="n"/>
      <c r="T239" s="50" t="n"/>
      <c r="U239" s="50" t="n"/>
      <c r="V239" s="50" t="n"/>
      <c r="W239" s="50" t="n"/>
      <c r="X239" s="50" t="n"/>
      <c r="Y239" s="50" t="n"/>
      <c r="Z239" s="50" t="n"/>
    </row>
    <row r="240">
      <c r="A240" s="50" t="n"/>
      <c r="B240" s="50" t="n"/>
      <c r="C240" s="50" t="n"/>
      <c r="D240" s="84" t="n"/>
      <c r="E240" s="84" t="n"/>
      <c r="F240" s="84" t="n"/>
      <c r="G240" s="50" t="n"/>
      <c r="H240" s="84" t="n"/>
      <c r="I240" s="84" t="n"/>
      <c r="J240" s="84" t="n"/>
      <c r="K240" s="84" t="n"/>
      <c r="L240" s="84" t="n"/>
      <c r="M240" s="84" t="n"/>
      <c r="N240" s="50" t="n"/>
      <c r="O240" s="84" t="n"/>
      <c r="P240" s="84">
        <f>IF(AND($A240="",$B240=""),"",N(D240)-N(E240)+N(J240)-N(K240))</f>
        <v/>
      </c>
      <c r="Q240" s="84">
        <f>IF(AND($A240="",$B240=""),"",IF(COUNT(L240:M240,O240)=0,"",P240-(N(L240)-N(M240))))</f>
        <v/>
      </c>
      <c r="R240" s="54">
        <f>IF(AND($A240="",$B240=""),"",IF(COUNT(L240:M240,O240)=0,"kein Mandanten-Saldo",IF(OR(AND(L240="",M240="")),"",IF(ABS(ROUND(((ROUND(N(D240)*100,0)+ROUND(N(J240)*100,0)+ROUND(N(M240)*100,0))-(ROUND(N(E240)*100,0)+ROUND(N(K240)*100,0)+ROUND(N(L240)*100,0))),0)-(0))&lt;=0,"OK","ABWEICHUNG"))))</f>
        <v/>
      </c>
      <c r="S240" s="84" t="n"/>
      <c r="T240" s="50" t="n"/>
      <c r="U240" s="50" t="n"/>
      <c r="V240" s="50" t="n"/>
      <c r="W240" s="50" t="n"/>
      <c r="X240" s="50" t="n"/>
      <c r="Y240" s="50" t="n"/>
      <c r="Z240" s="50" t="n"/>
    </row>
    <row r="241">
      <c r="A241" s="50" t="n"/>
      <c r="B241" s="50" t="n"/>
      <c r="C241" s="50" t="n"/>
      <c r="D241" s="84" t="n"/>
      <c r="E241" s="84" t="n"/>
      <c r="F241" s="84" t="n"/>
      <c r="G241" s="50" t="n"/>
      <c r="H241" s="84" t="n"/>
      <c r="I241" s="84" t="n"/>
      <c r="J241" s="84" t="n"/>
      <c r="K241" s="84" t="n"/>
      <c r="L241" s="84" t="n"/>
      <c r="M241" s="84" t="n"/>
      <c r="N241" s="50" t="n"/>
      <c r="O241" s="84" t="n"/>
      <c r="P241" s="84">
        <f>IF(AND($A241="",$B241=""),"",N(D241)-N(E241)+N(J241)-N(K241))</f>
        <v/>
      </c>
      <c r="Q241" s="84">
        <f>IF(AND($A241="",$B241=""),"",IF(COUNT(L241:M241,O241)=0,"",P241-(N(L241)-N(M241))))</f>
        <v/>
      </c>
      <c r="R241" s="54">
        <f>IF(AND($A241="",$B241=""),"",IF(COUNT(L241:M241,O241)=0,"kein Mandanten-Saldo",IF(OR(AND(L241="",M241="")),"",IF(ABS(ROUND(((ROUND(N(D241)*100,0)+ROUND(N(J241)*100,0)+ROUND(N(M241)*100,0))-(ROUND(N(E241)*100,0)+ROUND(N(K241)*100,0)+ROUND(N(L241)*100,0))),0)-(0))&lt;=0,"OK","ABWEICHUNG"))))</f>
        <v/>
      </c>
      <c r="S241" s="84" t="n"/>
      <c r="T241" s="50" t="n"/>
      <c r="U241" s="50" t="n"/>
      <c r="V241" s="50" t="n"/>
      <c r="W241" s="50" t="n"/>
      <c r="X241" s="50" t="n"/>
      <c r="Y241" s="50" t="n"/>
      <c r="Z241" s="50" t="n"/>
    </row>
    <row r="242">
      <c r="A242" s="50" t="n"/>
      <c r="B242" s="50" t="n"/>
      <c r="C242" s="50" t="n"/>
      <c r="D242" s="84" t="n"/>
      <c r="E242" s="84" t="n"/>
      <c r="F242" s="84" t="n"/>
      <c r="G242" s="50" t="n"/>
      <c r="H242" s="84" t="n"/>
      <c r="I242" s="84" t="n"/>
      <c r="J242" s="84" t="n"/>
      <c r="K242" s="84" t="n"/>
      <c r="L242" s="84" t="n"/>
      <c r="M242" s="84" t="n"/>
      <c r="N242" s="50" t="n"/>
      <c r="O242" s="84" t="n"/>
      <c r="P242" s="84">
        <f>IF(AND($A242="",$B242=""),"",N(D242)-N(E242)+N(J242)-N(K242))</f>
        <v/>
      </c>
      <c r="Q242" s="84">
        <f>IF(AND($A242="",$B242=""),"",IF(COUNT(L242:M242,O242)=0,"",P242-(N(L242)-N(M242))))</f>
        <v/>
      </c>
      <c r="R242" s="54">
        <f>IF(AND($A242="",$B242=""),"",IF(COUNT(L242:M242,O242)=0,"kein Mandanten-Saldo",IF(OR(AND(L242="",M242="")),"",IF(ABS(ROUND(((ROUND(N(D242)*100,0)+ROUND(N(J242)*100,0)+ROUND(N(M242)*100,0))-(ROUND(N(E242)*100,0)+ROUND(N(K242)*100,0)+ROUND(N(L242)*100,0))),0)-(0))&lt;=0,"OK","ABWEICHUNG"))))</f>
        <v/>
      </c>
      <c r="S242" s="84" t="n"/>
      <c r="T242" s="50" t="n"/>
      <c r="U242" s="50" t="n"/>
      <c r="V242" s="50" t="n"/>
      <c r="W242" s="50" t="n"/>
      <c r="X242" s="50" t="n"/>
      <c r="Y242" s="50" t="n"/>
      <c r="Z242" s="50" t="n"/>
    </row>
    <row r="243">
      <c r="A243" s="50" t="n"/>
      <c r="B243" s="50" t="n"/>
      <c r="C243" s="50" t="n"/>
      <c r="D243" s="84" t="n"/>
      <c r="E243" s="84" t="n"/>
      <c r="F243" s="84" t="n"/>
      <c r="G243" s="50" t="n"/>
      <c r="H243" s="84" t="n"/>
      <c r="I243" s="84" t="n"/>
      <c r="J243" s="84" t="n"/>
      <c r="K243" s="84" t="n"/>
      <c r="L243" s="84" t="n"/>
      <c r="M243" s="84" t="n"/>
      <c r="N243" s="50" t="n"/>
      <c r="O243" s="84" t="n"/>
      <c r="P243" s="84">
        <f>IF(AND($A243="",$B243=""),"",N(D243)-N(E243)+N(J243)-N(K243))</f>
        <v/>
      </c>
      <c r="Q243" s="84">
        <f>IF(AND($A243="",$B243=""),"",IF(COUNT(L243:M243,O243)=0,"",P243-(N(L243)-N(M243))))</f>
        <v/>
      </c>
      <c r="R243" s="54">
        <f>IF(AND($A243="",$B243=""),"",IF(COUNT(L243:M243,O243)=0,"kein Mandanten-Saldo",IF(OR(AND(L243="",M243="")),"",IF(ABS(ROUND(((ROUND(N(D243)*100,0)+ROUND(N(J243)*100,0)+ROUND(N(M243)*100,0))-(ROUND(N(E243)*100,0)+ROUND(N(K243)*100,0)+ROUND(N(L243)*100,0))),0)-(0))&lt;=0,"OK","ABWEICHUNG"))))</f>
        <v/>
      </c>
      <c r="S243" s="84" t="n"/>
      <c r="T243" s="50" t="n"/>
      <c r="U243" s="50" t="n"/>
      <c r="V243" s="50" t="n"/>
      <c r="W243" s="50" t="n"/>
      <c r="X243" s="50" t="n"/>
      <c r="Y243" s="50" t="n"/>
      <c r="Z243" s="50" t="n"/>
    </row>
    <row r="244">
      <c r="A244" s="50" t="n"/>
      <c r="B244" s="50" t="n"/>
      <c r="C244" s="50" t="n"/>
      <c r="D244" s="84" t="n"/>
      <c r="E244" s="84" t="n"/>
      <c r="F244" s="84" t="n"/>
      <c r="G244" s="50" t="n"/>
      <c r="H244" s="84" t="n"/>
      <c r="I244" s="84" t="n"/>
      <c r="J244" s="84" t="n"/>
      <c r="K244" s="84" t="n"/>
      <c r="L244" s="84" t="n"/>
      <c r="M244" s="84" t="n"/>
      <c r="N244" s="50" t="n"/>
      <c r="O244" s="84" t="n"/>
      <c r="P244" s="84">
        <f>IF(AND($A244="",$B244=""),"",N(D244)-N(E244)+N(J244)-N(K244))</f>
        <v/>
      </c>
      <c r="Q244" s="84">
        <f>IF(AND($A244="",$B244=""),"",IF(COUNT(L244:M244,O244)=0,"",P244-(N(L244)-N(M244))))</f>
        <v/>
      </c>
      <c r="R244" s="54">
        <f>IF(AND($A244="",$B244=""),"",IF(COUNT(L244:M244,O244)=0,"kein Mandanten-Saldo",IF(OR(AND(L244="",M244="")),"",IF(ABS(ROUND(((ROUND(N(D244)*100,0)+ROUND(N(J244)*100,0)+ROUND(N(M244)*100,0))-(ROUND(N(E244)*100,0)+ROUND(N(K244)*100,0)+ROUND(N(L244)*100,0))),0)-(0))&lt;=0,"OK","ABWEICHUNG"))))</f>
        <v/>
      </c>
      <c r="S244" s="84" t="n"/>
      <c r="T244" s="50" t="n"/>
      <c r="U244" s="50" t="n"/>
      <c r="V244" s="50" t="n"/>
      <c r="W244" s="50" t="n"/>
      <c r="X244" s="50" t="n"/>
      <c r="Y244" s="50" t="n"/>
      <c r="Z244" s="50" t="n"/>
    </row>
    <row r="245">
      <c r="A245" s="50" t="n"/>
      <c r="B245" s="50" t="n"/>
      <c r="C245" s="50" t="n"/>
      <c r="D245" s="84" t="n"/>
      <c r="E245" s="84" t="n"/>
      <c r="F245" s="84" t="n"/>
      <c r="G245" s="50" t="n"/>
      <c r="H245" s="84" t="n"/>
      <c r="I245" s="84" t="n"/>
      <c r="J245" s="84" t="n"/>
      <c r="K245" s="84" t="n"/>
      <c r="L245" s="84" t="n"/>
      <c r="M245" s="84" t="n"/>
      <c r="N245" s="50" t="n"/>
      <c r="O245" s="84" t="n"/>
      <c r="P245" s="84">
        <f>IF(AND($A245="",$B245=""),"",N(D245)-N(E245)+N(J245)-N(K245))</f>
        <v/>
      </c>
      <c r="Q245" s="84">
        <f>IF(AND($A245="",$B245=""),"",IF(COUNT(L245:M245,O245)=0,"",P245-(N(L245)-N(M245))))</f>
        <v/>
      </c>
      <c r="R245" s="54">
        <f>IF(AND($A245="",$B245=""),"",IF(COUNT(L245:M245,O245)=0,"kein Mandanten-Saldo",IF(OR(AND(L245="",M245="")),"",IF(ABS(ROUND(((ROUND(N(D245)*100,0)+ROUND(N(J245)*100,0)+ROUND(N(M245)*100,0))-(ROUND(N(E245)*100,0)+ROUND(N(K245)*100,0)+ROUND(N(L245)*100,0))),0)-(0))&lt;=0,"OK","ABWEICHUNG"))))</f>
        <v/>
      </c>
      <c r="S245" s="84" t="n"/>
      <c r="T245" s="50" t="n"/>
      <c r="U245" s="50" t="n"/>
      <c r="V245" s="50" t="n"/>
      <c r="W245" s="50" t="n"/>
      <c r="X245" s="50" t="n"/>
      <c r="Y245" s="50" t="n"/>
      <c r="Z245" s="50" t="n"/>
    </row>
    <row r="246">
      <c r="A246" s="50" t="n"/>
      <c r="B246" s="50" t="n"/>
      <c r="C246" s="50" t="n"/>
      <c r="D246" s="84" t="n"/>
      <c r="E246" s="84" t="n"/>
      <c r="F246" s="84" t="n"/>
      <c r="G246" s="50" t="n"/>
      <c r="H246" s="84" t="n"/>
      <c r="I246" s="84" t="n"/>
      <c r="J246" s="84" t="n"/>
      <c r="K246" s="84" t="n"/>
      <c r="L246" s="84" t="n"/>
      <c r="M246" s="84" t="n"/>
      <c r="N246" s="50" t="n"/>
      <c r="O246" s="84" t="n"/>
      <c r="P246" s="84">
        <f>IF(AND($A246="",$B246=""),"",N(D246)-N(E246)+N(J246)-N(K246))</f>
        <v/>
      </c>
      <c r="Q246" s="84">
        <f>IF(AND($A246="",$B246=""),"",IF(COUNT(L246:M246,O246)=0,"",P246-(N(L246)-N(M246))))</f>
        <v/>
      </c>
      <c r="R246" s="54">
        <f>IF(AND($A246="",$B246=""),"",IF(COUNT(L246:M246,O246)=0,"kein Mandanten-Saldo",IF(OR(AND(L246="",M246="")),"",IF(ABS(ROUND(((ROUND(N(D246)*100,0)+ROUND(N(J246)*100,0)+ROUND(N(M246)*100,0))-(ROUND(N(E246)*100,0)+ROUND(N(K246)*100,0)+ROUND(N(L246)*100,0))),0)-(0))&lt;=0,"OK","ABWEICHUNG"))))</f>
        <v/>
      </c>
      <c r="S246" s="84" t="n"/>
      <c r="T246" s="50" t="n"/>
      <c r="U246" s="50" t="n"/>
      <c r="V246" s="50" t="n"/>
      <c r="W246" s="50" t="n"/>
      <c r="X246" s="50" t="n"/>
      <c r="Y246" s="50" t="n"/>
      <c r="Z246" s="50" t="n"/>
    </row>
    <row r="247">
      <c r="A247" s="50" t="n"/>
      <c r="B247" s="50" t="n"/>
      <c r="C247" s="50" t="n"/>
      <c r="D247" s="84" t="n"/>
      <c r="E247" s="84" t="n"/>
      <c r="F247" s="84" t="n"/>
      <c r="G247" s="50" t="n"/>
      <c r="H247" s="84" t="n"/>
      <c r="I247" s="84" t="n"/>
      <c r="J247" s="84" t="n"/>
      <c r="K247" s="84" t="n"/>
      <c r="L247" s="84" t="n"/>
      <c r="M247" s="84" t="n"/>
      <c r="N247" s="50" t="n"/>
      <c r="O247" s="84" t="n"/>
      <c r="P247" s="84">
        <f>IF(AND($A247="",$B247=""),"",N(D247)-N(E247)+N(J247)-N(K247))</f>
        <v/>
      </c>
      <c r="Q247" s="84">
        <f>IF(AND($A247="",$B247=""),"",IF(COUNT(L247:M247,O247)=0,"",P247-(N(L247)-N(M247))))</f>
        <v/>
      </c>
      <c r="R247" s="54">
        <f>IF(AND($A247="",$B247=""),"",IF(COUNT(L247:M247,O247)=0,"kein Mandanten-Saldo",IF(OR(AND(L247="",M247="")),"",IF(ABS(ROUND(((ROUND(N(D247)*100,0)+ROUND(N(J247)*100,0)+ROUND(N(M247)*100,0))-(ROUND(N(E247)*100,0)+ROUND(N(K247)*100,0)+ROUND(N(L247)*100,0))),0)-(0))&lt;=0,"OK","ABWEICHUNG"))))</f>
        <v/>
      </c>
      <c r="S247" s="84" t="n"/>
      <c r="T247" s="50" t="n"/>
      <c r="U247" s="50" t="n"/>
      <c r="V247" s="50" t="n"/>
      <c r="W247" s="50" t="n"/>
      <c r="X247" s="50" t="n"/>
      <c r="Y247" s="50" t="n"/>
      <c r="Z247" s="50" t="n"/>
    </row>
    <row r="248">
      <c r="A248" s="50" t="n"/>
      <c r="B248" s="50" t="n"/>
      <c r="C248" s="50" t="n"/>
      <c r="D248" s="84" t="n"/>
      <c r="E248" s="84" t="n"/>
      <c r="F248" s="84" t="n"/>
      <c r="G248" s="50" t="n"/>
      <c r="H248" s="84" t="n"/>
      <c r="I248" s="84" t="n"/>
      <c r="J248" s="84" t="n"/>
      <c r="K248" s="84" t="n"/>
      <c r="L248" s="84" t="n"/>
      <c r="M248" s="84" t="n"/>
      <c r="N248" s="50" t="n"/>
      <c r="O248" s="84" t="n"/>
      <c r="P248" s="84">
        <f>IF(AND($A248="",$B248=""),"",N(D248)-N(E248)+N(J248)-N(K248))</f>
        <v/>
      </c>
      <c r="Q248" s="84">
        <f>IF(AND($A248="",$B248=""),"",IF(COUNT(L248:M248,O248)=0,"",P248-(N(L248)-N(M248))))</f>
        <v/>
      </c>
      <c r="R248" s="54">
        <f>IF(AND($A248="",$B248=""),"",IF(COUNT(L248:M248,O248)=0,"kein Mandanten-Saldo",IF(OR(AND(L248="",M248="")),"",IF(ABS(ROUND(((ROUND(N(D248)*100,0)+ROUND(N(J248)*100,0)+ROUND(N(M248)*100,0))-(ROUND(N(E248)*100,0)+ROUND(N(K248)*100,0)+ROUND(N(L248)*100,0))),0)-(0))&lt;=0,"OK","ABWEICHUNG"))))</f>
        <v/>
      </c>
      <c r="S248" s="84" t="n"/>
      <c r="T248" s="50" t="n"/>
      <c r="U248" s="50" t="n"/>
      <c r="V248" s="50" t="n"/>
      <c r="W248" s="50" t="n"/>
      <c r="X248" s="50" t="n"/>
      <c r="Y248" s="50" t="n"/>
      <c r="Z248" s="50" t="n"/>
    </row>
    <row r="249">
      <c r="A249" s="50" t="n"/>
      <c r="B249" s="50" t="n"/>
      <c r="C249" s="50" t="n"/>
      <c r="D249" s="84" t="n"/>
      <c r="E249" s="84" t="n"/>
      <c r="F249" s="84" t="n"/>
      <c r="G249" s="50" t="n"/>
      <c r="H249" s="84" t="n"/>
      <c r="I249" s="84" t="n"/>
      <c r="J249" s="84" t="n"/>
      <c r="K249" s="84" t="n"/>
      <c r="L249" s="84" t="n"/>
      <c r="M249" s="84" t="n"/>
      <c r="N249" s="50" t="n"/>
      <c r="O249" s="84" t="n"/>
      <c r="P249" s="84">
        <f>IF(AND($A249="",$B249=""),"",N(D249)-N(E249)+N(J249)-N(K249))</f>
        <v/>
      </c>
      <c r="Q249" s="84">
        <f>IF(AND($A249="",$B249=""),"",IF(COUNT(L249:M249,O249)=0,"",P249-(N(L249)-N(M249))))</f>
        <v/>
      </c>
      <c r="R249" s="54">
        <f>IF(AND($A249="",$B249=""),"",IF(COUNT(L249:M249,O249)=0,"kein Mandanten-Saldo",IF(OR(AND(L249="",M249="")),"",IF(ABS(ROUND(((ROUND(N(D249)*100,0)+ROUND(N(J249)*100,0)+ROUND(N(M249)*100,0))-(ROUND(N(E249)*100,0)+ROUND(N(K249)*100,0)+ROUND(N(L249)*100,0))),0)-(0))&lt;=0,"OK","ABWEICHUNG"))))</f>
        <v/>
      </c>
      <c r="S249" s="84" t="n"/>
      <c r="T249" s="50" t="n"/>
      <c r="U249" s="50" t="n"/>
      <c r="V249" s="50" t="n"/>
      <c r="W249" s="50" t="n"/>
      <c r="X249" s="50" t="n"/>
      <c r="Y249" s="50" t="n"/>
      <c r="Z249" s="50" t="n"/>
    </row>
    <row r="250">
      <c r="A250" s="50" t="n"/>
      <c r="B250" s="50" t="n"/>
      <c r="C250" s="50" t="n"/>
      <c r="D250" s="84" t="n"/>
      <c r="E250" s="84" t="n"/>
      <c r="F250" s="84" t="n"/>
      <c r="G250" s="50" t="n"/>
      <c r="H250" s="84" t="n"/>
      <c r="I250" s="84" t="n"/>
      <c r="J250" s="84" t="n"/>
      <c r="K250" s="84" t="n"/>
      <c r="L250" s="84" t="n"/>
      <c r="M250" s="84" t="n"/>
      <c r="N250" s="50" t="n"/>
      <c r="O250" s="84" t="n"/>
      <c r="P250" s="84">
        <f>IF(AND($A250="",$B250=""),"",N(D250)-N(E250)+N(J250)-N(K250))</f>
        <v/>
      </c>
      <c r="Q250" s="84">
        <f>IF(AND($A250="",$B250=""),"",IF(COUNT(L250:M250,O250)=0,"",P250-(N(L250)-N(M250))))</f>
        <v/>
      </c>
      <c r="R250" s="54">
        <f>IF(AND($A250="",$B250=""),"",IF(COUNT(L250:M250,O250)=0,"kein Mandanten-Saldo",IF(OR(AND(L250="",M250="")),"",IF(ABS(ROUND(((ROUND(N(D250)*100,0)+ROUND(N(J250)*100,0)+ROUND(N(M250)*100,0))-(ROUND(N(E250)*100,0)+ROUND(N(K250)*100,0)+ROUND(N(L250)*100,0))),0)-(0))&lt;=0,"OK","ABWEICHUNG"))))</f>
        <v/>
      </c>
      <c r="S250" s="84" t="n"/>
      <c r="T250" s="50" t="n"/>
      <c r="U250" s="50" t="n"/>
      <c r="V250" s="50" t="n"/>
      <c r="W250" s="50" t="n"/>
      <c r="X250" s="50" t="n"/>
      <c r="Y250" s="50" t="n"/>
      <c r="Z250" s="50" t="n"/>
    </row>
    <row r="251">
      <c r="A251" s="50" t="n"/>
      <c r="B251" s="50" t="n"/>
      <c r="C251" s="50" t="n"/>
      <c r="D251" s="84" t="n"/>
      <c r="E251" s="84" t="n"/>
      <c r="F251" s="84" t="n"/>
      <c r="G251" s="50" t="n"/>
      <c r="H251" s="84" t="n"/>
      <c r="I251" s="84" t="n"/>
      <c r="J251" s="84" t="n"/>
      <c r="K251" s="84" t="n"/>
      <c r="L251" s="84" t="n"/>
      <c r="M251" s="84" t="n"/>
      <c r="N251" s="50" t="n"/>
      <c r="O251" s="84" t="n"/>
      <c r="P251" s="84">
        <f>IF(AND($A251="",$B251=""),"",N(D251)-N(E251)+N(J251)-N(K251))</f>
        <v/>
      </c>
      <c r="Q251" s="84">
        <f>IF(AND($A251="",$B251=""),"",IF(COUNT(L251:M251,O251)=0,"",P251-(N(L251)-N(M251))))</f>
        <v/>
      </c>
      <c r="R251" s="54">
        <f>IF(AND($A251="",$B251=""),"",IF(COUNT(L251:M251,O251)=0,"kein Mandanten-Saldo",IF(OR(AND(L251="",M251="")),"",IF(ABS(ROUND(((ROUND(N(D251)*100,0)+ROUND(N(J251)*100,0)+ROUND(N(M251)*100,0))-(ROUND(N(E251)*100,0)+ROUND(N(K251)*100,0)+ROUND(N(L251)*100,0))),0)-(0))&lt;=0,"OK","ABWEICHUNG"))))</f>
        <v/>
      </c>
      <c r="S251" s="84" t="n"/>
      <c r="T251" s="50" t="n"/>
      <c r="U251" s="50" t="n"/>
      <c r="V251" s="50" t="n"/>
      <c r="W251" s="50" t="n"/>
      <c r="X251" s="50" t="n"/>
      <c r="Y251" s="50" t="n"/>
      <c r="Z251" s="50" t="n"/>
    </row>
    <row r="252">
      <c r="A252" s="50" t="n"/>
      <c r="B252" s="50" t="n"/>
      <c r="C252" s="50" t="n"/>
      <c r="D252" s="84" t="n"/>
      <c r="E252" s="84" t="n"/>
      <c r="F252" s="84" t="n"/>
      <c r="G252" s="50" t="n"/>
      <c r="H252" s="84" t="n"/>
      <c r="I252" s="84" t="n"/>
      <c r="J252" s="84" t="n"/>
      <c r="K252" s="84" t="n"/>
      <c r="L252" s="84" t="n"/>
      <c r="M252" s="84" t="n"/>
      <c r="N252" s="50" t="n"/>
      <c r="O252" s="84" t="n"/>
      <c r="P252" s="84">
        <f>IF(AND($A252="",$B252=""),"",N(D252)-N(E252)+N(J252)-N(K252))</f>
        <v/>
      </c>
      <c r="Q252" s="84">
        <f>IF(AND($A252="",$B252=""),"",IF(COUNT(L252:M252,O252)=0,"",P252-(N(L252)-N(M252))))</f>
        <v/>
      </c>
      <c r="R252" s="54">
        <f>IF(AND($A252="",$B252=""),"",IF(COUNT(L252:M252,O252)=0,"kein Mandanten-Saldo",IF(OR(AND(L252="",M252="")),"",IF(ABS(ROUND(((ROUND(N(D252)*100,0)+ROUND(N(J252)*100,0)+ROUND(N(M252)*100,0))-(ROUND(N(E252)*100,0)+ROUND(N(K252)*100,0)+ROUND(N(L252)*100,0))),0)-(0))&lt;=0,"OK","ABWEICHUNG"))))</f>
        <v/>
      </c>
      <c r="S252" s="84" t="n"/>
      <c r="T252" s="50" t="n"/>
      <c r="U252" s="50" t="n"/>
      <c r="V252" s="50" t="n"/>
      <c r="W252" s="50" t="n"/>
      <c r="X252" s="50" t="n"/>
      <c r="Y252" s="50" t="n"/>
      <c r="Z252" s="50" t="n"/>
    </row>
    <row r="253">
      <c r="A253" s="50" t="n"/>
      <c r="B253" s="50" t="n"/>
      <c r="C253" s="50" t="n"/>
      <c r="D253" s="84" t="n"/>
      <c r="E253" s="84" t="n"/>
      <c r="F253" s="84" t="n"/>
      <c r="G253" s="50" t="n"/>
      <c r="H253" s="84" t="n"/>
      <c r="I253" s="84" t="n"/>
      <c r="J253" s="84" t="n"/>
      <c r="K253" s="84" t="n"/>
      <c r="L253" s="84" t="n"/>
      <c r="M253" s="84" t="n"/>
      <c r="N253" s="50" t="n"/>
      <c r="O253" s="84" t="n"/>
      <c r="P253" s="84">
        <f>IF(AND($A253="",$B253=""),"",N(D253)-N(E253)+N(J253)-N(K253))</f>
        <v/>
      </c>
      <c r="Q253" s="84">
        <f>IF(AND($A253="",$B253=""),"",IF(COUNT(L253:M253,O253)=0,"",P253-(N(L253)-N(M253))))</f>
        <v/>
      </c>
      <c r="R253" s="54">
        <f>IF(AND($A253="",$B253=""),"",IF(COUNT(L253:M253,O253)=0,"kein Mandanten-Saldo",IF(OR(AND(L253="",M253="")),"",IF(ABS(ROUND(((ROUND(N(D253)*100,0)+ROUND(N(J253)*100,0)+ROUND(N(M253)*100,0))-(ROUND(N(E253)*100,0)+ROUND(N(K253)*100,0)+ROUND(N(L253)*100,0))),0)-(0))&lt;=0,"OK","ABWEICHUNG"))))</f>
        <v/>
      </c>
      <c r="S253" s="84" t="n"/>
      <c r="T253" s="50" t="n"/>
      <c r="U253" s="50" t="n"/>
      <c r="V253" s="50" t="n"/>
      <c r="W253" s="50" t="n"/>
      <c r="X253" s="50" t="n"/>
      <c r="Y253" s="50" t="n"/>
      <c r="Z253" s="50" t="n"/>
    </row>
    <row r="254">
      <c r="A254" s="50" t="n"/>
      <c r="B254" s="50" t="n"/>
      <c r="C254" s="50" t="n"/>
      <c r="D254" s="84" t="n"/>
      <c r="E254" s="84" t="n"/>
      <c r="F254" s="84" t="n"/>
      <c r="G254" s="50" t="n"/>
      <c r="H254" s="84" t="n"/>
      <c r="I254" s="84" t="n"/>
      <c r="J254" s="84" t="n"/>
      <c r="K254" s="84" t="n"/>
      <c r="L254" s="84" t="n"/>
      <c r="M254" s="84" t="n"/>
      <c r="N254" s="50" t="n"/>
      <c r="O254" s="84" t="n"/>
      <c r="P254" s="84">
        <f>IF(AND($A254="",$B254=""),"",N(D254)-N(E254)+N(J254)-N(K254))</f>
        <v/>
      </c>
      <c r="Q254" s="84">
        <f>IF(AND($A254="",$B254=""),"",IF(COUNT(L254:M254,O254)=0,"",P254-(N(L254)-N(M254))))</f>
        <v/>
      </c>
      <c r="R254" s="54">
        <f>IF(AND($A254="",$B254=""),"",IF(COUNT(L254:M254,O254)=0,"kein Mandanten-Saldo",IF(OR(AND(L254="",M254="")),"",IF(ABS(ROUND(((ROUND(N(D254)*100,0)+ROUND(N(J254)*100,0)+ROUND(N(M254)*100,0))-(ROUND(N(E254)*100,0)+ROUND(N(K254)*100,0)+ROUND(N(L254)*100,0))),0)-(0))&lt;=0,"OK","ABWEICHUNG"))))</f>
        <v/>
      </c>
      <c r="S254" s="84" t="n"/>
      <c r="T254" s="50" t="n"/>
      <c r="U254" s="50" t="n"/>
      <c r="V254" s="50" t="n"/>
      <c r="W254" s="50" t="n"/>
      <c r="X254" s="50" t="n"/>
      <c r="Y254" s="50" t="n"/>
      <c r="Z254" s="50" t="n"/>
    </row>
    <row r="255">
      <c r="A255" s="50" t="n"/>
      <c r="B255" s="50" t="n"/>
      <c r="C255" s="50" t="n"/>
      <c r="D255" s="84" t="n"/>
      <c r="E255" s="84" t="n"/>
      <c r="F255" s="84" t="n"/>
      <c r="G255" s="50" t="n"/>
      <c r="H255" s="84" t="n"/>
      <c r="I255" s="84" t="n"/>
      <c r="J255" s="84" t="n"/>
      <c r="K255" s="84" t="n"/>
      <c r="L255" s="84" t="n"/>
      <c r="M255" s="84" t="n"/>
      <c r="N255" s="50" t="n"/>
      <c r="O255" s="84" t="n"/>
      <c r="P255" s="84">
        <f>IF(AND($A255="",$B255=""),"",N(D255)-N(E255)+N(J255)-N(K255))</f>
        <v/>
      </c>
      <c r="Q255" s="84">
        <f>IF(AND($A255="",$B255=""),"",IF(COUNT(L255:M255,O255)=0,"",P255-(N(L255)-N(M255))))</f>
        <v/>
      </c>
      <c r="R255" s="54">
        <f>IF(AND($A255="",$B255=""),"",IF(COUNT(L255:M255,O255)=0,"kein Mandanten-Saldo",IF(OR(AND(L255="",M255="")),"",IF(ABS(ROUND(((ROUND(N(D255)*100,0)+ROUND(N(J255)*100,0)+ROUND(N(M255)*100,0))-(ROUND(N(E255)*100,0)+ROUND(N(K255)*100,0)+ROUND(N(L255)*100,0))),0)-(0))&lt;=0,"OK","ABWEICHUNG"))))</f>
        <v/>
      </c>
      <c r="S255" s="84" t="n"/>
      <c r="T255" s="50" t="n"/>
      <c r="U255" s="50" t="n"/>
      <c r="V255" s="50" t="n"/>
      <c r="W255" s="50" t="n"/>
      <c r="X255" s="50" t="n"/>
      <c r="Y255" s="50" t="n"/>
      <c r="Z255" s="50" t="n"/>
    </row>
    <row r="256">
      <c r="A256" s="50" t="n"/>
      <c r="B256" s="50" t="n"/>
      <c r="C256" s="50" t="n"/>
      <c r="D256" s="84" t="n"/>
      <c r="E256" s="84" t="n"/>
      <c r="F256" s="84" t="n"/>
      <c r="G256" s="50" t="n"/>
      <c r="H256" s="84" t="n"/>
      <c r="I256" s="84" t="n"/>
      <c r="J256" s="84" t="n"/>
      <c r="K256" s="84" t="n"/>
      <c r="L256" s="84" t="n"/>
      <c r="M256" s="84" t="n"/>
      <c r="N256" s="50" t="n"/>
      <c r="O256" s="84" t="n"/>
      <c r="P256" s="84">
        <f>IF(AND($A256="",$B256=""),"",N(D256)-N(E256)+N(J256)-N(K256))</f>
        <v/>
      </c>
      <c r="Q256" s="84">
        <f>IF(AND($A256="",$B256=""),"",IF(COUNT(L256:M256,O256)=0,"",P256-(N(L256)-N(M256))))</f>
        <v/>
      </c>
      <c r="R256" s="54">
        <f>IF(AND($A256="",$B256=""),"",IF(COUNT(L256:M256,O256)=0,"kein Mandanten-Saldo",IF(OR(AND(L256="",M256="")),"",IF(ABS(ROUND(((ROUND(N(D256)*100,0)+ROUND(N(J256)*100,0)+ROUND(N(M256)*100,0))-(ROUND(N(E256)*100,0)+ROUND(N(K256)*100,0)+ROUND(N(L256)*100,0))),0)-(0))&lt;=0,"OK","ABWEICHUNG"))))</f>
        <v/>
      </c>
      <c r="S256" s="84" t="n"/>
      <c r="T256" s="50" t="n"/>
      <c r="U256" s="50" t="n"/>
      <c r="V256" s="50" t="n"/>
      <c r="W256" s="50" t="n"/>
      <c r="X256" s="50" t="n"/>
      <c r="Y256" s="50" t="n"/>
      <c r="Z256" s="50" t="n"/>
    </row>
    <row r="257">
      <c r="A257" s="50" t="n"/>
      <c r="B257" s="50" t="n"/>
      <c r="C257" s="50" t="n"/>
      <c r="D257" s="84" t="n"/>
      <c r="E257" s="84" t="n"/>
      <c r="F257" s="84" t="n"/>
      <c r="G257" s="50" t="n"/>
      <c r="H257" s="84" t="n"/>
      <c r="I257" s="84" t="n"/>
      <c r="J257" s="84" t="n"/>
      <c r="K257" s="84" t="n"/>
      <c r="L257" s="84" t="n"/>
      <c r="M257" s="84" t="n"/>
      <c r="N257" s="50" t="n"/>
      <c r="O257" s="84" t="n"/>
      <c r="P257" s="84">
        <f>IF(AND($A257="",$B257=""),"",N(D257)-N(E257)+N(J257)-N(K257))</f>
        <v/>
      </c>
      <c r="Q257" s="84">
        <f>IF(AND($A257="",$B257=""),"",IF(COUNT(L257:M257,O257)=0,"",P257-(N(L257)-N(M257))))</f>
        <v/>
      </c>
      <c r="R257" s="54">
        <f>IF(AND($A257="",$B257=""),"",IF(COUNT(L257:M257,O257)=0,"kein Mandanten-Saldo",IF(OR(AND(L257="",M257="")),"",IF(ABS(ROUND(((ROUND(N(D257)*100,0)+ROUND(N(J257)*100,0)+ROUND(N(M257)*100,0))-(ROUND(N(E257)*100,0)+ROUND(N(K257)*100,0)+ROUND(N(L257)*100,0))),0)-(0))&lt;=0,"OK","ABWEICHUNG"))))</f>
        <v/>
      </c>
      <c r="S257" s="84" t="n"/>
      <c r="T257" s="50" t="n"/>
      <c r="U257" s="50" t="n"/>
      <c r="V257" s="50" t="n"/>
      <c r="W257" s="50" t="n"/>
      <c r="X257" s="50" t="n"/>
      <c r="Y257" s="50" t="n"/>
      <c r="Z257" s="50" t="n"/>
    </row>
    <row r="258">
      <c r="A258" s="50" t="n"/>
      <c r="B258" s="50" t="n"/>
      <c r="C258" s="50" t="n"/>
      <c r="D258" s="84" t="n"/>
      <c r="E258" s="84" t="n"/>
      <c r="F258" s="84" t="n"/>
      <c r="G258" s="50" t="n"/>
      <c r="H258" s="84" t="n"/>
      <c r="I258" s="84" t="n"/>
      <c r="J258" s="84" t="n"/>
      <c r="K258" s="84" t="n"/>
      <c r="L258" s="84" t="n"/>
      <c r="M258" s="84" t="n"/>
      <c r="N258" s="50" t="n"/>
      <c r="O258" s="84" t="n"/>
      <c r="P258" s="84">
        <f>IF(AND($A258="",$B258=""),"",N(D258)-N(E258)+N(J258)-N(K258))</f>
        <v/>
      </c>
      <c r="Q258" s="84">
        <f>IF(AND($A258="",$B258=""),"",IF(COUNT(L258:M258,O258)=0,"",P258-(N(L258)-N(M258))))</f>
        <v/>
      </c>
      <c r="R258" s="54">
        <f>IF(AND($A258="",$B258=""),"",IF(COUNT(L258:M258,O258)=0,"kein Mandanten-Saldo",IF(OR(AND(L258="",M258="")),"",IF(ABS(ROUND(((ROUND(N(D258)*100,0)+ROUND(N(J258)*100,0)+ROUND(N(M258)*100,0))-(ROUND(N(E258)*100,0)+ROUND(N(K258)*100,0)+ROUND(N(L258)*100,0))),0)-(0))&lt;=0,"OK","ABWEICHUNG"))))</f>
        <v/>
      </c>
      <c r="S258" s="84" t="n"/>
      <c r="T258" s="50" t="n"/>
      <c r="U258" s="50" t="n"/>
      <c r="V258" s="50" t="n"/>
      <c r="W258" s="50" t="n"/>
      <c r="X258" s="50" t="n"/>
      <c r="Y258" s="50" t="n"/>
      <c r="Z258" s="50" t="n"/>
    </row>
    <row r="259">
      <c r="A259" s="50" t="n"/>
      <c r="B259" s="50" t="n"/>
      <c r="C259" s="50" t="n"/>
      <c r="D259" s="84" t="n"/>
      <c r="E259" s="84" t="n"/>
      <c r="F259" s="84" t="n"/>
      <c r="G259" s="50" t="n"/>
      <c r="H259" s="84" t="n"/>
      <c r="I259" s="84" t="n"/>
      <c r="J259" s="84" t="n"/>
      <c r="K259" s="84" t="n"/>
      <c r="L259" s="84" t="n"/>
      <c r="M259" s="84" t="n"/>
      <c r="N259" s="50" t="n"/>
      <c r="O259" s="84" t="n"/>
      <c r="P259" s="84">
        <f>IF(AND($A259="",$B259=""),"",N(D259)-N(E259)+N(J259)-N(K259))</f>
        <v/>
      </c>
      <c r="Q259" s="84">
        <f>IF(AND($A259="",$B259=""),"",IF(COUNT(L259:M259,O259)=0,"",P259-(N(L259)-N(M259))))</f>
        <v/>
      </c>
      <c r="R259" s="54">
        <f>IF(AND($A259="",$B259=""),"",IF(COUNT(L259:M259,O259)=0,"kein Mandanten-Saldo",IF(OR(AND(L259="",M259="")),"",IF(ABS(ROUND(((ROUND(N(D259)*100,0)+ROUND(N(J259)*100,0)+ROUND(N(M259)*100,0))-(ROUND(N(E259)*100,0)+ROUND(N(K259)*100,0)+ROUND(N(L259)*100,0))),0)-(0))&lt;=0,"OK","ABWEICHUNG"))))</f>
        <v/>
      </c>
      <c r="S259" s="84" t="n"/>
      <c r="T259" s="50" t="n"/>
      <c r="U259" s="50" t="n"/>
      <c r="V259" s="50" t="n"/>
      <c r="W259" s="50" t="n"/>
      <c r="X259" s="50" t="n"/>
      <c r="Y259" s="50" t="n"/>
      <c r="Z259" s="50" t="n"/>
    </row>
    <row r="260">
      <c r="A260" s="50" t="n"/>
      <c r="B260" s="50" t="n"/>
      <c r="C260" s="50" t="n"/>
      <c r="D260" s="84" t="n"/>
      <c r="E260" s="84" t="n"/>
      <c r="F260" s="84" t="n"/>
      <c r="G260" s="50" t="n"/>
      <c r="H260" s="84" t="n"/>
      <c r="I260" s="84" t="n"/>
      <c r="J260" s="84" t="n"/>
      <c r="K260" s="84" t="n"/>
      <c r="L260" s="84" t="n"/>
      <c r="M260" s="84" t="n"/>
      <c r="N260" s="50" t="n"/>
      <c r="O260" s="84" t="n"/>
      <c r="P260" s="84">
        <f>IF(AND($A260="",$B260=""),"",N(D260)-N(E260)+N(J260)-N(K260))</f>
        <v/>
      </c>
      <c r="Q260" s="84">
        <f>IF(AND($A260="",$B260=""),"",IF(COUNT(L260:M260,O260)=0,"",P260-(N(L260)-N(M260))))</f>
        <v/>
      </c>
      <c r="R260" s="54">
        <f>IF(AND($A260="",$B260=""),"",IF(COUNT(L260:M260,O260)=0,"kein Mandanten-Saldo",IF(OR(AND(L260="",M260="")),"",IF(ABS(ROUND(((ROUND(N(D260)*100,0)+ROUND(N(J260)*100,0)+ROUND(N(M260)*100,0))-(ROUND(N(E260)*100,0)+ROUND(N(K260)*100,0)+ROUND(N(L260)*100,0))),0)-(0))&lt;=0,"OK","ABWEICHUNG"))))</f>
        <v/>
      </c>
      <c r="S260" s="84" t="n"/>
      <c r="T260" s="50" t="n"/>
      <c r="U260" s="50" t="n"/>
      <c r="V260" s="50" t="n"/>
      <c r="W260" s="50" t="n"/>
      <c r="X260" s="50" t="n"/>
      <c r="Y260" s="50" t="n"/>
      <c r="Z260" s="50" t="n"/>
    </row>
    <row r="261">
      <c r="A261" s="50" t="n"/>
      <c r="B261" s="50" t="n"/>
      <c r="C261" s="50" t="n"/>
      <c r="D261" s="84" t="n"/>
      <c r="E261" s="84" t="n"/>
      <c r="F261" s="84" t="n"/>
      <c r="G261" s="50" t="n"/>
      <c r="H261" s="84" t="n"/>
      <c r="I261" s="84" t="n"/>
      <c r="J261" s="84" t="n"/>
      <c r="K261" s="84" t="n"/>
      <c r="L261" s="84" t="n"/>
      <c r="M261" s="84" t="n"/>
      <c r="N261" s="50" t="n"/>
      <c r="O261" s="84" t="n"/>
      <c r="P261" s="84">
        <f>IF(AND($A261="",$B261=""),"",N(D261)-N(E261)+N(J261)-N(K261))</f>
        <v/>
      </c>
      <c r="Q261" s="84">
        <f>IF(AND($A261="",$B261=""),"",IF(COUNT(L261:M261,O261)=0,"",P261-(N(L261)-N(M261))))</f>
        <v/>
      </c>
      <c r="R261" s="54">
        <f>IF(AND($A261="",$B261=""),"",IF(COUNT(L261:M261,O261)=0,"kein Mandanten-Saldo",IF(OR(AND(L261="",M261="")),"",IF(ABS(ROUND(((ROUND(N(D261)*100,0)+ROUND(N(J261)*100,0)+ROUND(N(M261)*100,0))-(ROUND(N(E261)*100,0)+ROUND(N(K261)*100,0)+ROUND(N(L261)*100,0))),0)-(0))&lt;=0,"OK","ABWEICHUNG"))))</f>
        <v/>
      </c>
      <c r="S261" s="84" t="n"/>
      <c r="T261" s="50" t="n"/>
      <c r="U261" s="50" t="n"/>
      <c r="V261" s="50" t="n"/>
      <c r="W261" s="50" t="n"/>
      <c r="X261" s="50" t="n"/>
      <c r="Y261" s="50" t="n"/>
      <c r="Z261" s="50" t="n"/>
    </row>
    <row r="262">
      <c r="A262" s="50" t="n"/>
      <c r="B262" s="50" t="n"/>
      <c r="C262" s="50" t="n"/>
      <c r="D262" s="84" t="n"/>
      <c r="E262" s="84" t="n"/>
      <c r="F262" s="84" t="n"/>
      <c r="G262" s="50" t="n"/>
      <c r="H262" s="84" t="n"/>
      <c r="I262" s="84" t="n"/>
      <c r="J262" s="84" t="n"/>
      <c r="K262" s="84" t="n"/>
      <c r="L262" s="84" t="n"/>
      <c r="M262" s="84" t="n"/>
      <c r="N262" s="50" t="n"/>
      <c r="O262" s="84" t="n"/>
      <c r="P262" s="84">
        <f>IF(AND($A262="",$B262=""),"",N(D262)-N(E262)+N(J262)-N(K262))</f>
        <v/>
      </c>
      <c r="Q262" s="84">
        <f>IF(AND($A262="",$B262=""),"",IF(COUNT(L262:M262,O262)=0,"",P262-(N(L262)-N(M262))))</f>
        <v/>
      </c>
      <c r="R262" s="54">
        <f>IF(AND($A262="",$B262=""),"",IF(COUNT(L262:M262,O262)=0,"kein Mandanten-Saldo",IF(OR(AND(L262="",M262="")),"",IF(ABS(ROUND(((ROUND(N(D262)*100,0)+ROUND(N(J262)*100,0)+ROUND(N(M262)*100,0))-(ROUND(N(E262)*100,0)+ROUND(N(K262)*100,0)+ROUND(N(L262)*100,0))),0)-(0))&lt;=0,"OK","ABWEICHUNG"))))</f>
        <v/>
      </c>
      <c r="S262" s="84" t="n"/>
      <c r="T262" s="50" t="n"/>
      <c r="U262" s="50" t="n"/>
      <c r="V262" s="50" t="n"/>
      <c r="W262" s="50" t="n"/>
      <c r="X262" s="50" t="n"/>
      <c r="Y262" s="50" t="n"/>
      <c r="Z262" s="50" t="n"/>
    </row>
    <row r="263">
      <c r="A263" s="50" t="n"/>
      <c r="B263" s="50" t="n"/>
      <c r="C263" s="50" t="n"/>
      <c r="D263" s="84" t="n"/>
      <c r="E263" s="84" t="n"/>
      <c r="F263" s="84" t="n"/>
      <c r="G263" s="50" t="n"/>
      <c r="H263" s="84" t="n"/>
      <c r="I263" s="84" t="n"/>
      <c r="J263" s="84" t="n"/>
      <c r="K263" s="84" t="n"/>
      <c r="L263" s="84" t="n"/>
      <c r="M263" s="84" t="n"/>
      <c r="N263" s="50" t="n"/>
      <c r="O263" s="84" t="n"/>
      <c r="P263" s="84">
        <f>IF(AND($A263="",$B263=""),"",N(D263)-N(E263)+N(J263)-N(K263))</f>
        <v/>
      </c>
      <c r="Q263" s="84">
        <f>IF(AND($A263="",$B263=""),"",IF(COUNT(L263:M263,O263)=0,"",P263-(N(L263)-N(M263))))</f>
        <v/>
      </c>
      <c r="R263" s="54">
        <f>IF(AND($A263="",$B263=""),"",IF(COUNT(L263:M263,O263)=0,"kein Mandanten-Saldo",IF(OR(AND(L263="",M263="")),"",IF(ABS(ROUND(((ROUND(N(D263)*100,0)+ROUND(N(J263)*100,0)+ROUND(N(M263)*100,0))-(ROUND(N(E263)*100,0)+ROUND(N(K263)*100,0)+ROUND(N(L263)*100,0))),0)-(0))&lt;=0,"OK","ABWEICHUNG"))))</f>
        <v/>
      </c>
      <c r="S263" s="84" t="n"/>
      <c r="T263" s="50" t="n"/>
      <c r="U263" s="50" t="n"/>
      <c r="V263" s="50" t="n"/>
      <c r="W263" s="50" t="n"/>
      <c r="X263" s="50" t="n"/>
      <c r="Y263" s="50" t="n"/>
      <c r="Z263" s="50" t="n"/>
    </row>
    <row r="264">
      <c r="A264" s="50" t="n"/>
      <c r="B264" s="50" t="n"/>
      <c r="C264" s="50" t="n"/>
      <c r="D264" s="84" t="n"/>
      <c r="E264" s="84" t="n"/>
      <c r="F264" s="84" t="n"/>
      <c r="G264" s="50" t="n"/>
      <c r="H264" s="84" t="n"/>
      <c r="I264" s="84" t="n"/>
      <c r="J264" s="84" t="n"/>
      <c r="K264" s="84" t="n"/>
      <c r="L264" s="84" t="n"/>
      <c r="M264" s="84" t="n"/>
      <c r="N264" s="50" t="n"/>
      <c r="O264" s="84" t="n"/>
      <c r="P264" s="84">
        <f>IF(AND($A264="",$B264=""),"",N(D264)-N(E264)+N(J264)-N(K264))</f>
        <v/>
      </c>
      <c r="Q264" s="84">
        <f>IF(AND($A264="",$B264=""),"",IF(COUNT(L264:M264,O264)=0,"",P264-(N(L264)-N(M264))))</f>
        <v/>
      </c>
      <c r="R264" s="54">
        <f>IF(AND($A264="",$B264=""),"",IF(COUNT(L264:M264,O264)=0,"kein Mandanten-Saldo",IF(OR(AND(L264="",M264="")),"",IF(ABS(ROUND(((ROUND(N(D264)*100,0)+ROUND(N(J264)*100,0)+ROUND(N(M264)*100,0))-(ROUND(N(E264)*100,0)+ROUND(N(K264)*100,0)+ROUND(N(L264)*100,0))),0)-(0))&lt;=0,"OK","ABWEICHUNG"))))</f>
        <v/>
      </c>
      <c r="S264" s="84" t="n"/>
      <c r="T264" s="50" t="n"/>
      <c r="U264" s="50" t="n"/>
      <c r="V264" s="50" t="n"/>
      <c r="W264" s="50" t="n"/>
      <c r="X264" s="50" t="n"/>
      <c r="Y264" s="50" t="n"/>
      <c r="Z264" s="50" t="n"/>
    </row>
    <row r="265">
      <c r="A265" s="50" t="n"/>
      <c r="B265" s="50" t="n"/>
      <c r="C265" s="50" t="n"/>
      <c r="D265" s="84" t="n"/>
      <c r="E265" s="84" t="n"/>
      <c r="F265" s="84" t="n"/>
      <c r="G265" s="50" t="n"/>
      <c r="H265" s="84" t="n"/>
      <c r="I265" s="84" t="n"/>
      <c r="J265" s="84" t="n"/>
      <c r="K265" s="84" t="n"/>
      <c r="L265" s="84" t="n"/>
      <c r="M265" s="84" t="n"/>
      <c r="N265" s="50" t="n"/>
      <c r="O265" s="84" t="n"/>
      <c r="P265" s="84">
        <f>IF(AND($A265="",$B265=""),"",N(D265)-N(E265)+N(J265)-N(K265))</f>
        <v/>
      </c>
      <c r="Q265" s="84">
        <f>IF(AND($A265="",$B265=""),"",IF(COUNT(L265:M265,O265)=0,"",P265-(N(L265)-N(M265))))</f>
        <v/>
      </c>
      <c r="R265" s="54">
        <f>IF(AND($A265="",$B265=""),"",IF(COUNT(L265:M265,O265)=0,"kein Mandanten-Saldo",IF(OR(AND(L265="",M265="")),"",IF(ABS(ROUND(((ROUND(N(D265)*100,0)+ROUND(N(J265)*100,0)+ROUND(N(M265)*100,0))-(ROUND(N(E265)*100,0)+ROUND(N(K265)*100,0)+ROUND(N(L265)*100,0))),0)-(0))&lt;=0,"OK","ABWEICHUNG"))))</f>
        <v/>
      </c>
      <c r="S265" s="84" t="n"/>
      <c r="T265" s="50" t="n"/>
      <c r="U265" s="50" t="n"/>
      <c r="V265" s="50" t="n"/>
      <c r="W265" s="50" t="n"/>
      <c r="X265" s="50" t="n"/>
      <c r="Y265" s="50" t="n"/>
      <c r="Z265" s="50" t="n"/>
    </row>
    <row r="266">
      <c r="A266" s="50" t="n"/>
      <c r="B266" s="50" t="n"/>
      <c r="C266" s="50" t="n"/>
      <c r="D266" s="84" t="n"/>
      <c r="E266" s="84" t="n"/>
      <c r="F266" s="84" t="n"/>
      <c r="G266" s="50" t="n"/>
      <c r="H266" s="84" t="n"/>
      <c r="I266" s="84" t="n"/>
      <c r="J266" s="84" t="n"/>
      <c r="K266" s="84" t="n"/>
      <c r="L266" s="84" t="n"/>
      <c r="M266" s="84" t="n"/>
      <c r="N266" s="50" t="n"/>
      <c r="O266" s="84" t="n"/>
      <c r="P266" s="84">
        <f>IF(AND($A266="",$B266=""),"",N(D266)-N(E266)+N(J266)-N(K266))</f>
        <v/>
      </c>
      <c r="Q266" s="84">
        <f>IF(AND($A266="",$B266=""),"",IF(COUNT(L266:M266,O266)=0,"",P266-(N(L266)-N(M266))))</f>
        <v/>
      </c>
      <c r="R266" s="54">
        <f>IF(AND($A266="",$B266=""),"",IF(COUNT(L266:M266,O266)=0,"kein Mandanten-Saldo",IF(OR(AND(L266="",M266="")),"",IF(ABS(ROUND(((ROUND(N(D266)*100,0)+ROUND(N(J266)*100,0)+ROUND(N(M266)*100,0))-(ROUND(N(E266)*100,0)+ROUND(N(K266)*100,0)+ROUND(N(L266)*100,0))),0)-(0))&lt;=0,"OK","ABWEICHUNG"))))</f>
        <v/>
      </c>
      <c r="S266" s="84" t="n"/>
      <c r="T266" s="50" t="n"/>
      <c r="U266" s="50" t="n"/>
      <c r="V266" s="50" t="n"/>
      <c r="W266" s="50" t="n"/>
      <c r="X266" s="50" t="n"/>
      <c r="Y266" s="50" t="n"/>
      <c r="Z266" s="50" t="n"/>
    </row>
    <row r="267">
      <c r="A267" s="50" t="n"/>
      <c r="B267" s="50" t="n"/>
      <c r="C267" s="50" t="n"/>
      <c r="D267" s="84" t="n"/>
      <c r="E267" s="84" t="n"/>
      <c r="F267" s="84" t="n"/>
      <c r="G267" s="50" t="n"/>
      <c r="H267" s="84" t="n"/>
      <c r="I267" s="84" t="n"/>
      <c r="J267" s="84" t="n"/>
      <c r="K267" s="84" t="n"/>
      <c r="L267" s="84" t="n"/>
      <c r="M267" s="84" t="n"/>
      <c r="N267" s="50" t="n"/>
      <c r="O267" s="84" t="n"/>
      <c r="P267" s="84">
        <f>IF(AND($A267="",$B267=""),"",N(D267)-N(E267)+N(J267)-N(K267))</f>
        <v/>
      </c>
      <c r="Q267" s="84">
        <f>IF(AND($A267="",$B267=""),"",IF(COUNT(L267:M267,O267)=0,"",P267-(N(L267)-N(M267))))</f>
        <v/>
      </c>
      <c r="R267" s="54">
        <f>IF(AND($A267="",$B267=""),"",IF(COUNT(L267:M267,O267)=0,"kein Mandanten-Saldo",IF(OR(AND(L267="",M267="")),"",IF(ABS(ROUND(((ROUND(N(D267)*100,0)+ROUND(N(J267)*100,0)+ROUND(N(M267)*100,0))-(ROUND(N(E267)*100,0)+ROUND(N(K267)*100,0)+ROUND(N(L267)*100,0))),0)-(0))&lt;=0,"OK","ABWEICHUNG"))))</f>
        <v/>
      </c>
      <c r="S267" s="84" t="n"/>
      <c r="T267" s="50" t="n"/>
      <c r="U267" s="50" t="n"/>
      <c r="V267" s="50" t="n"/>
      <c r="W267" s="50" t="n"/>
      <c r="X267" s="50" t="n"/>
      <c r="Y267" s="50" t="n"/>
      <c r="Z267" s="50" t="n"/>
    </row>
    <row r="268">
      <c r="A268" s="50" t="n"/>
      <c r="B268" s="50" t="n"/>
      <c r="C268" s="50" t="n"/>
      <c r="D268" s="84" t="n"/>
      <c r="E268" s="84" t="n"/>
      <c r="F268" s="84" t="n"/>
      <c r="G268" s="50" t="n"/>
      <c r="H268" s="84" t="n"/>
      <c r="I268" s="84" t="n"/>
      <c r="J268" s="84" t="n"/>
      <c r="K268" s="84" t="n"/>
      <c r="L268" s="84" t="n"/>
      <c r="M268" s="84" t="n"/>
      <c r="N268" s="50" t="n"/>
      <c r="O268" s="84" t="n"/>
      <c r="P268" s="84">
        <f>IF(AND($A268="",$B268=""),"",N(D268)-N(E268)+N(J268)-N(K268))</f>
        <v/>
      </c>
      <c r="Q268" s="84">
        <f>IF(AND($A268="",$B268=""),"",IF(COUNT(L268:M268,O268)=0,"",P268-(N(L268)-N(M268))))</f>
        <v/>
      </c>
      <c r="R268" s="54">
        <f>IF(AND($A268="",$B268=""),"",IF(COUNT(L268:M268,O268)=0,"kein Mandanten-Saldo",IF(OR(AND(L268="",M268="")),"",IF(ABS(ROUND(((ROUND(N(D268)*100,0)+ROUND(N(J268)*100,0)+ROUND(N(M268)*100,0))-(ROUND(N(E268)*100,0)+ROUND(N(K268)*100,0)+ROUND(N(L268)*100,0))),0)-(0))&lt;=0,"OK","ABWEICHUNG"))))</f>
        <v/>
      </c>
      <c r="S268" s="84" t="n"/>
      <c r="T268" s="50" t="n"/>
      <c r="U268" s="50" t="n"/>
      <c r="V268" s="50" t="n"/>
      <c r="W268" s="50" t="n"/>
      <c r="X268" s="50" t="n"/>
      <c r="Y268" s="50" t="n"/>
      <c r="Z268" s="50" t="n"/>
    </row>
    <row r="269">
      <c r="A269" s="50" t="n"/>
      <c r="B269" s="50" t="n"/>
      <c r="C269" s="50" t="n"/>
      <c r="D269" s="84" t="n"/>
      <c r="E269" s="84" t="n"/>
      <c r="F269" s="84" t="n"/>
      <c r="G269" s="50" t="n"/>
      <c r="H269" s="84" t="n"/>
      <c r="I269" s="84" t="n"/>
      <c r="J269" s="84" t="n"/>
      <c r="K269" s="84" t="n"/>
      <c r="L269" s="84" t="n"/>
      <c r="M269" s="84" t="n"/>
      <c r="N269" s="50" t="n"/>
      <c r="O269" s="84" t="n"/>
      <c r="P269" s="84">
        <f>IF(AND($A269="",$B269=""),"",N(D269)-N(E269)+N(J269)-N(K269))</f>
        <v/>
      </c>
      <c r="Q269" s="84">
        <f>IF(AND($A269="",$B269=""),"",IF(COUNT(L269:M269,O269)=0,"",P269-(N(L269)-N(M269))))</f>
        <v/>
      </c>
      <c r="R269" s="54">
        <f>IF(AND($A269="",$B269=""),"",IF(COUNT(L269:M269,O269)=0,"kein Mandanten-Saldo",IF(OR(AND(L269="",M269="")),"",IF(ABS(ROUND(((ROUND(N(D269)*100,0)+ROUND(N(J269)*100,0)+ROUND(N(M269)*100,0))-(ROUND(N(E269)*100,0)+ROUND(N(K269)*100,0)+ROUND(N(L269)*100,0))),0)-(0))&lt;=0,"OK","ABWEICHUNG"))))</f>
        <v/>
      </c>
      <c r="S269" s="84" t="n"/>
      <c r="T269" s="50" t="n"/>
      <c r="U269" s="50" t="n"/>
      <c r="V269" s="50" t="n"/>
      <c r="W269" s="50" t="n"/>
      <c r="X269" s="50" t="n"/>
      <c r="Y269" s="50" t="n"/>
      <c r="Z269" s="50" t="n"/>
    </row>
    <row r="270">
      <c r="A270" s="50" t="n"/>
      <c r="B270" s="50" t="n"/>
      <c r="C270" s="50" t="n"/>
      <c r="D270" s="84" t="n"/>
      <c r="E270" s="84" t="n"/>
      <c r="F270" s="84" t="n"/>
      <c r="G270" s="50" t="n"/>
      <c r="H270" s="84" t="n"/>
      <c r="I270" s="84" t="n"/>
      <c r="J270" s="84" t="n"/>
      <c r="K270" s="84" t="n"/>
      <c r="L270" s="84" t="n"/>
      <c r="M270" s="84" t="n"/>
      <c r="N270" s="50" t="n"/>
      <c r="O270" s="84" t="n"/>
      <c r="P270" s="84">
        <f>IF(AND($A270="",$B270=""),"",N(D270)-N(E270)+N(J270)-N(K270))</f>
        <v/>
      </c>
      <c r="Q270" s="84">
        <f>IF(AND($A270="",$B270=""),"",IF(COUNT(L270:M270,O270)=0,"",P270-(N(L270)-N(M270))))</f>
        <v/>
      </c>
      <c r="R270" s="54">
        <f>IF(AND($A270="",$B270=""),"",IF(COUNT(L270:M270,O270)=0,"kein Mandanten-Saldo",IF(OR(AND(L270="",M270="")),"",IF(ABS(ROUND(((ROUND(N(D270)*100,0)+ROUND(N(J270)*100,0)+ROUND(N(M270)*100,0))-(ROUND(N(E270)*100,0)+ROUND(N(K270)*100,0)+ROUND(N(L270)*100,0))),0)-(0))&lt;=0,"OK","ABWEICHUNG"))))</f>
        <v/>
      </c>
      <c r="S270" s="84" t="n"/>
      <c r="T270" s="50" t="n"/>
      <c r="U270" s="50" t="n"/>
      <c r="V270" s="50" t="n"/>
      <c r="W270" s="50" t="n"/>
      <c r="X270" s="50" t="n"/>
      <c r="Y270" s="50" t="n"/>
      <c r="Z270" s="50" t="n"/>
    </row>
    <row r="271">
      <c r="A271" s="50" t="n"/>
      <c r="B271" s="50" t="n"/>
      <c r="C271" s="50" t="n"/>
      <c r="D271" s="84" t="n"/>
      <c r="E271" s="84" t="n"/>
      <c r="F271" s="84" t="n"/>
      <c r="G271" s="50" t="n"/>
      <c r="H271" s="84" t="n"/>
      <c r="I271" s="84" t="n"/>
      <c r="J271" s="84" t="n"/>
      <c r="K271" s="84" t="n"/>
      <c r="L271" s="84" t="n"/>
      <c r="M271" s="84" t="n"/>
      <c r="N271" s="50" t="n"/>
      <c r="O271" s="84" t="n"/>
      <c r="P271" s="84">
        <f>IF(AND($A271="",$B271=""),"",N(D271)-N(E271)+N(J271)-N(K271))</f>
        <v/>
      </c>
      <c r="Q271" s="84">
        <f>IF(AND($A271="",$B271=""),"",IF(COUNT(L271:M271,O271)=0,"",P271-(N(L271)-N(M271))))</f>
        <v/>
      </c>
      <c r="R271" s="54">
        <f>IF(AND($A271="",$B271=""),"",IF(COUNT(L271:M271,O271)=0,"kein Mandanten-Saldo",IF(OR(AND(L271="",M271="")),"",IF(ABS(ROUND(((ROUND(N(D271)*100,0)+ROUND(N(J271)*100,0)+ROUND(N(M271)*100,0))-(ROUND(N(E271)*100,0)+ROUND(N(K271)*100,0)+ROUND(N(L271)*100,0))),0)-(0))&lt;=0,"OK","ABWEICHUNG"))))</f>
        <v/>
      </c>
      <c r="S271" s="84" t="n"/>
      <c r="T271" s="50" t="n"/>
      <c r="U271" s="50" t="n"/>
      <c r="V271" s="50" t="n"/>
      <c r="W271" s="50" t="n"/>
      <c r="X271" s="50" t="n"/>
      <c r="Y271" s="50" t="n"/>
      <c r="Z271" s="50" t="n"/>
    </row>
    <row r="272">
      <c r="A272" s="50" t="n"/>
      <c r="B272" s="50" t="n"/>
      <c r="C272" s="50" t="n"/>
      <c r="D272" s="84" t="n"/>
      <c r="E272" s="84" t="n"/>
      <c r="F272" s="84" t="n"/>
      <c r="G272" s="50" t="n"/>
      <c r="H272" s="84" t="n"/>
      <c r="I272" s="84" t="n"/>
      <c r="J272" s="84" t="n"/>
      <c r="K272" s="84" t="n"/>
      <c r="L272" s="84" t="n"/>
      <c r="M272" s="84" t="n"/>
      <c r="N272" s="50" t="n"/>
      <c r="O272" s="84" t="n"/>
      <c r="P272" s="84">
        <f>IF(AND($A272="",$B272=""),"",N(D272)-N(E272)+N(J272)-N(K272))</f>
        <v/>
      </c>
      <c r="Q272" s="84">
        <f>IF(AND($A272="",$B272=""),"",IF(COUNT(L272:M272,O272)=0,"",P272-(N(L272)-N(M272))))</f>
        <v/>
      </c>
      <c r="R272" s="54">
        <f>IF(AND($A272="",$B272=""),"",IF(COUNT(L272:M272,O272)=0,"kein Mandanten-Saldo",IF(OR(AND(L272="",M272="")),"",IF(ABS(ROUND(((ROUND(N(D272)*100,0)+ROUND(N(J272)*100,0)+ROUND(N(M272)*100,0))-(ROUND(N(E272)*100,0)+ROUND(N(K272)*100,0)+ROUND(N(L272)*100,0))),0)-(0))&lt;=0,"OK","ABWEICHUNG"))))</f>
        <v/>
      </c>
      <c r="S272" s="84" t="n"/>
      <c r="T272" s="50" t="n"/>
      <c r="U272" s="50" t="n"/>
      <c r="V272" s="50" t="n"/>
      <c r="W272" s="50" t="n"/>
      <c r="X272" s="50" t="n"/>
      <c r="Y272" s="50" t="n"/>
      <c r="Z272" s="50" t="n"/>
    </row>
    <row r="273">
      <c r="A273" s="50" t="n"/>
      <c r="B273" s="50" t="n"/>
      <c r="C273" s="50" t="n"/>
      <c r="D273" s="84" t="n"/>
      <c r="E273" s="84" t="n"/>
      <c r="F273" s="84" t="n"/>
      <c r="G273" s="50" t="n"/>
      <c r="H273" s="84" t="n"/>
      <c r="I273" s="84" t="n"/>
      <c r="J273" s="84" t="n"/>
      <c r="K273" s="84" t="n"/>
      <c r="L273" s="84" t="n"/>
      <c r="M273" s="84" t="n"/>
      <c r="N273" s="50" t="n"/>
      <c r="O273" s="84" t="n"/>
      <c r="P273" s="84">
        <f>IF(AND($A273="",$B273=""),"",N(D273)-N(E273)+N(J273)-N(K273))</f>
        <v/>
      </c>
      <c r="Q273" s="84">
        <f>IF(AND($A273="",$B273=""),"",IF(COUNT(L273:M273,O273)=0,"",P273-(N(L273)-N(M273))))</f>
        <v/>
      </c>
      <c r="R273" s="54">
        <f>IF(AND($A273="",$B273=""),"",IF(COUNT(L273:M273,O273)=0,"kein Mandanten-Saldo",IF(OR(AND(L273="",M273="")),"",IF(ABS(ROUND(((ROUND(N(D273)*100,0)+ROUND(N(J273)*100,0)+ROUND(N(M273)*100,0))-(ROUND(N(E273)*100,0)+ROUND(N(K273)*100,0)+ROUND(N(L273)*100,0))),0)-(0))&lt;=0,"OK","ABWEICHUNG"))))</f>
        <v/>
      </c>
      <c r="S273" s="84" t="n"/>
      <c r="T273" s="50" t="n"/>
      <c r="U273" s="50" t="n"/>
      <c r="V273" s="50" t="n"/>
      <c r="W273" s="50" t="n"/>
      <c r="X273" s="50" t="n"/>
      <c r="Y273" s="50" t="n"/>
      <c r="Z273" s="50" t="n"/>
    </row>
    <row r="274">
      <c r="A274" s="50" t="n"/>
      <c r="B274" s="50" t="n"/>
      <c r="C274" s="50" t="n"/>
      <c r="D274" s="84" t="n"/>
      <c r="E274" s="84" t="n"/>
      <c r="F274" s="84" t="n"/>
      <c r="G274" s="50" t="n"/>
      <c r="H274" s="84" t="n"/>
      <c r="I274" s="84" t="n"/>
      <c r="J274" s="84" t="n"/>
      <c r="K274" s="84" t="n"/>
      <c r="L274" s="84" t="n"/>
      <c r="M274" s="84" t="n"/>
      <c r="N274" s="50" t="n"/>
      <c r="O274" s="84" t="n"/>
      <c r="P274" s="84">
        <f>IF(AND($A274="",$B274=""),"",N(D274)-N(E274)+N(J274)-N(K274))</f>
        <v/>
      </c>
      <c r="Q274" s="84">
        <f>IF(AND($A274="",$B274=""),"",IF(COUNT(L274:M274,O274)=0,"",P274-(N(L274)-N(M274))))</f>
        <v/>
      </c>
      <c r="R274" s="54">
        <f>IF(AND($A274="",$B274=""),"",IF(COUNT(L274:M274,O274)=0,"kein Mandanten-Saldo",IF(OR(AND(L274="",M274="")),"",IF(ABS(ROUND(((ROUND(N(D274)*100,0)+ROUND(N(J274)*100,0)+ROUND(N(M274)*100,0))-(ROUND(N(E274)*100,0)+ROUND(N(K274)*100,0)+ROUND(N(L274)*100,0))),0)-(0))&lt;=0,"OK","ABWEICHUNG"))))</f>
        <v/>
      </c>
      <c r="S274" s="84" t="n"/>
      <c r="T274" s="50" t="n"/>
      <c r="U274" s="50" t="n"/>
      <c r="V274" s="50" t="n"/>
      <c r="W274" s="50" t="n"/>
      <c r="X274" s="50" t="n"/>
      <c r="Y274" s="50" t="n"/>
      <c r="Z274" s="50" t="n"/>
    </row>
    <row r="275">
      <c r="A275" s="50" t="n"/>
      <c r="B275" s="50" t="n"/>
      <c r="C275" s="50" t="n"/>
      <c r="D275" s="84" t="n"/>
      <c r="E275" s="84" t="n"/>
      <c r="F275" s="84" t="n"/>
      <c r="G275" s="50" t="n"/>
      <c r="H275" s="84" t="n"/>
      <c r="I275" s="84" t="n"/>
      <c r="J275" s="84" t="n"/>
      <c r="K275" s="84" t="n"/>
      <c r="L275" s="84" t="n"/>
      <c r="M275" s="84" t="n"/>
      <c r="N275" s="50" t="n"/>
      <c r="O275" s="84" t="n"/>
      <c r="P275" s="84">
        <f>IF(AND($A275="",$B275=""),"",N(D275)-N(E275)+N(J275)-N(K275))</f>
        <v/>
      </c>
      <c r="Q275" s="84">
        <f>IF(AND($A275="",$B275=""),"",IF(COUNT(L275:M275,O275)=0,"",P275-(N(L275)-N(M275))))</f>
        <v/>
      </c>
      <c r="R275" s="54">
        <f>IF(AND($A275="",$B275=""),"",IF(COUNT(L275:M275,O275)=0,"kein Mandanten-Saldo",IF(OR(AND(L275="",M275="")),"",IF(ABS(ROUND(((ROUND(N(D275)*100,0)+ROUND(N(J275)*100,0)+ROUND(N(M275)*100,0))-(ROUND(N(E275)*100,0)+ROUND(N(K275)*100,0)+ROUND(N(L275)*100,0))),0)-(0))&lt;=0,"OK","ABWEICHUNG"))))</f>
        <v/>
      </c>
      <c r="S275" s="84" t="n"/>
      <c r="T275" s="50" t="n"/>
      <c r="U275" s="50" t="n"/>
      <c r="V275" s="50" t="n"/>
      <c r="W275" s="50" t="n"/>
      <c r="X275" s="50" t="n"/>
      <c r="Y275" s="50" t="n"/>
      <c r="Z275" s="50" t="n"/>
    </row>
    <row r="276">
      <c r="A276" s="50" t="n"/>
      <c r="B276" s="50" t="n"/>
      <c r="C276" s="50" t="n"/>
      <c r="D276" s="84" t="n"/>
      <c r="E276" s="84" t="n"/>
      <c r="F276" s="84" t="n"/>
      <c r="G276" s="50" t="n"/>
      <c r="H276" s="84" t="n"/>
      <c r="I276" s="84" t="n"/>
      <c r="J276" s="84" t="n"/>
      <c r="K276" s="84" t="n"/>
      <c r="L276" s="84" t="n"/>
      <c r="M276" s="84" t="n"/>
      <c r="N276" s="50" t="n"/>
      <c r="O276" s="84" t="n"/>
      <c r="P276" s="84">
        <f>IF(AND($A276="",$B276=""),"",N(D276)-N(E276)+N(J276)-N(K276))</f>
        <v/>
      </c>
      <c r="Q276" s="84">
        <f>IF(AND($A276="",$B276=""),"",IF(COUNT(L276:M276,O276)=0,"",P276-(N(L276)-N(M276))))</f>
        <v/>
      </c>
      <c r="R276" s="54">
        <f>IF(AND($A276="",$B276=""),"",IF(COUNT(L276:M276,O276)=0,"kein Mandanten-Saldo",IF(OR(AND(L276="",M276="")),"",IF(ABS(ROUND(((ROUND(N(D276)*100,0)+ROUND(N(J276)*100,0)+ROUND(N(M276)*100,0))-(ROUND(N(E276)*100,0)+ROUND(N(K276)*100,0)+ROUND(N(L276)*100,0))),0)-(0))&lt;=0,"OK","ABWEICHUNG"))))</f>
        <v/>
      </c>
      <c r="S276" s="84" t="n"/>
      <c r="T276" s="50" t="n"/>
      <c r="U276" s="50" t="n"/>
      <c r="V276" s="50" t="n"/>
      <c r="W276" s="50" t="n"/>
      <c r="X276" s="50" t="n"/>
      <c r="Y276" s="50" t="n"/>
      <c r="Z276" s="50" t="n"/>
    </row>
    <row r="277">
      <c r="A277" s="50" t="n"/>
      <c r="B277" s="50" t="n"/>
      <c r="C277" s="50" t="n"/>
      <c r="D277" s="84" t="n"/>
      <c r="E277" s="84" t="n"/>
      <c r="F277" s="84" t="n"/>
      <c r="G277" s="50" t="n"/>
      <c r="H277" s="84" t="n"/>
      <c r="I277" s="84" t="n"/>
      <c r="J277" s="84" t="n"/>
      <c r="K277" s="84" t="n"/>
      <c r="L277" s="84" t="n"/>
      <c r="M277" s="84" t="n"/>
      <c r="N277" s="50" t="n"/>
      <c r="O277" s="84" t="n"/>
      <c r="P277" s="84">
        <f>IF(AND($A277="",$B277=""),"",N(D277)-N(E277)+N(J277)-N(K277))</f>
        <v/>
      </c>
      <c r="Q277" s="84">
        <f>IF(AND($A277="",$B277=""),"",IF(COUNT(L277:M277,O277)=0,"",P277-(N(L277)-N(M277))))</f>
        <v/>
      </c>
      <c r="R277" s="54">
        <f>IF(AND($A277="",$B277=""),"",IF(COUNT(L277:M277,O277)=0,"kein Mandanten-Saldo",IF(OR(AND(L277="",M277="")),"",IF(ABS(ROUND(((ROUND(N(D277)*100,0)+ROUND(N(J277)*100,0)+ROUND(N(M277)*100,0))-(ROUND(N(E277)*100,0)+ROUND(N(K277)*100,0)+ROUND(N(L277)*100,0))),0)-(0))&lt;=0,"OK","ABWEICHUNG"))))</f>
        <v/>
      </c>
      <c r="S277" s="84" t="n"/>
      <c r="T277" s="50" t="n"/>
      <c r="U277" s="50" t="n"/>
      <c r="V277" s="50" t="n"/>
      <c r="W277" s="50" t="n"/>
      <c r="X277" s="50" t="n"/>
      <c r="Y277" s="50" t="n"/>
      <c r="Z277" s="50" t="n"/>
    </row>
    <row r="278">
      <c r="A278" s="50" t="n"/>
      <c r="B278" s="50" t="n"/>
      <c r="C278" s="50" t="n"/>
      <c r="D278" s="84" t="n"/>
      <c r="E278" s="84" t="n"/>
      <c r="F278" s="84" t="n"/>
      <c r="G278" s="50" t="n"/>
      <c r="H278" s="84" t="n"/>
      <c r="I278" s="84" t="n"/>
      <c r="J278" s="84" t="n"/>
      <c r="K278" s="84" t="n"/>
      <c r="L278" s="84" t="n"/>
      <c r="M278" s="84" t="n"/>
      <c r="N278" s="50" t="n"/>
      <c r="O278" s="84" t="n"/>
      <c r="P278" s="84">
        <f>IF(AND($A278="",$B278=""),"",N(D278)-N(E278)+N(J278)-N(K278))</f>
        <v/>
      </c>
      <c r="Q278" s="84">
        <f>IF(AND($A278="",$B278=""),"",IF(COUNT(L278:M278,O278)=0,"",P278-(N(L278)-N(M278))))</f>
        <v/>
      </c>
      <c r="R278" s="54">
        <f>IF(AND($A278="",$B278=""),"",IF(COUNT(L278:M278,O278)=0,"kein Mandanten-Saldo",IF(OR(AND(L278="",M278="")),"",IF(ABS(ROUND(((ROUND(N(D278)*100,0)+ROUND(N(J278)*100,0)+ROUND(N(M278)*100,0))-(ROUND(N(E278)*100,0)+ROUND(N(K278)*100,0)+ROUND(N(L278)*100,0))),0)-(0))&lt;=0,"OK","ABWEICHUNG"))))</f>
        <v/>
      </c>
      <c r="S278" s="84" t="n"/>
      <c r="T278" s="50" t="n"/>
      <c r="U278" s="50" t="n"/>
      <c r="V278" s="50" t="n"/>
      <c r="W278" s="50" t="n"/>
      <c r="X278" s="50" t="n"/>
      <c r="Y278" s="50" t="n"/>
      <c r="Z278" s="50" t="n"/>
    </row>
    <row r="279">
      <c r="A279" s="50" t="n"/>
      <c r="B279" s="50" t="n"/>
      <c r="C279" s="50" t="n"/>
      <c r="D279" s="84" t="n"/>
      <c r="E279" s="84" t="n"/>
      <c r="F279" s="84" t="n"/>
      <c r="G279" s="50" t="n"/>
      <c r="H279" s="84" t="n"/>
      <c r="I279" s="84" t="n"/>
      <c r="J279" s="84" t="n"/>
      <c r="K279" s="84" t="n"/>
      <c r="L279" s="84" t="n"/>
      <c r="M279" s="84" t="n"/>
      <c r="N279" s="50" t="n"/>
      <c r="O279" s="84" t="n"/>
      <c r="P279" s="84">
        <f>IF(AND($A279="",$B279=""),"",N(D279)-N(E279)+N(J279)-N(K279))</f>
        <v/>
      </c>
      <c r="Q279" s="84">
        <f>IF(AND($A279="",$B279=""),"",IF(COUNT(L279:M279,O279)=0,"",P279-(N(L279)-N(M279))))</f>
        <v/>
      </c>
      <c r="R279" s="54">
        <f>IF(AND($A279="",$B279=""),"",IF(COUNT(L279:M279,O279)=0,"kein Mandanten-Saldo",IF(OR(AND(L279="",M279="")),"",IF(ABS(ROUND(((ROUND(N(D279)*100,0)+ROUND(N(J279)*100,0)+ROUND(N(M279)*100,0))-(ROUND(N(E279)*100,0)+ROUND(N(K279)*100,0)+ROUND(N(L279)*100,0))),0)-(0))&lt;=0,"OK","ABWEICHUNG"))))</f>
        <v/>
      </c>
      <c r="S279" s="84" t="n"/>
      <c r="T279" s="50" t="n"/>
      <c r="U279" s="50" t="n"/>
      <c r="V279" s="50" t="n"/>
      <c r="W279" s="50" t="n"/>
      <c r="X279" s="50" t="n"/>
      <c r="Y279" s="50" t="n"/>
      <c r="Z279" s="50" t="n"/>
    </row>
    <row r="280">
      <c r="A280" s="50" t="n"/>
      <c r="B280" s="50" t="n"/>
      <c r="C280" s="50" t="n"/>
      <c r="D280" s="84" t="n"/>
      <c r="E280" s="84" t="n"/>
      <c r="F280" s="84" t="n"/>
      <c r="G280" s="50" t="n"/>
      <c r="H280" s="84" t="n"/>
      <c r="I280" s="84" t="n"/>
      <c r="J280" s="84" t="n"/>
      <c r="K280" s="84" t="n"/>
      <c r="L280" s="84" t="n"/>
      <c r="M280" s="84" t="n"/>
      <c r="N280" s="50" t="n"/>
      <c r="O280" s="84" t="n"/>
      <c r="P280" s="84">
        <f>IF(AND($A280="",$B280=""),"",N(D280)-N(E280)+N(J280)-N(K280))</f>
        <v/>
      </c>
      <c r="Q280" s="84">
        <f>IF(AND($A280="",$B280=""),"",IF(COUNT(L280:M280,O280)=0,"",P280-(N(L280)-N(M280))))</f>
        <v/>
      </c>
      <c r="R280" s="54">
        <f>IF(AND($A280="",$B280=""),"",IF(COUNT(L280:M280,O280)=0,"kein Mandanten-Saldo",IF(OR(AND(L280="",M280="")),"",IF(ABS(ROUND(((ROUND(N(D280)*100,0)+ROUND(N(J280)*100,0)+ROUND(N(M280)*100,0))-(ROUND(N(E280)*100,0)+ROUND(N(K280)*100,0)+ROUND(N(L280)*100,0))),0)-(0))&lt;=0,"OK","ABWEICHUNG"))))</f>
        <v/>
      </c>
      <c r="S280" s="84" t="n"/>
      <c r="T280" s="50" t="n"/>
      <c r="U280" s="50" t="n"/>
      <c r="V280" s="50" t="n"/>
      <c r="W280" s="50" t="n"/>
      <c r="X280" s="50" t="n"/>
      <c r="Y280" s="50" t="n"/>
      <c r="Z280" s="50" t="n"/>
    </row>
    <row r="281">
      <c r="A281" s="50" t="n"/>
      <c r="B281" s="50" t="n"/>
      <c r="C281" s="50" t="n"/>
      <c r="D281" s="84" t="n"/>
      <c r="E281" s="84" t="n"/>
      <c r="F281" s="84" t="n"/>
      <c r="G281" s="50" t="n"/>
      <c r="H281" s="84" t="n"/>
      <c r="I281" s="84" t="n"/>
      <c r="J281" s="84" t="n"/>
      <c r="K281" s="84" t="n"/>
      <c r="L281" s="84" t="n"/>
      <c r="M281" s="84" t="n"/>
      <c r="N281" s="50" t="n"/>
      <c r="O281" s="84" t="n"/>
      <c r="P281" s="84">
        <f>IF(AND($A281="",$B281=""),"",N(D281)-N(E281)+N(J281)-N(K281))</f>
        <v/>
      </c>
      <c r="Q281" s="84">
        <f>IF(AND($A281="",$B281=""),"",IF(COUNT(L281:M281,O281)=0,"",P281-(N(L281)-N(M281))))</f>
        <v/>
      </c>
      <c r="R281" s="54">
        <f>IF(AND($A281="",$B281=""),"",IF(COUNT(L281:M281,O281)=0,"kein Mandanten-Saldo",IF(OR(AND(L281="",M281="")),"",IF(ABS(ROUND(((ROUND(N(D281)*100,0)+ROUND(N(J281)*100,0)+ROUND(N(M281)*100,0))-(ROUND(N(E281)*100,0)+ROUND(N(K281)*100,0)+ROUND(N(L281)*100,0))),0)-(0))&lt;=0,"OK","ABWEICHUNG"))))</f>
        <v/>
      </c>
      <c r="S281" s="84" t="n"/>
      <c r="T281" s="50" t="n"/>
      <c r="U281" s="50" t="n"/>
      <c r="V281" s="50" t="n"/>
      <c r="W281" s="50" t="n"/>
      <c r="X281" s="50" t="n"/>
      <c r="Y281" s="50" t="n"/>
      <c r="Z281" s="50" t="n"/>
    </row>
    <row r="282">
      <c r="A282" s="50" t="n"/>
      <c r="B282" s="50" t="n"/>
      <c r="C282" s="50" t="n"/>
      <c r="D282" s="84" t="n"/>
      <c r="E282" s="84" t="n"/>
      <c r="F282" s="84" t="n"/>
      <c r="G282" s="50" t="n"/>
      <c r="H282" s="84" t="n"/>
      <c r="I282" s="84" t="n"/>
      <c r="J282" s="84" t="n"/>
      <c r="K282" s="84" t="n"/>
      <c r="L282" s="84" t="n"/>
      <c r="M282" s="84" t="n"/>
      <c r="N282" s="50" t="n"/>
      <c r="O282" s="84" t="n"/>
      <c r="P282" s="84">
        <f>IF(AND($A282="",$B282=""),"",N(D282)-N(E282)+N(J282)-N(K282))</f>
        <v/>
      </c>
      <c r="Q282" s="84">
        <f>IF(AND($A282="",$B282=""),"",IF(COUNT(L282:M282,O282)=0,"",P282-(N(L282)-N(M282))))</f>
        <v/>
      </c>
      <c r="R282" s="54">
        <f>IF(AND($A282="",$B282=""),"",IF(COUNT(L282:M282,O282)=0,"kein Mandanten-Saldo",IF(OR(AND(L282="",M282="")),"",IF(ABS(ROUND(((ROUND(N(D282)*100,0)+ROUND(N(J282)*100,0)+ROUND(N(M282)*100,0))-(ROUND(N(E282)*100,0)+ROUND(N(K282)*100,0)+ROUND(N(L282)*100,0))),0)-(0))&lt;=0,"OK","ABWEICHUNG"))))</f>
        <v/>
      </c>
      <c r="S282" s="84" t="n"/>
      <c r="T282" s="50" t="n"/>
      <c r="U282" s="50" t="n"/>
      <c r="V282" s="50" t="n"/>
      <c r="W282" s="50" t="n"/>
      <c r="X282" s="50" t="n"/>
      <c r="Y282" s="50" t="n"/>
      <c r="Z282" s="50" t="n"/>
    </row>
    <row r="283">
      <c r="A283" s="50" t="n"/>
      <c r="B283" s="50" t="n"/>
      <c r="C283" s="50" t="n"/>
      <c r="D283" s="84" t="n"/>
      <c r="E283" s="84" t="n"/>
      <c r="F283" s="84" t="n"/>
      <c r="G283" s="50" t="n"/>
      <c r="H283" s="84" t="n"/>
      <c r="I283" s="84" t="n"/>
      <c r="J283" s="84" t="n"/>
      <c r="K283" s="84" t="n"/>
      <c r="L283" s="84" t="n"/>
      <c r="M283" s="84" t="n"/>
      <c r="N283" s="50" t="n"/>
      <c r="O283" s="84" t="n"/>
      <c r="P283" s="84">
        <f>IF(AND($A283="",$B283=""),"",N(D283)-N(E283)+N(J283)-N(K283))</f>
        <v/>
      </c>
      <c r="Q283" s="84">
        <f>IF(AND($A283="",$B283=""),"",IF(COUNT(L283:M283,O283)=0,"",P283-(N(L283)-N(M283))))</f>
        <v/>
      </c>
      <c r="R283" s="54">
        <f>IF(AND($A283="",$B283=""),"",IF(COUNT(L283:M283,O283)=0,"kein Mandanten-Saldo",IF(OR(AND(L283="",M283="")),"",IF(ABS(ROUND(((ROUND(N(D283)*100,0)+ROUND(N(J283)*100,0)+ROUND(N(M283)*100,0))-(ROUND(N(E283)*100,0)+ROUND(N(K283)*100,0)+ROUND(N(L283)*100,0))),0)-(0))&lt;=0,"OK","ABWEICHUNG"))))</f>
        <v/>
      </c>
      <c r="S283" s="84" t="n"/>
      <c r="T283" s="50" t="n"/>
      <c r="U283" s="50" t="n"/>
      <c r="V283" s="50" t="n"/>
      <c r="W283" s="50" t="n"/>
      <c r="X283" s="50" t="n"/>
      <c r="Y283" s="50" t="n"/>
      <c r="Z283" s="50" t="n"/>
    </row>
    <row r="284">
      <c r="A284" s="50" t="n"/>
      <c r="B284" s="50" t="n"/>
      <c r="C284" s="50" t="n"/>
      <c r="D284" s="84" t="n"/>
      <c r="E284" s="84" t="n"/>
      <c r="F284" s="84" t="n"/>
      <c r="G284" s="50" t="n"/>
      <c r="H284" s="84" t="n"/>
      <c r="I284" s="84" t="n"/>
      <c r="J284" s="84" t="n"/>
      <c r="K284" s="84" t="n"/>
      <c r="L284" s="84" t="n"/>
      <c r="M284" s="84" t="n"/>
      <c r="N284" s="50" t="n"/>
      <c r="O284" s="84" t="n"/>
      <c r="P284" s="84">
        <f>IF(AND($A284="",$B284=""),"",N(D284)-N(E284)+N(J284)-N(K284))</f>
        <v/>
      </c>
      <c r="Q284" s="84">
        <f>IF(AND($A284="",$B284=""),"",IF(COUNT(L284:M284,O284)=0,"",P284-(N(L284)-N(M284))))</f>
        <v/>
      </c>
      <c r="R284" s="54">
        <f>IF(AND($A284="",$B284=""),"",IF(COUNT(L284:M284,O284)=0,"kein Mandanten-Saldo",IF(OR(AND(L284="",M284="")),"",IF(ABS(ROUND(((ROUND(N(D284)*100,0)+ROUND(N(J284)*100,0)+ROUND(N(M284)*100,0))-(ROUND(N(E284)*100,0)+ROUND(N(K284)*100,0)+ROUND(N(L284)*100,0))),0)-(0))&lt;=0,"OK","ABWEICHUNG"))))</f>
        <v/>
      </c>
      <c r="S284" s="84" t="n"/>
      <c r="T284" s="50" t="n"/>
      <c r="U284" s="50" t="n"/>
      <c r="V284" s="50" t="n"/>
      <c r="W284" s="50" t="n"/>
      <c r="X284" s="50" t="n"/>
      <c r="Y284" s="50" t="n"/>
      <c r="Z284" s="50" t="n"/>
    </row>
    <row r="285">
      <c r="A285" s="50" t="n"/>
      <c r="B285" s="50" t="n"/>
      <c r="C285" s="50" t="n"/>
      <c r="D285" s="84" t="n"/>
      <c r="E285" s="84" t="n"/>
      <c r="F285" s="84" t="n"/>
      <c r="G285" s="50" t="n"/>
      <c r="H285" s="84" t="n"/>
      <c r="I285" s="84" t="n"/>
      <c r="J285" s="84" t="n"/>
      <c r="K285" s="84" t="n"/>
      <c r="L285" s="84" t="n"/>
      <c r="M285" s="84" t="n"/>
      <c r="N285" s="50" t="n"/>
      <c r="O285" s="84" t="n"/>
      <c r="P285" s="84">
        <f>IF(AND($A285="",$B285=""),"",N(D285)-N(E285)+N(J285)-N(K285))</f>
        <v/>
      </c>
      <c r="Q285" s="84">
        <f>IF(AND($A285="",$B285=""),"",IF(COUNT(L285:M285,O285)=0,"",P285-(N(L285)-N(M285))))</f>
        <v/>
      </c>
      <c r="R285" s="54">
        <f>IF(AND($A285="",$B285=""),"",IF(COUNT(L285:M285,O285)=0,"kein Mandanten-Saldo",IF(OR(AND(L285="",M285="")),"",IF(ABS(ROUND(((ROUND(N(D285)*100,0)+ROUND(N(J285)*100,0)+ROUND(N(M285)*100,0))-(ROUND(N(E285)*100,0)+ROUND(N(K285)*100,0)+ROUND(N(L285)*100,0))),0)-(0))&lt;=0,"OK","ABWEICHUNG"))))</f>
        <v/>
      </c>
      <c r="S285" s="84" t="n"/>
      <c r="T285" s="50" t="n"/>
      <c r="U285" s="50" t="n"/>
      <c r="V285" s="50" t="n"/>
      <c r="W285" s="50" t="n"/>
      <c r="X285" s="50" t="n"/>
      <c r="Y285" s="50" t="n"/>
      <c r="Z285" s="50" t="n"/>
    </row>
    <row r="286">
      <c r="A286" s="50" t="n"/>
      <c r="B286" s="50" t="n"/>
      <c r="C286" s="50" t="n"/>
      <c r="D286" s="84" t="n"/>
      <c r="E286" s="84" t="n"/>
      <c r="F286" s="84" t="n"/>
      <c r="G286" s="50" t="n"/>
      <c r="H286" s="84" t="n"/>
      <c r="I286" s="84" t="n"/>
      <c r="J286" s="84" t="n"/>
      <c r="K286" s="84" t="n"/>
      <c r="L286" s="84" t="n"/>
      <c r="M286" s="84" t="n"/>
      <c r="N286" s="50" t="n"/>
      <c r="O286" s="84" t="n"/>
      <c r="P286" s="84">
        <f>IF(AND($A286="",$B286=""),"",N(D286)-N(E286)+N(J286)-N(K286))</f>
        <v/>
      </c>
      <c r="Q286" s="84">
        <f>IF(AND($A286="",$B286=""),"",IF(COUNT(L286:M286,O286)=0,"",P286-(N(L286)-N(M286))))</f>
        <v/>
      </c>
      <c r="R286" s="54">
        <f>IF(AND($A286="",$B286=""),"",IF(COUNT(L286:M286,O286)=0,"kein Mandanten-Saldo",IF(OR(AND(L286="",M286="")),"",IF(ABS(ROUND(((ROUND(N(D286)*100,0)+ROUND(N(J286)*100,0)+ROUND(N(M286)*100,0))-(ROUND(N(E286)*100,0)+ROUND(N(K286)*100,0)+ROUND(N(L286)*100,0))),0)-(0))&lt;=0,"OK","ABWEICHUNG"))))</f>
        <v/>
      </c>
      <c r="S286" s="84" t="n"/>
      <c r="T286" s="50" t="n"/>
      <c r="U286" s="50" t="n"/>
      <c r="V286" s="50" t="n"/>
      <c r="W286" s="50" t="n"/>
      <c r="X286" s="50" t="n"/>
      <c r="Y286" s="50" t="n"/>
      <c r="Z286" s="50" t="n"/>
    </row>
    <row r="287">
      <c r="A287" s="50" t="n"/>
      <c r="B287" s="50" t="n"/>
      <c r="C287" s="50" t="n"/>
      <c r="D287" s="84" t="n"/>
      <c r="E287" s="84" t="n"/>
      <c r="F287" s="84" t="n"/>
      <c r="G287" s="50" t="n"/>
      <c r="H287" s="84" t="n"/>
      <c r="I287" s="84" t="n"/>
      <c r="J287" s="84" t="n"/>
      <c r="K287" s="84" t="n"/>
      <c r="L287" s="84" t="n"/>
      <c r="M287" s="84" t="n"/>
      <c r="N287" s="50" t="n"/>
      <c r="O287" s="84" t="n"/>
      <c r="P287" s="84">
        <f>IF(AND($A287="",$B287=""),"",N(D287)-N(E287)+N(J287)-N(K287))</f>
        <v/>
      </c>
      <c r="Q287" s="84">
        <f>IF(AND($A287="",$B287=""),"",IF(COUNT(L287:M287,O287)=0,"",P287-(N(L287)-N(M287))))</f>
        <v/>
      </c>
      <c r="R287" s="54">
        <f>IF(AND($A287="",$B287=""),"",IF(COUNT(L287:M287,O287)=0,"kein Mandanten-Saldo",IF(OR(AND(L287="",M287="")),"",IF(ABS(ROUND(((ROUND(N(D287)*100,0)+ROUND(N(J287)*100,0)+ROUND(N(M287)*100,0))-(ROUND(N(E287)*100,0)+ROUND(N(K287)*100,0)+ROUND(N(L287)*100,0))),0)-(0))&lt;=0,"OK","ABWEICHUNG"))))</f>
        <v/>
      </c>
      <c r="S287" s="84" t="n"/>
      <c r="T287" s="50" t="n"/>
      <c r="U287" s="50" t="n"/>
      <c r="V287" s="50" t="n"/>
      <c r="W287" s="50" t="n"/>
      <c r="X287" s="50" t="n"/>
      <c r="Y287" s="50" t="n"/>
      <c r="Z287" s="50" t="n"/>
    </row>
    <row r="288">
      <c r="A288" s="50" t="n"/>
      <c r="B288" s="50" t="n"/>
      <c r="C288" s="50" t="n"/>
      <c r="D288" s="84" t="n"/>
      <c r="E288" s="84" t="n"/>
      <c r="F288" s="84" t="n"/>
      <c r="G288" s="50" t="n"/>
      <c r="H288" s="84" t="n"/>
      <c r="I288" s="84" t="n"/>
      <c r="J288" s="84" t="n"/>
      <c r="K288" s="84" t="n"/>
      <c r="L288" s="84" t="n"/>
      <c r="M288" s="84" t="n"/>
      <c r="N288" s="50" t="n"/>
      <c r="O288" s="84" t="n"/>
      <c r="P288" s="84">
        <f>IF(AND($A288="",$B288=""),"",N(D288)-N(E288)+N(J288)-N(K288))</f>
        <v/>
      </c>
      <c r="Q288" s="84">
        <f>IF(AND($A288="",$B288=""),"",IF(COUNT(L288:M288,O288)=0,"",P288-(N(L288)-N(M288))))</f>
        <v/>
      </c>
      <c r="R288" s="54">
        <f>IF(AND($A288="",$B288=""),"",IF(COUNT(L288:M288,O288)=0,"kein Mandanten-Saldo",IF(OR(AND(L288="",M288="")),"",IF(ABS(ROUND(((ROUND(N(D288)*100,0)+ROUND(N(J288)*100,0)+ROUND(N(M288)*100,0))-(ROUND(N(E288)*100,0)+ROUND(N(K288)*100,0)+ROUND(N(L288)*100,0))),0)-(0))&lt;=0,"OK","ABWEICHUNG"))))</f>
        <v/>
      </c>
      <c r="S288" s="84" t="n"/>
      <c r="T288" s="50" t="n"/>
      <c r="U288" s="50" t="n"/>
      <c r="V288" s="50" t="n"/>
      <c r="W288" s="50" t="n"/>
      <c r="X288" s="50" t="n"/>
      <c r="Y288" s="50" t="n"/>
      <c r="Z288" s="50" t="n"/>
    </row>
    <row r="289">
      <c r="A289" s="50" t="n"/>
      <c r="B289" s="50" t="n"/>
      <c r="C289" s="50" t="n"/>
      <c r="D289" s="84" t="n"/>
      <c r="E289" s="84" t="n"/>
      <c r="F289" s="84" t="n"/>
      <c r="G289" s="50" t="n"/>
      <c r="H289" s="84" t="n"/>
      <c r="I289" s="84" t="n"/>
      <c r="J289" s="84" t="n"/>
      <c r="K289" s="84" t="n"/>
      <c r="L289" s="84" t="n"/>
      <c r="M289" s="84" t="n"/>
      <c r="N289" s="50" t="n"/>
      <c r="O289" s="84" t="n"/>
      <c r="P289" s="84">
        <f>IF(AND($A289="",$B289=""),"",N(D289)-N(E289)+N(J289)-N(K289))</f>
        <v/>
      </c>
      <c r="Q289" s="84">
        <f>IF(AND($A289="",$B289=""),"",IF(COUNT(L289:M289,O289)=0,"",P289-(N(L289)-N(M289))))</f>
        <v/>
      </c>
      <c r="R289" s="54">
        <f>IF(AND($A289="",$B289=""),"",IF(COUNT(L289:M289,O289)=0,"kein Mandanten-Saldo",IF(OR(AND(L289="",M289="")),"",IF(ABS(ROUND(((ROUND(N(D289)*100,0)+ROUND(N(J289)*100,0)+ROUND(N(M289)*100,0))-(ROUND(N(E289)*100,0)+ROUND(N(K289)*100,0)+ROUND(N(L289)*100,0))),0)-(0))&lt;=0,"OK","ABWEICHUNG"))))</f>
        <v/>
      </c>
      <c r="S289" s="84" t="n"/>
      <c r="T289" s="50" t="n"/>
      <c r="U289" s="50" t="n"/>
      <c r="V289" s="50" t="n"/>
      <c r="W289" s="50" t="n"/>
      <c r="X289" s="50" t="n"/>
      <c r="Y289" s="50" t="n"/>
      <c r="Z289" s="50" t="n"/>
    </row>
    <row r="290">
      <c r="A290" s="50" t="n"/>
      <c r="B290" s="50" t="n"/>
      <c r="C290" s="50" t="n"/>
      <c r="D290" s="84" t="n"/>
      <c r="E290" s="84" t="n"/>
      <c r="F290" s="84" t="n"/>
      <c r="G290" s="50" t="n"/>
      <c r="H290" s="84" t="n"/>
      <c r="I290" s="84" t="n"/>
      <c r="J290" s="84" t="n"/>
      <c r="K290" s="84" t="n"/>
      <c r="L290" s="84" t="n"/>
      <c r="M290" s="84" t="n"/>
      <c r="N290" s="50" t="n"/>
      <c r="O290" s="84" t="n"/>
      <c r="P290" s="84">
        <f>IF(AND($A290="",$B290=""),"",N(D290)-N(E290)+N(J290)-N(K290))</f>
        <v/>
      </c>
      <c r="Q290" s="84">
        <f>IF(AND($A290="",$B290=""),"",IF(COUNT(L290:M290,O290)=0,"",P290-(N(L290)-N(M290))))</f>
        <v/>
      </c>
      <c r="R290" s="54">
        <f>IF(AND($A290="",$B290=""),"",IF(COUNT(L290:M290,O290)=0,"kein Mandanten-Saldo",IF(OR(AND(L290="",M290="")),"",IF(ABS(ROUND(((ROUND(N(D290)*100,0)+ROUND(N(J290)*100,0)+ROUND(N(M290)*100,0))-(ROUND(N(E290)*100,0)+ROUND(N(K290)*100,0)+ROUND(N(L290)*100,0))),0)-(0))&lt;=0,"OK","ABWEICHUNG"))))</f>
        <v/>
      </c>
      <c r="S290" s="84" t="n"/>
      <c r="T290" s="50" t="n"/>
      <c r="U290" s="50" t="n"/>
      <c r="V290" s="50" t="n"/>
      <c r="W290" s="50" t="n"/>
      <c r="X290" s="50" t="n"/>
      <c r="Y290" s="50" t="n"/>
      <c r="Z290" s="50" t="n"/>
    </row>
    <row r="291">
      <c r="A291" s="50" t="n"/>
      <c r="B291" s="50" t="n"/>
      <c r="C291" s="50" t="n"/>
      <c r="D291" s="84" t="n"/>
      <c r="E291" s="84" t="n"/>
      <c r="F291" s="84" t="n"/>
      <c r="G291" s="50" t="n"/>
      <c r="H291" s="84" t="n"/>
      <c r="I291" s="84" t="n"/>
      <c r="J291" s="84" t="n"/>
      <c r="K291" s="84" t="n"/>
      <c r="L291" s="84" t="n"/>
      <c r="M291" s="84" t="n"/>
      <c r="N291" s="50" t="n"/>
      <c r="O291" s="84" t="n"/>
      <c r="P291" s="84">
        <f>IF(AND($A291="",$B291=""),"",N(D291)-N(E291)+N(J291)-N(K291))</f>
        <v/>
      </c>
      <c r="Q291" s="84">
        <f>IF(AND($A291="",$B291=""),"",IF(COUNT(L291:M291,O291)=0,"",P291-(N(L291)-N(M291))))</f>
        <v/>
      </c>
      <c r="R291" s="54">
        <f>IF(AND($A291="",$B291=""),"",IF(COUNT(L291:M291,O291)=0,"kein Mandanten-Saldo",IF(OR(AND(L291="",M291="")),"",IF(ABS(ROUND(((ROUND(N(D291)*100,0)+ROUND(N(J291)*100,0)+ROUND(N(M291)*100,0))-(ROUND(N(E291)*100,0)+ROUND(N(K291)*100,0)+ROUND(N(L291)*100,0))),0)-(0))&lt;=0,"OK","ABWEICHUNG"))))</f>
        <v/>
      </c>
      <c r="S291" s="84" t="n"/>
      <c r="T291" s="50" t="n"/>
      <c r="U291" s="50" t="n"/>
      <c r="V291" s="50" t="n"/>
      <c r="W291" s="50" t="n"/>
      <c r="X291" s="50" t="n"/>
      <c r="Y291" s="50" t="n"/>
      <c r="Z291" s="50" t="n"/>
    </row>
    <row r="292">
      <c r="A292" s="50" t="n"/>
      <c r="B292" s="50" t="n"/>
      <c r="C292" s="50" t="n"/>
      <c r="D292" s="84" t="n"/>
      <c r="E292" s="84" t="n"/>
      <c r="F292" s="84" t="n"/>
      <c r="G292" s="50" t="n"/>
      <c r="H292" s="84" t="n"/>
      <c r="I292" s="84" t="n"/>
      <c r="J292" s="84" t="n"/>
      <c r="K292" s="84" t="n"/>
      <c r="L292" s="84" t="n"/>
      <c r="M292" s="84" t="n"/>
      <c r="N292" s="50" t="n"/>
      <c r="O292" s="84" t="n"/>
      <c r="P292" s="84">
        <f>IF(AND($A292="",$B292=""),"",N(D292)-N(E292)+N(J292)-N(K292))</f>
        <v/>
      </c>
      <c r="Q292" s="84">
        <f>IF(AND($A292="",$B292=""),"",IF(COUNT(L292:M292,O292)=0,"",P292-(N(L292)-N(M292))))</f>
        <v/>
      </c>
      <c r="R292" s="54">
        <f>IF(AND($A292="",$B292=""),"",IF(COUNT(L292:M292,O292)=0,"kein Mandanten-Saldo",IF(OR(AND(L292="",M292="")),"",IF(ABS(ROUND(((ROUND(N(D292)*100,0)+ROUND(N(J292)*100,0)+ROUND(N(M292)*100,0))-(ROUND(N(E292)*100,0)+ROUND(N(K292)*100,0)+ROUND(N(L292)*100,0))),0)-(0))&lt;=0,"OK","ABWEICHUNG"))))</f>
        <v/>
      </c>
      <c r="S292" s="84" t="n"/>
      <c r="T292" s="50" t="n"/>
      <c r="U292" s="50" t="n"/>
      <c r="V292" s="50" t="n"/>
      <c r="W292" s="50" t="n"/>
      <c r="X292" s="50" t="n"/>
      <c r="Y292" s="50" t="n"/>
      <c r="Z292" s="50" t="n"/>
    </row>
    <row r="293">
      <c r="A293" s="50" t="n"/>
      <c r="B293" s="50" t="n"/>
      <c r="C293" s="50" t="n"/>
      <c r="D293" s="84" t="n"/>
      <c r="E293" s="84" t="n"/>
      <c r="F293" s="84" t="n"/>
      <c r="G293" s="50" t="n"/>
      <c r="H293" s="84" t="n"/>
      <c r="I293" s="84" t="n"/>
      <c r="J293" s="84" t="n"/>
      <c r="K293" s="84" t="n"/>
      <c r="L293" s="84" t="n"/>
      <c r="M293" s="84" t="n"/>
      <c r="N293" s="50" t="n"/>
      <c r="O293" s="84" t="n"/>
      <c r="P293" s="84">
        <f>IF(AND($A293="",$B293=""),"",N(D293)-N(E293)+N(J293)-N(K293))</f>
        <v/>
      </c>
      <c r="Q293" s="84">
        <f>IF(AND($A293="",$B293=""),"",IF(COUNT(L293:M293,O293)=0,"",P293-(N(L293)-N(M293))))</f>
        <v/>
      </c>
      <c r="R293" s="54">
        <f>IF(AND($A293="",$B293=""),"",IF(COUNT(L293:M293,O293)=0,"kein Mandanten-Saldo",IF(OR(AND(L293="",M293="")),"",IF(ABS(ROUND(((ROUND(N(D293)*100,0)+ROUND(N(J293)*100,0)+ROUND(N(M293)*100,0))-(ROUND(N(E293)*100,0)+ROUND(N(K293)*100,0)+ROUND(N(L293)*100,0))),0)-(0))&lt;=0,"OK","ABWEICHUNG"))))</f>
        <v/>
      </c>
      <c r="S293" s="84" t="n"/>
      <c r="T293" s="50" t="n"/>
      <c r="U293" s="50" t="n"/>
      <c r="V293" s="50" t="n"/>
      <c r="W293" s="50" t="n"/>
      <c r="X293" s="50" t="n"/>
      <c r="Y293" s="50" t="n"/>
      <c r="Z293" s="50" t="n"/>
    </row>
    <row r="294">
      <c r="A294" s="50" t="n"/>
      <c r="B294" s="50" t="n"/>
      <c r="C294" s="50" t="n"/>
      <c r="D294" s="84" t="n"/>
      <c r="E294" s="84" t="n"/>
      <c r="F294" s="84" t="n"/>
      <c r="G294" s="50" t="n"/>
      <c r="H294" s="84" t="n"/>
      <c r="I294" s="84" t="n"/>
      <c r="J294" s="84" t="n"/>
      <c r="K294" s="84" t="n"/>
      <c r="L294" s="84" t="n"/>
      <c r="M294" s="84" t="n"/>
      <c r="N294" s="50" t="n"/>
      <c r="O294" s="84" t="n"/>
      <c r="P294" s="84">
        <f>IF(AND($A294="",$B294=""),"",N(D294)-N(E294)+N(J294)-N(K294))</f>
        <v/>
      </c>
      <c r="Q294" s="84">
        <f>IF(AND($A294="",$B294=""),"",IF(COUNT(L294:M294,O294)=0,"",P294-(N(L294)-N(M294))))</f>
        <v/>
      </c>
      <c r="R294" s="54">
        <f>IF(AND($A294="",$B294=""),"",IF(COUNT(L294:M294,O294)=0,"kein Mandanten-Saldo",IF(OR(AND(L294="",M294="")),"",IF(ABS(ROUND(((ROUND(N(D294)*100,0)+ROUND(N(J294)*100,0)+ROUND(N(M294)*100,0))-(ROUND(N(E294)*100,0)+ROUND(N(K294)*100,0)+ROUND(N(L294)*100,0))),0)-(0))&lt;=0,"OK","ABWEICHUNG"))))</f>
        <v/>
      </c>
      <c r="S294" s="84" t="n"/>
      <c r="T294" s="50" t="n"/>
      <c r="U294" s="50" t="n"/>
      <c r="V294" s="50" t="n"/>
      <c r="W294" s="50" t="n"/>
      <c r="X294" s="50" t="n"/>
      <c r="Y294" s="50" t="n"/>
      <c r="Z294" s="50" t="n"/>
    </row>
    <row r="295">
      <c r="A295" s="50" t="n"/>
      <c r="B295" s="50" t="n"/>
      <c r="C295" s="50" t="n"/>
      <c r="D295" s="84" t="n"/>
      <c r="E295" s="84" t="n"/>
      <c r="F295" s="84" t="n"/>
      <c r="G295" s="50" t="n"/>
      <c r="H295" s="84" t="n"/>
      <c r="I295" s="84" t="n"/>
      <c r="J295" s="84" t="n"/>
      <c r="K295" s="84" t="n"/>
      <c r="L295" s="84" t="n"/>
      <c r="M295" s="84" t="n"/>
      <c r="N295" s="50" t="n"/>
      <c r="O295" s="84" t="n"/>
      <c r="P295" s="84">
        <f>IF(AND($A295="",$B295=""),"",N(D295)-N(E295)+N(J295)-N(K295))</f>
        <v/>
      </c>
      <c r="Q295" s="84">
        <f>IF(AND($A295="",$B295=""),"",IF(COUNT(L295:M295,O295)=0,"",P295-(N(L295)-N(M295))))</f>
        <v/>
      </c>
      <c r="R295" s="54">
        <f>IF(AND($A295="",$B295=""),"",IF(COUNT(L295:M295,O295)=0,"kein Mandanten-Saldo",IF(OR(AND(L295="",M295="")),"",IF(ABS(ROUND(((ROUND(N(D295)*100,0)+ROUND(N(J295)*100,0)+ROUND(N(M295)*100,0))-(ROUND(N(E295)*100,0)+ROUND(N(K295)*100,0)+ROUND(N(L295)*100,0))),0)-(0))&lt;=0,"OK","ABWEICHUNG"))))</f>
        <v/>
      </c>
      <c r="S295" s="84" t="n"/>
      <c r="T295" s="50" t="n"/>
      <c r="U295" s="50" t="n"/>
      <c r="V295" s="50" t="n"/>
      <c r="W295" s="50" t="n"/>
      <c r="X295" s="50" t="n"/>
      <c r="Y295" s="50" t="n"/>
      <c r="Z295" s="50" t="n"/>
    </row>
    <row r="296">
      <c r="A296" s="50" t="n"/>
      <c r="B296" s="50" t="n"/>
      <c r="C296" s="50" t="n"/>
      <c r="D296" s="84" t="n"/>
      <c r="E296" s="84" t="n"/>
      <c r="F296" s="84" t="n"/>
      <c r="G296" s="50" t="n"/>
      <c r="H296" s="84" t="n"/>
      <c r="I296" s="84" t="n"/>
      <c r="J296" s="84" t="n"/>
      <c r="K296" s="84" t="n"/>
      <c r="L296" s="84" t="n"/>
      <c r="M296" s="84" t="n"/>
      <c r="N296" s="50" t="n"/>
      <c r="O296" s="84" t="n"/>
      <c r="P296" s="84">
        <f>IF(AND($A296="",$B296=""),"",N(D296)-N(E296)+N(J296)-N(K296))</f>
        <v/>
      </c>
      <c r="Q296" s="84">
        <f>IF(AND($A296="",$B296=""),"",IF(COUNT(L296:M296,O296)=0,"",P296-(N(L296)-N(M296))))</f>
        <v/>
      </c>
      <c r="R296" s="54">
        <f>IF(AND($A296="",$B296=""),"",IF(COUNT(L296:M296,O296)=0,"kein Mandanten-Saldo",IF(OR(AND(L296="",M296="")),"",IF(ABS(ROUND(((ROUND(N(D296)*100,0)+ROUND(N(J296)*100,0)+ROUND(N(M296)*100,0))-(ROUND(N(E296)*100,0)+ROUND(N(K296)*100,0)+ROUND(N(L296)*100,0))),0)-(0))&lt;=0,"OK","ABWEICHUNG"))))</f>
        <v/>
      </c>
      <c r="S296" s="84" t="n"/>
      <c r="T296" s="50" t="n"/>
      <c r="U296" s="50" t="n"/>
      <c r="V296" s="50" t="n"/>
      <c r="W296" s="50" t="n"/>
      <c r="X296" s="50" t="n"/>
      <c r="Y296" s="50" t="n"/>
      <c r="Z296" s="50" t="n"/>
    </row>
    <row r="297">
      <c r="A297" s="50" t="n"/>
      <c r="B297" s="50" t="n"/>
      <c r="C297" s="50" t="n"/>
      <c r="D297" s="84" t="n"/>
      <c r="E297" s="84" t="n"/>
      <c r="F297" s="84" t="n"/>
      <c r="G297" s="50" t="n"/>
      <c r="H297" s="84" t="n"/>
      <c r="I297" s="84" t="n"/>
      <c r="J297" s="84" t="n"/>
      <c r="K297" s="84" t="n"/>
      <c r="L297" s="84" t="n"/>
      <c r="M297" s="84" t="n"/>
      <c r="N297" s="50" t="n"/>
      <c r="O297" s="84" t="n"/>
      <c r="P297" s="84">
        <f>IF(AND($A297="",$B297=""),"",N(D297)-N(E297)+N(J297)-N(K297))</f>
        <v/>
      </c>
      <c r="Q297" s="84">
        <f>IF(AND($A297="",$B297=""),"",IF(COUNT(L297:M297,O297)=0,"",P297-(N(L297)-N(M297))))</f>
        <v/>
      </c>
      <c r="R297" s="54">
        <f>IF(AND($A297="",$B297=""),"",IF(COUNT(L297:M297,O297)=0,"kein Mandanten-Saldo",IF(OR(AND(L297="",M297="")),"",IF(ABS(ROUND(((ROUND(N(D297)*100,0)+ROUND(N(J297)*100,0)+ROUND(N(M297)*100,0))-(ROUND(N(E297)*100,0)+ROUND(N(K297)*100,0)+ROUND(N(L297)*100,0))),0)-(0))&lt;=0,"OK","ABWEICHUNG"))))</f>
        <v/>
      </c>
      <c r="S297" s="84" t="n"/>
      <c r="T297" s="50" t="n"/>
      <c r="U297" s="50" t="n"/>
      <c r="V297" s="50" t="n"/>
      <c r="W297" s="50" t="n"/>
      <c r="X297" s="50" t="n"/>
      <c r="Y297" s="50" t="n"/>
      <c r="Z297" s="50" t="n"/>
    </row>
    <row r="298">
      <c r="A298" s="50" t="n"/>
      <c r="B298" s="50" t="n"/>
      <c r="C298" s="50" t="n"/>
      <c r="D298" s="84" t="n"/>
      <c r="E298" s="84" t="n"/>
      <c r="F298" s="84" t="n"/>
      <c r="G298" s="50" t="n"/>
      <c r="H298" s="84" t="n"/>
      <c r="I298" s="84" t="n"/>
      <c r="J298" s="84" t="n"/>
      <c r="K298" s="84" t="n"/>
      <c r="L298" s="84" t="n"/>
      <c r="M298" s="84" t="n"/>
      <c r="N298" s="50" t="n"/>
      <c r="O298" s="84" t="n"/>
      <c r="P298" s="84">
        <f>IF(AND($A298="",$B298=""),"",N(D298)-N(E298)+N(J298)-N(K298))</f>
        <v/>
      </c>
      <c r="Q298" s="84">
        <f>IF(AND($A298="",$B298=""),"",IF(COUNT(L298:M298,O298)=0,"",P298-(N(L298)-N(M298))))</f>
        <v/>
      </c>
      <c r="R298" s="54">
        <f>IF(AND($A298="",$B298=""),"",IF(COUNT(L298:M298,O298)=0,"kein Mandanten-Saldo",IF(OR(AND(L298="",M298="")),"",IF(ABS(ROUND(((ROUND(N(D298)*100,0)+ROUND(N(J298)*100,0)+ROUND(N(M298)*100,0))-(ROUND(N(E298)*100,0)+ROUND(N(K298)*100,0)+ROUND(N(L298)*100,0))),0)-(0))&lt;=0,"OK","ABWEICHUNG"))))</f>
        <v/>
      </c>
      <c r="S298" s="84" t="n"/>
      <c r="T298" s="50" t="n"/>
      <c r="U298" s="50" t="n"/>
      <c r="V298" s="50" t="n"/>
      <c r="W298" s="50" t="n"/>
      <c r="X298" s="50" t="n"/>
      <c r="Y298" s="50" t="n"/>
      <c r="Z298" s="50" t="n"/>
    </row>
    <row r="299">
      <c r="A299" s="50" t="n"/>
      <c r="B299" s="50" t="n"/>
      <c r="C299" s="50" t="n"/>
      <c r="D299" s="84" t="n"/>
      <c r="E299" s="84" t="n"/>
      <c r="F299" s="84" t="n"/>
      <c r="G299" s="50" t="n"/>
      <c r="H299" s="84" t="n"/>
      <c r="I299" s="84" t="n"/>
      <c r="J299" s="84" t="n"/>
      <c r="K299" s="84" t="n"/>
      <c r="L299" s="84" t="n"/>
      <c r="M299" s="84" t="n"/>
      <c r="N299" s="50" t="n"/>
      <c r="O299" s="84" t="n"/>
      <c r="P299" s="84">
        <f>IF(AND($A299="",$B299=""),"",N(D299)-N(E299)+N(J299)-N(K299))</f>
        <v/>
      </c>
      <c r="Q299" s="84">
        <f>IF(AND($A299="",$B299=""),"",IF(COUNT(L299:M299,O299)=0,"",P299-(N(L299)-N(M299))))</f>
        <v/>
      </c>
      <c r="R299" s="54">
        <f>IF(AND($A299="",$B299=""),"",IF(COUNT(L299:M299,O299)=0,"kein Mandanten-Saldo",IF(OR(AND(L299="",M299="")),"",IF(ABS(ROUND(((ROUND(N(D299)*100,0)+ROUND(N(J299)*100,0)+ROUND(N(M299)*100,0))-(ROUND(N(E299)*100,0)+ROUND(N(K299)*100,0)+ROUND(N(L299)*100,0))),0)-(0))&lt;=0,"OK","ABWEICHUNG"))))</f>
        <v/>
      </c>
      <c r="S299" s="84" t="n"/>
      <c r="T299" s="50" t="n"/>
      <c r="U299" s="50" t="n"/>
      <c r="V299" s="50" t="n"/>
      <c r="W299" s="50" t="n"/>
      <c r="X299" s="50" t="n"/>
      <c r="Y299" s="50" t="n"/>
      <c r="Z299" s="50" t="n"/>
    </row>
    <row r="300">
      <c r="A300" s="50" t="n"/>
      <c r="B300" s="50" t="n"/>
      <c r="C300" s="50" t="n"/>
      <c r="D300" s="84" t="n"/>
      <c r="E300" s="84" t="n"/>
      <c r="F300" s="84" t="n"/>
      <c r="G300" s="50" t="n"/>
      <c r="H300" s="84" t="n"/>
      <c r="I300" s="84" t="n"/>
      <c r="J300" s="84" t="n"/>
      <c r="K300" s="84" t="n"/>
      <c r="L300" s="84" t="n"/>
      <c r="M300" s="84" t="n"/>
      <c r="N300" s="50" t="n"/>
      <c r="O300" s="84" t="n"/>
      <c r="P300" s="84">
        <f>IF(AND($A300="",$B300=""),"",N(D300)-N(E300)+N(J300)-N(K300))</f>
        <v/>
      </c>
      <c r="Q300" s="84">
        <f>IF(AND($A300="",$B300=""),"",IF(COUNT(L300:M300,O300)=0,"",P300-(N(L300)-N(M300))))</f>
        <v/>
      </c>
      <c r="R300" s="54">
        <f>IF(AND($A300="",$B300=""),"",IF(COUNT(L300:M300,O300)=0,"kein Mandanten-Saldo",IF(OR(AND(L300="",M300="")),"",IF(ABS(ROUND(((ROUND(N(D300)*100,0)+ROUND(N(J300)*100,0)+ROUND(N(M300)*100,0))-(ROUND(N(E300)*100,0)+ROUND(N(K300)*100,0)+ROUND(N(L300)*100,0))),0)-(0))&lt;=0,"OK","ABWEICHUNG"))))</f>
        <v/>
      </c>
      <c r="S300" s="84" t="n"/>
      <c r="T300" s="50" t="n"/>
      <c r="U300" s="50" t="n"/>
      <c r="V300" s="50" t="n"/>
      <c r="W300" s="50" t="n"/>
      <c r="X300" s="50" t="n"/>
      <c r="Y300" s="50" t="n"/>
      <c r="Z300" s="50" t="n"/>
    </row>
    <row r="301">
      <c r="A301" s="50" t="n"/>
      <c r="B301" s="50" t="n"/>
      <c r="C301" s="50" t="n"/>
      <c r="D301" s="84" t="n"/>
      <c r="E301" s="84" t="n"/>
      <c r="F301" s="84" t="n"/>
      <c r="G301" s="50" t="n"/>
      <c r="H301" s="84" t="n"/>
      <c r="I301" s="84" t="n"/>
      <c r="J301" s="84" t="n"/>
      <c r="K301" s="84" t="n"/>
      <c r="L301" s="84" t="n"/>
      <c r="M301" s="84" t="n"/>
      <c r="N301" s="50" t="n"/>
      <c r="O301" s="84" t="n"/>
      <c r="P301" s="84">
        <f>IF(AND($A301="",$B301=""),"",N(D301)-N(E301)+N(J301)-N(K301))</f>
        <v/>
      </c>
      <c r="Q301" s="84">
        <f>IF(AND($A301="",$B301=""),"",IF(COUNT(L301:M301,O301)=0,"",P301-(N(L301)-N(M301))))</f>
        <v/>
      </c>
      <c r="R301" s="54">
        <f>IF(AND($A301="",$B301=""),"",IF(COUNT(L301:M301,O301)=0,"kein Mandanten-Saldo",IF(OR(AND(L301="",M301="")),"",IF(ABS(ROUND(((ROUND(N(D301)*100,0)+ROUND(N(J301)*100,0)+ROUND(N(M301)*100,0))-(ROUND(N(E301)*100,0)+ROUND(N(K301)*100,0)+ROUND(N(L301)*100,0))),0)-(0))&lt;=0,"OK","ABWEICHUNG"))))</f>
        <v/>
      </c>
      <c r="S301" s="84" t="n"/>
      <c r="T301" s="50" t="n"/>
      <c r="U301" s="50" t="n"/>
      <c r="V301" s="50" t="n"/>
      <c r="W301" s="50" t="n"/>
      <c r="X301" s="50" t="n"/>
      <c r="Y301" s="50" t="n"/>
      <c r="Z301" s="50" t="n"/>
    </row>
    <row r="302">
      <c r="A302" s="50" t="n"/>
      <c r="B302" s="50" t="n"/>
      <c r="C302" s="50" t="n"/>
      <c r="D302" s="84" t="n"/>
      <c r="E302" s="84" t="n"/>
      <c r="F302" s="84" t="n"/>
      <c r="G302" s="50" t="n"/>
      <c r="H302" s="84" t="n"/>
      <c r="I302" s="84" t="n"/>
      <c r="J302" s="84" t="n"/>
      <c r="K302" s="84" t="n"/>
      <c r="L302" s="84" t="n"/>
      <c r="M302" s="84" t="n"/>
      <c r="N302" s="50" t="n"/>
      <c r="O302" s="84" t="n"/>
      <c r="P302" s="84">
        <f>IF(AND($A302="",$B302=""),"",N(D302)-N(E302)+N(J302)-N(K302))</f>
        <v/>
      </c>
      <c r="Q302" s="84">
        <f>IF(AND($A302="",$B302=""),"",IF(COUNT(L302:M302,O302)=0,"",P302-(N(L302)-N(M302))))</f>
        <v/>
      </c>
      <c r="R302" s="54">
        <f>IF(AND($A302="",$B302=""),"",IF(COUNT(L302:M302,O302)=0,"kein Mandanten-Saldo",IF(OR(AND(L302="",M302="")),"",IF(ABS(ROUND(((ROUND(N(D302)*100,0)+ROUND(N(J302)*100,0)+ROUND(N(M302)*100,0))-(ROUND(N(E302)*100,0)+ROUND(N(K302)*100,0)+ROUND(N(L302)*100,0))),0)-(0))&lt;=0,"OK","ABWEICHUNG"))))</f>
        <v/>
      </c>
      <c r="S302" s="84" t="n"/>
      <c r="T302" s="50" t="n"/>
      <c r="U302" s="50" t="n"/>
      <c r="V302" s="50" t="n"/>
      <c r="W302" s="50" t="n"/>
      <c r="X302" s="50" t="n"/>
      <c r="Y302" s="50" t="n"/>
      <c r="Z302" s="50" t="n"/>
    </row>
    <row r="303">
      <c r="A303" s="50" t="n"/>
      <c r="B303" s="50" t="n"/>
      <c r="C303" s="50" t="n"/>
      <c r="D303" s="84" t="n"/>
      <c r="E303" s="84" t="n"/>
      <c r="F303" s="84" t="n"/>
      <c r="G303" s="50" t="n"/>
      <c r="H303" s="84" t="n"/>
      <c r="I303" s="84" t="n"/>
      <c r="J303" s="84" t="n"/>
      <c r="K303" s="84" t="n"/>
      <c r="L303" s="84" t="n"/>
      <c r="M303" s="84" t="n"/>
      <c r="N303" s="50" t="n"/>
      <c r="O303" s="84" t="n"/>
      <c r="P303" s="84">
        <f>IF(AND($A303="",$B303=""),"",N(D303)-N(E303)+N(J303)-N(K303))</f>
        <v/>
      </c>
      <c r="Q303" s="84">
        <f>IF(AND($A303="",$B303=""),"",IF(COUNT(L303:M303,O303)=0,"",P303-(N(L303)-N(M303))))</f>
        <v/>
      </c>
      <c r="R303" s="54">
        <f>IF(AND($A303="",$B303=""),"",IF(COUNT(L303:M303,O303)=0,"kein Mandanten-Saldo",IF(OR(AND(L303="",M303="")),"",IF(ABS(ROUND(((ROUND(N(D303)*100,0)+ROUND(N(J303)*100,0)+ROUND(N(M303)*100,0))-(ROUND(N(E303)*100,0)+ROUND(N(K303)*100,0)+ROUND(N(L303)*100,0))),0)-(0))&lt;=0,"OK","ABWEICHUNG"))))</f>
        <v/>
      </c>
      <c r="S303" s="84" t="n"/>
      <c r="T303" s="50" t="n"/>
      <c r="U303" s="50" t="n"/>
      <c r="V303" s="50" t="n"/>
      <c r="W303" s="50" t="n"/>
      <c r="X303" s="50" t="n"/>
      <c r="Y303" s="50" t="n"/>
      <c r="Z303" s="50" t="n"/>
    </row>
    <row r="304">
      <c r="A304" s="50" t="n"/>
      <c r="B304" s="50" t="n"/>
      <c r="C304" s="50" t="n"/>
      <c r="D304" s="84" t="n"/>
      <c r="E304" s="84" t="n"/>
      <c r="F304" s="84" t="n"/>
      <c r="G304" s="50" t="n"/>
      <c r="H304" s="84" t="n"/>
      <c r="I304" s="84" t="n"/>
      <c r="J304" s="84" t="n"/>
      <c r="K304" s="84" t="n"/>
      <c r="L304" s="84" t="n"/>
      <c r="M304" s="84" t="n"/>
      <c r="N304" s="50" t="n"/>
      <c r="O304" s="84" t="n"/>
      <c r="P304" s="84">
        <f>IF(AND($A304="",$B304=""),"",N(D304)-N(E304)+N(J304)-N(K304))</f>
        <v/>
      </c>
      <c r="Q304" s="84">
        <f>IF(AND($A304="",$B304=""),"",IF(COUNT(L304:M304,O304)=0,"",P304-(N(L304)-N(M304))))</f>
        <v/>
      </c>
      <c r="R304" s="54">
        <f>IF(AND($A304="",$B304=""),"",IF(COUNT(L304:M304,O304)=0,"kein Mandanten-Saldo",IF(OR(AND(L304="",M304="")),"",IF(ABS(ROUND(((ROUND(N(D304)*100,0)+ROUND(N(J304)*100,0)+ROUND(N(M304)*100,0))-(ROUND(N(E304)*100,0)+ROUND(N(K304)*100,0)+ROUND(N(L304)*100,0))),0)-(0))&lt;=0,"OK","ABWEICHUNG"))))</f>
        <v/>
      </c>
      <c r="S304" s="84" t="n"/>
      <c r="T304" s="50" t="n"/>
      <c r="U304" s="50" t="n"/>
      <c r="V304" s="50" t="n"/>
      <c r="W304" s="50" t="n"/>
      <c r="X304" s="50" t="n"/>
      <c r="Y304" s="50" t="n"/>
      <c r="Z304" s="50" t="n"/>
    </row>
    <row r="305">
      <c r="A305" s="50" t="n"/>
      <c r="B305" s="50" t="n"/>
      <c r="C305" s="50" t="n"/>
      <c r="D305" s="84" t="n"/>
      <c r="E305" s="84" t="n"/>
      <c r="F305" s="84" t="n"/>
      <c r="G305" s="50" t="n"/>
      <c r="H305" s="84" t="n"/>
      <c r="I305" s="84" t="n"/>
      <c r="J305" s="84" t="n"/>
      <c r="K305" s="84" t="n"/>
      <c r="L305" s="84" t="n"/>
      <c r="M305" s="84" t="n"/>
      <c r="N305" s="50" t="n"/>
      <c r="O305" s="84" t="n"/>
      <c r="P305" s="84">
        <f>IF(AND($A305="",$B305=""),"",N(D305)-N(E305)+N(J305)-N(K305))</f>
        <v/>
      </c>
      <c r="Q305" s="84">
        <f>IF(AND($A305="",$B305=""),"",IF(COUNT(L305:M305,O305)=0,"",P305-(N(L305)-N(M305))))</f>
        <v/>
      </c>
      <c r="R305" s="54">
        <f>IF(AND($A305="",$B305=""),"",IF(COUNT(L305:M305,O305)=0,"kein Mandanten-Saldo",IF(OR(AND(L305="",M305="")),"",IF(ABS(ROUND(((ROUND(N(D305)*100,0)+ROUND(N(J305)*100,0)+ROUND(N(M305)*100,0))-(ROUND(N(E305)*100,0)+ROUND(N(K305)*100,0)+ROUND(N(L305)*100,0))),0)-(0))&lt;=0,"OK","ABWEICHUNG"))))</f>
        <v/>
      </c>
      <c r="S305" s="84" t="n"/>
      <c r="T305" s="50" t="n"/>
      <c r="U305" s="50" t="n"/>
      <c r="V305" s="50" t="n"/>
      <c r="W305" s="50" t="n"/>
      <c r="X305" s="50" t="n"/>
      <c r="Y305" s="50" t="n"/>
      <c r="Z305" s="50" t="n"/>
    </row>
    <row r="306">
      <c r="A306" s="50" t="n"/>
      <c r="B306" s="50" t="n"/>
      <c r="C306" s="50" t="n"/>
      <c r="D306" s="84" t="n"/>
      <c r="E306" s="84" t="n"/>
      <c r="F306" s="84" t="n"/>
      <c r="G306" s="50" t="n"/>
      <c r="H306" s="84" t="n"/>
      <c r="I306" s="84" t="n"/>
      <c r="J306" s="84" t="n"/>
      <c r="K306" s="84" t="n"/>
      <c r="L306" s="84" t="n"/>
      <c r="M306" s="84" t="n"/>
      <c r="N306" s="50" t="n"/>
      <c r="O306" s="84" t="n"/>
      <c r="P306" s="84">
        <f>IF(AND($A306="",$B306=""),"",N(D306)-N(E306)+N(J306)-N(K306))</f>
        <v/>
      </c>
      <c r="Q306" s="84">
        <f>IF(AND($A306="",$B306=""),"",IF(COUNT(L306:M306,O306)=0,"",P306-(N(L306)-N(M306))))</f>
        <v/>
      </c>
      <c r="R306" s="54">
        <f>IF(AND($A306="",$B306=""),"",IF(COUNT(L306:M306,O306)=0,"kein Mandanten-Saldo",IF(OR(AND(L306="",M306="")),"",IF(ABS(ROUND(((ROUND(N(D306)*100,0)+ROUND(N(J306)*100,0)+ROUND(N(M306)*100,0))-(ROUND(N(E306)*100,0)+ROUND(N(K306)*100,0)+ROUND(N(L306)*100,0))),0)-(0))&lt;=0,"OK","ABWEICHUNG"))))</f>
        <v/>
      </c>
      <c r="S306" s="84" t="n"/>
      <c r="T306" s="50" t="n"/>
      <c r="U306" s="50" t="n"/>
      <c r="V306" s="50" t="n"/>
      <c r="W306" s="50" t="n"/>
      <c r="X306" s="50" t="n"/>
      <c r="Y306" s="50" t="n"/>
      <c r="Z306" s="50" t="n"/>
    </row>
    <row r="307">
      <c r="A307" s="50" t="n"/>
      <c r="B307" s="50" t="n"/>
      <c r="C307" s="50" t="n"/>
      <c r="D307" s="84" t="n"/>
      <c r="E307" s="84" t="n"/>
      <c r="F307" s="84" t="n"/>
      <c r="G307" s="50" t="n"/>
      <c r="H307" s="84" t="n"/>
      <c r="I307" s="84" t="n"/>
      <c r="J307" s="84" t="n"/>
      <c r="K307" s="84" t="n"/>
      <c r="L307" s="84" t="n"/>
      <c r="M307" s="84" t="n"/>
      <c r="N307" s="50" t="n"/>
      <c r="O307" s="84" t="n"/>
      <c r="P307" s="84">
        <f>IF(AND($A307="",$B307=""),"",N(D307)-N(E307)+N(J307)-N(K307))</f>
        <v/>
      </c>
      <c r="Q307" s="84">
        <f>IF(AND($A307="",$B307=""),"",IF(COUNT(L307:M307,O307)=0,"",P307-(N(L307)-N(M307))))</f>
        <v/>
      </c>
      <c r="R307" s="54">
        <f>IF(AND($A307="",$B307=""),"",IF(COUNT(L307:M307,O307)=0,"kein Mandanten-Saldo",IF(OR(AND(L307="",M307="")),"",IF(ABS(ROUND(((ROUND(N(D307)*100,0)+ROUND(N(J307)*100,0)+ROUND(N(M307)*100,0))-(ROUND(N(E307)*100,0)+ROUND(N(K307)*100,0)+ROUND(N(L307)*100,0))),0)-(0))&lt;=0,"OK","ABWEICHUNG"))))</f>
        <v/>
      </c>
      <c r="S307" s="84" t="n"/>
      <c r="T307" s="50" t="n"/>
      <c r="U307" s="50" t="n"/>
      <c r="V307" s="50" t="n"/>
      <c r="W307" s="50" t="n"/>
      <c r="X307" s="50" t="n"/>
      <c r="Y307" s="50" t="n"/>
      <c r="Z307" s="50" t="n"/>
    </row>
    <row r="308">
      <c r="A308" s="50" t="n"/>
      <c r="B308" s="50" t="n"/>
      <c r="C308" s="50" t="n"/>
      <c r="D308" s="84" t="n"/>
      <c r="E308" s="84" t="n"/>
      <c r="F308" s="84" t="n"/>
      <c r="G308" s="50" t="n"/>
      <c r="H308" s="84" t="n"/>
      <c r="I308" s="84" t="n"/>
      <c r="J308" s="84" t="n"/>
      <c r="K308" s="84" t="n"/>
      <c r="L308" s="84" t="n"/>
      <c r="M308" s="84" t="n"/>
      <c r="N308" s="50" t="n"/>
      <c r="O308" s="84" t="n"/>
      <c r="P308" s="84">
        <f>IF(AND($A308="",$B308=""),"",N(D308)-N(E308)+N(J308)-N(K308))</f>
        <v/>
      </c>
      <c r="Q308" s="84">
        <f>IF(AND($A308="",$B308=""),"",IF(COUNT(L308:M308,O308)=0,"",P308-(N(L308)-N(M308))))</f>
        <v/>
      </c>
      <c r="R308" s="54">
        <f>IF(AND($A308="",$B308=""),"",IF(COUNT(L308:M308,O308)=0,"kein Mandanten-Saldo",IF(OR(AND(L308="",M308="")),"",IF(ABS(ROUND(((ROUND(N(D308)*100,0)+ROUND(N(J308)*100,0)+ROUND(N(M308)*100,0))-(ROUND(N(E308)*100,0)+ROUND(N(K308)*100,0)+ROUND(N(L308)*100,0))),0)-(0))&lt;=0,"OK","ABWEICHUNG"))))</f>
        <v/>
      </c>
      <c r="S308" s="84" t="n"/>
      <c r="T308" s="50" t="n"/>
      <c r="U308" s="50" t="n"/>
      <c r="V308" s="50" t="n"/>
      <c r="W308" s="50" t="n"/>
      <c r="X308" s="50" t="n"/>
      <c r="Y308" s="50" t="n"/>
      <c r="Z308" s="50" t="n"/>
    </row>
    <row r="309">
      <c r="A309" s="50" t="n"/>
      <c r="B309" s="50" t="n"/>
      <c r="C309" s="50" t="n"/>
      <c r="D309" s="84" t="n"/>
      <c r="E309" s="84" t="n"/>
      <c r="F309" s="84" t="n"/>
      <c r="G309" s="50" t="n"/>
      <c r="H309" s="84" t="n"/>
      <c r="I309" s="84" t="n"/>
      <c r="J309" s="84" t="n"/>
      <c r="K309" s="84" t="n"/>
      <c r="L309" s="84" t="n"/>
      <c r="M309" s="84" t="n"/>
      <c r="N309" s="50" t="n"/>
      <c r="O309" s="84" t="n"/>
      <c r="P309" s="84">
        <f>IF(AND($A309="",$B309=""),"",N(D309)-N(E309)+N(J309)-N(K309))</f>
        <v/>
      </c>
      <c r="Q309" s="84">
        <f>IF(AND($A309="",$B309=""),"",IF(COUNT(L309:M309,O309)=0,"",P309-(N(L309)-N(M309))))</f>
        <v/>
      </c>
      <c r="R309" s="54">
        <f>IF(AND($A309="",$B309=""),"",IF(COUNT(L309:M309,O309)=0,"kein Mandanten-Saldo",IF(OR(AND(L309="",M309="")),"",IF(ABS(ROUND(((ROUND(N(D309)*100,0)+ROUND(N(J309)*100,0)+ROUND(N(M309)*100,0))-(ROUND(N(E309)*100,0)+ROUND(N(K309)*100,0)+ROUND(N(L309)*100,0))),0)-(0))&lt;=0,"OK","ABWEICHUNG"))))</f>
        <v/>
      </c>
      <c r="S309" s="84" t="n"/>
      <c r="T309" s="50" t="n"/>
      <c r="U309" s="50" t="n"/>
      <c r="V309" s="50" t="n"/>
      <c r="W309" s="50" t="n"/>
      <c r="X309" s="50" t="n"/>
      <c r="Y309" s="50" t="n"/>
      <c r="Z309" s="50" t="n"/>
    </row>
    <row r="310">
      <c r="A310" s="50" t="n"/>
      <c r="B310" s="50" t="n"/>
      <c r="C310" s="50" t="n"/>
      <c r="D310" s="84" t="n"/>
      <c r="E310" s="84" t="n"/>
      <c r="F310" s="84" t="n"/>
      <c r="G310" s="50" t="n"/>
      <c r="H310" s="84" t="n"/>
      <c r="I310" s="84" t="n"/>
      <c r="J310" s="84" t="n"/>
      <c r="K310" s="84" t="n"/>
      <c r="L310" s="84" t="n"/>
      <c r="M310" s="84" t="n"/>
      <c r="N310" s="50" t="n"/>
      <c r="O310" s="84" t="n"/>
      <c r="P310" s="84">
        <f>IF(AND($A310="",$B310=""),"",N(D310)-N(E310)+N(J310)-N(K310))</f>
        <v/>
      </c>
      <c r="Q310" s="84">
        <f>IF(AND($A310="",$B310=""),"",IF(COUNT(L310:M310,O310)=0,"",P310-(N(L310)-N(M310))))</f>
        <v/>
      </c>
      <c r="R310" s="54">
        <f>IF(AND($A310="",$B310=""),"",IF(COUNT(L310:M310,O310)=0,"kein Mandanten-Saldo",IF(OR(AND(L310="",M310="")),"",IF(ABS(ROUND(((ROUND(N(D310)*100,0)+ROUND(N(J310)*100,0)+ROUND(N(M310)*100,0))-(ROUND(N(E310)*100,0)+ROUND(N(K310)*100,0)+ROUND(N(L310)*100,0))),0)-(0))&lt;=0,"OK","ABWEICHUNG"))))</f>
        <v/>
      </c>
      <c r="S310" s="84" t="n"/>
      <c r="T310" s="50" t="n"/>
      <c r="U310" s="50" t="n"/>
      <c r="V310" s="50" t="n"/>
      <c r="W310" s="50" t="n"/>
      <c r="X310" s="50" t="n"/>
      <c r="Y310" s="50" t="n"/>
      <c r="Z310" s="50" t="n"/>
    </row>
    <row r="311">
      <c r="A311" s="50" t="n"/>
      <c r="B311" s="50" t="n"/>
      <c r="C311" s="50" t="n"/>
      <c r="D311" s="84" t="n"/>
      <c r="E311" s="84" t="n"/>
      <c r="F311" s="84" t="n"/>
      <c r="G311" s="50" t="n"/>
      <c r="H311" s="84" t="n"/>
      <c r="I311" s="84" t="n"/>
      <c r="J311" s="84" t="n"/>
      <c r="K311" s="84" t="n"/>
      <c r="L311" s="84" t="n"/>
      <c r="M311" s="84" t="n"/>
      <c r="N311" s="50" t="n"/>
      <c r="O311" s="84" t="n"/>
      <c r="P311" s="84">
        <f>IF(AND($A311="",$B311=""),"",N(D311)-N(E311)+N(J311)-N(K311))</f>
        <v/>
      </c>
      <c r="Q311" s="84">
        <f>IF(AND($A311="",$B311=""),"",IF(COUNT(L311:M311,O311)=0,"",P311-(N(L311)-N(M311))))</f>
        <v/>
      </c>
      <c r="R311" s="54">
        <f>IF(AND($A311="",$B311=""),"",IF(COUNT(L311:M311,O311)=0,"kein Mandanten-Saldo",IF(OR(AND(L311="",M311="")),"",IF(ABS(ROUND(((ROUND(N(D311)*100,0)+ROUND(N(J311)*100,0)+ROUND(N(M311)*100,0))-(ROUND(N(E311)*100,0)+ROUND(N(K311)*100,0)+ROUND(N(L311)*100,0))),0)-(0))&lt;=0,"OK","ABWEICHUNG"))))</f>
        <v/>
      </c>
      <c r="S311" s="84" t="n"/>
      <c r="T311" s="50" t="n"/>
      <c r="U311" s="50" t="n"/>
      <c r="V311" s="50" t="n"/>
      <c r="W311" s="50" t="n"/>
      <c r="X311" s="50" t="n"/>
      <c r="Y311" s="50" t="n"/>
      <c r="Z311" s="50" t="n"/>
    </row>
    <row r="312">
      <c r="A312" s="50" t="n"/>
      <c r="B312" s="50" t="n"/>
      <c r="C312" s="50" t="n"/>
      <c r="D312" s="84" t="n"/>
      <c r="E312" s="84" t="n"/>
      <c r="F312" s="84" t="n"/>
      <c r="G312" s="50" t="n"/>
      <c r="H312" s="84" t="n"/>
      <c r="I312" s="84" t="n"/>
      <c r="J312" s="84" t="n"/>
      <c r="K312" s="84" t="n"/>
      <c r="L312" s="84" t="n"/>
      <c r="M312" s="84" t="n"/>
      <c r="N312" s="50" t="n"/>
      <c r="O312" s="84" t="n"/>
      <c r="P312" s="84">
        <f>IF(AND($A312="",$B312=""),"",N(D312)-N(E312)+N(J312)-N(K312))</f>
        <v/>
      </c>
      <c r="Q312" s="84">
        <f>IF(AND($A312="",$B312=""),"",IF(COUNT(L312:M312,O312)=0,"",P312-(N(L312)-N(M312))))</f>
        <v/>
      </c>
      <c r="R312" s="54">
        <f>IF(AND($A312="",$B312=""),"",IF(COUNT(L312:M312,O312)=0,"kein Mandanten-Saldo",IF(OR(AND(L312="",M312="")),"",IF(ABS(ROUND(((ROUND(N(D312)*100,0)+ROUND(N(J312)*100,0)+ROUND(N(M312)*100,0))-(ROUND(N(E312)*100,0)+ROUND(N(K312)*100,0)+ROUND(N(L312)*100,0))),0)-(0))&lt;=0,"OK","ABWEICHUNG"))))</f>
        <v/>
      </c>
      <c r="S312" s="84" t="n"/>
      <c r="T312" s="50" t="n"/>
      <c r="U312" s="50" t="n"/>
      <c r="V312" s="50" t="n"/>
      <c r="W312" s="50" t="n"/>
      <c r="X312" s="50" t="n"/>
      <c r="Y312" s="50" t="n"/>
      <c r="Z312" s="50" t="n"/>
    </row>
    <row r="313">
      <c r="A313" s="50" t="n"/>
      <c r="B313" s="50" t="n"/>
      <c r="C313" s="50" t="n"/>
      <c r="D313" s="84" t="n"/>
      <c r="E313" s="84" t="n"/>
      <c r="F313" s="84" t="n"/>
      <c r="G313" s="50" t="n"/>
      <c r="H313" s="84" t="n"/>
      <c r="I313" s="84" t="n"/>
      <c r="J313" s="84" t="n"/>
      <c r="K313" s="84" t="n"/>
      <c r="L313" s="84" t="n"/>
      <c r="M313" s="84" t="n"/>
      <c r="N313" s="50" t="n"/>
      <c r="O313" s="84" t="n"/>
      <c r="P313" s="84">
        <f>IF(AND($A313="",$B313=""),"",N(D313)-N(E313)+N(J313)-N(K313))</f>
        <v/>
      </c>
      <c r="Q313" s="84">
        <f>IF(AND($A313="",$B313=""),"",IF(COUNT(L313:M313,O313)=0,"",P313-(N(L313)-N(M313))))</f>
        <v/>
      </c>
      <c r="R313" s="54">
        <f>IF(AND($A313="",$B313=""),"",IF(COUNT(L313:M313,O313)=0,"kein Mandanten-Saldo",IF(OR(AND(L313="",M313="")),"",IF(ABS(ROUND(((ROUND(N(D313)*100,0)+ROUND(N(J313)*100,0)+ROUND(N(M313)*100,0))-(ROUND(N(E313)*100,0)+ROUND(N(K313)*100,0)+ROUND(N(L313)*100,0))),0)-(0))&lt;=0,"OK","ABWEICHUNG"))))</f>
        <v/>
      </c>
      <c r="S313" s="84" t="n"/>
      <c r="T313" s="50" t="n"/>
      <c r="U313" s="50" t="n"/>
      <c r="V313" s="50" t="n"/>
      <c r="W313" s="50" t="n"/>
      <c r="X313" s="50" t="n"/>
      <c r="Y313" s="50" t="n"/>
      <c r="Z313" s="50" t="n"/>
    </row>
    <row r="314">
      <c r="A314" s="50" t="n"/>
      <c r="B314" s="50" t="n"/>
      <c r="C314" s="50" t="n"/>
      <c r="D314" s="84" t="n"/>
      <c r="E314" s="84" t="n"/>
      <c r="F314" s="84" t="n"/>
      <c r="G314" s="50" t="n"/>
      <c r="H314" s="84" t="n"/>
      <c r="I314" s="84" t="n"/>
      <c r="J314" s="84" t="n"/>
      <c r="K314" s="84" t="n"/>
      <c r="L314" s="84" t="n"/>
      <c r="M314" s="84" t="n"/>
      <c r="N314" s="50" t="n"/>
      <c r="O314" s="84" t="n"/>
      <c r="P314" s="84">
        <f>IF(AND($A314="",$B314=""),"",N(D314)-N(E314)+N(J314)-N(K314))</f>
        <v/>
      </c>
      <c r="Q314" s="84">
        <f>IF(AND($A314="",$B314=""),"",IF(COUNT(L314:M314,O314)=0,"",P314-(N(L314)-N(M314))))</f>
        <v/>
      </c>
      <c r="R314" s="54">
        <f>IF(AND($A314="",$B314=""),"",IF(COUNT(L314:M314,O314)=0,"kein Mandanten-Saldo",IF(OR(AND(L314="",M314="")),"",IF(ABS(ROUND(((ROUND(N(D314)*100,0)+ROUND(N(J314)*100,0)+ROUND(N(M314)*100,0))-(ROUND(N(E314)*100,0)+ROUND(N(K314)*100,0)+ROUND(N(L314)*100,0))),0)-(0))&lt;=0,"OK","ABWEICHUNG"))))</f>
        <v/>
      </c>
      <c r="S314" s="84" t="n"/>
      <c r="T314" s="50" t="n"/>
      <c r="U314" s="50" t="n"/>
      <c r="V314" s="50" t="n"/>
      <c r="W314" s="50" t="n"/>
      <c r="X314" s="50" t="n"/>
      <c r="Y314" s="50" t="n"/>
      <c r="Z314" s="50" t="n"/>
    </row>
    <row r="315">
      <c r="A315" s="50" t="n"/>
      <c r="B315" s="50" t="n"/>
      <c r="C315" s="50" t="n"/>
      <c r="D315" s="84" t="n"/>
      <c r="E315" s="84" t="n"/>
      <c r="F315" s="84" t="n"/>
      <c r="G315" s="50" t="n"/>
      <c r="H315" s="84" t="n"/>
      <c r="I315" s="84" t="n"/>
      <c r="J315" s="84" t="n"/>
      <c r="K315" s="84" t="n"/>
      <c r="L315" s="84" t="n"/>
      <c r="M315" s="84" t="n"/>
      <c r="N315" s="50" t="n"/>
      <c r="O315" s="84" t="n"/>
      <c r="P315" s="84">
        <f>IF(AND($A315="",$B315=""),"",N(D315)-N(E315)+N(J315)-N(K315))</f>
        <v/>
      </c>
      <c r="Q315" s="84">
        <f>IF(AND($A315="",$B315=""),"",IF(COUNT(L315:M315,O315)=0,"",P315-(N(L315)-N(M315))))</f>
        <v/>
      </c>
      <c r="R315" s="54">
        <f>IF(AND($A315="",$B315=""),"",IF(COUNT(L315:M315,O315)=0,"kein Mandanten-Saldo",IF(OR(AND(L315="",M315="")),"",IF(ABS(ROUND(((ROUND(N(D315)*100,0)+ROUND(N(J315)*100,0)+ROUND(N(M315)*100,0))-(ROUND(N(E315)*100,0)+ROUND(N(K315)*100,0)+ROUND(N(L315)*100,0))),0)-(0))&lt;=0,"OK","ABWEICHUNG"))))</f>
        <v/>
      </c>
      <c r="S315" s="84" t="n"/>
      <c r="T315" s="50" t="n"/>
      <c r="U315" s="50" t="n"/>
      <c r="V315" s="50" t="n"/>
      <c r="W315" s="50" t="n"/>
      <c r="X315" s="50" t="n"/>
      <c r="Y315" s="50" t="n"/>
      <c r="Z315" s="50" t="n"/>
    </row>
    <row r="316">
      <c r="A316" s="50" t="n"/>
      <c r="B316" s="50" t="n"/>
      <c r="C316" s="50" t="n"/>
      <c r="D316" s="84" t="n"/>
      <c r="E316" s="84" t="n"/>
      <c r="F316" s="84" t="n"/>
      <c r="G316" s="50" t="n"/>
      <c r="H316" s="84" t="n"/>
      <c r="I316" s="84" t="n"/>
      <c r="J316" s="84" t="n"/>
      <c r="K316" s="84" t="n"/>
      <c r="L316" s="84" t="n"/>
      <c r="M316" s="84" t="n"/>
      <c r="N316" s="50" t="n"/>
      <c r="O316" s="84" t="n"/>
      <c r="P316" s="84">
        <f>IF(AND($A316="",$B316=""),"",N(D316)-N(E316)+N(J316)-N(K316))</f>
        <v/>
      </c>
      <c r="Q316" s="84">
        <f>IF(AND($A316="",$B316=""),"",IF(COUNT(L316:M316,O316)=0,"",P316-(N(L316)-N(M316))))</f>
        <v/>
      </c>
      <c r="R316" s="54">
        <f>IF(AND($A316="",$B316=""),"",IF(COUNT(L316:M316,O316)=0,"kein Mandanten-Saldo",IF(OR(AND(L316="",M316="")),"",IF(ABS(ROUND(((ROUND(N(D316)*100,0)+ROUND(N(J316)*100,0)+ROUND(N(M316)*100,0))-(ROUND(N(E316)*100,0)+ROUND(N(K316)*100,0)+ROUND(N(L316)*100,0))),0)-(0))&lt;=0,"OK","ABWEICHUNG"))))</f>
        <v/>
      </c>
      <c r="S316" s="84" t="n"/>
      <c r="T316" s="50" t="n"/>
      <c r="U316" s="50" t="n"/>
      <c r="V316" s="50" t="n"/>
      <c r="W316" s="50" t="n"/>
      <c r="X316" s="50" t="n"/>
      <c r="Y316" s="50" t="n"/>
      <c r="Z316" s="50" t="n"/>
    </row>
    <row r="317">
      <c r="A317" s="50" t="n"/>
      <c r="B317" s="50" t="n"/>
      <c r="C317" s="50" t="n"/>
      <c r="D317" s="84" t="n"/>
      <c r="E317" s="84" t="n"/>
      <c r="F317" s="84" t="n"/>
      <c r="G317" s="50" t="n"/>
      <c r="H317" s="84" t="n"/>
      <c r="I317" s="84" t="n"/>
      <c r="J317" s="84" t="n"/>
      <c r="K317" s="84" t="n"/>
      <c r="L317" s="84" t="n"/>
      <c r="M317" s="84" t="n"/>
      <c r="N317" s="50" t="n"/>
      <c r="O317" s="84" t="n"/>
      <c r="P317" s="84">
        <f>IF(AND($A317="",$B317=""),"",N(D317)-N(E317)+N(J317)-N(K317))</f>
        <v/>
      </c>
      <c r="Q317" s="84">
        <f>IF(AND($A317="",$B317=""),"",IF(COUNT(L317:M317,O317)=0,"",P317-(N(L317)-N(M317))))</f>
        <v/>
      </c>
      <c r="R317" s="54">
        <f>IF(AND($A317="",$B317=""),"",IF(COUNT(L317:M317,O317)=0,"kein Mandanten-Saldo",IF(OR(AND(L317="",M317="")),"",IF(ABS(ROUND(((ROUND(N(D317)*100,0)+ROUND(N(J317)*100,0)+ROUND(N(M317)*100,0))-(ROUND(N(E317)*100,0)+ROUND(N(K317)*100,0)+ROUND(N(L317)*100,0))),0)-(0))&lt;=0,"OK","ABWEICHUNG"))))</f>
        <v/>
      </c>
      <c r="S317" s="84" t="n"/>
      <c r="T317" s="50" t="n"/>
      <c r="U317" s="50" t="n"/>
      <c r="V317" s="50" t="n"/>
      <c r="W317" s="50" t="n"/>
      <c r="X317" s="50" t="n"/>
      <c r="Y317" s="50" t="n"/>
      <c r="Z317" s="50" t="n"/>
    </row>
    <row r="318">
      <c r="A318" s="50" t="n"/>
      <c r="B318" s="50" t="n"/>
      <c r="C318" s="50" t="n"/>
      <c r="D318" s="84" t="n"/>
      <c r="E318" s="84" t="n"/>
      <c r="F318" s="84" t="n"/>
      <c r="G318" s="50" t="n"/>
      <c r="H318" s="84" t="n"/>
      <c r="I318" s="84" t="n"/>
      <c r="J318" s="84" t="n"/>
      <c r="K318" s="84" t="n"/>
      <c r="L318" s="84" t="n"/>
      <c r="M318" s="84" t="n"/>
      <c r="N318" s="50" t="n"/>
      <c r="O318" s="84" t="n"/>
      <c r="P318" s="84">
        <f>IF(AND($A318="",$B318=""),"",N(D318)-N(E318)+N(J318)-N(K318))</f>
        <v/>
      </c>
      <c r="Q318" s="84">
        <f>IF(AND($A318="",$B318=""),"",IF(COUNT(L318:M318,O318)=0,"",P318-(N(L318)-N(M318))))</f>
        <v/>
      </c>
      <c r="R318" s="54">
        <f>IF(AND($A318="",$B318=""),"",IF(COUNT(L318:M318,O318)=0,"kein Mandanten-Saldo",IF(OR(AND(L318="",M318="")),"",IF(ABS(ROUND(((ROUND(N(D318)*100,0)+ROUND(N(J318)*100,0)+ROUND(N(M318)*100,0))-(ROUND(N(E318)*100,0)+ROUND(N(K318)*100,0)+ROUND(N(L318)*100,0))),0)-(0))&lt;=0,"OK","ABWEICHUNG"))))</f>
        <v/>
      </c>
      <c r="S318" s="84" t="n"/>
      <c r="T318" s="50" t="n"/>
      <c r="U318" s="50" t="n"/>
      <c r="V318" s="50" t="n"/>
      <c r="W318" s="50" t="n"/>
      <c r="X318" s="50" t="n"/>
      <c r="Y318" s="50" t="n"/>
      <c r="Z318" s="50" t="n"/>
    </row>
    <row r="319">
      <c r="A319" s="50" t="n"/>
      <c r="B319" s="50" t="n"/>
      <c r="C319" s="50" t="n"/>
      <c r="D319" s="84" t="n"/>
      <c r="E319" s="84" t="n"/>
      <c r="F319" s="84" t="n"/>
      <c r="G319" s="50" t="n"/>
      <c r="H319" s="84" t="n"/>
      <c r="I319" s="84" t="n"/>
      <c r="J319" s="84" t="n"/>
      <c r="K319" s="84" t="n"/>
      <c r="L319" s="84" t="n"/>
      <c r="M319" s="84" t="n"/>
      <c r="N319" s="50" t="n"/>
      <c r="O319" s="84" t="n"/>
      <c r="P319" s="84">
        <f>IF(AND($A319="",$B319=""),"",N(D319)-N(E319)+N(J319)-N(K319))</f>
        <v/>
      </c>
      <c r="Q319" s="84">
        <f>IF(AND($A319="",$B319=""),"",IF(COUNT(L319:M319,O319)=0,"",P319-(N(L319)-N(M319))))</f>
        <v/>
      </c>
      <c r="R319" s="54">
        <f>IF(AND($A319="",$B319=""),"",IF(COUNT(L319:M319,O319)=0,"kein Mandanten-Saldo",IF(OR(AND(L319="",M319="")),"",IF(ABS(ROUND(((ROUND(N(D319)*100,0)+ROUND(N(J319)*100,0)+ROUND(N(M319)*100,0))-(ROUND(N(E319)*100,0)+ROUND(N(K319)*100,0)+ROUND(N(L319)*100,0))),0)-(0))&lt;=0,"OK","ABWEICHUNG"))))</f>
        <v/>
      </c>
      <c r="S319" s="84" t="n"/>
      <c r="T319" s="50" t="n"/>
      <c r="U319" s="50" t="n"/>
      <c r="V319" s="50" t="n"/>
      <c r="W319" s="50" t="n"/>
      <c r="X319" s="50" t="n"/>
      <c r="Y319" s="50" t="n"/>
      <c r="Z319" s="50" t="n"/>
    </row>
    <row r="320">
      <c r="A320" s="50" t="n"/>
      <c r="B320" s="50" t="n"/>
      <c r="C320" s="50" t="n"/>
      <c r="D320" s="84" t="n"/>
      <c r="E320" s="84" t="n"/>
      <c r="F320" s="84" t="n"/>
      <c r="G320" s="50" t="n"/>
      <c r="H320" s="84" t="n"/>
      <c r="I320" s="84" t="n"/>
      <c r="J320" s="84" t="n"/>
      <c r="K320" s="84" t="n"/>
      <c r="L320" s="84" t="n"/>
      <c r="M320" s="84" t="n"/>
      <c r="N320" s="50" t="n"/>
      <c r="O320" s="84" t="n"/>
      <c r="P320" s="84">
        <f>IF(AND($A320="",$B320=""),"",N(D320)-N(E320)+N(J320)-N(K320))</f>
        <v/>
      </c>
      <c r="Q320" s="84">
        <f>IF(AND($A320="",$B320=""),"",IF(COUNT(L320:M320,O320)=0,"",P320-(N(L320)-N(M320))))</f>
        <v/>
      </c>
      <c r="R320" s="54">
        <f>IF(AND($A320="",$B320=""),"",IF(COUNT(L320:M320,O320)=0,"kein Mandanten-Saldo",IF(OR(AND(L320="",M320="")),"",IF(ABS(ROUND(((ROUND(N(D320)*100,0)+ROUND(N(J320)*100,0)+ROUND(N(M320)*100,0))-(ROUND(N(E320)*100,0)+ROUND(N(K320)*100,0)+ROUND(N(L320)*100,0))),0)-(0))&lt;=0,"OK","ABWEICHUNG"))))</f>
        <v/>
      </c>
      <c r="S320" s="84" t="n"/>
      <c r="T320" s="50" t="n"/>
      <c r="U320" s="50" t="n"/>
      <c r="V320" s="50" t="n"/>
      <c r="W320" s="50" t="n"/>
      <c r="X320" s="50" t="n"/>
      <c r="Y320" s="50" t="n"/>
      <c r="Z320" s="50" t="n"/>
    </row>
    <row r="321">
      <c r="A321" s="50" t="n"/>
      <c r="B321" s="50" t="n"/>
      <c r="C321" s="50" t="n"/>
      <c r="D321" s="84" t="n"/>
      <c r="E321" s="84" t="n"/>
      <c r="F321" s="84" t="n"/>
      <c r="G321" s="50" t="n"/>
      <c r="H321" s="84" t="n"/>
      <c r="I321" s="84" t="n"/>
      <c r="J321" s="84" t="n"/>
      <c r="K321" s="84" t="n"/>
      <c r="L321" s="84" t="n"/>
      <c r="M321" s="84" t="n"/>
      <c r="N321" s="50" t="n"/>
      <c r="O321" s="84" t="n"/>
      <c r="P321" s="84">
        <f>IF(AND($A321="",$B321=""),"",N(D321)-N(E321)+N(J321)-N(K321))</f>
        <v/>
      </c>
      <c r="Q321" s="84">
        <f>IF(AND($A321="",$B321=""),"",IF(COUNT(L321:M321,O321)=0,"",P321-(N(L321)-N(M321))))</f>
        <v/>
      </c>
      <c r="R321" s="54">
        <f>IF(AND($A321="",$B321=""),"",IF(COUNT(L321:M321,O321)=0,"kein Mandanten-Saldo",IF(OR(AND(L321="",M321="")),"",IF(ABS(ROUND(((ROUND(N(D321)*100,0)+ROUND(N(J321)*100,0)+ROUND(N(M321)*100,0))-(ROUND(N(E321)*100,0)+ROUND(N(K321)*100,0)+ROUND(N(L321)*100,0))),0)-(0))&lt;=0,"OK","ABWEICHUNG"))))</f>
        <v/>
      </c>
      <c r="S321" s="84" t="n"/>
      <c r="T321" s="50" t="n"/>
      <c r="U321" s="50" t="n"/>
      <c r="V321" s="50" t="n"/>
      <c r="W321" s="50" t="n"/>
      <c r="X321" s="50" t="n"/>
      <c r="Y321" s="50" t="n"/>
      <c r="Z321" s="50" t="n"/>
    </row>
    <row r="322">
      <c r="A322" s="50" t="n"/>
      <c r="B322" s="50" t="n"/>
      <c r="C322" s="50" t="n"/>
      <c r="D322" s="84" t="n"/>
      <c r="E322" s="84" t="n"/>
      <c r="F322" s="84" t="n"/>
      <c r="G322" s="50" t="n"/>
      <c r="H322" s="84" t="n"/>
      <c r="I322" s="84" t="n"/>
      <c r="J322" s="84" t="n"/>
      <c r="K322" s="84" t="n"/>
      <c r="L322" s="84" t="n"/>
      <c r="M322" s="84" t="n"/>
      <c r="N322" s="50" t="n"/>
      <c r="O322" s="84" t="n"/>
      <c r="P322" s="84">
        <f>IF(AND($A322="",$B322=""),"",N(D322)-N(E322)+N(J322)-N(K322))</f>
        <v/>
      </c>
      <c r="Q322" s="84">
        <f>IF(AND($A322="",$B322=""),"",IF(COUNT(L322:M322,O322)=0,"",P322-(N(L322)-N(M322))))</f>
        <v/>
      </c>
      <c r="R322" s="54">
        <f>IF(AND($A322="",$B322=""),"",IF(COUNT(L322:M322,O322)=0,"kein Mandanten-Saldo",IF(OR(AND(L322="",M322="")),"",IF(ABS(ROUND(((ROUND(N(D322)*100,0)+ROUND(N(J322)*100,0)+ROUND(N(M322)*100,0))-(ROUND(N(E322)*100,0)+ROUND(N(K322)*100,0)+ROUND(N(L322)*100,0))),0)-(0))&lt;=0,"OK","ABWEICHUNG"))))</f>
        <v/>
      </c>
      <c r="S322" s="84" t="n"/>
      <c r="T322" s="50" t="n"/>
      <c r="U322" s="50" t="n"/>
      <c r="V322" s="50" t="n"/>
      <c r="W322" s="50" t="n"/>
      <c r="X322" s="50" t="n"/>
      <c r="Y322" s="50" t="n"/>
      <c r="Z322" s="50" t="n"/>
    </row>
    <row r="323">
      <c r="A323" s="50" t="n"/>
      <c r="B323" s="50" t="n"/>
      <c r="C323" s="50" t="n"/>
      <c r="D323" s="84" t="n"/>
      <c r="E323" s="84" t="n"/>
      <c r="F323" s="84" t="n"/>
      <c r="G323" s="50" t="n"/>
      <c r="H323" s="84" t="n"/>
      <c r="I323" s="84" t="n"/>
      <c r="J323" s="84" t="n"/>
      <c r="K323" s="84" t="n"/>
      <c r="L323" s="84" t="n"/>
      <c r="M323" s="84" t="n"/>
      <c r="N323" s="50" t="n"/>
      <c r="O323" s="84" t="n"/>
      <c r="P323" s="84">
        <f>IF(AND($A323="",$B323=""),"",N(D323)-N(E323)+N(J323)-N(K323))</f>
        <v/>
      </c>
      <c r="Q323" s="84">
        <f>IF(AND($A323="",$B323=""),"",IF(COUNT(L323:M323,O323)=0,"",P323-(N(L323)-N(M323))))</f>
        <v/>
      </c>
      <c r="R323" s="54">
        <f>IF(AND($A323="",$B323=""),"",IF(COUNT(L323:M323,O323)=0,"kein Mandanten-Saldo",IF(OR(AND(L323="",M323="")),"",IF(ABS(ROUND(((ROUND(N(D323)*100,0)+ROUND(N(J323)*100,0)+ROUND(N(M323)*100,0))-(ROUND(N(E323)*100,0)+ROUND(N(K323)*100,0)+ROUND(N(L323)*100,0))),0)-(0))&lt;=0,"OK","ABWEICHUNG"))))</f>
        <v/>
      </c>
      <c r="S323" s="84" t="n"/>
      <c r="T323" s="50" t="n"/>
      <c r="U323" s="50" t="n"/>
      <c r="V323" s="50" t="n"/>
      <c r="W323" s="50" t="n"/>
      <c r="X323" s="50" t="n"/>
      <c r="Y323" s="50" t="n"/>
      <c r="Z323" s="50" t="n"/>
    </row>
    <row r="324">
      <c r="A324" s="50" t="n"/>
      <c r="B324" s="50" t="n"/>
      <c r="C324" s="50" t="n"/>
      <c r="D324" s="84" t="n"/>
      <c r="E324" s="84" t="n"/>
      <c r="F324" s="84" t="n"/>
      <c r="G324" s="50" t="n"/>
      <c r="H324" s="84" t="n"/>
      <c r="I324" s="84" t="n"/>
      <c r="J324" s="84" t="n"/>
      <c r="K324" s="84" t="n"/>
      <c r="L324" s="84" t="n"/>
      <c r="M324" s="84" t="n"/>
      <c r="N324" s="50" t="n"/>
      <c r="O324" s="84" t="n"/>
      <c r="P324" s="84">
        <f>IF(AND($A324="",$B324=""),"",N(D324)-N(E324)+N(J324)-N(K324))</f>
        <v/>
      </c>
      <c r="Q324" s="84">
        <f>IF(AND($A324="",$B324=""),"",IF(COUNT(L324:M324,O324)=0,"",P324-(N(L324)-N(M324))))</f>
        <v/>
      </c>
      <c r="R324" s="54">
        <f>IF(AND($A324="",$B324=""),"",IF(COUNT(L324:M324,O324)=0,"kein Mandanten-Saldo",IF(OR(AND(L324="",M324="")),"",IF(ABS(ROUND(((ROUND(N(D324)*100,0)+ROUND(N(J324)*100,0)+ROUND(N(M324)*100,0))-(ROUND(N(E324)*100,0)+ROUND(N(K324)*100,0)+ROUND(N(L324)*100,0))),0)-(0))&lt;=0,"OK","ABWEICHUNG"))))</f>
        <v/>
      </c>
      <c r="S324" s="84" t="n"/>
      <c r="T324" s="50" t="n"/>
      <c r="U324" s="50" t="n"/>
      <c r="V324" s="50" t="n"/>
      <c r="W324" s="50" t="n"/>
      <c r="X324" s="50" t="n"/>
      <c r="Y324" s="50" t="n"/>
      <c r="Z324" s="50" t="n"/>
    </row>
    <row r="325">
      <c r="A325" s="50" t="n"/>
      <c r="B325" s="50" t="n"/>
      <c r="C325" s="50" t="n"/>
      <c r="D325" s="84" t="n"/>
      <c r="E325" s="84" t="n"/>
      <c r="F325" s="84" t="n"/>
      <c r="G325" s="50" t="n"/>
      <c r="H325" s="84" t="n"/>
      <c r="I325" s="84" t="n"/>
      <c r="J325" s="84" t="n"/>
      <c r="K325" s="84" t="n"/>
      <c r="L325" s="84" t="n"/>
      <c r="M325" s="84" t="n"/>
      <c r="N325" s="50" t="n"/>
      <c r="O325" s="84" t="n"/>
      <c r="P325" s="84">
        <f>IF(AND($A325="",$B325=""),"",N(D325)-N(E325)+N(J325)-N(K325))</f>
        <v/>
      </c>
      <c r="Q325" s="84">
        <f>IF(AND($A325="",$B325=""),"",IF(COUNT(L325:M325,O325)=0,"",P325-(N(L325)-N(M325))))</f>
        <v/>
      </c>
      <c r="R325" s="54">
        <f>IF(AND($A325="",$B325=""),"",IF(COUNT(L325:M325,O325)=0,"kein Mandanten-Saldo",IF(OR(AND(L325="",M325="")),"",IF(ABS(ROUND(((ROUND(N(D325)*100,0)+ROUND(N(J325)*100,0)+ROUND(N(M325)*100,0))-(ROUND(N(E325)*100,0)+ROUND(N(K325)*100,0)+ROUND(N(L325)*100,0))),0)-(0))&lt;=0,"OK","ABWEICHUNG"))))</f>
        <v/>
      </c>
      <c r="S325" s="84" t="n"/>
      <c r="T325" s="50" t="n"/>
      <c r="U325" s="50" t="n"/>
      <c r="V325" s="50" t="n"/>
      <c r="W325" s="50" t="n"/>
      <c r="X325" s="50" t="n"/>
      <c r="Y325" s="50" t="n"/>
      <c r="Z325" s="50" t="n"/>
    </row>
    <row r="326">
      <c r="A326" s="50" t="n"/>
      <c r="B326" s="50" t="n"/>
      <c r="C326" s="50" t="n"/>
      <c r="D326" s="84" t="n"/>
      <c r="E326" s="84" t="n"/>
      <c r="F326" s="84" t="n"/>
      <c r="G326" s="50" t="n"/>
      <c r="H326" s="84" t="n"/>
      <c r="I326" s="84" t="n"/>
      <c r="J326" s="84" t="n"/>
      <c r="K326" s="84" t="n"/>
      <c r="L326" s="84" t="n"/>
      <c r="M326" s="84" t="n"/>
      <c r="N326" s="50" t="n"/>
      <c r="O326" s="84" t="n"/>
      <c r="P326" s="84">
        <f>IF(AND($A326="",$B326=""),"",N(D326)-N(E326)+N(J326)-N(K326))</f>
        <v/>
      </c>
      <c r="Q326" s="84">
        <f>IF(AND($A326="",$B326=""),"",IF(COUNT(L326:M326,O326)=0,"",P326-(N(L326)-N(M326))))</f>
        <v/>
      </c>
      <c r="R326" s="54">
        <f>IF(AND($A326="",$B326=""),"",IF(COUNT(L326:M326,O326)=0,"kein Mandanten-Saldo",IF(OR(AND(L326="",M326="")),"",IF(ABS(ROUND(((ROUND(N(D326)*100,0)+ROUND(N(J326)*100,0)+ROUND(N(M326)*100,0))-(ROUND(N(E326)*100,0)+ROUND(N(K326)*100,0)+ROUND(N(L326)*100,0))),0)-(0))&lt;=0,"OK","ABWEICHUNG"))))</f>
        <v/>
      </c>
      <c r="S326" s="84" t="n"/>
      <c r="T326" s="50" t="n"/>
      <c r="U326" s="50" t="n"/>
      <c r="V326" s="50" t="n"/>
      <c r="W326" s="50" t="n"/>
      <c r="X326" s="50" t="n"/>
      <c r="Y326" s="50" t="n"/>
      <c r="Z326" s="50" t="n"/>
    </row>
    <row r="327">
      <c r="A327" s="50" t="n"/>
      <c r="B327" s="50" t="n"/>
      <c r="C327" s="50" t="n"/>
      <c r="D327" s="84" t="n"/>
      <c r="E327" s="84" t="n"/>
      <c r="F327" s="84" t="n"/>
      <c r="G327" s="50" t="n"/>
      <c r="H327" s="84" t="n"/>
      <c r="I327" s="84" t="n"/>
      <c r="J327" s="84" t="n"/>
      <c r="K327" s="84" t="n"/>
      <c r="L327" s="84" t="n"/>
      <c r="M327" s="84" t="n"/>
      <c r="N327" s="50" t="n"/>
      <c r="O327" s="84" t="n"/>
      <c r="P327" s="84">
        <f>IF(AND($A327="",$B327=""),"",N(D327)-N(E327)+N(J327)-N(K327))</f>
        <v/>
      </c>
      <c r="Q327" s="84">
        <f>IF(AND($A327="",$B327=""),"",IF(COUNT(L327:M327,O327)=0,"",P327-(N(L327)-N(M327))))</f>
        <v/>
      </c>
      <c r="R327" s="54">
        <f>IF(AND($A327="",$B327=""),"",IF(COUNT(L327:M327,O327)=0,"kein Mandanten-Saldo",IF(OR(AND(L327="",M327="")),"",IF(ABS(ROUND(((ROUND(N(D327)*100,0)+ROUND(N(J327)*100,0)+ROUND(N(M327)*100,0))-(ROUND(N(E327)*100,0)+ROUND(N(K327)*100,0)+ROUND(N(L327)*100,0))),0)-(0))&lt;=0,"OK","ABWEICHUNG"))))</f>
        <v/>
      </c>
      <c r="S327" s="84" t="n"/>
      <c r="T327" s="50" t="n"/>
      <c r="U327" s="50" t="n"/>
      <c r="V327" s="50" t="n"/>
      <c r="W327" s="50" t="n"/>
      <c r="X327" s="50" t="n"/>
      <c r="Y327" s="50" t="n"/>
      <c r="Z327" s="50" t="n"/>
    </row>
    <row r="328">
      <c r="A328" s="50" t="n"/>
      <c r="B328" s="50" t="n"/>
      <c r="C328" s="50" t="n"/>
      <c r="D328" s="84" t="n"/>
      <c r="E328" s="84" t="n"/>
      <c r="F328" s="84" t="n"/>
      <c r="G328" s="50" t="n"/>
      <c r="H328" s="84" t="n"/>
      <c r="I328" s="84" t="n"/>
      <c r="J328" s="84" t="n"/>
      <c r="K328" s="84" t="n"/>
      <c r="L328" s="84" t="n"/>
      <c r="M328" s="84" t="n"/>
      <c r="N328" s="50" t="n"/>
      <c r="O328" s="84" t="n"/>
      <c r="P328" s="84">
        <f>IF(AND($A328="",$B328=""),"",N(D328)-N(E328)+N(J328)-N(K328))</f>
        <v/>
      </c>
      <c r="Q328" s="84">
        <f>IF(AND($A328="",$B328=""),"",IF(COUNT(L328:M328,O328)=0,"",P328-(N(L328)-N(M328))))</f>
        <v/>
      </c>
      <c r="R328" s="54">
        <f>IF(AND($A328="",$B328=""),"",IF(COUNT(L328:M328,O328)=0,"kein Mandanten-Saldo",IF(OR(AND(L328="",M328="")),"",IF(ABS(ROUND(((ROUND(N(D328)*100,0)+ROUND(N(J328)*100,0)+ROUND(N(M328)*100,0))-(ROUND(N(E328)*100,0)+ROUND(N(K328)*100,0)+ROUND(N(L328)*100,0))),0)-(0))&lt;=0,"OK","ABWEICHUNG"))))</f>
        <v/>
      </c>
      <c r="S328" s="84" t="n"/>
      <c r="T328" s="50" t="n"/>
      <c r="U328" s="50" t="n"/>
      <c r="V328" s="50" t="n"/>
      <c r="W328" s="50" t="n"/>
      <c r="X328" s="50" t="n"/>
      <c r="Y328" s="50" t="n"/>
      <c r="Z328" s="50" t="n"/>
    </row>
    <row r="329">
      <c r="A329" s="50" t="n"/>
      <c r="B329" s="50" t="n"/>
      <c r="C329" s="50" t="n"/>
      <c r="D329" s="84" t="n"/>
      <c r="E329" s="84" t="n"/>
      <c r="F329" s="84" t="n"/>
      <c r="G329" s="50" t="n"/>
      <c r="H329" s="84" t="n"/>
      <c r="I329" s="84" t="n"/>
      <c r="J329" s="84" t="n"/>
      <c r="K329" s="84" t="n"/>
      <c r="L329" s="84" t="n"/>
      <c r="M329" s="84" t="n"/>
      <c r="N329" s="50" t="n"/>
      <c r="O329" s="84" t="n"/>
      <c r="P329" s="84">
        <f>IF(AND($A329="",$B329=""),"",N(D329)-N(E329)+N(J329)-N(K329))</f>
        <v/>
      </c>
      <c r="Q329" s="84">
        <f>IF(AND($A329="",$B329=""),"",IF(COUNT(L329:M329,O329)=0,"",P329-(N(L329)-N(M329))))</f>
        <v/>
      </c>
      <c r="R329" s="54">
        <f>IF(AND($A329="",$B329=""),"",IF(COUNT(L329:M329,O329)=0,"kein Mandanten-Saldo",IF(OR(AND(L329="",M329="")),"",IF(ABS(ROUND(((ROUND(N(D329)*100,0)+ROUND(N(J329)*100,0)+ROUND(N(M329)*100,0))-(ROUND(N(E329)*100,0)+ROUND(N(K329)*100,0)+ROUND(N(L329)*100,0))),0)-(0))&lt;=0,"OK","ABWEICHUNG"))))</f>
        <v/>
      </c>
      <c r="S329" s="84" t="n"/>
      <c r="T329" s="50" t="n"/>
      <c r="U329" s="50" t="n"/>
      <c r="V329" s="50" t="n"/>
      <c r="W329" s="50" t="n"/>
      <c r="X329" s="50" t="n"/>
      <c r="Y329" s="50" t="n"/>
      <c r="Z329" s="50" t="n"/>
    </row>
    <row r="330">
      <c r="A330" s="50" t="n"/>
      <c r="B330" s="50" t="n"/>
      <c r="C330" s="50" t="n"/>
      <c r="D330" s="84" t="n"/>
      <c r="E330" s="84" t="n"/>
      <c r="F330" s="84" t="n"/>
      <c r="G330" s="50" t="n"/>
      <c r="H330" s="84" t="n"/>
      <c r="I330" s="84" t="n"/>
      <c r="J330" s="84" t="n"/>
      <c r="K330" s="84" t="n"/>
      <c r="L330" s="84" t="n"/>
      <c r="M330" s="84" t="n"/>
      <c r="N330" s="50" t="n"/>
      <c r="O330" s="84" t="n"/>
      <c r="P330" s="84">
        <f>IF(AND($A330="",$B330=""),"",N(D330)-N(E330)+N(J330)-N(K330))</f>
        <v/>
      </c>
      <c r="Q330" s="84">
        <f>IF(AND($A330="",$B330=""),"",IF(COUNT(L330:M330,O330)=0,"",P330-(N(L330)-N(M330))))</f>
        <v/>
      </c>
      <c r="R330" s="54">
        <f>IF(AND($A330="",$B330=""),"",IF(COUNT(L330:M330,O330)=0,"kein Mandanten-Saldo",IF(OR(AND(L330="",M330="")),"",IF(ABS(ROUND(((ROUND(N(D330)*100,0)+ROUND(N(J330)*100,0)+ROUND(N(M330)*100,0))-(ROUND(N(E330)*100,0)+ROUND(N(K330)*100,0)+ROUND(N(L330)*100,0))),0)-(0))&lt;=0,"OK","ABWEICHUNG"))))</f>
        <v/>
      </c>
      <c r="S330" s="84" t="n"/>
      <c r="T330" s="50" t="n"/>
      <c r="U330" s="50" t="n"/>
      <c r="V330" s="50" t="n"/>
      <c r="W330" s="50" t="n"/>
      <c r="X330" s="50" t="n"/>
      <c r="Y330" s="50" t="n"/>
      <c r="Z330" s="50" t="n"/>
    </row>
    <row r="331">
      <c r="A331" s="50" t="n"/>
      <c r="B331" s="50" t="n"/>
      <c r="C331" s="50" t="n"/>
      <c r="D331" s="84" t="n"/>
      <c r="E331" s="84" t="n"/>
      <c r="F331" s="84" t="n"/>
      <c r="G331" s="50" t="n"/>
      <c r="H331" s="84" t="n"/>
      <c r="I331" s="84" t="n"/>
      <c r="J331" s="84" t="n"/>
      <c r="K331" s="84" t="n"/>
      <c r="L331" s="84" t="n"/>
      <c r="M331" s="84" t="n"/>
      <c r="N331" s="50" t="n"/>
      <c r="O331" s="84" t="n"/>
      <c r="P331" s="84">
        <f>IF(AND($A331="",$B331=""),"",N(D331)-N(E331)+N(J331)-N(K331))</f>
        <v/>
      </c>
      <c r="Q331" s="84">
        <f>IF(AND($A331="",$B331=""),"",IF(COUNT(L331:M331,O331)=0,"",P331-(N(L331)-N(M331))))</f>
        <v/>
      </c>
      <c r="R331" s="54">
        <f>IF(AND($A331="",$B331=""),"",IF(COUNT(L331:M331,O331)=0,"kein Mandanten-Saldo",IF(OR(AND(L331="",M331="")),"",IF(ABS(ROUND(((ROUND(N(D331)*100,0)+ROUND(N(J331)*100,0)+ROUND(N(M331)*100,0))-(ROUND(N(E331)*100,0)+ROUND(N(K331)*100,0)+ROUND(N(L331)*100,0))),0)-(0))&lt;=0,"OK","ABWEICHUNG"))))</f>
        <v/>
      </c>
      <c r="S331" s="84" t="n"/>
      <c r="T331" s="50" t="n"/>
      <c r="U331" s="50" t="n"/>
      <c r="V331" s="50" t="n"/>
      <c r="W331" s="50" t="n"/>
      <c r="X331" s="50" t="n"/>
      <c r="Y331" s="50" t="n"/>
      <c r="Z331" s="50" t="n"/>
    </row>
    <row r="332">
      <c r="A332" s="50" t="n"/>
      <c r="B332" s="50" t="n"/>
      <c r="C332" s="50" t="n"/>
      <c r="D332" s="84" t="n"/>
      <c r="E332" s="84" t="n"/>
      <c r="F332" s="84" t="n"/>
      <c r="G332" s="50" t="n"/>
      <c r="H332" s="84" t="n"/>
      <c r="I332" s="84" t="n"/>
      <c r="J332" s="84" t="n"/>
      <c r="K332" s="84" t="n"/>
      <c r="L332" s="84" t="n"/>
      <c r="M332" s="84" t="n"/>
      <c r="N332" s="50" t="n"/>
      <c r="O332" s="84" t="n"/>
      <c r="P332" s="84">
        <f>IF(AND($A332="",$B332=""),"",N(D332)-N(E332)+N(J332)-N(K332))</f>
        <v/>
      </c>
      <c r="Q332" s="84">
        <f>IF(AND($A332="",$B332=""),"",IF(COUNT(L332:M332,O332)=0,"",P332-(N(L332)-N(M332))))</f>
        <v/>
      </c>
      <c r="R332" s="54">
        <f>IF(AND($A332="",$B332=""),"",IF(COUNT(L332:M332,O332)=0,"kein Mandanten-Saldo",IF(OR(AND(L332="",M332="")),"",IF(ABS(ROUND(((ROUND(N(D332)*100,0)+ROUND(N(J332)*100,0)+ROUND(N(M332)*100,0))-(ROUND(N(E332)*100,0)+ROUND(N(K332)*100,0)+ROUND(N(L332)*100,0))),0)-(0))&lt;=0,"OK","ABWEICHUNG"))))</f>
        <v/>
      </c>
      <c r="S332" s="84" t="n"/>
      <c r="T332" s="50" t="n"/>
      <c r="U332" s="50" t="n"/>
      <c r="V332" s="50" t="n"/>
      <c r="W332" s="50" t="n"/>
      <c r="X332" s="50" t="n"/>
      <c r="Y332" s="50" t="n"/>
      <c r="Z332" s="50" t="n"/>
    </row>
    <row r="333">
      <c r="A333" s="50" t="n"/>
      <c r="B333" s="50" t="n"/>
      <c r="C333" s="50" t="n"/>
      <c r="D333" s="84" t="n"/>
      <c r="E333" s="84" t="n"/>
      <c r="F333" s="84" t="n"/>
      <c r="G333" s="50" t="n"/>
      <c r="H333" s="84" t="n"/>
      <c r="I333" s="84" t="n"/>
      <c r="J333" s="84" t="n"/>
      <c r="K333" s="84" t="n"/>
      <c r="L333" s="84" t="n"/>
      <c r="M333" s="84" t="n"/>
      <c r="N333" s="50" t="n"/>
      <c r="O333" s="84" t="n"/>
      <c r="P333" s="84">
        <f>IF(AND($A333="",$B333=""),"",N(D333)-N(E333)+N(J333)-N(K333))</f>
        <v/>
      </c>
      <c r="Q333" s="84">
        <f>IF(AND($A333="",$B333=""),"",IF(COUNT(L333:M333,O333)=0,"",P333-(N(L333)-N(M333))))</f>
        <v/>
      </c>
      <c r="R333" s="54">
        <f>IF(AND($A333="",$B333=""),"",IF(COUNT(L333:M333,O333)=0,"kein Mandanten-Saldo",IF(OR(AND(L333="",M333="")),"",IF(ABS(ROUND(((ROUND(N(D333)*100,0)+ROUND(N(J333)*100,0)+ROUND(N(M333)*100,0))-(ROUND(N(E333)*100,0)+ROUND(N(K333)*100,0)+ROUND(N(L333)*100,0))),0)-(0))&lt;=0,"OK","ABWEICHUNG"))))</f>
        <v/>
      </c>
      <c r="S333" s="84" t="n"/>
      <c r="T333" s="50" t="n"/>
      <c r="U333" s="50" t="n"/>
      <c r="V333" s="50" t="n"/>
      <c r="W333" s="50" t="n"/>
      <c r="X333" s="50" t="n"/>
      <c r="Y333" s="50" t="n"/>
      <c r="Z333" s="50" t="n"/>
    </row>
    <row r="334">
      <c r="A334" s="50" t="n"/>
      <c r="B334" s="50" t="n"/>
      <c r="C334" s="50" t="n"/>
      <c r="D334" s="84" t="n"/>
      <c r="E334" s="84" t="n"/>
      <c r="F334" s="84" t="n"/>
      <c r="G334" s="50" t="n"/>
      <c r="H334" s="84" t="n"/>
      <c r="I334" s="84" t="n"/>
      <c r="J334" s="84" t="n"/>
      <c r="K334" s="84" t="n"/>
      <c r="L334" s="84" t="n"/>
      <c r="M334" s="84" t="n"/>
      <c r="N334" s="50" t="n"/>
      <c r="O334" s="84" t="n"/>
      <c r="P334" s="84">
        <f>IF(AND($A334="",$B334=""),"",N(D334)-N(E334)+N(J334)-N(K334))</f>
        <v/>
      </c>
      <c r="Q334" s="84">
        <f>IF(AND($A334="",$B334=""),"",IF(COUNT(L334:M334,O334)=0,"",P334-(N(L334)-N(M334))))</f>
        <v/>
      </c>
      <c r="R334" s="54">
        <f>IF(AND($A334="",$B334=""),"",IF(COUNT(L334:M334,O334)=0,"kein Mandanten-Saldo",IF(OR(AND(L334="",M334="")),"",IF(ABS(ROUND(((ROUND(N(D334)*100,0)+ROUND(N(J334)*100,0)+ROUND(N(M334)*100,0))-(ROUND(N(E334)*100,0)+ROUND(N(K334)*100,0)+ROUND(N(L334)*100,0))),0)-(0))&lt;=0,"OK","ABWEICHUNG"))))</f>
        <v/>
      </c>
      <c r="S334" s="84" t="n"/>
      <c r="T334" s="50" t="n"/>
      <c r="U334" s="50" t="n"/>
      <c r="V334" s="50" t="n"/>
      <c r="W334" s="50" t="n"/>
      <c r="X334" s="50" t="n"/>
      <c r="Y334" s="50" t="n"/>
      <c r="Z334" s="50" t="n"/>
    </row>
    <row r="335">
      <c r="A335" s="50" t="n"/>
      <c r="B335" s="50" t="n"/>
      <c r="C335" s="50" t="n"/>
      <c r="D335" s="84" t="n"/>
      <c r="E335" s="84" t="n"/>
      <c r="F335" s="84" t="n"/>
      <c r="G335" s="50" t="n"/>
      <c r="H335" s="84" t="n"/>
      <c r="I335" s="84" t="n"/>
      <c r="J335" s="84" t="n"/>
      <c r="K335" s="84" t="n"/>
      <c r="L335" s="84" t="n"/>
      <c r="M335" s="84" t="n"/>
      <c r="N335" s="50" t="n"/>
      <c r="O335" s="84" t="n"/>
      <c r="P335" s="84">
        <f>IF(AND($A335="",$B335=""),"",N(D335)-N(E335)+N(J335)-N(K335))</f>
        <v/>
      </c>
      <c r="Q335" s="84">
        <f>IF(AND($A335="",$B335=""),"",IF(COUNT(L335:M335,O335)=0,"",P335-(N(L335)-N(M335))))</f>
        <v/>
      </c>
      <c r="R335" s="54">
        <f>IF(AND($A335="",$B335=""),"",IF(COUNT(L335:M335,O335)=0,"kein Mandanten-Saldo",IF(OR(AND(L335="",M335="")),"",IF(ABS(ROUND(((ROUND(N(D335)*100,0)+ROUND(N(J335)*100,0)+ROUND(N(M335)*100,0))-(ROUND(N(E335)*100,0)+ROUND(N(K335)*100,0)+ROUND(N(L335)*100,0))),0)-(0))&lt;=0,"OK","ABWEICHUNG"))))</f>
        <v/>
      </c>
      <c r="S335" s="84" t="n"/>
      <c r="T335" s="50" t="n"/>
      <c r="U335" s="50" t="n"/>
      <c r="V335" s="50" t="n"/>
      <c r="W335" s="50" t="n"/>
      <c r="X335" s="50" t="n"/>
      <c r="Y335" s="50" t="n"/>
      <c r="Z335" s="50" t="n"/>
    </row>
    <row r="336">
      <c r="A336" s="50" t="n"/>
      <c r="B336" s="50" t="n"/>
      <c r="C336" s="50" t="n"/>
      <c r="D336" s="84" t="n"/>
      <c r="E336" s="84" t="n"/>
      <c r="F336" s="84" t="n"/>
      <c r="G336" s="50" t="n"/>
      <c r="H336" s="84" t="n"/>
      <c r="I336" s="84" t="n"/>
      <c r="J336" s="84" t="n"/>
      <c r="K336" s="84" t="n"/>
      <c r="L336" s="84" t="n"/>
      <c r="M336" s="84" t="n"/>
      <c r="N336" s="50" t="n"/>
      <c r="O336" s="84" t="n"/>
      <c r="P336" s="84">
        <f>IF(AND($A336="",$B336=""),"",N(D336)-N(E336)+N(J336)-N(K336))</f>
        <v/>
      </c>
      <c r="Q336" s="84">
        <f>IF(AND($A336="",$B336=""),"",IF(COUNT(L336:M336,O336)=0,"",P336-(N(L336)-N(M336))))</f>
        <v/>
      </c>
      <c r="R336" s="54">
        <f>IF(AND($A336="",$B336=""),"",IF(COUNT(L336:M336,O336)=0,"kein Mandanten-Saldo",IF(OR(AND(L336="",M336="")),"",IF(ABS(ROUND(((ROUND(N(D336)*100,0)+ROUND(N(J336)*100,0)+ROUND(N(M336)*100,0))-(ROUND(N(E336)*100,0)+ROUND(N(K336)*100,0)+ROUND(N(L336)*100,0))),0)-(0))&lt;=0,"OK","ABWEICHUNG"))))</f>
        <v/>
      </c>
      <c r="S336" s="84" t="n"/>
      <c r="T336" s="50" t="n"/>
      <c r="U336" s="50" t="n"/>
      <c r="V336" s="50" t="n"/>
      <c r="W336" s="50" t="n"/>
      <c r="X336" s="50" t="n"/>
      <c r="Y336" s="50" t="n"/>
      <c r="Z336" s="50" t="n"/>
    </row>
    <row r="337">
      <c r="A337" s="50" t="n"/>
      <c r="B337" s="50" t="n"/>
      <c r="C337" s="50" t="n"/>
      <c r="D337" s="84" t="n"/>
      <c r="E337" s="84" t="n"/>
      <c r="F337" s="84" t="n"/>
      <c r="G337" s="50" t="n"/>
      <c r="H337" s="84" t="n"/>
      <c r="I337" s="84" t="n"/>
      <c r="J337" s="84" t="n"/>
      <c r="K337" s="84" t="n"/>
      <c r="L337" s="84" t="n"/>
      <c r="M337" s="84" t="n"/>
      <c r="N337" s="50" t="n"/>
      <c r="O337" s="84" t="n"/>
      <c r="P337" s="84">
        <f>IF(AND($A337="",$B337=""),"",N(D337)-N(E337)+N(J337)-N(K337))</f>
        <v/>
      </c>
      <c r="Q337" s="84">
        <f>IF(AND($A337="",$B337=""),"",IF(COUNT(L337:M337,O337)=0,"",P337-(N(L337)-N(M337))))</f>
        <v/>
      </c>
      <c r="R337" s="54">
        <f>IF(AND($A337="",$B337=""),"",IF(COUNT(L337:M337,O337)=0,"kein Mandanten-Saldo",IF(OR(AND(L337="",M337="")),"",IF(ABS(ROUND(((ROUND(N(D337)*100,0)+ROUND(N(J337)*100,0)+ROUND(N(M337)*100,0))-(ROUND(N(E337)*100,0)+ROUND(N(K337)*100,0)+ROUND(N(L337)*100,0))),0)-(0))&lt;=0,"OK","ABWEICHUNG"))))</f>
        <v/>
      </c>
      <c r="S337" s="84" t="n"/>
      <c r="T337" s="50" t="n"/>
      <c r="U337" s="50" t="n"/>
      <c r="V337" s="50" t="n"/>
      <c r="W337" s="50" t="n"/>
      <c r="X337" s="50" t="n"/>
      <c r="Y337" s="50" t="n"/>
      <c r="Z337" s="50" t="n"/>
    </row>
    <row r="338">
      <c r="A338" s="50" t="n"/>
      <c r="B338" s="50" t="n"/>
      <c r="C338" s="50" t="n"/>
      <c r="D338" s="84" t="n"/>
      <c r="E338" s="84" t="n"/>
      <c r="F338" s="84" t="n"/>
      <c r="G338" s="50" t="n"/>
      <c r="H338" s="84" t="n"/>
      <c r="I338" s="84" t="n"/>
      <c r="J338" s="84" t="n"/>
      <c r="K338" s="84" t="n"/>
      <c r="L338" s="84" t="n"/>
      <c r="M338" s="84" t="n"/>
      <c r="N338" s="50" t="n"/>
      <c r="O338" s="84" t="n"/>
      <c r="P338" s="84">
        <f>IF(AND($A338="",$B338=""),"",N(D338)-N(E338)+N(J338)-N(K338))</f>
        <v/>
      </c>
      <c r="Q338" s="84">
        <f>IF(AND($A338="",$B338=""),"",IF(COUNT(L338:M338,O338)=0,"",P338-(N(L338)-N(M338))))</f>
        <v/>
      </c>
      <c r="R338" s="54">
        <f>IF(AND($A338="",$B338=""),"",IF(COUNT(L338:M338,O338)=0,"kein Mandanten-Saldo",IF(OR(AND(L338="",M338="")),"",IF(ABS(ROUND(((ROUND(N(D338)*100,0)+ROUND(N(J338)*100,0)+ROUND(N(M338)*100,0))-(ROUND(N(E338)*100,0)+ROUND(N(K338)*100,0)+ROUND(N(L338)*100,0))),0)-(0))&lt;=0,"OK","ABWEICHUNG"))))</f>
        <v/>
      </c>
      <c r="S338" s="84" t="n"/>
      <c r="T338" s="50" t="n"/>
      <c r="U338" s="50" t="n"/>
      <c r="V338" s="50" t="n"/>
      <c r="W338" s="50" t="n"/>
      <c r="X338" s="50" t="n"/>
      <c r="Y338" s="50" t="n"/>
      <c r="Z338" s="50" t="n"/>
    </row>
    <row r="339">
      <c r="A339" s="50" t="n"/>
      <c r="B339" s="50" t="n"/>
      <c r="C339" s="50" t="n"/>
      <c r="D339" s="84" t="n"/>
      <c r="E339" s="84" t="n"/>
      <c r="F339" s="84" t="n"/>
      <c r="G339" s="50" t="n"/>
      <c r="H339" s="84" t="n"/>
      <c r="I339" s="84" t="n"/>
      <c r="J339" s="84" t="n"/>
      <c r="K339" s="84" t="n"/>
      <c r="L339" s="84" t="n"/>
      <c r="M339" s="84" t="n"/>
      <c r="N339" s="50" t="n"/>
      <c r="O339" s="84" t="n"/>
      <c r="P339" s="84">
        <f>IF(AND($A339="",$B339=""),"",N(D339)-N(E339)+N(J339)-N(K339))</f>
        <v/>
      </c>
      <c r="Q339" s="84">
        <f>IF(AND($A339="",$B339=""),"",IF(COUNT(L339:M339,O339)=0,"",P339-(N(L339)-N(M339))))</f>
        <v/>
      </c>
      <c r="R339" s="54">
        <f>IF(AND($A339="",$B339=""),"",IF(COUNT(L339:M339,O339)=0,"kein Mandanten-Saldo",IF(OR(AND(L339="",M339="")),"",IF(ABS(ROUND(((ROUND(N(D339)*100,0)+ROUND(N(J339)*100,0)+ROUND(N(M339)*100,0))-(ROUND(N(E339)*100,0)+ROUND(N(K339)*100,0)+ROUND(N(L339)*100,0))),0)-(0))&lt;=0,"OK","ABWEICHUNG"))))</f>
        <v/>
      </c>
      <c r="S339" s="84" t="n"/>
      <c r="T339" s="50" t="n"/>
      <c r="U339" s="50" t="n"/>
      <c r="V339" s="50" t="n"/>
      <c r="W339" s="50" t="n"/>
      <c r="X339" s="50" t="n"/>
      <c r="Y339" s="50" t="n"/>
      <c r="Z339" s="50" t="n"/>
    </row>
    <row r="340">
      <c r="A340" s="50" t="n"/>
      <c r="B340" s="50" t="n"/>
      <c r="C340" s="50" t="n"/>
      <c r="D340" s="84" t="n"/>
      <c r="E340" s="84" t="n"/>
      <c r="F340" s="84" t="n"/>
      <c r="G340" s="50" t="n"/>
      <c r="H340" s="84" t="n"/>
      <c r="I340" s="84" t="n"/>
      <c r="J340" s="84" t="n"/>
      <c r="K340" s="84" t="n"/>
      <c r="L340" s="84" t="n"/>
      <c r="M340" s="84" t="n"/>
      <c r="N340" s="50" t="n"/>
      <c r="O340" s="84" t="n"/>
      <c r="P340" s="84">
        <f>IF(AND($A340="",$B340=""),"",N(D340)-N(E340)+N(J340)-N(K340))</f>
        <v/>
      </c>
      <c r="Q340" s="84">
        <f>IF(AND($A340="",$B340=""),"",IF(COUNT(L340:M340,O340)=0,"",P340-(N(L340)-N(M340))))</f>
        <v/>
      </c>
      <c r="R340" s="54">
        <f>IF(AND($A340="",$B340=""),"",IF(COUNT(L340:M340,O340)=0,"kein Mandanten-Saldo",IF(OR(AND(L340="",M340="")),"",IF(ABS(ROUND(((ROUND(N(D340)*100,0)+ROUND(N(J340)*100,0)+ROUND(N(M340)*100,0))-(ROUND(N(E340)*100,0)+ROUND(N(K340)*100,0)+ROUND(N(L340)*100,0))),0)-(0))&lt;=0,"OK","ABWEICHUNG"))))</f>
        <v/>
      </c>
      <c r="S340" s="84" t="n"/>
      <c r="T340" s="50" t="n"/>
      <c r="U340" s="50" t="n"/>
      <c r="V340" s="50" t="n"/>
      <c r="W340" s="50" t="n"/>
      <c r="X340" s="50" t="n"/>
      <c r="Y340" s="50" t="n"/>
      <c r="Z340" s="50" t="n"/>
    </row>
    <row r="341">
      <c r="A341" s="50" t="n"/>
      <c r="B341" s="50" t="n"/>
      <c r="C341" s="50" t="n"/>
      <c r="D341" s="84" t="n"/>
      <c r="E341" s="84" t="n"/>
      <c r="F341" s="84" t="n"/>
      <c r="G341" s="50" t="n"/>
      <c r="H341" s="84" t="n"/>
      <c r="I341" s="84" t="n"/>
      <c r="J341" s="84" t="n"/>
      <c r="K341" s="84" t="n"/>
      <c r="L341" s="84" t="n"/>
      <c r="M341" s="84" t="n"/>
      <c r="N341" s="50" t="n"/>
      <c r="O341" s="84" t="n"/>
      <c r="P341" s="84">
        <f>IF(AND($A341="",$B341=""),"",N(D341)-N(E341)+N(J341)-N(K341))</f>
        <v/>
      </c>
      <c r="Q341" s="84">
        <f>IF(AND($A341="",$B341=""),"",IF(COUNT(L341:M341,O341)=0,"",P341-(N(L341)-N(M341))))</f>
        <v/>
      </c>
      <c r="R341" s="54">
        <f>IF(AND($A341="",$B341=""),"",IF(COUNT(L341:M341,O341)=0,"kein Mandanten-Saldo",IF(OR(AND(L341="",M341="")),"",IF(ABS(ROUND(((ROUND(N(D341)*100,0)+ROUND(N(J341)*100,0)+ROUND(N(M341)*100,0))-(ROUND(N(E341)*100,0)+ROUND(N(K341)*100,0)+ROUND(N(L341)*100,0))),0)-(0))&lt;=0,"OK","ABWEICHUNG"))))</f>
        <v/>
      </c>
      <c r="S341" s="84" t="n"/>
      <c r="T341" s="50" t="n"/>
      <c r="U341" s="50" t="n"/>
      <c r="V341" s="50" t="n"/>
      <c r="W341" s="50" t="n"/>
      <c r="X341" s="50" t="n"/>
      <c r="Y341" s="50" t="n"/>
      <c r="Z341" s="50" t="n"/>
    </row>
    <row r="342">
      <c r="A342" s="50" t="n"/>
      <c r="B342" s="50" t="n"/>
      <c r="C342" s="50" t="n"/>
      <c r="D342" s="84" t="n"/>
      <c r="E342" s="84" t="n"/>
      <c r="F342" s="84" t="n"/>
      <c r="G342" s="50" t="n"/>
      <c r="H342" s="84" t="n"/>
      <c r="I342" s="84" t="n"/>
      <c r="J342" s="84" t="n"/>
      <c r="K342" s="84" t="n"/>
      <c r="L342" s="84" t="n"/>
      <c r="M342" s="84" t="n"/>
      <c r="N342" s="50" t="n"/>
      <c r="O342" s="84" t="n"/>
      <c r="P342" s="84">
        <f>IF(AND($A342="",$B342=""),"",N(D342)-N(E342)+N(J342)-N(K342))</f>
        <v/>
      </c>
      <c r="Q342" s="84">
        <f>IF(AND($A342="",$B342=""),"",IF(COUNT(L342:M342,O342)=0,"",P342-(N(L342)-N(M342))))</f>
        <v/>
      </c>
      <c r="R342" s="54">
        <f>IF(AND($A342="",$B342=""),"",IF(COUNT(L342:M342,O342)=0,"kein Mandanten-Saldo",IF(OR(AND(L342="",M342="")),"",IF(ABS(ROUND(((ROUND(N(D342)*100,0)+ROUND(N(J342)*100,0)+ROUND(N(M342)*100,0))-(ROUND(N(E342)*100,0)+ROUND(N(K342)*100,0)+ROUND(N(L342)*100,0))),0)-(0))&lt;=0,"OK","ABWEICHUNG"))))</f>
        <v/>
      </c>
      <c r="S342" s="84" t="n"/>
      <c r="T342" s="50" t="n"/>
      <c r="U342" s="50" t="n"/>
      <c r="V342" s="50" t="n"/>
      <c r="W342" s="50" t="n"/>
      <c r="X342" s="50" t="n"/>
      <c r="Y342" s="50" t="n"/>
      <c r="Z342" s="50" t="n"/>
    </row>
    <row r="343">
      <c r="A343" s="50" t="n"/>
      <c r="B343" s="50" t="n"/>
      <c r="C343" s="50" t="n"/>
      <c r="D343" s="84" t="n"/>
      <c r="E343" s="84" t="n"/>
      <c r="F343" s="84" t="n"/>
      <c r="G343" s="50" t="n"/>
      <c r="H343" s="84" t="n"/>
      <c r="I343" s="84" t="n"/>
      <c r="J343" s="84" t="n"/>
      <c r="K343" s="84" t="n"/>
      <c r="L343" s="84" t="n"/>
      <c r="M343" s="84" t="n"/>
      <c r="N343" s="50" t="n"/>
      <c r="O343" s="84" t="n"/>
      <c r="P343" s="84">
        <f>IF(AND($A343="",$B343=""),"",N(D343)-N(E343)+N(J343)-N(K343))</f>
        <v/>
      </c>
      <c r="Q343" s="84">
        <f>IF(AND($A343="",$B343=""),"",IF(COUNT(L343:M343,O343)=0,"",P343-(N(L343)-N(M343))))</f>
        <v/>
      </c>
      <c r="R343" s="54">
        <f>IF(AND($A343="",$B343=""),"",IF(COUNT(L343:M343,O343)=0,"kein Mandanten-Saldo",IF(OR(AND(L343="",M343="")),"",IF(ABS(ROUND(((ROUND(N(D343)*100,0)+ROUND(N(J343)*100,0)+ROUND(N(M343)*100,0))-(ROUND(N(E343)*100,0)+ROUND(N(K343)*100,0)+ROUND(N(L343)*100,0))),0)-(0))&lt;=0,"OK","ABWEICHUNG"))))</f>
        <v/>
      </c>
      <c r="S343" s="84" t="n"/>
      <c r="T343" s="50" t="n"/>
      <c r="U343" s="50" t="n"/>
      <c r="V343" s="50" t="n"/>
      <c r="W343" s="50" t="n"/>
      <c r="X343" s="50" t="n"/>
      <c r="Y343" s="50" t="n"/>
      <c r="Z343" s="50" t="n"/>
    </row>
    <row r="344">
      <c r="A344" s="50" t="n"/>
      <c r="B344" s="50" t="n"/>
      <c r="C344" s="50" t="n"/>
      <c r="D344" s="84" t="n"/>
      <c r="E344" s="84" t="n"/>
      <c r="F344" s="84" t="n"/>
      <c r="G344" s="50" t="n"/>
      <c r="H344" s="84" t="n"/>
      <c r="I344" s="84" t="n"/>
      <c r="J344" s="84" t="n"/>
      <c r="K344" s="84" t="n"/>
      <c r="L344" s="84" t="n"/>
      <c r="M344" s="84" t="n"/>
      <c r="N344" s="50" t="n"/>
      <c r="O344" s="84" t="n"/>
      <c r="P344" s="84">
        <f>IF(AND($A344="",$B344=""),"",N(D344)-N(E344)+N(J344)-N(K344))</f>
        <v/>
      </c>
      <c r="Q344" s="84">
        <f>IF(AND($A344="",$B344=""),"",IF(COUNT(L344:M344,O344)=0,"",P344-(N(L344)-N(M344))))</f>
        <v/>
      </c>
      <c r="R344" s="54">
        <f>IF(AND($A344="",$B344=""),"",IF(COUNT(L344:M344,O344)=0,"kein Mandanten-Saldo",IF(OR(AND(L344="",M344="")),"",IF(ABS(ROUND(((ROUND(N(D344)*100,0)+ROUND(N(J344)*100,0)+ROUND(N(M344)*100,0))-(ROUND(N(E344)*100,0)+ROUND(N(K344)*100,0)+ROUND(N(L344)*100,0))),0)-(0))&lt;=0,"OK","ABWEICHUNG"))))</f>
        <v/>
      </c>
      <c r="S344" s="84" t="n"/>
      <c r="T344" s="50" t="n"/>
      <c r="U344" s="50" t="n"/>
      <c r="V344" s="50" t="n"/>
      <c r="W344" s="50" t="n"/>
      <c r="X344" s="50" t="n"/>
      <c r="Y344" s="50" t="n"/>
      <c r="Z344" s="50" t="n"/>
    </row>
    <row r="345">
      <c r="A345" s="50" t="n"/>
      <c r="B345" s="50" t="n"/>
      <c r="C345" s="50" t="n"/>
      <c r="D345" s="84" t="n"/>
      <c r="E345" s="84" t="n"/>
      <c r="F345" s="84" t="n"/>
      <c r="G345" s="50" t="n"/>
      <c r="H345" s="84" t="n"/>
      <c r="I345" s="84" t="n"/>
      <c r="J345" s="84" t="n"/>
      <c r="K345" s="84" t="n"/>
      <c r="L345" s="84" t="n"/>
      <c r="M345" s="84" t="n"/>
      <c r="N345" s="50" t="n"/>
      <c r="O345" s="84" t="n"/>
      <c r="P345" s="84">
        <f>IF(AND($A345="",$B345=""),"",N(D345)-N(E345)+N(J345)-N(K345))</f>
        <v/>
      </c>
      <c r="Q345" s="84">
        <f>IF(AND($A345="",$B345=""),"",IF(COUNT(L345:M345,O345)=0,"",P345-(N(L345)-N(M345))))</f>
        <v/>
      </c>
      <c r="R345" s="54">
        <f>IF(AND($A345="",$B345=""),"",IF(COUNT(L345:M345,O345)=0,"kein Mandanten-Saldo",IF(OR(AND(L345="",M345="")),"",IF(ABS(ROUND(((ROUND(N(D345)*100,0)+ROUND(N(J345)*100,0)+ROUND(N(M345)*100,0))-(ROUND(N(E345)*100,0)+ROUND(N(K345)*100,0)+ROUND(N(L345)*100,0))),0)-(0))&lt;=0,"OK","ABWEICHUNG"))))</f>
        <v/>
      </c>
      <c r="S345" s="84" t="n"/>
      <c r="T345" s="50" t="n"/>
      <c r="U345" s="50" t="n"/>
      <c r="V345" s="50" t="n"/>
      <c r="W345" s="50" t="n"/>
      <c r="X345" s="50" t="n"/>
      <c r="Y345" s="50" t="n"/>
      <c r="Z345" s="50" t="n"/>
    </row>
    <row r="346">
      <c r="A346" s="50" t="n"/>
      <c r="B346" s="50" t="n"/>
      <c r="C346" s="50" t="n"/>
      <c r="D346" s="84" t="n"/>
      <c r="E346" s="84" t="n"/>
      <c r="F346" s="84" t="n"/>
      <c r="G346" s="50" t="n"/>
      <c r="H346" s="84" t="n"/>
      <c r="I346" s="84" t="n"/>
      <c r="J346" s="84" t="n"/>
      <c r="K346" s="84" t="n"/>
      <c r="L346" s="84" t="n"/>
      <c r="M346" s="84" t="n"/>
      <c r="N346" s="50" t="n"/>
      <c r="O346" s="84" t="n"/>
      <c r="P346" s="84">
        <f>IF(AND($A346="",$B346=""),"",N(D346)-N(E346)+N(J346)-N(K346))</f>
        <v/>
      </c>
      <c r="Q346" s="84">
        <f>IF(AND($A346="",$B346=""),"",IF(COUNT(L346:M346,O346)=0,"",P346-(N(L346)-N(M346))))</f>
        <v/>
      </c>
      <c r="R346" s="54">
        <f>IF(AND($A346="",$B346=""),"",IF(COUNT(L346:M346,O346)=0,"kein Mandanten-Saldo",IF(OR(AND(L346="",M346="")),"",IF(ABS(ROUND(((ROUND(N(D346)*100,0)+ROUND(N(J346)*100,0)+ROUND(N(M346)*100,0))-(ROUND(N(E346)*100,0)+ROUND(N(K346)*100,0)+ROUND(N(L346)*100,0))),0)-(0))&lt;=0,"OK","ABWEICHUNG"))))</f>
        <v/>
      </c>
      <c r="S346" s="84" t="n"/>
      <c r="T346" s="50" t="n"/>
      <c r="U346" s="50" t="n"/>
      <c r="V346" s="50" t="n"/>
      <c r="W346" s="50" t="n"/>
      <c r="X346" s="50" t="n"/>
      <c r="Y346" s="50" t="n"/>
      <c r="Z346" s="50" t="n"/>
    </row>
    <row r="347">
      <c r="A347" s="50" t="n"/>
      <c r="B347" s="50" t="n"/>
      <c r="C347" s="50" t="n"/>
      <c r="D347" s="84" t="n"/>
      <c r="E347" s="84" t="n"/>
      <c r="F347" s="84" t="n"/>
      <c r="G347" s="50" t="n"/>
      <c r="H347" s="84" t="n"/>
      <c r="I347" s="84" t="n"/>
      <c r="J347" s="84" t="n"/>
      <c r="K347" s="84" t="n"/>
      <c r="L347" s="84" t="n"/>
      <c r="M347" s="84" t="n"/>
      <c r="N347" s="50" t="n"/>
      <c r="O347" s="84" t="n"/>
      <c r="P347" s="84">
        <f>IF(AND($A347="",$B347=""),"",N(D347)-N(E347)+N(J347)-N(K347))</f>
        <v/>
      </c>
      <c r="Q347" s="84">
        <f>IF(AND($A347="",$B347=""),"",IF(COUNT(L347:M347,O347)=0,"",P347-(N(L347)-N(M347))))</f>
        <v/>
      </c>
      <c r="R347" s="54">
        <f>IF(AND($A347="",$B347=""),"",IF(COUNT(L347:M347,O347)=0,"kein Mandanten-Saldo",IF(OR(AND(L347="",M347="")),"",IF(ABS(ROUND(((ROUND(N(D347)*100,0)+ROUND(N(J347)*100,0)+ROUND(N(M347)*100,0))-(ROUND(N(E347)*100,0)+ROUND(N(K347)*100,0)+ROUND(N(L347)*100,0))),0)-(0))&lt;=0,"OK","ABWEICHUNG"))))</f>
        <v/>
      </c>
      <c r="S347" s="84" t="n"/>
      <c r="T347" s="50" t="n"/>
      <c r="U347" s="50" t="n"/>
      <c r="V347" s="50" t="n"/>
      <c r="W347" s="50" t="n"/>
      <c r="X347" s="50" t="n"/>
      <c r="Y347" s="50" t="n"/>
      <c r="Z347" s="50" t="n"/>
    </row>
    <row r="348">
      <c r="A348" s="50" t="n"/>
      <c r="B348" s="50" t="n"/>
      <c r="C348" s="50" t="n"/>
      <c r="D348" s="84" t="n"/>
      <c r="E348" s="84" t="n"/>
      <c r="F348" s="84" t="n"/>
      <c r="G348" s="50" t="n"/>
      <c r="H348" s="84" t="n"/>
      <c r="I348" s="84" t="n"/>
      <c r="J348" s="84" t="n"/>
      <c r="K348" s="84" t="n"/>
      <c r="L348" s="84" t="n"/>
      <c r="M348" s="84" t="n"/>
      <c r="N348" s="50" t="n"/>
      <c r="O348" s="84" t="n"/>
      <c r="P348" s="84">
        <f>IF(AND($A348="",$B348=""),"",N(D348)-N(E348)+N(J348)-N(K348))</f>
        <v/>
      </c>
      <c r="Q348" s="84">
        <f>IF(AND($A348="",$B348=""),"",IF(COUNT(L348:M348,O348)=0,"",P348-(N(L348)-N(M348))))</f>
        <v/>
      </c>
      <c r="R348" s="54">
        <f>IF(AND($A348="",$B348=""),"",IF(COUNT(L348:M348,O348)=0,"kein Mandanten-Saldo",IF(OR(AND(L348="",M348="")),"",IF(ABS(ROUND(((ROUND(N(D348)*100,0)+ROUND(N(J348)*100,0)+ROUND(N(M348)*100,0))-(ROUND(N(E348)*100,0)+ROUND(N(K348)*100,0)+ROUND(N(L348)*100,0))),0)-(0))&lt;=0,"OK","ABWEICHUNG"))))</f>
        <v/>
      </c>
      <c r="S348" s="84" t="n"/>
      <c r="T348" s="50" t="n"/>
      <c r="U348" s="50" t="n"/>
      <c r="V348" s="50" t="n"/>
      <c r="W348" s="50" t="n"/>
      <c r="X348" s="50" t="n"/>
      <c r="Y348" s="50" t="n"/>
      <c r="Z348" s="50" t="n"/>
    </row>
    <row r="349">
      <c r="A349" s="50" t="n"/>
      <c r="B349" s="50" t="n"/>
      <c r="C349" s="50" t="n"/>
      <c r="D349" s="84" t="n"/>
      <c r="E349" s="84" t="n"/>
      <c r="F349" s="84" t="n"/>
      <c r="G349" s="50" t="n"/>
      <c r="H349" s="84" t="n"/>
      <c r="I349" s="84" t="n"/>
      <c r="J349" s="84" t="n"/>
      <c r="K349" s="84" t="n"/>
      <c r="L349" s="84" t="n"/>
      <c r="M349" s="84" t="n"/>
      <c r="N349" s="50" t="n"/>
      <c r="O349" s="84" t="n"/>
      <c r="P349" s="84">
        <f>IF(AND($A349="",$B349=""),"",N(D349)-N(E349)+N(J349)-N(K349))</f>
        <v/>
      </c>
      <c r="Q349" s="84">
        <f>IF(AND($A349="",$B349=""),"",IF(COUNT(L349:M349,O349)=0,"",P349-(N(L349)-N(M349))))</f>
        <v/>
      </c>
      <c r="R349" s="54">
        <f>IF(AND($A349="",$B349=""),"",IF(COUNT(L349:M349,O349)=0,"kein Mandanten-Saldo",IF(OR(AND(L349="",M349="")),"",IF(ABS(ROUND(((ROUND(N(D349)*100,0)+ROUND(N(J349)*100,0)+ROUND(N(M349)*100,0))-(ROUND(N(E349)*100,0)+ROUND(N(K349)*100,0)+ROUND(N(L349)*100,0))),0)-(0))&lt;=0,"OK","ABWEICHUNG"))))</f>
        <v/>
      </c>
      <c r="S349" s="84" t="n"/>
      <c r="T349" s="50" t="n"/>
      <c r="U349" s="50" t="n"/>
      <c r="V349" s="50" t="n"/>
      <c r="W349" s="50" t="n"/>
      <c r="X349" s="50" t="n"/>
      <c r="Y349" s="50" t="n"/>
      <c r="Z349" s="50" t="n"/>
    </row>
    <row r="350">
      <c r="A350" s="50" t="n"/>
      <c r="B350" s="50" t="n"/>
      <c r="C350" s="50" t="n"/>
      <c r="D350" s="84" t="n"/>
      <c r="E350" s="84" t="n"/>
      <c r="F350" s="84" t="n"/>
      <c r="G350" s="50" t="n"/>
      <c r="H350" s="84" t="n"/>
      <c r="I350" s="84" t="n"/>
      <c r="J350" s="84" t="n"/>
      <c r="K350" s="84" t="n"/>
      <c r="L350" s="84" t="n"/>
      <c r="M350" s="84" t="n"/>
      <c r="N350" s="50" t="n"/>
      <c r="O350" s="84" t="n"/>
      <c r="P350" s="84">
        <f>IF(AND($A350="",$B350=""),"",N(D350)-N(E350)+N(J350)-N(K350))</f>
        <v/>
      </c>
      <c r="Q350" s="84">
        <f>IF(AND($A350="",$B350=""),"",IF(COUNT(L350:M350,O350)=0,"",P350-(N(L350)-N(M350))))</f>
        <v/>
      </c>
      <c r="R350" s="54">
        <f>IF(AND($A350="",$B350=""),"",IF(COUNT(L350:M350,O350)=0,"kein Mandanten-Saldo",IF(OR(AND(L350="",M350="")),"",IF(ABS(ROUND(((ROUND(N(D350)*100,0)+ROUND(N(J350)*100,0)+ROUND(N(M350)*100,0))-(ROUND(N(E350)*100,0)+ROUND(N(K350)*100,0)+ROUND(N(L350)*100,0))),0)-(0))&lt;=0,"OK","ABWEICHUNG"))))</f>
        <v/>
      </c>
      <c r="S350" s="84" t="n"/>
      <c r="T350" s="50" t="n"/>
      <c r="U350" s="50" t="n"/>
      <c r="V350" s="50" t="n"/>
      <c r="W350" s="50" t="n"/>
      <c r="X350" s="50" t="n"/>
      <c r="Y350" s="50" t="n"/>
      <c r="Z350" s="50" t="n"/>
    </row>
    <row r="351">
      <c r="A351" s="50" t="n"/>
      <c r="B351" s="50" t="n"/>
      <c r="C351" s="50" t="n"/>
      <c r="D351" s="84" t="n"/>
      <c r="E351" s="84" t="n"/>
      <c r="F351" s="84" t="n"/>
      <c r="G351" s="50" t="n"/>
      <c r="H351" s="84" t="n"/>
      <c r="I351" s="84" t="n"/>
      <c r="J351" s="84" t="n"/>
      <c r="K351" s="84" t="n"/>
      <c r="L351" s="84" t="n"/>
      <c r="M351" s="84" t="n"/>
      <c r="N351" s="50" t="n"/>
      <c r="O351" s="84" t="n"/>
      <c r="P351" s="84">
        <f>IF(AND($A351="",$B351=""),"",N(D351)-N(E351)+N(J351)-N(K351))</f>
        <v/>
      </c>
      <c r="Q351" s="84">
        <f>IF(AND($A351="",$B351=""),"",IF(COUNT(L351:M351,O351)=0,"",P351-(N(L351)-N(M351))))</f>
        <v/>
      </c>
      <c r="R351" s="54">
        <f>IF(AND($A351="",$B351=""),"",IF(COUNT(L351:M351,O351)=0,"kein Mandanten-Saldo",IF(OR(AND(L351="",M351="")),"",IF(ABS(ROUND(((ROUND(N(D351)*100,0)+ROUND(N(J351)*100,0)+ROUND(N(M351)*100,0))-(ROUND(N(E351)*100,0)+ROUND(N(K351)*100,0)+ROUND(N(L351)*100,0))),0)-(0))&lt;=0,"OK","ABWEICHUNG"))))</f>
        <v/>
      </c>
      <c r="S351" s="84" t="n"/>
      <c r="T351" s="50" t="n"/>
      <c r="U351" s="50" t="n"/>
      <c r="V351" s="50" t="n"/>
      <c r="W351" s="50" t="n"/>
      <c r="X351" s="50" t="n"/>
      <c r="Y351" s="50" t="n"/>
      <c r="Z351" s="50" t="n"/>
    </row>
    <row r="352">
      <c r="A352" s="50" t="n"/>
      <c r="B352" s="50" t="n"/>
      <c r="C352" s="50" t="n"/>
      <c r="D352" s="84" t="n"/>
      <c r="E352" s="84" t="n"/>
      <c r="F352" s="84" t="n"/>
      <c r="G352" s="50" t="n"/>
      <c r="H352" s="84" t="n"/>
      <c r="I352" s="84" t="n"/>
      <c r="J352" s="84" t="n"/>
      <c r="K352" s="84" t="n"/>
      <c r="L352" s="84" t="n"/>
      <c r="M352" s="84" t="n"/>
      <c r="N352" s="50" t="n"/>
      <c r="O352" s="84" t="n"/>
      <c r="P352" s="84">
        <f>IF(AND($A352="",$B352=""),"",N(D352)-N(E352)+N(J352)-N(K352))</f>
        <v/>
      </c>
      <c r="Q352" s="84">
        <f>IF(AND($A352="",$B352=""),"",IF(COUNT(L352:M352,O352)=0,"",P352-(N(L352)-N(M352))))</f>
        <v/>
      </c>
      <c r="R352" s="54">
        <f>IF(AND($A352="",$B352=""),"",IF(COUNT(L352:M352,O352)=0,"kein Mandanten-Saldo",IF(OR(AND(L352="",M352="")),"",IF(ABS(ROUND(((ROUND(N(D352)*100,0)+ROUND(N(J352)*100,0)+ROUND(N(M352)*100,0))-(ROUND(N(E352)*100,0)+ROUND(N(K352)*100,0)+ROUND(N(L352)*100,0))),0)-(0))&lt;=0,"OK","ABWEICHUNG"))))</f>
        <v/>
      </c>
      <c r="S352" s="84" t="n"/>
      <c r="T352" s="50" t="n"/>
      <c r="U352" s="50" t="n"/>
      <c r="V352" s="50" t="n"/>
      <c r="W352" s="50" t="n"/>
      <c r="X352" s="50" t="n"/>
      <c r="Y352" s="50" t="n"/>
      <c r="Z352" s="50" t="n"/>
    </row>
    <row r="353">
      <c r="A353" s="50" t="n"/>
      <c r="B353" s="50" t="n"/>
      <c r="C353" s="50" t="n"/>
      <c r="D353" s="84" t="n"/>
      <c r="E353" s="84" t="n"/>
      <c r="F353" s="84" t="n"/>
      <c r="G353" s="50" t="n"/>
      <c r="H353" s="84" t="n"/>
      <c r="I353" s="84" t="n"/>
      <c r="J353" s="84" t="n"/>
      <c r="K353" s="84" t="n"/>
      <c r="L353" s="84" t="n"/>
      <c r="M353" s="84" t="n"/>
      <c r="N353" s="50" t="n"/>
      <c r="O353" s="84" t="n"/>
      <c r="P353" s="84">
        <f>IF(AND($A353="",$B353=""),"",N(D353)-N(E353)+N(J353)-N(K353))</f>
        <v/>
      </c>
      <c r="Q353" s="84">
        <f>IF(AND($A353="",$B353=""),"",IF(COUNT(L353:M353,O353)=0,"",P353-(N(L353)-N(M353))))</f>
        <v/>
      </c>
      <c r="R353" s="54">
        <f>IF(AND($A353="",$B353=""),"",IF(COUNT(L353:M353,O353)=0,"kein Mandanten-Saldo",IF(OR(AND(L353="",M353="")),"",IF(ABS(ROUND(((ROUND(N(D353)*100,0)+ROUND(N(J353)*100,0)+ROUND(N(M353)*100,0))-(ROUND(N(E353)*100,0)+ROUND(N(K353)*100,0)+ROUND(N(L353)*100,0))),0)-(0))&lt;=0,"OK","ABWEICHUNG"))))</f>
        <v/>
      </c>
      <c r="S353" s="84" t="n"/>
      <c r="T353" s="50" t="n"/>
      <c r="U353" s="50" t="n"/>
      <c r="V353" s="50" t="n"/>
      <c r="W353" s="50" t="n"/>
      <c r="X353" s="50" t="n"/>
      <c r="Y353" s="50" t="n"/>
      <c r="Z353" s="50" t="n"/>
    </row>
    <row r="354">
      <c r="A354" s="50" t="n"/>
      <c r="B354" s="50" t="n"/>
      <c r="C354" s="50" t="n"/>
      <c r="D354" s="84" t="n"/>
      <c r="E354" s="84" t="n"/>
      <c r="F354" s="84" t="n"/>
      <c r="G354" s="50" t="n"/>
      <c r="H354" s="84" t="n"/>
      <c r="I354" s="84" t="n"/>
      <c r="J354" s="84" t="n"/>
      <c r="K354" s="84" t="n"/>
      <c r="L354" s="84" t="n"/>
      <c r="M354" s="84" t="n"/>
      <c r="N354" s="50" t="n"/>
      <c r="O354" s="84" t="n"/>
      <c r="P354" s="84">
        <f>IF(AND($A354="",$B354=""),"",N(D354)-N(E354)+N(J354)-N(K354))</f>
        <v/>
      </c>
      <c r="Q354" s="84">
        <f>IF(AND($A354="",$B354=""),"",IF(COUNT(L354:M354,O354)=0,"",P354-(N(L354)-N(M354))))</f>
        <v/>
      </c>
      <c r="R354" s="54">
        <f>IF(AND($A354="",$B354=""),"",IF(COUNT(L354:M354,O354)=0,"kein Mandanten-Saldo",IF(OR(AND(L354="",M354="")),"",IF(ABS(ROUND(((ROUND(N(D354)*100,0)+ROUND(N(J354)*100,0)+ROUND(N(M354)*100,0))-(ROUND(N(E354)*100,0)+ROUND(N(K354)*100,0)+ROUND(N(L354)*100,0))),0)-(0))&lt;=0,"OK","ABWEICHUNG"))))</f>
        <v/>
      </c>
      <c r="S354" s="84" t="n"/>
      <c r="T354" s="50" t="n"/>
      <c r="U354" s="50" t="n"/>
      <c r="V354" s="50" t="n"/>
      <c r="W354" s="50" t="n"/>
      <c r="X354" s="50" t="n"/>
      <c r="Y354" s="50" t="n"/>
      <c r="Z354" s="50" t="n"/>
    </row>
    <row r="355">
      <c r="A355" s="50" t="n"/>
      <c r="B355" s="50" t="n"/>
      <c r="C355" s="50" t="n"/>
      <c r="D355" s="84" t="n"/>
      <c r="E355" s="84" t="n"/>
      <c r="F355" s="84" t="n"/>
      <c r="G355" s="50" t="n"/>
      <c r="H355" s="84" t="n"/>
      <c r="I355" s="84" t="n"/>
      <c r="J355" s="84" t="n"/>
      <c r="K355" s="84" t="n"/>
      <c r="L355" s="84" t="n"/>
      <c r="M355" s="84" t="n"/>
      <c r="N355" s="50" t="n"/>
      <c r="O355" s="84" t="n"/>
      <c r="P355" s="84">
        <f>IF(AND($A355="",$B355=""),"",N(D355)-N(E355)+N(J355)-N(K355))</f>
        <v/>
      </c>
      <c r="Q355" s="84">
        <f>IF(AND($A355="",$B355=""),"",IF(COUNT(L355:M355,O355)=0,"",P355-(N(L355)-N(M355))))</f>
        <v/>
      </c>
      <c r="R355" s="54">
        <f>IF(AND($A355="",$B355=""),"",IF(COUNT(L355:M355,O355)=0,"kein Mandanten-Saldo",IF(OR(AND(L355="",M355="")),"",IF(ABS(ROUND(((ROUND(N(D355)*100,0)+ROUND(N(J355)*100,0)+ROUND(N(M355)*100,0))-(ROUND(N(E355)*100,0)+ROUND(N(K355)*100,0)+ROUND(N(L355)*100,0))),0)-(0))&lt;=0,"OK","ABWEICHUNG"))))</f>
        <v/>
      </c>
      <c r="S355" s="84" t="n"/>
      <c r="T355" s="50" t="n"/>
      <c r="U355" s="50" t="n"/>
      <c r="V355" s="50" t="n"/>
      <c r="W355" s="50" t="n"/>
      <c r="X355" s="50" t="n"/>
      <c r="Y355" s="50" t="n"/>
      <c r="Z355" s="50" t="n"/>
    </row>
    <row r="356">
      <c r="A356" s="50" t="n"/>
      <c r="B356" s="50" t="n"/>
      <c r="C356" s="50" t="n"/>
      <c r="D356" s="84" t="n"/>
      <c r="E356" s="84" t="n"/>
      <c r="F356" s="84" t="n"/>
      <c r="G356" s="50" t="n"/>
      <c r="H356" s="84" t="n"/>
      <c r="I356" s="84" t="n"/>
      <c r="J356" s="84" t="n"/>
      <c r="K356" s="84" t="n"/>
      <c r="L356" s="84" t="n"/>
      <c r="M356" s="84" t="n"/>
      <c r="N356" s="50" t="n"/>
      <c r="O356" s="84" t="n"/>
      <c r="P356" s="84">
        <f>IF(AND($A356="",$B356=""),"",N(D356)-N(E356)+N(J356)-N(K356))</f>
        <v/>
      </c>
      <c r="Q356" s="84">
        <f>IF(AND($A356="",$B356=""),"",IF(COUNT(L356:M356,O356)=0,"",P356-(N(L356)-N(M356))))</f>
        <v/>
      </c>
      <c r="R356" s="54">
        <f>IF(AND($A356="",$B356=""),"",IF(COUNT(L356:M356,O356)=0,"kein Mandanten-Saldo",IF(OR(AND(L356="",M356="")),"",IF(ABS(ROUND(((ROUND(N(D356)*100,0)+ROUND(N(J356)*100,0)+ROUND(N(M356)*100,0))-(ROUND(N(E356)*100,0)+ROUND(N(K356)*100,0)+ROUND(N(L356)*100,0))),0)-(0))&lt;=0,"OK","ABWEICHUNG"))))</f>
        <v/>
      </c>
      <c r="S356" s="84" t="n"/>
      <c r="T356" s="50" t="n"/>
      <c r="U356" s="50" t="n"/>
      <c r="V356" s="50" t="n"/>
      <c r="W356" s="50" t="n"/>
      <c r="X356" s="50" t="n"/>
      <c r="Y356" s="50" t="n"/>
      <c r="Z356" s="50" t="n"/>
    </row>
    <row r="357">
      <c r="A357" s="50" t="n"/>
      <c r="B357" s="50" t="n"/>
      <c r="C357" s="50" t="n"/>
      <c r="D357" s="84" t="n"/>
      <c r="E357" s="84" t="n"/>
      <c r="F357" s="84" t="n"/>
      <c r="G357" s="50" t="n"/>
      <c r="H357" s="84" t="n"/>
      <c r="I357" s="84" t="n"/>
      <c r="J357" s="84" t="n"/>
      <c r="K357" s="84" t="n"/>
      <c r="L357" s="84" t="n"/>
      <c r="M357" s="84" t="n"/>
      <c r="N357" s="50" t="n"/>
      <c r="O357" s="84" t="n"/>
      <c r="P357" s="84">
        <f>IF(AND($A357="",$B357=""),"",N(D357)-N(E357)+N(J357)-N(K357))</f>
        <v/>
      </c>
      <c r="Q357" s="84">
        <f>IF(AND($A357="",$B357=""),"",IF(COUNT(L357:M357,O357)=0,"",P357-(N(L357)-N(M357))))</f>
        <v/>
      </c>
      <c r="R357" s="54">
        <f>IF(AND($A357="",$B357=""),"",IF(COUNT(L357:M357,O357)=0,"kein Mandanten-Saldo",IF(OR(AND(L357="",M357="")),"",IF(ABS(ROUND(((ROUND(N(D357)*100,0)+ROUND(N(J357)*100,0)+ROUND(N(M357)*100,0))-(ROUND(N(E357)*100,0)+ROUND(N(K357)*100,0)+ROUND(N(L357)*100,0))),0)-(0))&lt;=0,"OK","ABWEICHUNG"))))</f>
        <v/>
      </c>
      <c r="S357" s="84" t="n"/>
      <c r="T357" s="50" t="n"/>
      <c r="U357" s="50" t="n"/>
      <c r="V357" s="50" t="n"/>
      <c r="W357" s="50" t="n"/>
      <c r="X357" s="50" t="n"/>
      <c r="Y357" s="50" t="n"/>
      <c r="Z357" s="50" t="n"/>
    </row>
    <row r="358">
      <c r="A358" s="50" t="n"/>
      <c r="B358" s="50" t="n"/>
      <c r="C358" s="50" t="n"/>
      <c r="D358" s="84" t="n"/>
      <c r="E358" s="84" t="n"/>
      <c r="F358" s="84" t="n"/>
      <c r="G358" s="50" t="n"/>
      <c r="H358" s="84" t="n"/>
      <c r="I358" s="84" t="n"/>
      <c r="J358" s="84" t="n"/>
      <c r="K358" s="84" t="n"/>
      <c r="L358" s="84" t="n"/>
      <c r="M358" s="84" t="n"/>
      <c r="N358" s="50" t="n"/>
      <c r="O358" s="84" t="n"/>
      <c r="P358" s="84">
        <f>IF(AND($A358="",$B358=""),"",N(D358)-N(E358)+N(J358)-N(K358))</f>
        <v/>
      </c>
      <c r="Q358" s="84">
        <f>IF(AND($A358="",$B358=""),"",IF(COUNT(L358:M358,O358)=0,"",P358-(N(L358)-N(M358))))</f>
        <v/>
      </c>
      <c r="R358" s="54">
        <f>IF(AND($A358="",$B358=""),"",IF(COUNT(L358:M358,O358)=0,"kein Mandanten-Saldo",IF(OR(AND(L358="",M358="")),"",IF(ABS(ROUND(((ROUND(N(D358)*100,0)+ROUND(N(J358)*100,0)+ROUND(N(M358)*100,0))-(ROUND(N(E358)*100,0)+ROUND(N(K358)*100,0)+ROUND(N(L358)*100,0))),0)-(0))&lt;=0,"OK","ABWEICHUNG"))))</f>
        <v/>
      </c>
      <c r="S358" s="84" t="n"/>
      <c r="T358" s="50" t="n"/>
      <c r="U358" s="50" t="n"/>
      <c r="V358" s="50" t="n"/>
      <c r="W358" s="50" t="n"/>
      <c r="X358" s="50" t="n"/>
      <c r="Y358" s="50" t="n"/>
      <c r="Z358" s="50" t="n"/>
    </row>
    <row r="359">
      <c r="A359" s="50" t="n"/>
      <c r="B359" s="50" t="n"/>
      <c r="C359" s="50" t="n"/>
      <c r="D359" s="84" t="n"/>
      <c r="E359" s="84" t="n"/>
      <c r="F359" s="84" t="n"/>
      <c r="G359" s="50" t="n"/>
      <c r="H359" s="84" t="n"/>
      <c r="I359" s="84" t="n"/>
      <c r="J359" s="84" t="n"/>
      <c r="K359" s="84" t="n"/>
      <c r="L359" s="84" t="n"/>
      <c r="M359" s="84" t="n"/>
      <c r="N359" s="50" t="n"/>
      <c r="O359" s="84" t="n"/>
      <c r="P359" s="84">
        <f>IF(AND($A359="",$B359=""),"",N(D359)-N(E359)+N(J359)-N(K359))</f>
        <v/>
      </c>
      <c r="Q359" s="84">
        <f>IF(AND($A359="",$B359=""),"",IF(COUNT(L359:M359,O359)=0,"",P359-(N(L359)-N(M359))))</f>
        <v/>
      </c>
      <c r="R359" s="54">
        <f>IF(AND($A359="",$B359=""),"",IF(COUNT(L359:M359,O359)=0,"kein Mandanten-Saldo",IF(OR(AND(L359="",M359="")),"",IF(ABS(ROUND(((ROUND(N(D359)*100,0)+ROUND(N(J359)*100,0)+ROUND(N(M359)*100,0))-(ROUND(N(E359)*100,0)+ROUND(N(K359)*100,0)+ROUND(N(L359)*100,0))),0)-(0))&lt;=0,"OK","ABWEICHUNG"))))</f>
        <v/>
      </c>
      <c r="S359" s="84" t="n"/>
      <c r="T359" s="50" t="n"/>
      <c r="U359" s="50" t="n"/>
      <c r="V359" s="50" t="n"/>
      <c r="W359" s="50" t="n"/>
      <c r="X359" s="50" t="n"/>
      <c r="Y359" s="50" t="n"/>
      <c r="Z359" s="50" t="n"/>
    </row>
    <row r="360">
      <c r="A360" s="50" t="n"/>
      <c r="B360" s="50" t="n"/>
      <c r="C360" s="50" t="n"/>
      <c r="D360" s="84" t="n"/>
      <c r="E360" s="84" t="n"/>
      <c r="F360" s="84" t="n"/>
      <c r="G360" s="50" t="n"/>
      <c r="H360" s="84" t="n"/>
      <c r="I360" s="84" t="n"/>
      <c r="J360" s="84" t="n"/>
      <c r="K360" s="84" t="n"/>
      <c r="L360" s="84" t="n"/>
      <c r="M360" s="84" t="n"/>
      <c r="N360" s="50" t="n"/>
      <c r="O360" s="84" t="n"/>
      <c r="P360" s="84">
        <f>IF(AND($A360="",$B360=""),"",N(D360)-N(E360)+N(J360)-N(K360))</f>
        <v/>
      </c>
      <c r="Q360" s="84">
        <f>IF(AND($A360="",$B360=""),"",IF(COUNT(L360:M360,O360)=0,"",P360-(N(L360)-N(M360))))</f>
        <v/>
      </c>
      <c r="R360" s="54">
        <f>IF(AND($A360="",$B360=""),"",IF(COUNT(L360:M360,O360)=0,"kein Mandanten-Saldo",IF(OR(AND(L360="",M360="")),"",IF(ABS(ROUND(((ROUND(N(D360)*100,0)+ROUND(N(J360)*100,0)+ROUND(N(M360)*100,0))-(ROUND(N(E360)*100,0)+ROUND(N(K360)*100,0)+ROUND(N(L360)*100,0))),0)-(0))&lt;=0,"OK","ABWEICHUNG"))))</f>
        <v/>
      </c>
      <c r="S360" s="84" t="n"/>
      <c r="T360" s="50" t="n"/>
      <c r="U360" s="50" t="n"/>
      <c r="V360" s="50" t="n"/>
      <c r="W360" s="50" t="n"/>
      <c r="X360" s="50" t="n"/>
      <c r="Y360" s="50" t="n"/>
      <c r="Z360" s="50" t="n"/>
    </row>
    <row r="361">
      <c r="A361" s="50" t="n"/>
      <c r="B361" s="50" t="n"/>
      <c r="C361" s="50" t="n"/>
      <c r="D361" s="84" t="n"/>
      <c r="E361" s="84" t="n"/>
      <c r="F361" s="84" t="n"/>
      <c r="G361" s="50" t="n"/>
      <c r="H361" s="84" t="n"/>
      <c r="I361" s="84" t="n"/>
      <c r="J361" s="84" t="n"/>
      <c r="K361" s="84" t="n"/>
      <c r="L361" s="84" t="n"/>
      <c r="M361" s="84" t="n"/>
      <c r="N361" s="50" t="n"/>
      <c r="O361" s="84" t="n"/>
      <c r="P361" s="84">
        <f>IF(AND($A361="",$B361=""),"",N(D361)-N(E361)+N(J361)-N(K361))</f>
        <v/>
      </c>
      <c r="Q361" s="84">
        <f>IF(AND($A361="",$B361=""),"",IF(COUNT(L361:M361,O361)=0,"",P361-(N(L361)-N(M361))))</f>
        <v/>
      </c>
      <c r="R361" s="54">
        <f>IF(AND($A361="",$B361=""),"",IF(COUNT(L361:M361,O361)=0,"kein Mandanten-Saldo",IF(OR(AND(L361="",M361="")),"",IF(ABS(ROUND(((ROUND(N(D361)*100,0)+ROUND(N(J361)*100,0)+ROUND(N(M361)*100,0))-(ROUND(N(E361)*100,0)+ROUND(N(K361)*100,0)+ROUND(N(L361)*100,0))),0)-(0))&lt;=0,"OK","ABWEICHUNG"))))</f>
        <v/>
      </c>
      <c r="S361" s="84" t="n"/>
      <c r="T361" s="50" t="n"/>
      <c r="U361" s="50" t="n"/>
      <c r="V361" s="50" t="n"/>
      <c r="W361" s="50" t="n"/>
      <c r="X361" s="50" t="n"/>
      <c r="Y361" s="50" t="n"/>
      <c r="Z361" s="50" t="n"/>
    </row>
    <row r="362">
      <c r="A362" s="50" t="n"/>
      <c r="B362" s="50" t="n"/>
      <c r="C362" s="50" t="n"/>
      <c r="D362" s="84" t="n"/>
      <c r="E362" s="84" t="n"/>
      <c r="F362" s="84" t="n"/>
      <c r="G362" s="50" t="n"/>
      <c r="H362" s="84" t="n"/>
      <c r="I362" s="84" t="n"/>
      <c r="J362" s="84" t="n"/>
      <c r="K362" s="84" t="n"/>
      <c r="L362" s="84" t="n"/>
      <c r="M362" s="84" t="n"/>
      <c r="N362" s="50" t="n"/>
      <c r="O362" s="84" t="n"/>
      <c r="P362" s="84">
        <f>IF(AND($A362="",$B362=""),"",N(D362)-N(E362)+N(J362)-N(K362))</f>
        <v/>
      </c>
      <c r="Q362" s="84">
        <f>IF(AND($A362="",$B362=""),"",IF(COUNT(L362:M362,O362)=0,"",P362-(N(L362)-N(M362))))</f>
        <v/>
      </c>
      <c r="R362" s="54">
        <f>IF(AND($A362="",$B362=""),"",IF(COUNT(L362:M362,O362)=0,"kein Mandanten-Saldo",IF(OR(AND(L362="",M362="")),"",IF(ABS(ROUND(((ROUND(N(D362)*100,0)+ROUND(N(J362)*100,0)+ROUND(N(M362)*100,0))-(ROUND(N(E362)*100,0)+ROUND(N(K362)*100,0)+ROUND(N(L362)*100,0))),0)-(0))&lt;=0,"OK","ABWEICHUNG"))))</f>
        <v/>
      </c>
      <c r="S362" s="84" t="n"/>
      <c r="T362" s="50" t="n"/>
      <c r="U362" s="50" t="n"/>
      <c r="V362" s="50" t="n"/>
      <c r="W362" s="50" t="n"/>
      <c r="X362" s="50" t="n"/>
      <c r="Y362" s="50" t="n"/>
      <c r="Z362" s="50" t="n"/>
    </row>
    <row r="363">
      <c r="A363" s="50" t="n"/>
      <c r="B363" s="50" t="n"/>
      <c r="C363" s="50" t="n"/>
      <c r="D363" s="84" t="n"/>
      <c r="E363" s="84" t="n"/>
      <c r="F363" s="84" t="n"/>
      <c r="G363" s="50" t="n"/>
      <c r="H363" s="84" t="n"/>
      <c r="I363" s="84" t="n"/>
      <c r="J363" s="84" t="n"/>
      <c r="K363" s="84" t="n"/>
      <c r="L363" s="84" t="n"/>
      <c r="M363" s="84" t="n"/>
      <c r="N363" s="50" t="n"/>
      <c r="O363" s="84" t="n"/>
      <c r="P363" s="84">
        <f>IF(AND($A363="",$B363=""),"",N(D363)-N(E363)+N(J363)-N(K363))</f>
        <v/>
      </c>
      <c r="Q363" s="84">
        <f>IF(AND($A363="",$B363=""),"",IF(COUNT(L363:M363,O363)=0,"",P363-(N(L363)-N(M363))))</f>
        <v/>
      </c>
      <c r="R363" s="54">
        <f>IF(AND($A363="",$B363=""),"",IF(COUNT(L363:M363,O363)=0,"kein Mandanten-Saldo",IF(OR(AND(L363="",M363="")),"",IF(ABS(ROUND(((ROUND(N(D363)*100,0)+ROUND(N(J363)*100,0)+ROUND(N(M363)*100,0))-(ROUND(N(E363)*100,0)+ROUND(N(K363)*100,0)+ROUND(N(L363)*100,0))),0)-(0))&lt;=0,"OK","ABWEICHUNG"))))</f>
        <v/>
      </c>
      <c r="S363" s="84" t="n"/>
      <c r="T363" s="50" t="n"/>
      <c r="U363" s="50" t="n"/>
      <c r="V363" s="50" t="n"/>
      <c r="W363" s="50" t="n"/>
      <c r="X363" s="50" t="n"/>
      <c r="Y363" s="50" t="n"/>
      <c r="Z363" s="50" t="n"/>
    </row>
    <row r="364">
      <c r="A364" s="50" t="n"/>
      <c r="B364" s="50" t="n"/>
      <c r="C364" s="50" t="n"/>
      <c r="D364" s="84" t="n"/>
      <c r="E364" s="84" t="n"/>
      <c r="F364" s="84" t="n"/>
      <c r="G364" s="50" t="n"/>
      <c r="H364" s="84" t="n"/>
      <c r="I364" s="84" t="n"/>
      <c r="J364" s="84" t="n"/>
      <c r="K364" s="84" t="n"/>
      <c r="L364" s="84" t="n"/>
      <c r="M364" s="84" t="n"/>
      <c r="N364" s="50" t="n"/>
      <c r="O364" s="84" t="n"/>
      <c r="P364" s="84">
        <f>IF(AND($A364="",$B364=""),"",N(D364)-N(E364)+N(J364)-N(K364))</f>
        <v/>
      </c>
      <c r="Q364" s="84">
        <f>IF(AND($A364="",$B364=""),"",IF(COUNT(L364:M364,O364)=0,"",P364-(N(L364)-N(M364))))</f>
        <v/>
      </c>
      <c r="R364" s="54">
        <f>IF(AND($A364="",$B364=""),"",IF(COUNT(L364:M364,O364)=0,"kein Mandanten-Saldo",IF(OR(AND(L364="",M364="")),"",IF(ABS(ROUND(((ROUND(N(D364)*100,0)+ROUND(N(J364)*100,0)+ROUND(N(M364)*100,0))-(ROUND(N(E364)*100,0)+ROUND(N(K364)*100,0)+ROUND(N(L364)*100,0))),0)-(0))&lt;=0,"OK","ABWEICHUNG"))))</f>
        <v/>
      </c>
      <c r="S364" s="84" t="n"/>
      <c r="T364" s="50" t="n"/>
      <c r="U364" s="50" t="n"/>
      <c r="V364" s="50" t="n"/>
      <c r="W364" s="50" t="n"/>
      <c r="X364" s="50" t="n"/>
      <c r="Y364" s="50" t="n"/>
      <c r="Z364" s="50" t="n"/>
    </row>
    <row r="365">
      <c r="A365" s="50" t="n"/>
      <c r="B365" s="50" t="n"/>
      <c r="C365" s="50" t="n"/>
      <c r="D365" s="84" t="n"/>
      <c r="E365" s="84" t="n"/>
      <c r="F365" s="84" t="n"/>
      <c r="G365" s="50" t="n"/>
      <c r="H365" s="84" t="n"/>
      <c r="I365" s="84" t="n"/>
      <c r="J365" s="84" t="n"/>
      <c r="K365" s="84" t="n"/>
      <c r="L365" s="84" t="n"/>
      <c r="M365" s="84" t="n"/>
      <c r="N365" s="50" t="n"/>
      <c r="O365" s="84" t="n"/>
      <c r="P365" s="84">
        <f>IF(AND($A365="",$B365=""),"",N(D365)-N(E365)+N(J365)-N(K365))</f>
        <v/>
      </c>
      <c r="Q365" s="84">
        <f>IF(AND($A365="",$B365=""),"",IF(COUNT(L365:M365,O365)=0,"",P365-(N(L365)-N(M365))))</f>
        <v/>
      </c>
      <c r="R365" s="54">
        <f>IF(AND($A365="",$B365=""),"",IF(COUNT(L365:M365,O365)=0,"kein Mandanten-Saldo",IF(OR(AND(L365="",M365="")),"",IF(ABS(ROUND(((ROUND(N(D365)*100,0)+ROUND(N(J365)*100,0)+ROUND(N(M365)*100,0))-(ROUND(N(E365)*100,0)+ROUND(N(K365)*100,0)+ROUND(N(L365)*100,0))),0)-(0))&lt;=0,"OK","ABWEICHUNG"))))</f>
        <v/>
      </c>
      <c r="S365" s="84" t="n"/>
      <c r="T365" s="50" t="n"/>
      <c r="U365" s="50" t="n"/>
      <c r="V365" s="50" t="n"/>
      <c r="W365" s="50" t="n"/>
      <c r="X365" s="50" t="n"/>
      <c r="Y365" s="50" t="n"/>
      <c r="Z365" s="50" t="n"/>
    </row>
    <row r="366">
      <c r="A366" s="50" t="n"/>
      <c r="B366" s="50" t="n"/>
      <c r="C366" s="50" t="n"/>
      <c r="D366" s="84" t="n"/>
      <c r="E366" s="84" t="n"/>
      <c r="F366" s="84" t="n"/>
      <c r="G366" s="50" t="n"/>
      <c r="H366" s="84" t="n"/>
      <c r="I366" s="84" t="n"/>
      <c r="J366" s="84" t="n"/>
      <c r="K366" s="84" t="n"/>
      <c r="L366" s="84" t="n"/>
      <c r="M366" s="84" t="n"/>
      <c r="N366" s="50" t="n"/>
      <c r="O366" s="84" t="n"/>
      <c r="P366" s="84">
        <f>IF(AND($A366="",$B366=""),"",N(D366)-N(E366)+N(J366)-N(K366))</f>
        <v/>
      </c>
      <c r="Q366" s="84">
        <f>IF(AND($A366="",$B366=""),"",IF(COUNT(L366:M366,O366)=0,"",P366-(N(L366)-N(M366))))</f>
        <v/>
      </c>
      <c r="R366" s="54">
        <f>IF(AND($A366="",$B366=""),"",IF(COUNT(L366:M366,O366)=0,"kein Mandanten-Saldo",IF(OR(AND(L366="",M366="")),"",IF(ABS(ROUND(((ROUND(N(D366)*100,0)+ROUND(N(J366)*100,0)+ROUND(N(M366)*100,0))-(ROUND(N(E366)*100,0)+ROUND(N(K366)*100,0)+ROUND(N(L366)*100,0))),0)-(0))&lt;=0,"OK","ABWEICHUNG"))))</f>
        <v/>
      </c>
      <c r="S366" s="84" t="n"/>
      <c r="T366" s="50" t="n"/>
      <c r="U366" s="50" t="n"/>
      <c r="V366" s="50" t="n"/>
      <c r="W366" s="50" t="n"/>
      <c r="X366" s="50" t="n"/>
      <c r="Y366" s="50" t="n"/>
      <c r="Z366" s="50" t="n"/>
    </row>
    <row r="367">
      <c r="A367" s="50" t="n"/>
      <c r="B367" s="50" t="n"/>
      <c r="C367" s="50" t="n"/>
      <c r="D367" s="84" t="n"/>
      <c r="E367" s="84" t="n"/>
      <c r="F367" s="84" t="n"/>
      <c r="G367" s="50" t="n"/>
      <c r="H367" s="84" t="n"/>
      <c r="I367" s="84" t="n"/>
      <c r="J367" s="84" t="n"/>
      <c r="K367" s="84" t="n"/>
      <c r="L367" s="84" t="n"/>
      <c r="M367" s="84" t="n"/>
      <c r="N367" s="50" t="n"/>
      <c r="O367" s="84" t="n"/>
      <c r="P367" s="84">
        <f>IF(AND($A367="",$B367=""),"",N(D367)-N(E367)+N(J367)-N(K367))</f>
        <v/>
      </c>
      <c r="Q367" s="84">
        <f>IF(AND($A367="",$B367=""),"",IF(COUNT(L367:M367,O367)=0,"",P367-(N(L367)-N(M367))))</f>
        <v/>
      </c>
      <c r="R367" s="54">
        <f>IF(AND($A367="",$B367=""),"",IF(COUNT(L367:M367,O367)=0,"kein Mandanten-Saldo",IF(OR(AND(L367="",M367="")),"",IF(ABS(ROUND(((ROUND(N(D367)*100,0)+ROUND(N(J367)*100,0)+ROUND(N(M367)*100,0))-(ROUND(N(E367)*100,0)+ROUND(N(K367)*100,0)+ROUND(N(L367)*100,0))),0)-(0))&lt;=0,"OK","ABWEICHUNG"))))</f>
        <v/>
      </c>
      <c r="S367" s="84" t="n"/>
      <c r="T367" s="50" t="n"/>
      <c r="U367" s="50" t="n"/>
      <c r="V367" s="50" t="n"/>
      <c r="W367" s="50" t="n"/>
      <c r="X367" s="50" t="n"/>
      <c r="Y367" s="50" t="n"/>
      <c r="Z367" s="50" t="n"/>
    </row>
    <row r="368">
      <c r="A368" s="50" t="n"/>
      <c r="B368" s="50" t="n"/>
      <c r="C368" s="50" t="n"/>
      <c r="D368" s="84" t="n"/>
      <c r="E368" s="84" t="n"/>
      <c r="F368" s="84" t="n"/>
      <c r="G368" s="50" t="n"/>
      <c r="H368" s="84" t="n"/>
      <c r="I368" s="84" t="n"/>
      <c r="J368" s="84" t="n"/>
      <c r="K368" s="84" t="n"/>
      <c r="L368" s="84" t="n"/>
      <c r="M368" s="84" t="n"/>
      <c r="N368" s="50" t="n"/>
      <c r="O368" s="84" t="n"/>
      <c r="P368" s="84">
        <f>IF(AND($A368="",$B368=""),"",N(D368)-N(E368)+N(J368)-N(K368))</f>
        <v/>
      </c>
      <c r="Q368" s="84">
        <f>IF(AND($A368="",$B368=""),"",IF(COUNT(L368:M368,O368)=0,"",P368-(N(L368)-N(M368))))</f>
        <v/>
      </c>
      <c r="R368" s="54">
        <f>IF(AND($A368="",$B368=""),"",IF(COUNT(L368:M368,O368)=0,"kein Mandanten-Saldo",IF(OR(AND(L368="",M368="")),"",IF(ABS(ROUND(((ROUND(N(D368)*100,0)+ROUND(N(J368)*100,0)+ROUND(N(M368)*100,0))-(ROUND(N(E368)*100,0)+ROUND(N(K368)*100,0)+ROUND(N(L368)*100,0))),0)-(0))&lt;=0,"OK","ABWEICHUNG"))))</f>
        <v/>
      </c>
      <c r="S368" s="84" t="n"/>
      <c r="T368" s="50" t="n"/>
      <c r="U368" s="50" t="n"/>
      <c r="V368" s="50" t="n"/>
      <c r="W368" s="50" t="n"/>
      <c r="X368" s="50" t="n"/>
      <c r="Y368" s="50" t="n"/>
      <c r="Z368" s="50" t="n"/>
    </row>
    <row r="369">
      <c r="A369" s="50" t="n"/>
      <c r="B369" s="50" t="n"/>
      <c r="C369" s="50" t="n"/>
      <c r="D369" s="84" t="n"/>
      <c r="E369" s="84" t="n"/>
      <c r="F369" s="84" t="n"/>
      <c r="G369" s="50" t="n"/>
      <c r="H369" s="84" t="n"/>
      <c r="I369" s="84" t="n"/>
      <c r="J369" s="84" t="n"/>
      <c r="K369" s="84" t="n"/>
      <c r="L369" s="84" t="n"/>
      <c r="M369" s="84" t="n"/>
      <c r="N369" s="50" t="n"/>
      <c r="O369" s="84" t="n"/>
      <c r="P369" s="84">
        <f>IF(AND($A369="",$B369=""),"",N(D369)-N(E369)+N(J369)-N(K369))</f>
        <v/>
      </c>
      <c r="Q369" s="84">
        <f>IF(AND($A369="",$B369=""),"",IF(COUNT(L369:M369,O369)=0,"",P369-(N(L369)-N(M369))))</f>
        <v/>
      </c>
      <c r="R369" s="54">
        <f>IF(AND($A369="",$B369=""),"",IF(COUNT(L369:M369,O369)=0,"kein Mandanten-Saldo",IF(OR(AND(L369="",M369="")),"",IF(ABS(ROUND(((ROUND(N(D369)*100,0)+ROUND(N(J369)*100,0)+ROUND(N(M369)*100,0))-(ROUND(N(E369)*100,0)+ROUND(N(K369)*100,0)+ROUND(N(L369)*100,0))),0)-(0))&lt;=0,"OK","ABWEICHUNG"))))</f>
        <v/>
      </c>
      <c r="S369" s="84" t="n"/>
      <c r="T369" s="50" t="n"/>
      <c r="U369" s="50" t="n"/>
      <c r="V369" s="50" t="n"/>
      <c r="W369" s="50" t="n"/>
      <c r="X369" s="50" t="n"/>
      <c r="Y369" s="50" t="n"/>
      <c r="Z369" s="50" t="n"/>
    </row>
    <row r="370">
      <c r="A370" s="50" t="n"/>
      <c r="B370" s="50" t="n"/>
      <c r="C370" s="50" t="n"/>
      <c r="D370" s="84" t="n"/>
      <c r="E370" s="84" t="n"/>
      <c r="F370" s="84" t="n"/>
      <c r="G370" s="50" t="n"/>
      <c r="H370" s="84" t="n"/>
      <c r="I370" s="84" t="n"/>
      <c r="J370" s="84" t="n"/>
      <c r="K370" s="84" t="n"/>
      <c r="L370" s="84" t="n"/>
      <c r="M370" s="84" t="n"/>
      <c r="N370" s="50" t="n"/>
      <c r="O370" s="84" t="n"/>
      <c r="P370" s="84">
        <f>IF(AND($A370="",$B370=""),"",N(D370)-N(E370)+N(J370)-N(K370))</f>
        <v/>
      </c>
      <c r="Q370" s="84">
        <f>IF(AND($A370="",$B370=""),"",IF(COUNT(L370:M370,O370)=0,"",P370-(N(L370)-N(M370))))</f>
        <v/>
      </c>
      <c r="R370" s="54">
        <f>IF(AND($A370="",$B370=""),"",IF(COUNT(L370:M370,O370)=0,"kein Mandanten-Saldo",IF(OR(AND(L370="",M370="")),"",IF(ABS(ROUND(((ROUND(N(D370)*100,0)+ROUND(N(J370)*100,0)+ROUND(N(M370)*100,0))-(ROUND(N(E370)*100,0)+ROUND(N(K370)*100,0)+ROUND(N(L370)*100,0))),0)-(0))&lt;=0,"OK","ABWEICHUNG"))))</f>
        <v/>
      </c>
      <c r="S370" s="84" t="n"/>
      <c r="T370" s="50" t="n"/>
      <c r="U370" s="50" t="n"/>
      <c r="V370" s="50" t="n"/>
      <c r="W370" s="50" t="n"/>
      <c r="X370" s="50" t="n"/>
      <c r="Y370" s="50" t="n"/>
      <c r="Z370" s="50" t="n"/>
    </row>
    <row r="371">
      <c r="A371" s="50" t="n"/>
      <c r="B371" s="50" t="n"/>
      <c r="C371" s="50" t="n"/>
      <c r="D371" s="84" t="n"/>
      <c r="E371" s="84" t="n"/>
      <c r="F371" s="84" t="n"/>
      <c r="G371" s="50" t="n"/>
      <c r="H371" s="84" t="n"/>
      <c r="I371" s="84" t="n"/>
      <c r="J371" s="84" t="n"/>
      <c r="K371" s="84" t="n"/>
      <c r="L371" s="84" t="n"/>
      <c r="M371" s="84" t="n"/>
      <c r="N371" s="50" t="n"/>
      <c r="O371" s="84" t="n"/>
      <c r="P371" s="84">
        <f>IF(AND($A371="",$B371=""),"",N(D371)-N(E371)+N(J371)-N(K371))</f>
        <v/>
      </c>
      <c r="Q371" s="84">
        <f>IF(AND($A371="",$B371=""),"",IF(COUNT(L371:M371,O371)=0,"",P371-(N(L371)-N(M371))))</f>
        <v/>
      </c>
      <c r="R371" s="54">
        <f>IF(AND($A371="",$B371=""),"",IF(COUNT(L371:M371,O371)=0,"kein Mandanten-Saldo",IF(OR(AND(L371="",M371="")),"",IF(ABS(ROUND(((ROUND(N(D371)*100,0)+ROUND(N(J371)*100,0)+ROUND(N(M371)*100,0))-(ROUND(N(E371)*100,0)+ROUND(N(K371)*100,0)+ROUND(N(L371)*100,0))),0)-(0))&lt;=0,"OK","ABWEICHUNG"))))</f>
        <v/>
      </c>
      <c r="S371" s="84" t="n"/>
      <c r="T371" s="50" t="n"/>
      <c r="U371" s="50" t="n"/>
      <c r="V371" s="50" t="n"/>
      <c r="W371" s="50" t="n"/>
      <c r="X371" s="50" t="n"/>
      <c r="Y371" s="50" t="n"/>
      <c r="Z371" s="50" t="n"/>
    </row>
    <row r="372">
      <c r="A372" s="50" t="n"/>
      <c r="B372" s="50" t="n"/>
      <c r="C372" s="50" t="n"/>
      <c r="D372" s="84" t="n"/>
      <c r="E372" s="84" t="n"/>
      <c r="F372" s="84" t="n"/>
      <c r="G372" s="50" t="n"/>
      <c r="H372" s="84" t="n"/>
      <c r="I372" s="84" t="n"/>
      <c r="J372" s="84" t="n"/>
      <c r="K372" s="84" t="n"/>
      <c r="L372" s="84" t="n"/>
      <c r="M372" s="84" t="n"/>
      <c r="N372" s="50" t="n"/>
      <c r="O372" s="84" t="n"/>
      <c r="P372" s="84">
        <f>IF(AND($A372="",$B372=""),"",N(D372)-N(E372)+N(J372)-N(K372))</f>
        <v/>
      </c>
      <c r="Q372" s="84">
        <f>IF(AND($A372="",$B372=""),"",IF(COUNT(L372:M372,O372)=0,"",P372-(N(L372)-N(M372))))</f>
        <v/>
      </c>
      <c r="R372" s="54">
        <f>IF(AND($A372="",$B372=""),"",IF(COUNT(L372:M372,O372)=0,"kein Mandanten-Saldo",IF(OR(AND(L372="",M372="")),"",IF(ABS(ROUND(((ROUND(N(D372)*100,0)+ROUND(N(J372)*100,0)+ROUND(N(M372)*100,0))-(ROUND(N(E372)*100,0)+ROUND(N(K372)*100,0)+ROUND(N(L372)*100,0))),0)-(0))&lt;=0,"OK","ABWEICHUNG"))))</f>
        <v/>
      </c>
      <c r="S372" s="84" t="n"/>
      <c r="T372" s="50" t="n"/>
      <c r="U372" s="50" t="n"/>
      <c r="V372" s="50" t="n"/>
      <c r="W372" s="50" t="n"/>
      <c r="X372" s="50" t="n"/>
      <c r="Y372" s="50" t="n"/>
      <c r="Z372" s="50" t="n"/>
    </row>
    <row r="373">
      <c r="A373" s="50" t="n"/>
      <c r="B373" s="50" t="n"/>
      <c r="C373" s="50" t="n"/>
      <c r="D373" s="84" t="n"/>
      <c r="E373" s="84" t="n"/>
      <c r="F373" s="84" t="n"/>
      <c r="G373" s="50" t="n"/>
      <c r="H373" s="84" t="n"/>
      <c r="I373" s="84" t="n"/>
      <c r="J373" s="84" t="n"/>
      <c r="K373" s="84" t="n"/>
      <c r="L373" s="84" t="n"/>
      <c r="M373" s="84" t="n"/>
      <c r="N373" s="50" t="n"/>
      <c r="O373" s="84" t="n"/>
      <c r="P373" s="84">
        <f>IF(AND($A373="",$B373=""),"",N(D373)-N(E373)+N(J373)-N(K373))</f>
        <v/>
      </c>
      <c r="Q373" s="84">
        <f>IF(AND($A373="",$B373=""),"",IF(COUNT(L373:M373,O373)=0,"",P373-(N(L373)-N(M373))))</f>
        <v/>
      </c>
      <c r="R373" s="54">
        <f>IF(AND($A373="",$B373=""),"",IF(COUNT(L373:M373,O373)=0,"kein Mandanten-Saldo",IF(OR(AND(L373="",M373="")),"",IF(ABS(ROUND(((ROUND(N(D373)*100,0)+ROUND(N(J373)*100,0)+ROUND(N(M373)*100,0))-(ROUND(N(E373)*100,0)+ROUND(N(K373)*100,0)+ROUND(N(L373)*100,0))),0)-(0))&lt;=0,"OK","ABWEICHUNG"))))</f>
        <v/>
      </c>
      <c r="S373" s="84" t="n"/>
      <c r="T373" s="50" t="n"/>
      <c r="U373" s="50" t="n"/>
      <c r="V373" s="50" t="n"/>
      <c r="W373" s="50" t="n"/>
      <c r="X373" s="50" t="n"/>
      <c r="Y373" s="50" t="n"/>
      <c r="Z373" s="50" t="n"/>
    </row>
    <row r="374">
      <c r="A374" s="50" t="n"/>
      <c r="B374" s="50" t="n"/>
      <c r="C374" s="50" t="n"/>
      <c r="D374" s="84" t="n"/>
      <c r="E374" s="84" t="n"/>
      <c r="F374" s="84" t="n"/>
      <c r="G374" s="50" t="n"/>
      <c r="H374" s="84" t="n"/>
      <c r="I374" s="84" t="n"/>
      <c r="J374" s="84" t="n"/>
      <c r="K374" s="84" t="n"/>
      <c r="L374" s="84" t="n"/>
      <c r="M374" s="84" t="n"/>
      <c r="N374" s="50" t="n"/>
      <c r="O374" s="84" t="n"/>
      <c r="P374" s="84">
        <f>IF(AND($A374="",$B374=""),"",N(D374)-N(E374)+N(J374)-N(K374))</f>
        <v/>
      </c>
      <c r="Q374" s="84">
        <f>IF(AND($A374="",$B374=""),"",IF(COUNT(L374:M374,O374)=0,"",P374-(N(L374)-N(M374))))</f>
        <v/>
      </c>
      <c r="R374" s="54">
        <f>IF(AND($A374="",$B374=""),"",IF(COUNT(L374:M374,O374)=0,"kein Mandanten-Saldo",IF(OR(AND(L374="",M374="")),"",IF(ABS(ROUND(((ROUND(N(D374)*100,0)+ROUND(N(J374)*100,0)+ROUND(N(M374)*100,0))-(ROUND(N(E374)*100,0)+ROUND(N(K374)*100,0)+ROUND(N(L374)*100,0))),0)-(0))&lt;=0,"OK","ABWEICHUNG"))))</f>
        <v/>
      </c>
      <c r="S374" s="84" t="n"/>
      <c r="T374" s="50" t="n"/>
      <c r="U374" s="50" t="n"/>
      <c r="V374" s="50" t="n"/>
      <c r="W374" s="50" t="n"/>
      <c r="X374" s="50" t="n"/>
      <c r="Y374" s="50" t="n"/>
      <c r="Z374" s="50" t="n"/>
    </row>
    <row r="375">
      <c r="A375" s="50" t="n"/>
      <c r="B375" s="50" t="n"/>
      <c r="C375" s="50" t="n"/>
      <c r="D375" s="84" t="n"/>
      <c r="E375" s="84" t="n"/>
      <c r="F375" s="84" t="n"/>
      <c r="G375" s="50" t="n"/>
      <c r="H375" s="84" t="n"/>
      <c r="I375" s="84" t="n"/>
      <c r="J375" s="84" t="n"/>
      <c r="K375" s="84" t="n"/>
      <c r="L375" s="84" t="n"/>
      <c r="M375" s="84" t="n"/>
      <c r="N375" s="50" t="n"/>
      <c r="O375" s="84" t="n"/>
      <c r="P375" s="84">
        <f>IF(AND($A375="",$B375=""),"",N(D375)-N(E375)+N(J375)-N(K375))</f>
        <v/>
      </c>
      <c r="Q375" s="84">
        <f>IF(AND($A375="",$B375=""),"",IF(COUNT(L375:M375,O375)=0,"",P375-(N(L375)-N(M375))))</f>
        <v/>
      </c>
      <c r="R375" s="54">
        <f>IF(AND($A375="",$B375=""),"",IF(COUNT(L375:M375,O375)=0,"kein Mandanten-Saldo",IF(OR(AND(L375="",M375="")),"",IF(ABS(ROUND(((ROUND(N(D375)*100,0)+ROUND(N(J375)*100,0)+ROUND(N(M375)*100,0))-(ROUND(N(E375)*100,0)+ROUND(N(K375)*100,0)+ROUND(N(L375)*100,0))),0)-(0))&lt;=0,"OK","ABWEICHUNG"))))</f>
        <v/>
      </c>
      <c r="S375" s="84" t="n"/>
      <c r="T375" s="50" t="n"/>
      <c r="U375" s="50" t="n"/>
      <c r="V375" s="50" t="n"/>
      <c r="W375" s="50" t="n"/>
      <c r="X375" s="50" t="n"/>
      <c r="Y375" s="50" t="n"/>
      <c r="Z375" s="50" t="n"/>
    </row>
    <row r="376">
      <c r="A376" s="50" t="n"/>
      <c r="B376" s="50" t="n"/>
      <c r="C376" s="50" t="n"/>
      <c r="D376" s="84" t="n"/>
      <c r="E376" s="84" t="n"/>
      <c r="F376" s="84" t="n"/>
      <c r="G376" s="50" t="n"/>
      <c r="H376" s="84" t="n"/>
      <c r="I376" s="84" t="n"/>
      <c r="J376" s="84" t="n"/>
      <c r="K376" s="84" t="n"/>
      <c r="L376" s="84" t="n"/>
      <c r="M376" s="84" t="n"/>
      <c r="N376" s="50" t="n"/>
      <c r="O376" s="84" t="n"/>
      <c r="P376" s="84">
        <f>IF(AND($A376="",$B376=""),"",N(D376)-N(E376)+N(J376)-N(K376))</f>
        <v/>
      </c>
      <c r="Q376" s="84">
        <f>IF(AND($A376="",$B376=""),"",IF(COUNT(L376:M376,O376)=0,"",P376-(N(L376)-N(M376))))</f>
        <v/>
      </c>
      <c r="R376" s="54">
        <f>IF(AND($A376="",$B376=""),"",IF(COUNT(L376:M376,O376)=0,"kein Mandanten-Saldo",IF(OR(AND(L376="",M376="")),"",IF(ABS(ROUND(((ROUND(N(D376)*100,0)+ROUND(N(J376)*100,0)+ROUND(N(M376)*100,0))-(ROUND(N(E376)*100,0)+ROUND(N(K376)*100,0)+ROUND(N(L376)*100,0))),0)-(0))&lt;=0,"OK","ABWEICHUNG"))))</f>
        <v/>
      </c>
      <c r="S376" s="84" t="n"/>
      <c r="T376" s="50" t="n"/>
      <c r="U376" s="50" t="n"/>
      <c r="V376" s="50" t="n"/>
      <c r="W376" s="50" t="n"/>
      <c r="X376" s="50" t="n"/>
      <c r="Y376" s="50" t="n"/>
      <c r="Z376" s="50" t="n"/>
    </row>
    <row r="377">
      <c r="A377" s="50" t="n"/>
      <c r="B377" s="50" t="n"/>
      <c r="C377" s="50" t="n"/>
      <c r="D377" s="84" t="n"/>
      <c r="E377" s="84" t="n"/>
      <c r="F377" s="84" t="n"/>
      <c r="G377" s="50" t="n"/>
      <c r="H377" s="84" t="n"/>
      <c r="I377" s="84" t="n"/>
      <c r="J377" s="84" t="n"/>
      <c r="K377" s="84" t="n"/>
      <c r="L377" s="84" t="n"/>
      <c r="M377" s="84" t="n"/>
      <c r="N377" s="50" t="n"/>
      <c r="O377" s="84" t="n"/>
      <c r="P377" s="84">
        <f>IF(AND($A377="",$B377=""),"",N(D377)-N(E377)+N(J377)-N(K377))</f>
        <v/>
      </c>
      <c r="Q377" s="84">
        <f>IF(AND($A377="",$B377=""),"",IF(COUNT(L377:M377,O377)=0,"",P377-(N(L377)-N(M377))))</f>
        <v/>
      </c>
      <c r="R377" s="54">
        <f>IF(AND($A377="",$B377=""),"",IF(COUNT(L377:M377,O377)=0,"kein Mandanten-Saldo",IF(OR(AND(L377="",M377="")),"",IF(ABS(ROUND(((ROUND(N(D377)*100,0)+ROUND(N(J377)*100,0)+ROUND(N(M377)*100,0))-(ROUND(N(E377)*100,0)+ROUND(N(K377)*100,0)+ROUND(N(L377)*100,0))),0)-(0))&lt;=0,"OK","ABWEICHUNG"))))</f>
        <v/>
      </c>
      <c r="S377" s="84" t="n"/>
      <c r="T377" s="50" t="n"/>
      <c r="U377" s="50" t="n"/>
      <c r="V377" s="50" t="n"/>
      <c r="W377" s="50" t="n"/>
      <c r="X377" s="50" t="n"/>
      <c r="Y377" s="50" t="n"/>
      <c r="Z377" s="50" t="n"/>
    </row>
    <row r="378">
      <c r="A378" s="50" t="n"/>
      <c r="B378" s="50" t="n"/>
      <c r="C378" s="50" t="n"/>
      <c r="D378" s="84" t="n"/>
      <c r="E378" s="84" t="n"/>
      <c r="F378" s="84" t="n"/>
      <c r="G378" s="50" t="n"/>
      <c r="H378" s="84" t="n"/>
      <c r="I378" s="84" t="n"/>
      <c r="J378" s="84" t="n"/>
      <c r="K378" s="84" t="n"/>
      <c r="L378" s="84" t="n"/>
      <c r="M378" s="84" t="n"/>
      <c r="N378" s="50" t="n"/>
      <c r="O378" s="84" t="n"/>
      <c r="P378" s="84">
        <f>IF(AND($A378="",$B378=""),"",N(D378)-N(E378)+N(J378)-N(K378))</f>
        <v/>
      </c>
      <c r="Q378" s="84">
        <f>IF(AND($A378="",$B378=""),"",IF(COUNT(L378:M378,O378)=0,"",P378-(N(L378)-N(M378))))</f>
        <v/>
      </c>
      <c r="R378" s="54">
        <f>IF(AND($A378="",$B378=""),"",IF(COUNT(L378:M378,O378)=0,"kein Mandanten-Saldo",IF(OR(AND(L378="",M378="")),"",IF(ABS(ROUND(((ROUND(N(D378)*100,0)+ROUND(N(J378)*100,0)+ROUND(N(M378)*100,0))-(ROUND(N(E378)*100,0)+ROUND(N(K378)*100,0)+ROUND(N(L378)*100,0))),0)-(0))&lt;=0,"OK","ABWEICHUNG"))))</f>
        <v/>
      </c>
      <c r="S378" s="84" t="n"/>
      <c r="T378" s="50" t="n"/>
      <c r="U378" s="50" t="n"/>
      <c r="V378" s="50" t="n"/>
      <c r="W378" s="50" t="n"/>
      <c r="X378" s="50" t="n"/>
      <c r="Y378" s="50" t="n"/>
      <c r="Z378" s="50" t="n"/>
    </row>
    <row r="379">
      <c r="A379" s="50" t="n"/>
      <c r="B379" s="50" t="n"/>
      <c r="C379" s="50" t="n"/>
      <c r="D379" s="84" t="n"/>
      <c r="E379" s="84" t="n"/>
      <c r="F379" s="84" t="n"/>
      <c r="G379" s="50" t="n"/>
      <c r="H379" s="84" t="n"/>
      <c r="I379" s="84" t="n"/>
      <c r="J379" s="84" t="n"/>
      <c r="K379" s="84" t="n"/>
      <c r="L379" s="84" t="n"/>
      <c r="M379" s="84" t="n"/>
      <c r="N379" s="50" t="n"/>
      <c r="O379" s="84" t="n"/>
      <c r="P379" s="84">
        <f>IF(AND($A379="",$B379=""),"",N(D379)-N(E379)+N(J379)-N(K379))</f>
        <v/>
      </c>
      <c r="Q379" s="84">
        <f>IF(AND($A379="",$B379=""),"",IF(COUNT(L379:M379,O379)=0,"",P379-(N(L379)-N(M379))))</f>
        <v/>
      </c>
      <c r="R379" s="54">
        <f>IF(AND($A379="",$B379=""),"",IF(COUNT(L379:M379,O379)=0,"kein Mandanten-Saldo",IF(OR(AND(L379="",M379="")),"",IF(ABS(ROUND(((ROUND(N(D379)*100,0)+ROUND(N(J379)*100,0)+ROUND(N(M379)*100,0))-(ROUND(N(E379)*100,0)+ROUND(N(K379)*100,0)+ROUND(N(L379)*100,0))),0)-(0))&lt;=0,"OK","ABWEICHUNG"))))</f>
        <v/>
      </c>
      <c r="S379" s="84" t="n"/>
      <c r="T379" s="50" t="n"/>
      <c r="U379" s="50" t="n"/>
      <c r="V379" s="50" t="n"/>
      <c r="W379" s="50" t="n"/>
      <c r="X379" s="50" t="n"/>
      <c r="Y379" s="50" t="n"/>
      <c r="Z379" s="50" t="n"/>
    </row>
    <row r="380">
      <c r="A380" s="50" t="n"/>
      <c r="B380" s="50" t="n"/>
      <c r="C380" s="50" t="n"/>
      <c r="D380" s="84" t="n"/>
      <c r="E380" s="84" t="n"/>
      <c r="F380" s="84" t="n"/>
      <c r="G380" s="50" t="n"/>
      <c r="H380" s="84" t="n"/>
      <c r="I380" s="84" t="n"/>
      <c r="J380" s="84" t="n"/>
      <c r="K380" s="84" t="n"/>
      <c r="L380" s="84" t="n"/>
      <c r="M380" s="84" t="n"/>
      <c r="N380" s="50" t="n"/>
      <c r="O380" s="84" t="n"/>
      <c r="P380" s="84">
        <f>IF(AND($A380="",$B380=""),"",N(D380)-N(E380)+N(J380)-N(K380))</f>
        <v/>
      </c>
      <c r="Q380" s="84">
        <f>IF(AND($A380="",$B380=""),"",IF(COUNT(L380:M380,O380)=0,"",P380-(N(L380)-N(M380))))</f>
        <v/>
      </c>
      <c r="R380" s="54">
        <f>IF(AND($A380="",$B380=""),"",IF(COUNT(L380:M380,O380)=0,"kein Mandanten-Saldo",IF(OR(AND(L380="",M380="")),"",IF(ABS(ROUND(((ROUND(N(D380)*100,0)+ROUND(N(J380)*100,0)+ROUND(N(M380)*100,0))-(ROUND(N(E380)*100,0)+ROUND(N(K380)*100,0)+ROUND(N(L380)*100,0))),0)-(0))&lt;=0,"OK","ABWEICHUNG"))))</f>
        <v/>
      </c>
      <c r="S380" s="84" t="n"/>
      <c r="T380" s="50" t="n"/>
      <c r="U380" s="50" t="n"/>
      <c r="V380" s="50" t="n"/>
      <c r="W380" s="50" t="n"/>
      <c r="X380" s="50" t="n"/>
      <c r="Y380" s="50" t="n"/>
      <c r="Z380" s="50" t="n"/>
    </row>
    <row r="381">
      <c r="A381" s="50" t="n"/>
      <c r="B381" s="50" t="n"/>
      <c r="C381" s="50" t="n"/>
      <c r="D381" s="84" t="n"/>
      <c r="E381" s="84" t="n"/>
      <c r="F381" s="84" t="n"/>
      <c r="G381" s="50" t="n"/>
      <c r="H381" s="84" t="n"/>
      <c r="I381" s="84" t="n"/>
      <c r="J381" s="84" t="n"/>
      <c r="K381" s="84" t="n"/>
      <c r="L381" s="84" t="n"/>
      <c r="M381" s="84" t="n"/>
      <c r="N381" s="50" t="n"/>
      <c r="O381" s="84" t="n"/>
      <c r="P381" s="84">
        <f>IF(AND($A381="",$B381=""),"",N(D381)-N(E381)+N(J381)-N(K381))</f>
        <v/>
      </c>
      <c r="Q381" s="84">
        <f>IF(AND($A381="",$B381=""),"",IF(COUNT(L381:M381,O381)=0,"",P381-(N(L381)-N(M381))))</f>
        <v/>
      </c>
      <c r="R381" s="54">
        <f>IF(AND($A381="",$B381=""),"",IF(COUNT(L381:M381,O381)=0,"kein Mandanten-Saldo",IF(OR(AND(L381="",M381="")),"",IF(ABS(ROUND(((ROUND(N(D381)*100,0)+ROUND(N(J381)*100,0)+ROUND(N(M381)*100,0))-(ROUND(N(E381)*100,0)+ROUND(N(K381)*100,0)+ROUND(N(L381)*100,0))),0)-(0))&lt;=0,"OK","ABWEICHUNG"))))</f>
        <v/>
      </c>
      <c r="S381" s="84" t="n"/>
      <c r="T381" s="50" t="n"/>
      <c r="U381" s="50" t="n"/>
      <c r="V381" s="50" t="n"/>
      <c r="W381" s="50" t="n"/>
      <c r="X381" s="50" t="n"/>
      <c r="Y381" s="50" t="n"/>
      <c r="Z381" s="50" t="n"/>
    </row>
    <row r="382">
      <c r="A382" s="50" t="n"/>
      <c r="B382" s="50" t="n"/>
      <c r="C382" s="50" t="n"/>
      <c r="D382" s="84" t="n"/>
      <c r="E382" s="84" t="n"/>
      <c r="F382" s="84" t="n"/>
      <c r="G382" s="50" t="n"/>
      <c r="H382" s="84" t="n"/>
      <c r="I382" s="84" t="n"/>
      <c r="J382" s="84" t="n"/>
      <c r="K382" s="84" t="n"/>
      <c r="L382" s="84" t="n"/>
      <c r="M382" s="84" t="n"/>
      <c r="N382" s="50" t="n"/>
      <c r="O382" s="84" t="n"/>
      <c r="P382" s="84">
        <f>IF(AND($A382="",$B382=""),"",N(D382)-N(E382)+N(J382)-N(K382))</f>
        <v/>
      </c>
      <c r="Q382" s="84">
        <f>IF(AND($A382="",$B382=""),"",IF(COUNT(L382:M382,O382)=0,"",P382-(N(L382)-N(M382))))</f>
        <v/>
      </c>
      <c r="R382" s="54">
        <f>IF(AND($A382="",$B382=""),"",IF(COUNT(L382:M382,O382)=0,"kein Mandanten-Saldo",IF(OR(AND(L382="",M382="")),"",IF(ABS(ROUND(((ROUND(N(D382)*100,0)+ROUND(N(J382)*100,0)+ROUND(N(M382)*100,0))-(ROUND(N(E382)*100,0)+ROUND(N(K382)*100,0)+ROUND(N(L382)*100,0))),0)-(0))&lt;=0,"OK","ABWEICHUNG"))))</f>
        <v/>
      </c>
      <c r="S382" s="84" t="n"/>
      <c r="T382" s="50" t="n"/>
      <c r="U382" s="50" t="n"/>
      <c r="V382" s="50" t="n"/>
      <c r="W382" s="50" t="n"/>
      <c r="X382" s="50" t="n"/>
      <c r="Y382" s="50" t="n"/>
      <c r="Z382" s="50" t="n"/>
    </row>
    <row r="383">
      <c r="A383" s="50" t="n"/>
      <c r="B383" s="50" t="n"/>
      <c r="C383" s="50" t="n"/>
      <c r="D383" s="84" t="n"/>
      <c r="E383" s="84" t="n"/>
      <c r="F383" s="84" t="n"/>
      <c r="G383" s="50" t="n"/>
      <c r="H383" s="84" t="n"/>
      <c r="I383" s="84" t="n"/>
      <c r="J383" s="84" t="n"/>
      <c r="K383" s="84" t="n"/>
      <c r="L383" s="84" t="n"/>
      <c r="M383" s="84" t="n"/>
      <c r="N383" s="50" t="n"/>
      <c r="O383" s="84" t="n"/>
      <c r="P383" s="84">
        <f>IF(AND($A383="",$B383=""),"",N(D383)-N(E383)+N(J383)-N(K383))</f>
        <v/>
      </c>
      <c r="Q383" s="84">
        <f>IF(AND($A383="",$B383=""),"",IF(COUNT(L383:M383,O383)=0,"",P383-(N(L383)-N(M383))))</f>
        <v/>
      </c>
      <c r="R383" s="54">
        <f>IF(AND($A383="",$B383=""),"",IF(COUNT(L383:M383,O383)=0,"kein Mandanten-Saldo",IF(OR(AND(L383="",M383="")),"",IF(ABS(ROUND(((ROUND(N(D383)*100,0)+ROUND(N(J383)*100,0)+ROUND(N(M383)*100,0))-(ROUND(N(E383)*100,0)+ROUND(N(K383)*100,0)+ROUND(N(L383)*100,0))),0)-(0))&lt;=0,"OK","ABWEICHUNG"))))</f>
        <v/>
      </c>
      <c r="S383" s="84" t="n"/>
      <c r="T383" s="50" t="n"/>
      <c r="U383" s="50" t="n"/>
      <c r="V383" s="50" t="n"/>
      <c r="W383" s="50" t="n"/>
      <c r="X383" s="50" t="n"/>
      <c r="Y383" s="50" t="n"/>
      <c r="Z383" s="50" t="n"/>
    </row>
    <row r="384">
      <c r="A384" s="50" t="n"/>
      <c r="B384" s="50" t="n"/>
      <c r="C384" s="50" t="n"/>
      <c r="D384" s="84" t="n"/>
      <c r="E384" s="84" t="n"/>
      <c r="F384" s="84" t="n"/>
      <c r="G384" s="50" t="n"/>
      <c r="H384" s="84" t="n"/>
      <c r="I384" s="84" t="n"/>
      <c r="J384" s="84" t="n"/>
      <c r="K384" s="84" t="n"/>
      <c r="L384" s="84" t="n"/>
      <c r="M384" s="84" t="n"/>
      <c r="N384" s="50" t="n"/>
      <c r="O384" s="84" t="n"/>
      <c r="P384" s="84">
        <f>IF(AND($A384="",$B384=""),"",N(D384)-N(E384)+N(J384)-N(K384))</f>
        <v/>
      </c>
      <c r="Q384" s="84">
        <f>IF(AND($A384="",$B384=""),"",IF(COUNT(L384:M384,O384)=0,"",P384-(N(L384)-N(M384))))</f>
        <v/>
      </c>
      <c r="R384" s="54">
        <f>IF(AND($A384="",$B384=""),"",IF(COUNT(L384:M384,O384)=0,"kein Mandanten-Saldo",IF(OR(AND(L384="",M384="")),"",IF(ABS(ROUND(((ROUND(N(D384)*100,0)+ROUND(N(J384)*100,0)+ROUND(N(M384)*100,0))-(ROUND(N(E384)*100,0)+ROUND(N(K384)*100,0)+ROUND(N(L384)*100,0))),0)-(0))&lt;=0,"OK","ABWEICHUNG"))))</f>
        <v/>
      </c>
      <c r="S384" s="84" t="n"/>
      <c r="T384" s="50" t="n"/>
      <c r="U384" s="50" t="n"/>
      <c r="V384" s="50" t="n"/>
      <c r="W384" s="50" t="n"/>
      <c r="X384" s="50" t="n"/>
      <c r="Y384" s="50" t="n"/>
      <c r="Z384" s="50" t="n"/>
    </row>
    <row r="385">
      <c r="A385" s="50" t="n"/>
      <c r="B385" s="50" t="n"/>
      <c r="C385" s="50" t="n"/>
      <c r="D385" s="84" t="n"/>
      <c r="E385" s="84" t="n"/>
      <c r="F385" s="84" t="n"/>
      <c r="G385" s="50" t="n"/>
      <c r="H385" s="84" t="n"/>
      <c r="I385" s="84" t="n"/>
      <c r="J385" s="84" t="n"/>
      <c r="K385" s="84" t="n"/>
      <c r="L385" s="84" t="n"/>
      <c r="M385" s="84" t="n"/>
      <c r="N385" s="50" t="n"/>
      <c r="O385" s="84" t="n"/>
      <c r="P385" s="84">
        <f>IF(AND($A385="",$B385=""),"",N(D385)-N(E385)+N(J385)-N(K385))</f>
        <v/>
      </c>
      <c r="Q385" s="84">
        <f>IF(AND($A385="",$B385=""),"",IF(COUNT(L385:M385,O385)=0,"",P385-(N(L385)-N(M385))))</f>
        <v/>
      </c>
      <c r="R385" s="54">
        <f>IF(AND($A385="",$B385=""),"",IF(COUNT(L385:M385,O385)=0,"kein Mandanten-Saldo",IF(OR(AND(L385="",M385="")),"",IF(ABS(ROUND(((ROUND(N(D385)*100,0)+ROUND(N(J385)*100,0)+ROUND(N(M385)*100,0))-(ROUND(N(E385)*100,0)+ROUND(N(K385)*100,0)+ROUND(N(L385)*100,0))),0)-(0))&lt;=0,"OK","ABWEICHUNG"))))</f>
        <v/>
      </c>
      <c r="S385" s="84" t="n"/>
      <c r="T385" s="50" t="n"/>
      <c r="U385" s="50" t="n"/>
      <c r="V385" s="50" t="n"/>
      <c r="W385" s="50" t="n"/>
      <c r="X385" s="50" t="n"/>
      <c r="Y385" s="50" t="n"/>
      <c r="Z385" s="50" t="n"/>
    </row>
    <row r="386">
      <c r="A386" s="50" t="n"/>
      <c r="B386" s="50" t="n"/>
      <c r="C386" s="50" t="n"/>
      <c r="D386" s="84" t="n"/>
      <c r="E386" s="84" t="n"/>
      <c r="F386" s="84" t="n"/>
      <c r="G386" s="50" t="n"/>
      <c r="H386" s="84" t="n"/>
      <c r="I386" s="84" t="n"/>
      <c r="J386" s="84" t="n"/>
      <c r="K386" s="84" t="n"/>
      <c r="L386" s="84" t="n"/>
      <c r="M386" s="84" t="n"/>
      <c r="N386" s="50" t="n"/>
      <c r="O386" s="84" t="n"/>
      <c r="P386" s="84">
        <f>IF(AND($A386="",$B386=""),"",N(D386)-N(E386)+N(J386)-N(K386))</f>
        <v/>
      </c>
      <c r="Q386" s="84">
        <f>IF(AND($A386="",$B386=""),"",IF(COUNT(L386:M386,O386)=0,"",P386-(N(L386)-N(M386))))</f>
        <v/>
      </c>
      <c r="R386" s="54">
        <f>IF(AND($A386="",$B386=""),"",IF(COUNT(L386:M386,O386)=0,"kein Mandanten-Saldo",IF(OR(AND(L386="",M386="")),"",IF(ABS(ROUND(((ROUND(N(D386)*100,0)+ROUND(N(J386)*100,0)+ROUND(N(M386)*100,0))-(ROUND(N(E386)*100,0)+ROUND(N(K386)*100,0)+ROUND(N(L386)*100,0))),0)-(0))&lt;=0,"OK","ABWEICHUNG"))))</f>
        <v/>
      </c>
      <c r="S386" s="84" t="n"/>
      <c r="T386" s="50" t="n"/>
      <c r="U386" s="50" t="n"/>
      <c r="V386" s="50" t="n"/>
      <c r="W386" s="50" t="n"/>
      <c r="X386" s="50" t="n"/>
      <c r="Y386" s="50" t="n"/>
      <c r="Z386" s="50" t="n"/>
    </row>
    <row r="387">
      <c r="A387" s="50" t="n"/>
      <c r="B387" s="50" t="n"/>
      <c r="C387" s="50" t="n"/>
      <c r="D387" s="84" t="n"/>
      <c r="E387" s="84" t="n"/>
      <c r="F387" s="84" t="n"/>
      <c r="G387" s="50" t="n"/>
      <c r="H387" s="84" t="n"/>
      <c r="I387" s="84" t="n"/>
      <c r="J387" s="84" t="n"/>
      <c r="K387" s="84" t="n"/>
      <c r="L387" s="84" t="n"/>
      <c r="M387" s="84" t="n"/>
      <c r="N387" s="50" t="n"/>
      <c r="O387" s="84" t="n"/>
      <c r="P387" s="84">
        <f>IF(AND($A387="",$B387=""),"",N(D387)-N(E387)+N(J387)-N(K387))</f>
        <v/>
      </c>
      <c r="Q387" s="84">
        <f>IF(AND($A387="",$B387=""),"",IF(COUNT(L387:M387,O387)=0,"",P387-(N(L387)-N(M387))))</f>
        <v/>
      </c>
      <c r="R387" s="54">
        <f>IF(AND($A387="",$B387=""),"",IF(COUNT(L387:M387,O387)=0,"kein Mandanten-Saldo",IF(OR(AND(L387="",M387="")),"",IF(ABS(ROUND(((ROUND(N(D387)*100,0)+ROUND(N(J387)*100,0)+ROUND(N(M387)*100,0))-(ROUND(N(E387)*100,0)+ROUND(N(K387)*100,0)+ROUND(N(L387)*100,0))),0)-(0))&lt;=0,"OK","ABWEICHUNG"))))</f>
        <v/>
      </c>
      <c r="S387" s="84" t="n"/>
      <c r="T387" s="50" t="n"/>
      <c r="U387" s="50" t="n"/>
      <c r="V387" s="50" t="n"/>
      <c r="W387" s="50" t="n"/>
      <c r="X387" s="50" t="n"/>
      <c r="Y387" s="50" t="n"/>
      <c r="Z387" s="50" t="n"/>
    </row>
    <row r="388">
      <c r="A388" s="50" t="n"/>
      <c r="B388" s="50" t="n"/>
      <c r="C388" s="50" t="n"/>
      <c r="D388" s="84" t="n"/>
      <c r="E388" s="84" t="n"/>
      <c r="F388" s="84" t="n"/>
      <c r="G388" s="50" t="n"/>
      <c r="H388" s="84" t="n"/>
      <c r="I388" s="84" t="n"/>
      <c r="J388" s="84" t="n"/>
      <c r="K388" s="84" t="n"/>
      <c r="L388" s="84" t="n"/>
      <c r="M388" s="84" t="n"/>
      <c r="N388" s="50" t="n"/>
      <c r="O388" s="84" t="n"/>
      <c r="P388" s="84">
        <f>IF(AND($A388="",$B388=""),"",N(D388)-N(E388)+N(J388)-N(K388))</f>
        <v/>
      </c>
      <c r="Q388" s="84">
        <f>IF(AND($A388="",$B388=""),"",IF(COUNT(L388:M388,O388)=0,"",P388-(N(L388)-N(M388))))</f>
        <v/>
      </c>
      <c r="R388" s="54">
        <f>IF(AND($A388="",$B388=""),"",IF(COUNT(L388:M388,O388)=0,"kein Mandanten-Saldo",IF(OR(AND(L388="",M388="")),"",IF(ABS(ROUND(((ROUND(N(D388)*100,0)+ROUND(N(J388)*100,0)+ROUND(N(M388)*100,0))-(ROUND(N(E388)*100,0)+ROUND(N(K388)*100,0)+ROUND(N(L388)*100,0))),0)-(0))&lt;=0,"OK","ABWEICHUNG"))))</f>
        <v/>
      </c>
      <c r="S388" s="84" t="n"/>
      <c r="T388" s="50" t="n"/>
      <c r="U388" s="50" t="n"/>
      <c r="V388" s="50" t="n"/>
      <c r="W388" s="50" t="n"/>
      <c r="X388" s="50" t="n"/>
      <c r="Y388" s="50" t="n"/>
      <c r="Z388" s="50" t="n"/>
    </row>
    <row r="389">
      <c r="A389" s="50" t="n"/>
      <c r="B389" s="50" t="n"/>
      <c r="C389" s="50" t="n"/>
      <c r="D389" s="84" t="n"/>
      <c r="E389" s="84" t="n"/>
      <c r="F389" s="84" t="n"/>
      <c r="G389" s="50" t="n"/>
      <c r="H389" s="84" t="n"/>
      <c r="I389" s="84" t="n"/>
      <c r="J389" s="84" t="n"/>
      <c r="K389" s="84" t="n"/>
      <c r="L389" s="84" t="n"/>
      <c r="M389" s="84" t="n"/>
      <c r="N389" s="50" t="n"/>
      <c r="O389" s="84" t="n"/>
      <c r="P389" s="84">
        <f>IF(AND($A389="",$B389=""),"",N(D389)-N(E389)+N(J389)-N(K389))</f>
        <v/>
      </c>
      <c r="Q389" s="84">
        <f>IF(AND($A389="",$B389=""),"",IF(COUNT(L389:M389,O389)=0,"",P389-(N(L389)-N(M389))))</f>
        <v/>
      </c>
      <c r="R389" s="54">
        <f>IF(AND($A389="",$B389=""),"",IF(COUNT(L389:M389,O389)=0,"kein Mandanten-Saldo",IF(OR(AND(L389="",M389="")),"",IF(ABS(ROUND(((ROUND(N(D389)*100,0)+ROUND(N(J389)*100,0)+ROUND(N(M389)*100,0))-(ROUND(N(E389)*100,0)+ROUND(N(K389)*100,0)+ROUND(N(L389)*100,0))),0)-(0))&lt;=0,"OK","ABWEICHUNG"))))</f>
        <v/>
      </c>
      <c r="S389" s="84" t="n"/>
      <c r="T389" s="50" t="n"/>
      <c r="U389" s="50" t="n"/>
      <c r="V389" s="50" t="n"/>
      <c r="W389" s="50" t="n"/>
      <c r="X389" s="50" t="n"/>
      <c r="Y389" s="50" t="n"/>
      <c r="Z389" s="50" t="n"/>
    </row>
    <row r="390">
      <c r="A390" s="50" t="n"/>
      <c r="B390" s="50" t="n"/>
      <c r="C390" s="50" t="n"/>
      <c r="D390" s="84" t="n"/>
      <c r="E390" s="84" t="n"/>
      <c r="F390" s="84" t="n"/>
      <c r="G390" s="50" t="n"/>
      <c r="H390" s="84" t="n"/>
      <c r="I390" s="84" t="n"/>
      <c r="J390" s="84" t="n"/>
      <c r="K390" s="84" t="n"/>
      <c r="L390" s="84" t="n"/>
      <c r="M390" s="84" t="n"/>
      <c r="N390" s="50" t="n"/>
      <c r="O390" s="84" t="n"/>
      <c r="P390" s="84">
        <f>IF(AND($A390="",$B390=""),"",N(D390)-N(E390)+N(J390)-N(K390))</f>
        <v/>
      </c>
      <c r="Q390" s="84">
        <f>IF(AND($A390="",$B390=""),"",IF(COUNT(L390:M390,O390)=0,"",P390-(N(L390)-N(M390))))</f>
        <v/>
      </c>
      <c r="R390" s="54">
        <f>IF(AND($A390="",$B390=""),"",IF(COUNT(L390:M390,O390)=0,"kein Mandanten-Saldo",IF(OR(AND(L390="",M390="")),"",IF(ABS(ROUND(((ROUND(N(D390)*100,0)+ROUND(N(J390)*100,0)+ROUND(N(M390)*100,0))-(ROUND(N(E390)*100,0)+ROUND(N(K390)*100,0)+ROUND(N(L390)*100,0))),0)-(0))&lt;=0,"OK","ABWEICHUNG"))))</f>
        <v/>
      </c>
      <c r="S390" s="84" t="n"/>
      <c r="T390" s="50" t="n"/>
      <c r="U390" s="50" t="n"/>
      <c r="V390" s="50" t="n"/>
      <c r="W390" s="50" t="n"/>
      <c r="X390" s="50" t="n"/>
      <c r="Y390" s="50" t="n"/>
      <c r="Z390" s="50" t="n"/>
    </row>
    <row r="391">
      <c r="A391" s="50" t="n"/>
      <c r="B391" s="50" t="n"/>
      <c r="C391" s="50" t="n"/>
      <c r="D391" s="84" t="n"/>
      <c r="E391" s="84" t="n"/>
      <c r="F391" s="84" t="n"/>
      <c r="G391" s="50" t="n"/>
      <c r="H391" s="84" t="n"/>
      <c r="I391" s="84" t="n"/>
      <c r="J391" s="84" t="n"/>
      <c r="K391" s="84" t="n"/>
      <c r="L391" s="84" t="n"/>
      <c r="M391" s="84" t="n"/>
      <c r="N391" s="50" t="n"/>
      <c r="O391" s="84" t="n"/>
      <c r="P391" s="84">
        <f>IF(AND($A391="",$B391=""),"",N(D391)-N(E391)+N(J391)-N(K391))</f>
        <v/>
      </c>
      <c r="Q391" s="84">
        <f>IF(AND($A391="",$B391=""),"",IF(COUNT(L391:M391,O391)=0,"",P391-(N(L391)-N(M391))))</f>
        <v/>
      </c>
      <c r="R391" s="54">
        <f>IF(AND($A391="",$B391=""),"",IF(COUNT(L391:M391,O391)=0,"kein Mandanten-Saldo",IF(OR(AND(L391="",M391="")),"",IF(ABS(ROUND(((ROUND(N(D391)*100,0)+ROUND(N(J391)*100,0)+ROUND(N(M391)*100,0))-(ROUND(N(E391)*100,0)+ROUND(N(K391)*100,0)+ROUND(N(L391)*100,0))),0)-(0))&lt;=0,"OK","ABWEICHUNG"))))</f>
        <v/>
      </c>
      <c r="S391" s="84" t="n"/>
      <c r="T391" s="50" t="n"/>
      <c r="U391" s="50" t="n"/>
      <c r="V391" s="50" t="n"/>
      <c r="W391" s="50" t="n"/>
      <c r="X391" s="50" t="n"/>
      <c r="Y391" s="50" t="n"/>
      <c r="Z391" s="50" t="n"/>
    </row>
    <row r="392">
      <c r="A392" s="50" t="n"/>
      <c r="B392" s="50" t="n"/>
      <c r="C392" s="50" t="n"/>
      <c r="D392" s="84" t="n"/>
      <c r="E392" s="84" t="n"/>
      <c r="F392" s="84" t="n"/>
      <c r="G392" s="50" t="n"/>
      <c r="H392" s="84" t="n"/>
      <c r="I392" s="84" t="n"/>
      <c r="J392" s="84" t="n"/>
      <c r="K392" s="84" t="n"/>
      <c r="L392" s="84" t="n"/>
      <c r="M392" s="84" t="n"/>
      <c r="N392" s="50" t="n"/>
      <c r="O392" s="84" t="n"/>
      <c r="P392" s="84">
        <f>IF(AND($A392="",$B392=""),"",N(D392)-N(E392)+N(J392)-N(K392))</f>
        <v/>
      </c>
      <c r="Q392" s="84">
        <f>IF(AND($A392="",$B392=""),"",IF(COUNT(L392:M392,O392)=0,"",P392-(N(L392)-N(M392))))</f>
        <v/>
      </c>
      <c r="R392" s="54">
        <f>IF(AND($A392="",$B392=""),"",IF(COUNT(L392:M392,O392)=0,"kein Mandanten-Saldo",IF(OR(AND(L392="",M392="")),"",IF(ABS(ROUND(((ROUND(N(D392)*100,0)+ROUND(N(J392)*100,0)+ROUND(N(M392)*100,0))-(ROUND(N(E392)*100,0)+ROUND(N(K392)*100,0)+ROUND(N(L392)*100,0))),0)-(0))&lt;=0,"OK","ABWEICHUNG"))))</f>
        <v/>
      </c>
      <c r="S392" s="84" t="n"/>
      <c r="T392" s="50" t="n"/>
      <c r="U392" s="50" t="n"/>
      <c r="V392" s="50" t="n"/>
      <c r="W392" s="50" t="n"/>
      <c r="X392" s="50" t="n"/>
      <c r="Y392" s="50" t="n"/>
      <c r="Z392" s="50" t="n"/>
    </row>
    <row r="393">
      <c r="A393" s="50" t="n"/>
      <c r="B393" s="50" t="n"/>
      <c r="C393" s="50" t="n"/>
      <c r="D393" s="84" t="n"/>
      <c r="E393" s="84" t="n"/>
      <c r="F393" s="84" t="n"/>
      <c r="G393" s="50" t="n"/>
      <c r="H393" s="84" t="n"/>
      <c r="I393" s="84" t="n"/>
      <c r="J393" s="84" t="n"/>
      <c r="K393" s="84" t="n"/>
      <c r="L393" s="84" t="n"/>
      <c r="M393" s="84" t="n"/>
      <c r="N393" s="50" t="n"/>
      <c r="O393" s="84" t="n"/>
      <c r="P393" s="84">
        <f>IF(AND($A393="",$B393=""),"",N(D393)-N(E393)+N(J393)-N(K393))</f>
        <v/>
      </c>
      <c r="Q393" s="84">
        <f>IF(AND($A393="",$B393=""),"",IF(COUNT(L393:M393,O393)=0,"",P393-(N(L393)-N(M393))))</f>
        <v/>
      </c>
      <c r="R393" s="54">
        <f>IF(AND($A393="",$B393=""),"",IF(COUNT(L393:M393,O393)=0,"kein Mandanten-Saldo",IF(OR(AND(L393="",M393="")),"",IF(ABS(ROUND(((ROUND(N(D393)*100,0)+ROUND(N(J393)*100,0)+ROUND(N(M393)*100,0))-(ROUND(N(E393)*100,0)+ROUND(N(K393)*100,0)+ROUND(N(L393)*100,0))),0)-(0))&lt;=0,"OK","ABWEICHUNG"))))</f>
        <v/>
      </c>
      <c r="S393" s="84" t="n"/>
      <c r="T393" s="50" t="n"/>
      <c r="U393" s="50" t="n"/>
      <c r="V393" s="50" t="n"/>
      <c r="W393" s="50" t="n"/>
      <c r="X393" s="50" t="n"/>
      <c r="Y393" s="50" t="n"/>
      <c r="Z393" s="50" t="n"/>
    </row>
    <row r="394">
      <c r="A394" s="50" t="n"/>
      <c r="B394" s="50" t="n"/>
      <c r="C394" s="50" t="n"/>
      <c r="D394" s="84" t="n"/>
      <c r="E394" s="84" t="n"/>
      <c r="F394" s="84" t="n"/>
      <c r="G394" s="50" t="n"/>
      <c r="H394" s="84" t="n"/>
      <c r="I394" s="84" t="n"/>
      <c r="J394" s="84" t="n"/>
      <c r="K394" s="84" t="n"/>
      <c r="L394" s="84" t="n"/>
      <c r="M394" s="84" t="n"/>
      <c r="N394" s="50" t="n"/>
      <c r="O394" s="84" t="n"/>
      <c r="P394" s="84">
        <f>IF(AND($A394="",$B394=""),"",N(D394)-N(E394)+N(J394)-N(K394))</f>
        <v/>
      </c>
      <c r="Q394" s="84">
        <f>IF(AND($A394="",$B394=""),"",IF(COUNT(L394:M394,O394)=0,"",P394-(N(L394)-N(M394))))</f>
        <v/>
      </c>
      <c r="R394" s="54">
        <f>IF(AND($A394="",$B394=""),"",IF(COUNT(L394:M394,O394)=0,"kein Mandanten-Saldo",IF(OR(AND(L394="",M394="")),"",IF(ABS(ROUND(((ROUND(N(D394)*100,0)+ROUND(N(J394)*100,0)+ROUND(N(M394)*100,0))-(ROUND(N(E394)*100,0)+ROUND(N(K394)*100,0)+ROUND(N(L394)*100,0))),0)-(0))&lt;=0,"OK","ABWEICHUNG"))))</f>
        <v/>
      </c>
      <c r="S394" s="84" t="n"/>
      <c r="T394" s="50" t="n"/>
      <c r="U394" s="50" t="n"/>
      <c r="V394" s="50" t="n"/>
      <c r="W394" s="50" t="n"/>
      <c r="X394" s="50" t="n"/>
      <c r="Y394" s="50" t="n"/>
      <c r="Z394" s="50" t="n"/>
    </row>
    <row r="395">
      <c r="A395" s="50" t="n"/>
      <c r="B395" s="50" t="n"/>
      <c r="C395" s="50" t="n"/>
      <c r="D395" s="84" t="n"/>
      <c r="E395" s="84" t="n"/>
      <c r="F395" s="84" t="n"/>
      <c r="G395" s="50" t="n"/>
      <c r="H395" s="84" t="n"/>
      <c r="I395" s="84" t="n"/>
      <c r="J395" s="84" t="n"/>
      <c r="K395" s="84" t="n"/>
      <c r="L395" s="84" t="n"/>
      <c r="M395" s="84" t="n"/>
      <c r="N395" s="50" t="n"/>
      <c r="O395" s="84" t="n"/>
      <c r="P395" s="84">
        <f>IF(AND($A395="",$B395=""),"",N(D395)-N(E395)+N(J395)-N(K395))</f>
        <v/>
      </c>
      <c r="Q395" s="84">
        <f>IF(AND($A395="",$B395=""),"",IF(COUNT(L395:M395,O395)=0,"",P395-(N(L395)-N(M395))))</f>
        <v/>
      </c>
      <c r="R395" s="54">
        <f>IF(AND($A395="",$B395=""),"",IF(COUNT(L395:M395,O395)=0,"kein Mandanten-Saldo",IF(OR(AND(L395="",M395="")),"",IF(ABS(ROUND(((ROUND(N(D395)*100,0)+ROUND(N(J395)*100,0)+ROUND(N(M395)*100,0))-(ROUND(N(E395)*100,0)+ROUND(N(K395)*100,0)+ROUND(N(L395)*100,0))),0)-(0))&lt;=0,"OK","ABWEICHUNG"))))</f>
        <v/>
      </c>
      <c r="S395" s="84" t="n"/>
      <c r="T395" s="50" t="n"/>
      <c r="U395" s="50" t="n"/>
      <c r="V395" s="50" t="n"/>
      <c r="W395" s="50" t="n"/>
      <c r="X395" s="50" t="n"/>
      <c r="Y395" s="50" t="n"/>
      <c r="Z395" s="50" t="n"/>
    </row>
    <row r="396">
      <c r="A396" s="50" t="n"/>
      <c r="B396" s="50" t="n"/>
      <c r="C396" s="50" t="n"/>
      <c r="D396" s="84" t="n"/>
      <c r="E396" s="84" t="n"/>
      <c r="F396" s="84" t="n"/>
      <c r="G396" s="50" t="n"/>
      <c r="H396" s="84" t="n"/>
      <c r="I396" s="84" t="n"/>
      <c r="J396" s="84" t="n"/>
      <c r="K396" s="84" t="n"/>
      <c r="L396" s="84" t="n"/>
      <c r="M396" s="84" t="n"/>
      <c r="N396" s="50" t="n"/>
      <c r="O396" s="84" t="n"/>
      <c r="P396" s="84">
        <f>IF(AND($A396="",$B396=""),"",N(D396)-N(E396)+N(J396)-N(K396))</f>
        <v/>
      </c>
      <c r="Q396" s="84">
        <f>IF(AND($A396="",$B396=""),"",IF(COUNT(L396:M396,O396)=0,"",P396-(N(L396)-N(M396))))</f>
        <v/>
      </c>
      <c r="R396" s="54">
        <f>IF(AND($A396="",$B396=""),"",IF(COUNT(L396:M396,O396)=0,"kein Mandanten-Saldo",IF(OR(AND(L396="",M396="")),"",IF(ABS(ROUND(((ROUND(N(D396)*100,0)+ROUND(N(J396)*100,0)+ROUND(N(M396)*100,0))-(ROUND(N(E396)*100,0)+ROUND(N(K396)*100,0)+ROUND(N(L396)*100,0))),0)-(0))&lt;=0,"OK","ABWEICHUNG"))))</f>
        <v/>
      </c>
      <c r="S396" s="84" t="n"/>
      <c r="T396" s="50" t="n"/>
      <c r="U396" s="50" t="n"/>
      <c r="V396" s="50" t="n"/>
      <c r="W396" s="50" t="n"/>
      <c r="X396" s="50" t="n"/>
      <c r="Y396" s="50" t="n"/>
      <c r="Z396" s="50" t="n"/>
    </row>
    <row r="397">
      <c r="A397" s="50" t="n"/>
      <c r="B397" s="50" t="n"/>
      <c r="C397" s="50" t="n"/>
      <c r="D397" s="84" t="n"/>
      <c r="E397" s="84" t="n"/>
      <c r="F397" s="84" t="n"/>
      <c r="G397" s="50" t="n"/>
      <c r="H397" s="84" t="n"/>
      <c r="I397" s="84" t="n"/>
      <c r="J397" s="84" t="n"/>
      <c r="K397" s="84" t="n"/>
      <c r="L397" s="84" t="n"/>
      <c r="M397" s="84" t="n"/>
      <c r="N397" s="50" t="n"/>
      <c r="O397" s="84" t="n"/>
      <c r="P397" s="84">
        <f>IF(AND($A397="",$B397=""),"",N(D397)-N(E397)+N(J397)-N(K397))</f>
        <v/>
      </c>
      <c r="Q397" s="84">
        <f>IF(AND($A397="",$B397=""),"",IF(COUNT(L397:M397,O397)=0,"",P397-(N(L397)-N(M397))))</f>
        <v/>
      </c>
      <c r="R397" s="54">
        <f>IF(AND($A397="",$B397=""),"",IF(COUNT(L397:M397,O397)=0,"kein Mandanten-Saldo",IF(OR(AND(L397="",M397="")),"",IF(ABS(ROUND(((ROUND(N(D397)*100,0)+ROUND(N(J397)*100,0)+ROUND(N(M397)*100,0))-(ROUND(N(E397)*100,0)+ROUND(N(K397)*100,0)+ROUND(N(L397)*100,0))),0)-(0))&lt;=0,"OK","ABWEICHUNG"))))</f>
        <v/>
      </c>
      <c r="S397" s="84" t="n"/>
      <c r="T397" s="50" t="n"/>
      <c r="U397" s="50" t="n"/>
      <c r="V397" s="50" t="n"/>
      <c r="W397" s="50" t="n"/>
      <c r="X397" s="50" t="n"/>
      <c r="Y397" s="50" t="n"/>
      <c r="Z397" s="50" t="n"/>
    </row>
    <row r="398">
      <c r="A398" s="50" t="n"/>
      <c r="B398" s="50" t="n"/>
      <c r="C398" s="50" t="n"/>
      <c r="D398" s="84" t="n"/>
      <c r="E398" s="84" t="n"/>
      <c r="F398" s="84" t="n"/>
      <c r="G398" s="50" t="n"/>
      <c r="H398" s="84" t="n"/>
      <c r="I398" s="84" t="n"/>
      <c r="J398" s="84" t="n"/>
      <c r="K398" s="84" t="n"/>
      <c r="L398" s="84" t="n"/>
      <c r="M398" s="84" t="n"/>
      <c r="N398" s="50" t="n"/>
      <c r="O398" s="84" t="n"/>
      <c r="P398" s="84">
        <f>IF(AND($A398="",$B398=""),"",N(D398)-N(E398)+N(J398)-N(K398))</f>
        <v/>
      </c>
      <c r="Q398" s="84">
        <f>IF(AND($A398="",$B398=""),"",IF(COUNT(L398:M398,O398)=0,"",P398-(N(L398)-N(M398))))</f>
        <v/>
      </c>
      <c r="R398" s="54">
        <f>IF(AND($A398="",$B398=""),"",IF(COUNT(L398:M398,O398)=0,"kein Mandanten-Saldo",IF(OR(AND(L398="",M398="")),"",IF(ABS(ROUND(((ROUND(N(D398)*100,0)+ROUND(N(J398)*100,0)+ROUND(N(M398)*100,0))-(ROUND(N(E398)*100,0)+ROUND(N(K398)*100,0)+ROUND(N(L398)*100,0))),0)-(0))&lt;=0,"OK","ABWEICHUNG"))))</f>
        <v/>
      </c>
      <c r="S398" s="84" t="n"/>
      <c r="T398" s="50" t="n"/>
      <c r="U398" s="50" t="n"/>
      <c r="V398" s="50" t="n"/>
      <c r="W398" s="50" t="n"/>
      <c r="X398" s="50" t="n"/>
      <c r="Y398" s="50" t="n"/>
      <c r="Z398" s="50" t="n"/>
    </row>
    <row r="399">
      <c r="A399" s="50" t="n"/>
      <c r="B399" s="50" t="n"/>
      <c r="C399" s="50" t="n"/>
      <c r="D399" s="84" t="n"/>
      <c r="E399" s="84" t="n"/>
      <c r="F399" s="84" t="n"/>
      <c r="G399" s="50" t="n"/>
      <c r="H399" s="84" t="n"/>
      <c r="I399" s="84" t="n"/>
      <c r="J399" s="84" t="n"/>
      <c r="K399" s="84" t="n"/>
      <c r="L399" s="84" t="n"/>
      <c r="M399" s="84" t="n"/>
      <c r="N399" s="50" t="n"/>
      <c r="O399" s="84" t="n"/>
      <c r="P399" s="84">
        <f>IF(AND($A399="",$B399=""),"",N(D399)-N(E399)+N(J399)-N(K399))</f>
        <v/>
      </c>
      <c r="Q399" s="84">
        <f>IF(AND($A399="",$B399=""),"",IF(COUNT(L399:M399,O399)=0,"",P399-(N(L399)-N(M399))))</f>
        <v/>
      </c>
      <c r="R399" s="54">
        <f>IF(AND($A399="",$B399=""),"",IF(COUNT(L399:M399,O399)=0,"kein Mandanten-Saldo",IF(OR(AND(L399="",M399="")),"",IF(ABS(ROUND(((ROUND(N(D399)*100,0)+ROUND(N(J399)*100,0)+ROUND(N(M399)*100,0))-(ROUND(N(E399)*100,0)+ROUND(N(K399)*100,0)+ROUND(N(L399)*100,0))),0)-(0))&lt;=0,"OK","ABWEICHUNG"))))</f>
        <v/>
      </c>
      <c r="S399" s="84" t="n"/>
      <c r="T399" s="50" t="n"/>
      <c r="U399" s="50" t="n"/>
      <c r="V399" s="50" t="n"/>
      <c r="W399" s="50" t="n"/>
      <c r="X399" s="50" t="n"/>
      <c r="Y399" s="50" t="n"/>
      <c r="Z399" s="50" t="n"/>
    </row>
    <row r="400">
      <c r="A400" s="50" t="n"/>
      <c r="B400" s="50" t="n"/>
      <c r="C400" s="50" t="n"/>
      <c r="D400" s="84" t="n"/>
      <c r="E400" s="84" t="n"/>
      <c r="F400" s="84" t="n"/>
      <c r="G400" s="50" t="n"/>
      <c r="H400" s="84" t="n"/>
      <c r="I400" s="84" t="n"/>
      <c r="J400" s="84" t="n"/>
      <c r="K400" s="84" t="n"/>
      <c r="L400" s="84" t="n"/>
      <c r="M400" s="84" t="n"/>
      <c r="N400" s="50" t="n"/>
      <c r="O400" s="84" t="n"/>
      <c r="P400" s="84">
        <f>IF(AND($A400="",$B400=""),"",N(D400)-N(E400)+N(J400)-N(K400))</f>
        <v/>
      </c>
      <c r="Q400" s="84">
        <f>IF(AND($A400="",$B400=""),"",IF(COUNT(L400:M400,O400)=0,"",P400-(N(L400)-N(M400))))</f>
        <v/>
      </c>
      <c r="R400" s="54">
        <f>IF(AND($A400="",$B400=""),"",IF(COUNT(L400:M400,O400)=0,"kein Mandanten-Saldo",IF(OR(AND(L400="",M400="")),"",IF(ABS(ROUND(((ROUND(N(D400)*100,0)+ROUND(N(J400)*100,0)+ROUND(N(M400)*100,0))-(ROUND(N(E400)*100,0)+ROUND(N(K400)*100,0)+ROUND(N(L400)*100,0))),0)-(0))&lt;=0,"OK","ABWEICHUNG"))))</f>
        <v/>
      </c>
      <c r="S400" s="84" t="n"/>
      <c r="T400" s="50" t="n"/>
      <c r="U400" s="50" t="n"/>
      <c r="V400" s="50" t="n"/>
      <c r="W400" s="50" t="n"/>
      <c r="X400" s="50" t="n"/>
      <c r="Y400" s="50" t="n"/>
      <c r="Z400" s="50" t="n"/>
    </row>
    <row r="401">
      <c r="A401" s="50" t="n"/>
      <c r="B401" s="50" t="n"/>
      <c r="C401" s="50" t="n"/>
      <c r="D401" s="84" t="n"/>
      <c r="E401" s="84" t="n"/>
      <c r="F401" s="84" t="n"/>
      <c r="G401" s="50" t="n"/>
      <c r="H401" s="84" t="n"/>
      <c r="I401" s="84" t="n"/>
      <c r="J401" s="84" t="n"/>
      <c r="K401" s="84" t="n"/>
      <c r="L401" s="84" t="n"/>
      <c r="M401" s="84" t="n"/>
      <c r="N401" s="50" t="n"/>
      <c r="O401" s="84" t="n"/>
      <c r="P401" s="84">
        <f>IF(AND($A401="",$B401=""),"",N(D401)-N(E401)+N(J401)-N(K401))</f>
        <v/>
      </c>
      <c r="Q401" s="84">
        <f>IF(AND($A401="",$B401=""),"",IF(COUNT(L401:M401,O401)=0,"",P401-(N(L401)-N(M401))))</f>
        <v/>
      </c>
      <c r="R401" s="54">
        <f>IF(AND($A401="",$B401=""),"",IF(COUNT(L401:M401,O401)=0,"kein Mandanten-Saldo",IF(OR(AND(L401="",M401="")),"",IF(ABS(ROUND(((ROUND(N(D401)*100,0)+ROUND(N(J401)*100,0)+ROUND(N(M401)*100,0))-(ROUND(N(E401)*100,0)+ROUND(N(K401)*100,0)+ROUND(N(L401)*100,0))),0)-(0))&lt;=0,"OK","ABWEICHUNG"))))</f>
        <v/>
      </c>
      <c r="S401" s="84" t="n"/>
      <c r="T401" s="50" t="n"/>
      <c r="U401" s="50" t="n"/>
      <c r="V401" s="50" t="n"/>
      <c r="W401" s="50" t="n"/>
      <c r="X401" s="50" t="n"/>
      <c r="Y401" s="50" t="n"/>
      <c r="Z401" s="50" t="n"/>
    </row>
    <row r="402">
      <c r="A402" s="50" t="n"/>
      <c r="B402" s="50" t="n"/>
      <c r="C402" s="50" t="n"/>
      <c r="D402" s="84" t="n"/>
      <c r="E402" s="84" t="n"/>
      <c r="F402" s="84" t="n"/>
      <c r="G402" s="50" t="n"/>
      <c r="H402" s="84" t="n"/>
      <c r="I402" s="84" t="n"/>
      <c r="J402" s="84" t="n"/>
      <c r="K402" s="84" t="n"/>
      <c r="L402" s="84" t="n"/>
      <c r="M402" s="84" t="n"/>
      <c r="N402" s="50" t="n"/>
      <c r="O402" s="84" t="n"/>
      <c r="P402" s="84">
        <f>IF(AND($A402="",$B402=""),"",N(D402)-N(E402)+N(J402)-N(K402))</f>
        <v/>
      </c>
      <c r="Q402" s="84">
        <f>IF(AND($A402="",$B402=""),"",IF(COUNT(L402:M402,O402)=0,"",P402-(N(L402)-N(M402))))</f>
        <v/>
      </c>
      <c r="R402" s="54">
        <f>IF(AND($A402="",$B402=""),"",IF(COUNT(L402:M402,O402)=0,"kein Mandanten-Saldo",IF(OR(AND(L402="",M402="")),"",IF(ABS(ROUND(((ROUND(N(D402)*100,0)+ROUND(N(J402)*100,0)+ROUND(N(M402)*100,0))-(ROUND(N(E402)*100,0)+ROUND(N(K402)*100,0)+ROUND(N(L402)*100,0))),0)-(0))&lt;=0,"OK","ABWEICHUNG"))))</f>
        <v/>
      </c>
      <c r="S402" s="84" t="n"/>
      <c r="T402" s="50" t="n"/>
      <c r="U402" s="50" t="n"/>
      <c r="V402" s="50" t="n"/>
      <c r="W402" s="50" t="n"/>
      <c r="X402" s="50" t="n"/>
      <c r="Y402" s="50" t="n"/>
      <c r="Z402" s="50" t="n"/>
    </row>
    <row r="403">
      <c r="A403" s="50" t="n"/>
      <c r="B403" s="50" t="n"/>
      <c r="C403" s="50" t="n"/>
      <c r="D403" s="84" t="n"/>
      <c r="E403" s="84" t="n"/>
      <c r="F403" s="84" t="n"/>
      <c r="G403" s="50" t="n"/>
      <c r="H403" s="84" t="n"/>
      <c r="I403" s="84" t="n"/>
      <c r="J403" s="84" t="n"/>
      <c r="K403" s="84" t="n"/>
      <c r="L403" s="84" t="n"/>
      <c r="M403" s="84" t="n"/>
      <c r="N403" s="50" t="n"/>
      <c r="O403" s="84" t="n"/>
      <c r="P403" s="84">
        <f>IF(AND($A403="",$B403=""),"",N(D403)-N(E403)+N(J403)-N(K403))</f>
        <v/>
      </c>
      <c r="Q403" s="84">
        <f>IF(AND($A403="",$B403=""),"",IF(COUNT(L403:M403,O403)=0,"",P403-(N(L403)-N(M403))))</f>
        <v/>
      </c>
      <c r="R403" s="54">
        <f>IF(AND($A403="",$B403=""),"",IF(COUNT(L403:M403,O403)=0,"kein Mandanten-Saldo",IF(OR(AND(L403="",M403="")),"",IF(ABS(ROUND(((ROUND(N(D403)*100,0)+ROUND(N(J403)*100,0)+ROUND(N(M403)*100,0))-(ROUND(N(E403)*100,0)+ROUND(N(K403)*100,0)+ROUND(N(L403)*100,0))),0)-(0))&lt;=0,"OK","ABWEICHUNG"))))</f>
        <v/>
      </c>
      <c r="S403" s="84" t="n"/>
      <c r="T403" s="50" t="n"/>
      <c r="U403" s="50" t="n"/>
      <c r="V403" s="50" t="n"/>
      <c r="W403" s="50" t="n"/>
      <c r="X403" s="50" t="n"/>
      <c r="Y403" s="50" t="n"/>
      <c r="Z403" s="50" t="n"/>
    </row>
    <row r="404">
      <c r="A404" s="50" t="n"/>
      <c r="B404" s="50" t="n"/>
      <c r="C404" s="50" t="n"/>
      <c r="D404" s="84" t="n"/>
      <c r="E404" s="84" t="n"/>
      <c r="F404" s="84" t="n"/>
      <c r="G404" s="50" t="n"/>
      <c r="H404" s="84" t="n"/>
      <c r="I404" s="84" t="n"/>
      <c r="J404" s="84" t="n"/>
      <c r="K404" s="84" t="n"/>
      <c r="L404" s="84" t="n"/>
      <c r="M404" s="84" t="n"/>
      <c r="N404" s="50" t="n"/>
      <c r="O404" s="84" t="n"/>
      <c r="P404" s="84">
        <f>IF(AND($A404="",$B404=""),"",N(D404)-N(E404)+N(J404)-N(K404))</f>
        <v/>
      </c>
      <c r="Q404" s="84">
        <f>IF(AND($A404="",$B404=""),"",IF(COUNT(L404:M404,O404)=0,"",P404-(N(L404)-N(M404))))</f>
        <v/>
      </c>
      <c r="R404" s="54">
        <f>IF(AND($A404="",$B404=""),"",IF(COUNT(L404:M404,O404)=0,"kein Mandanten-Saldo",IF(OR(AND(L404="",M404="")),"",IF(ABS(ROUND(((ROUND(N(D404)*100,0)+ROUND(N(J404)*100,0)+ROUND(N(M404)*100,0))-(ROUND(N(E404)*100,0)+ROUND(N(K404)*100,0)+ROUND(N(L404)*100,0))),0)-(0))&lt;=0,"OK","ABWEICHUNG"))))</f>
        <v/>
      </c>
      <c r="S404" s="84" t="n"/>
      <c r="T404" s="50" t="n"/>
      <c r="U404" s="50" t="n"/>
      <c r="V404" s="50" t="n"/>
      <c r="W404" s="50" t="n"/>
      <c r="X404" s="50" t="n"/>
      <c r="Y404" s="50" t="n"/>
      <c r="Z404" s="50" t="n"/>
    </row>
    <row r="405">
      <c r="A405" s="50" t="n"/>
      <c r="B405" s="50" t="n"/>
      <c r="C405" s="50" t="n"/>
      <c r="D405" s="84" t="n"/>
      <c r="E405" s="84" t="n"/>
      <c r="F405" s="84" t="n"/>
      <c r="G405" s="50" t="n"/>
      <c r="H405" s="84" t="n"/>
      <c r="I405" s="84" t="n"/>
      <c r="J405" s="84" t="n"/>
      <c r="K405" s="84" t="n"/>
      <c r="L405" s="84" t="n"/>
      <c r="M405" s="84" t="n"/>
      <c r="N405" s="50" t="n"/>
      <c r="O405" s="84" t="n"/>
      <c r="P405" s="84">
        <f>IF(AND($A405="",$B405=""),"",N(D405)-N(E405)+N(J405)-N(K405))</f>
        <v/>
      </c>
      <c r="Q405" s="84">
        <f>IF(AND($A405="",$B405=""),"",IF(COUNT(L405:M405,O405)=0,"",P405-(N(L405)-N(M405))))</f>
        <v/>
      </c>
      <c r="R405" s="54">
        <f>IF(AND($A405="",$B405=""),"",IF(COUNT(L405:M405,O405)=0,"kein Mandanten-Saldo",IF(OR(AND(L405="",M405="")),"",IF(ABS(ROUND(((ROUND(N(D405)*100,0)+ROUND(N(J405)*100,0)+ROUND(N(M405)*100,0))-(ROUND(N(E405)*100,0)+ROUND(N(K405)*100,0)+ROUND(N(L405)*100,0))),0)-(0))&lt;=0,"OK","ABWEICHUNG"))))</f>
        <v/>
      </c>
      <c r="S405" s="84" t="n"/>
      <c r="T405" s="50" t="n"/>
      <c r="U405" s="50" t="n"/>
      <c r="V405" s="50" t="n"/>
      <c r="W405" s="50" t="n"/>
      <c r="X405" s="50" t="n"/>
      <c r="Y405" s="50" t="n"/>
      <c r="Z405" s="50" t="n"/>
    </row>
    <row r="406">
      <c r="A406" s="50" t="n"/>
      <c r="B406" s="50" t="n"/>
      <c r="C406" s="50" t="n"/>
      <c r="D406" s="84" t="n"/>
      <c r="E406" s="84" t="n"/>
      <c r="F406" s="84" t="n"/>
      <c r="G406" s="50" t="n"/>
      <c r="H406" s="84" t="n"/>
      <c r="I406" s="84" t="n"/>
      <c r="J406" s="84" t="n"/>
      <c r="K406" s="84" t="n"/>
      <c r="L406" s="84" t="n"/>
      <c r="M406" s="84" t="n"/>
      <c r="N406" s="50" t="n"/>
      <c r="O406" s="84" t="n"/>
      <c r="P406" s="84">
        <f>IF(AND($A406="",$B406=""),"",N(D406)-N(E406)+N(J406)-N(K406))</f>
        <v/>
      </c>
      <c r="Q406" s="84">
        <f>IF(AND($A406="",$B406=""),"",IF(COUNT(L406:M406,O406)=0,"",P406-(N(L406)-N(M406))))</f>
        <v/>
      </c>
      <c r="R406" s="54">
        <f>IF(AND($A406="",$B406=""),"",IF(COUNT(L406:M406,O406)=0,"kein Mandanten-Saldo",IF(OR(AND(L406="",M406="")),"",IF(ABS(ROUND(((ROUND(N(D406)*100,0)+ROUND(N(J406)*100,0)+ROUND(N(M406)*100,0))-(ROUND(N(E406)*100,0)+ROUND(N(K406)*100,0)+ROUND(N(L406)*100,0))),0)-(0))&lt;=0,"OK","ABWEICHUNG"))))</f>
        <v/>
      </c>
      <c r="S406" s="84" t="n"/>
      <c r="T406" s="50" t="n"/>
      <c r="U406" s="50" t="n"/>
      <c r="V406" s="50" t="n"/>
      <c r="W406" s="50" t="n"/>
      <c r="X406" s="50" t="n"/>
      <c r="Y406" s="50" t="n"/>
      <c r="Z406" s="50" t="n"/>
    </row>
    <row r="407">
      <c r="A407" s="50" t="n"/>
      <c r="B407" s="50" t="n"/>
      <c r="C407" s="50" t="n"/>
      <c r="D407" s="84" t="n"/>
      <c r="E407" s="84" t="n"/>
      <c r="F407" s="84" t="n"/>
      <c r="G407" s="50" t="n"/>
      <c r="H407" s="84" t="n"/>
      <c r="I407" s="84" t="n"/>
      <c r="J407" s="84" t="n"/>
      <c r="K407" s="84" t="n"/>
      <c r="L407" s="84" t="n"/>
      <c r="M407" s="84" t="n"/>
      <c r="N407" s="50" t="n"/>
      <c r="O407" s="84" t="n"/>
      <c r="P407" s="84">
        <f>IF(AND($A407="",$B407=""),"",N(D407)-N(E407)+N(J407)-N(K407))</f>
        <v/>
      </c>
      <c r="Q407" s="84">
        <f>IF(AND($A407="",$B407=""),"",IF(COUNT(L407:M407,O407)=0,"",P407-(N(L407)-N(M407))))</f>
        <v/>
      </c>
      <c r="R407" s="54">
        <f>IF(AND($A407="",$B407=""),"",IF(COUNT(L407:M407,O407)=0,"kein Mandanten-Saldo",IF(OR(AND(L407="",M407="")),"",IF(ABS(ROUND(((ROUND(N(D407)*100,0)+ROUND(N(J407)*100,0)+ROUND(N(M407)*100,0))-(ROUND(N(E407)*100,0)+ROUND(N(K407)*100,0)+ROUND(N(L407)*100,0))),0)-(0))&lt;=0,"OK","ABWEICHUNG"))))</f>
        <v/>
      </c>
      <c r="S407" s="84" t="n"/>
      <c r="T407" s="50" t="n"/>
      <c r="U407" s="50" t="n"/>
      <c r="V407" s="50" t="n"/>
      <c r="W407" s="50" t="n"/>
      <c r="X407" s="50" t="n"/>
      <c r="Y407" s="50" t="n"/>
      <c r="Z407" s="50" t="n"/>
    </row>
    <row r="408">
      <c r="A408" s="50" t="n"/>
      <c r="B408" s="50" t="n"/>
      <c r="C408" s="50" t="n"/>
      <c r="D408" s="84" t="n"/>
      <c r="E408" s="84" t="n"/>
      <c r="F408" s="84" t="n"/>
      <c r="G408" s="50" t="n"/>
      <c r="H408" s="84" t="n"/>
      <c r="I408" s="84" t="n"/>
      <c r="J408" s="84" t="n"/>
      <c r="K408" s="84" t="n"/>
      <c r="L408" s="84" t="n"/>
      <c r="M408" s="84" t="n"/>
      <c r="N408" s="50" t="n"/>
      <c r="O408" s="84" t="n"/>
      <c r="P408" s="84">
        <f>IF(AND($A408="",$B408=""),"",N(D408)-N(E408)+N(J408)-N(K408))</f>
        <v/>
      </c>
      <c r="Q408" s="84">
        <f>IF(AND($A408="",$B408=""),"",IF(COUNT(L408:M408,O408)=0,"",P408-(N(L408)-N(M408))))</f>
        <v/>
      </c>
      <c r="R408" s="54">
        <f>IF(AND($A408="",$B408=""),"",IF(COUNT(L408:M408,O408)=0,"kein Mandanten-Saldo",IF(OR(AND(L408="",M408="")),"",IF(ABS(ROUND(((ROUND(N(D408)*100,0)+ROUND(N(J408)*100,0)+ROUND(N(M408)*100,0))-(ROUND(N(E408)*100,0)+ROUND(N(K408)*100,0)+ROUND(N(L408)*100,0))),0)-(0))&lt;=0,"OK","ABWEICHUNG"))))</f>
        <v/>
      </c>
      <c r="S408" s="84" t="n"/>
      <c r="T408" s="50" t="n"/>
      <c r="U408" s="50" t="n"/>
      <c r="V408" s="50" t="n"/>
      <c r="W408" s="50" t="n"/>
      <c r="X408" s="50" t="n"/>
      <c r="Y408" s="50" t="n"/>
      <c r="Z408" s="50" t="n"/>
    </row>
    <row r="409">
      <c r="A409" s="50" t="n"/>
      <c r="B409" s="50" t="n"/>
      <c r="C409" s="50" t="n"/>
      <c r="D409" s="84" t="n"/>
      <c r="E409" s="84" t="n"/>
      <c r="F409" s="84" t="n"/>
      <c r="G409" s="50" t="n"/>
      <c r="H409" s="84" t="n"/>
      <c r="I409" s="84" t="n"/>
      <c r="J409" s="84" t="n"/>
      <c r="K409" s="84" t="n"/>
      <c r="L409" s="84" t="n"/>
      <c r="M409" s="84" t="n"/>
      <c r="N409" s="50" t="n"/>
      <c r="O409" s="84" t="n"/>
      <c r="P409" s="84">
        <f>IF(AND($A409="",$B409=""),"",N(D409)-N(E409)+N(J409)-N(K409))</f>
        <v/>
      </c>
      <c r="Q409" s="84">
        <f>IF(AND($A409="",$B409=""),"",IF(COUNT(L409:M409,O409)=0,"",P409-(N(L409)-N(M409))))</f>
        <v/>
      </c>
      <c r="R409" s="54">
        <f>IF(AND($A409="",$B409=""),"",IF(COUNT(L409:M409,O409)=0,"kein Mandanten-Saldo",IF(OR(AND(L409="",M409="")),"",IF(ABS(ROUND(((ROUND(N(D409)*100,0)+ROUND(N(J409)*100,0)+ROUND(N(M409)*100,0))-(ROUND(N(E409)*100,0)+ROUND(N(K409)*100,0)+ROUND(N(L409)*100,0))),0)-(0))&lt;=0,"OK","ABWEICHUNG"))))</f>
        <v/>
      </c>
      <c r="S409" s="84" t="n"/>
      <c r="T409" s="50" t="n"/>
      <c r="U409" s="50" t="n"/>
      <c r="V409" s="50" t="n"/>
      <c r="W409" s="50" t="n"/>
      <c r="X409" s="50" t="n"/>
      <c r="Y409" s="50" t="n"/>
      <c r="Z409" s="50" t="n"/>
    </row>
    <row r="410">
      <c r="A410" s="50" t="n"/>
      <c r="B410" s="50" t="n"/>
      <c r="C410" s="50" t="n"/>
      <c r="D410" s="84" t="n"/>
      <c r="E410" s="84" t="n"/>
      <c r="F410" s="84" t="n"/>
      <c r="G410" s="50" t="n"/>
      <c r="H410" s="84" t="n"/>
      <c r="I410" s="84" t="n"/>
      <c r="J410" s="84" t="n"/>
      <c r="K410" s="84" t="n"/>
      <c r="L410" s="84" t="n"/>
      <c r="M410" s="84" t="n"/>
      <c r="N410" s="50" t="n"/>
      <c r="O410" s="84" t="n"/>
      <c r="P410" s="84">
        <f>IF(AND($A410="",$B410=""),"",N(D410)-N(E410)+N(J410)-N(K410))</f>
        <v/>
      </c>
      <c r="Q410" s="84">
        <f>IF(AND($A410="",$B410=""),"",IF(COUNT(L410:M410,O410)=0,"",P410-(N(L410)-N(M410))))</f>
        <v/>
      </c>
      <c r="R410" s="54">
        <f>IF(AND($A410="",$B410=""),"",IF(COUNT(L410:M410,O410)=0,"kein Mandanten-Saldo",IF(OR(AND(L410="",M410="")),"",IF(ABS(ROUND(((ROUND(N(D410)*100,0)+ROUND(N(J410)*100,0)+ROUND(N(M410)*100,0))-(ROUND(N(E410)*100,0)+ROUND(N(K410)*100,0)+ROUND(N(L410)*100,0))),0)-(0))&lt;=0,"OK","ABWEICHUNG"))))</f>
        <v/>
      </c>
      <c r="S410" s="84" t="n"/>
      <c r="T410" s="50" t="n"/>
      <c r="U410" s="50" t="n"/>
      <c r="V410" s="50" t="n"/>
      <c r="W410" s="50" t="n"/>
      <c r="X410" s="50" t="n"/>
      <c r="Y410" s="50" t="n"/>
      <c r="Z410" s="50" t="n"/>
    </row>
    <row r="411">
      <c r="A411" s="50" t="n"/>
      <c r="B411" s="50" t="n"/>
      <c r="C411" s="50" t="n"/>
      <c r="D411" s="84" t="n"/>
      <c r="E411" s="84" t="n"/>
      <c r="F411" s="84" t="n"/>
      <c r="G411" s="50" t="n"/>
      <c r="H411" s="84" t="n"/>
      <c r="I411" s="84" t="n"/>
      <c r="J411" s="84" t="n"/>
      <c r="K411" s="84" t="n"/>
      <c r="L411" s="84" t="n"/>
      <c r="M411" s="84" t="n"/>
      <c r="N411" s="50" t="n"/>
      <c r="O411" s="84" t="n"/>
      <c r="P411" s="84">
        <f>IF(AND($A411="",$B411=""),"",N(D411)-N(E411)+N(J411)-N(K411))</f>
        <v/>
      </c>
      <c r="Q411" s="84">
        <f>IF(AND($A411="",$B411=""),"",IF(COUNT(L411:M411,O411)=0,"",P411-(N(L411)-N(M411))))</f>
        <v/>
      </c>
      <c r="R411" s="54">
        <f>IF(AND($A411="",$B411=""),"",IF(COUNT(L411:M411,O411)=0,"kein Mandanten-Saldo",IF(OR(AND(L411="",M411="")),"",IF(ABS(ROUND(((ROUND(N(D411)*100,0)+ROUND(N(J411)*100,0)+ROUND(N(M411)*100,0))-(ROUND(N(E411)*100,0)+ROUND(N(K411)*100,0)+ROUND(N(L411)*100,0))),0)-(0))&lt;=0,"OK","ABWEICHUNG"))))</f>
        <v/>
      </c>
      <c r="S411" s="84" t="n"/>
      <c r="T411" s="50" t="n"/>
      <c r="U411" s="50" t="n"/>
      <c r="V411" s="50" t="n"/>
      <c r="W411" s="50" t="n"/>
      <c r="X411" s="50" t="n"/>
      <c r="Y411" s="50" t="n"/>
      <c r="Z411" s="50" t="n"/>
    </row>
    <row r="412">
      <c r="A412" s="50" t="n"/>
      <c r="B412" s="50" t="n"/>
      <c r="C412" s="50" t="n"/>
      <c r="D412" s="84" t="n"/>
      <c r="E412" s="84" t="n"/>
      <c r="F412" s="84" t="n"/>
      <c r="G412" s="50" t="n"/>
      <c r="H412" s="84" t="n"/>
      <c r="I412" s="84" t="n"/>
      <c r="J412" s="84" t="n"/>
      <c r="K412" s="84" t="n"/>
      <c r="L412" s="84" t="n"/>
      <c r="M412" s="84" t="n"/>
      <c r="N412" s="50" t="n"/>
      <c r="O412" s="84" t="n"/>
      <c r="P412" s="84">
        <f>IF(AND($A412="",$B412=""),"",N(D412)-N(E412)+N(J412)-N(K412))</f>
        <v/>
      </c>
      <c r="Q412" s="84">
        <f>IF(AND($A412="",$B412=""),"",IF(COUNT(L412:M412,O412)=0,"",P412-(N(L412)-N(M412))))</f>
        <v/>
      </c>
      <c r="R412" s="54">
        <f>IF(AND($A412="",$B412=""),"",IF(COUNT(L412:M412,O412)=0,"kein Mandanten-Saldo",IF(OR(AND(L412="",M412="")),"",IF(ABS(ROUND(((ROUND(N(D412)*100,0)+ROUND(N(J412)*100,0)+ROUND(N(M412)*100,0))-(ROUND(N(E412)*100,0)+ROUND(N(K412)*100,0)+ROUND(N(L412)*100,0))),0)-(0))&lt;=0,"OK","ABWEICHUNG"))))</f>
        <v/>
      </c>
      <c r="S412" s="84" t="n"/>
      <c r="T412" s="50" t="n"/>
      <c r="U412" s="50" t="n"/>
      <c r="V412" s="50" t="n"/>
      <c r="W412" s="50" t="n"/>
      <c r="X412" s="50" t="n"/>
      <c r="Y412" s="50" t="n"/>
      <c r="Z412" s="50" t="n"/>
    </row>
    <row r="413">
      <c r="A413" s="50" t="n"/>
      <c r="B413" s="50" t="n"/>
      <c r="C413" s="50" t="n"/>
      <c r="D413" s="84" t="n"/>
      <c r="E413" s="84" t="n"/>
      <c r="F413" s="84" t="n"/>
      <c r="G413" s="50" t="n"/>
      <c r="H413" s="84" t="n"/>
      <c r="I413" s="84" t="n"/>
      <c r="J413" s="84" t="n"/>
      <c r="K413" s="84" t="n"/>
      <c r="L413" s="84" t="n"/>
      <c r="M413" s="84" t="n"/>
      <c r="N413" s="50" t="n"/>
      <c r="O413" s="84" t="n"/>
      <c r="P413" s="84">
        <f>IF(AND($A413="",$B413=""),"",N(D413)-N(E413)+N(J413)-N(K413))</f>
        <v/>
      </c>
      <c r="Q413" s="84">
        <f>IF(AND($A413="",$B413=""),"",IF(COUNT(L413:M413,O413)=0,"",P413-(N(L413)-N(M413))))</f>
        <v/>
      </c>
      <c r="R413" s="54">
        <f>IF(AND($A413="",$B413=""),"",IF(COUNT(L413:M413,O413)=0,"kein Mandanten-Saldo",IF(OR(AND(L413="",M413="")),"",IF(ABS(ROUND(((ROUND(N(D413)*100,0)+ROUND(N(J413)*100,0)+ROUND(N(M413)*100,0))-(ROUND(N(E413)*100,0)+ROUND(N(K413)*100,0)+ROUND(N(L413)*100,0))),0)-(0))&lt;=0,"OK","ABWEICHUNG"))))</f>
        <v/>
      </c>
      <c r="S413" s="84" t="n"/>
      <c r="T413" s="50" t="n"/>
      <c r="U413" s="50" t="n"/>
      <c r="V413" s="50" t="n"/>
      <c r="W413" s="50" t="n"/>
      <c r="X413" s="50" t="n"/>
      <c r="Y413" s="50" t="n"/>
      <c r="Z413" s="50" t="n"/>
    </row>
    <row r="414">
      <c r="A414" s="50" t="n"/>
      <c r="B414" s="50" t="n"/>
      <c r="C414" s="50" t="n"/>
      <c r="D414" s="84" t="n"/>
      <c r="E414" s="84" t="n"/>
      <c r="F414" s="84" t="n"/>
      <c r="G414" s="50" t="n"/>
      <c r="H414" s="84" t="n"/>
      <c r="I414" s="84" t="n"/>
      <c r="J414" s="84" t="n"/>
      <c r="K414" s="84" t="n"/>
      <c r="L414" s="84" t="n"/>
      <c r="M414" s="84" t="n"/>
      <c r="N414" s="50" t="n"/>
      <c r="O414" s="84" t="n"/>
      <c r="P414" s="84">
        <f>IF(AND($A414="",$B414=""),"",N(D414)-N(E414)+N(J414)-N(K414))</f>
        <v/>
      </c>
      <c r="Q414" s="84">
        <f>IF(AND($A414="",$B414=""),"",IF(COUNT(L414:M414,O414)=0,"",P414-(N(L414)-N(M414))))</f>
        <v/>
      </c>
      <c r="R414" s="54">
        <f>IF(AND($A414="",$B414=""),"",IF(COUNT(L414:M414,O414)=0,"kein Mandanten-Saldo",IF(OR(AND(L414="",M414="")),"",IF(ABS(ROUND(((ROUND(N(D414)*100,0)+ROUND(N(J414)*100,0)+ROUND(N(M414)*100,0))-(ROUND(N(E414)*100,0)+ROUND(N(K414)*100,0)+ROUND(N(L414)*100,0))),0)-(0))&lt;=0,"OK","ABWEICHUNG"))))</f>
        <v/>
      </c>
      <c r="S414" s="84" t="n"/>
      <c r="T414" s="50" t="n"/>
      <c r="U414" s="50" t="n"/>
      <c r="V414" s="50" t="n"/>
      <c r="W414" s="50" t="n"/>
      <c r="X414" s="50" t="n"/>
      <c r="Y414" s="50" t="n"/>
      <c r="Z414" s="50" t="n"/>
    </row>
    <row r="415">
      <c r="A415" s="50" t="n"/>
      <c r="B415" s="50" t="n"/>
      <c r="C415" s="50" t="n"/>
      <c r="D415" s="84" t="n"/>
      <c r="E415" s="84" t="n"/>
      <c r="F415" s="84" t="n"/>
      <c r="G415" s="50" t="n"/>
      <c r="H415" s="84" t="n"/>
      <c r="I415" s="84" t="n"/>
      <c r="J415" s="84" t="n"/>
      <c r="K415" s="84" t="n"/>
      <c r="L415" s="84" t="n"/>
      <c r="M415" s="84" t="n"/>
      <c r="N415" s="50" t="n"/>
      <c r="O415" s="84" t="n"/>
      <c r="P415" s="84">
        <f>IF(AND($A415="",$B415=""),"",N(D415)-N(E415)+N(J415)-N(K415))</f>
        <v/>
      </c>
      <c r="Q415" s="84">
        <f>IF(AND($A415="",$B415=""),"",IF(COUNT(L415:M415,O415)=0,"",P415-(N(L415)-N(M415))))</f>
        <v/>
      </c>
      <c r="R415" s="54">
        <f>IF(AND($A415="",$B415=""),"",IF(COUNT(L415:M415,O415)=0,"kein Mandanten-Saldo",IF(OR(AND(L415="",M415="")),"",IF(ABS(ROUND(((ROUND(N(D415)*100,0)+ROUND(N(J415)*100,0)+ROUND(N(M415)*100,0))-(ROUND(N(E415)*100,0)+ROUND(N(K415)*100,0)+ROUND(N(L415)*100,0))),0)-(0))&lt;=0,"OK","ABWEICHUNG"))))</f>
        <v/>
      </c>
      <c r="S415" s="84" t="n"/>
      <c r="T415" s="50" t="n"/>
      <c r="U415" s="50" t="n"/>
      <c r="V415" s="50" t="n"/>
      <c r="W415" s="50" t="n"/>
      <c r="X415" s="50" t="n"/>
      <c r="Y415" s="50" t="n"/>
      <c r="Z415" s="50" t="n"/>
    </row>
    <row r="416">
      <c r="A416" s="50" t="n"/>
      <c r="B416" s="50" t="n"/>
      <c r="C416" s="50" t="n"/>
      <c r="D416" s="84" t="n"/>
      <c r="E416" s="84" t="n"/>
      <c r="F416" s="84" t="n"/>
      <c r="G416" s="50" t="n"/>
      <c r="H416" s="84" t="n"/>
      <c r="I416" s="84" t="n"/>
      <c r="J416" s="84" t="n"/>
      <c r="K416" s="84" t="n"/>
      <c r="L416" s="84" t="n"/>
      <c r="M416" s="84" t="n"/>
      <c r="N416" s="50" t="n"/>
      <c r="O416" s="84" t="n"/>
      <c r="P416" s="84">
        <f>IF(AND($A416="",$B416=""),"",N(D416)-N(E416)+N(J416)-N(K416))</f>
        <v/>
      </c>
      <c r="Q416" s="84">
        <f>IF(AND($A416="",$B416=""),"",IF(COUNT(L416:M416,O416)=0,"",P416-(N(L416)-N(M416))))</f>
        <v/>
      </c>
      <c r="R416" s="54">
        <f>IF(AND($A416="",$B416=""),"",IF(COUNT(L416:M416,O416)=0,"kein Mandanten-Saldo",IF(OR(AND(L416="",M416="")),"",IF(ABS(ROUND(((ROUND(N(D416)*100,0)+ROUND(N(J416)*100,0)+ROUND(N(M416)*100,0))-(ROUND(N(E416)*100,0)+ROUND(N(K416)*100,0)+ROUND(N(L416)*100,0))),0)-(0))&lt;=0,"OK","ABWEICHUNG"))))</f>
        <v/>
      </c>
      <c r="S416" s="84" t="n"/>
      <c r="T416" s="50" t="n"/>
      <c r="U416" s="50" t="n"/>
      <c r="V416" s="50" t="n"/>
      <c r="W416" s="50" t="n"/>
      <c r="X416" s="50" t="n"/>
      <c r="Y416" s="50" t="n"/>
      <c r="Z416" s="50" t="n"/>
    </row>
    <row r="417">
      <c r="A417" s="50" t="n"/>
      <c r="B417" s="50" t="n"/>
      <c r="C417" s="50" t="n"/>
      <c r="D417" s="84" t="n"/>
      <c r="E417" s="84" t="n"/>
      <c r="F417" s="84" t="n"/>
      <c r="G417" s="50" t="n"/>
      <c r="H417" s="84" t="n"/>
      <c r="I417" s="84" t="n"/>
      <c r="J417" s="84" t="n"/>
      <c r="K417" s="84" t="n"/>
      <c r="L417" s="84" t="n"/>
      <c r="M417" s="84" t="n"/>
      <c r="N417" s="50" t="n"/>
      <c r="O417" s="84" t="n"/>
      <c r="P417" s="84">
        <f>IF(AND($A417="",$B417=""),"",N(D417)-N(E417)+N(J417)-N(K417))</f>
        <v/>
      </c>
      <c r="Q417" s="84">
        <f>IF(AND($A417="",$B417=""),"",IF(COUNT(L417:M417,O417)=0,"",P417-(N(L417)-N(M417))))</f>
        <v/>
      </c>
      <c r="R417" s="54">
        <f>IF(AND($A417="",$B417=""),"",IF(COUNT(L417:M417,O417)=0,"kein Mandanten-Saldo",IF(OR(AND(L417="",M417="")),"",IF(ABS(ROUND(((ROUND(N(D417)*100,0)+ROUND(N(J417)*100,0)+ROUND(N(M417)*100,0))-(ROUND(N(E417)*100,0)+ROUND(N(K417)*100,0)+ROUND(N(L417)*100,0))),0)-(0))&lt;=0,"OK","ABWEICHUNG"))))</f>
        <v/>
      </c>
      <c r="S417" s="84" t="n"/>
      <c r="T417" s="50" t="n"/>
      <c r="U417" s="50" t="n"/>
      <c r="V417" s="50" t="n"/>
      <c r="W417" s="50" t="n"/>
      <c r="X417" s="50" t="n"/>
      <c r="Y417" s="50" t="n"/>
      <c r="Z417" s="50" t="n"/>
    </row>
    <row r="418">
      <c r="A418" s="50" t="n"/>
      <c r="B418" s="50" t="n"/>
      <c r="C418" s="50" t="n"/>
      <c r="D418" s="84" t="n"/>
      <c r="E418" s="84" t="n"/>
      <c r="F418" s="84" t="n"/>
      <c r="G418" s="50" t="n"/>
      <c r="H418" s="84" t="n"/>
      <c r="I418" s="84" t="n"/>
      <c r="J418" s="84" t="n"/>
      <c r="K418" s="84" t="n"/>
      <c r="L418" s="84" t="n"/>
      <c r="M418" s="84" t="n"/>
      <c r="N418" s="50" t="n"/>
      <c r="O418" s="84" t="n"/>
      <c r="P418" s="84">
        <f>IF(AND($A418="",$B418=""),"",N(D418)-N(E418)+N(J418)-N(K418))</f>
        <v/>
      </c>
      <c r="Q418" s="84">
        <f>IF(AND($A418="",$B418=""),"",IF(COUNT(L418:M418,O418)=0,"",P418-(N(L418)-N(M418))))</f>
        <v/>
      </c>
      <c r="R418" s="54">
        <f>IF(AND($A418="",$B418=""),"",IF(COUNT(L418:M418,O418)=0,"kein Mandanten-Saldo",IF(OR(AND(L418="",M418="")),"",IF(ABS(ROUND(((ROUND(N(D418)*100,0)+ROUND(N(J418)*100,0)+ROUND(N(M418)*100,0))-(ROUND(N(E418)*100,0)+ROUND(N(K418)*100,0)+ROUND(N(L418)*100,0))),0)-(0))&lt;=0,"OK","ABWEICHUNG"))))</f>
        <v/>
      </c>
      <c r="S418" s="84" t="n"/>
      <c r="T418" s="50" t="n"/>
      <c r="U418" s="50" t="n"/>
      <c r="V418" s="50" t="n"/>
      <c r="W418" s="50" t="n"/>
      <c r="X418" s="50" t="n"/>
      <c r="Y418" s="50" t="n"/>
      <c r="Z418" s="50" t="n"/>
    </row>
    <row r="419">
      <c r="A419" s="50" t="n"/>
      <c r="B419" s="50" t="n"/>
      <c r="C419" s="50" t="n"/>
      <c r="D419" s="84" t="n"/>
      <c r="E419" s="84" t="n"/>
      <c r="F419" s="84" t="n"/>
      <c r="G419" s="50" t="n"/>
      <c r="H419" s="84" t="n"/>
      <c r="I419" s="84" t="n"/>
      <c r="J419" s="84" t="n"/>
      <c r="K419" s="84" t="n"/>
      <c r="L419" s="84" t="n"/>
      <c r="M419" s="84" t="n"/>
      <c r="N419" s="50" t="n"/>
      <c r="O419" s="84" t="n"/>
      <c r="P419" s="84">
        <f>IF(AND($A419="",$B419=""),"",N(D419)-N(E419)+N(J419)-N(K419))</f>
        <v/>
      </c>
      <c r="Q419" s="84">
        <f>IF(AND($A419="",$B419=""),"",IF(COUNT(L419:M419,O419)=0,"",P419-(N(L419)-N(M419))))</f>
        <v/>
      </c>
      <c r="R419" s="54">
        <f>IF(AND($A419="",$B419=""),"",IF(COUNT(L419:M419,O419)=0,"kein Mandanten-Saldo",IF(OR(AND(L419="",M419="")),"",IF(ABS(ROUND(((ROUND(N(D419)*100,0)+ROUND(N(J419)*100,0)+ROUND(N(M419)*100,0))-(ROUND(N(E419)*100,0)+ROUND(N(K419)*100,0)+ROUND(N(L419)*100,0))),0)-(0))&lt;=0,"OK","ABWEICHUNG"))))</f>
        <v/>
      </c>
      <c r="S419" s="84" t="n"/>
      <c r="T419" s="50" t="n"/>
      <c r="U419" s="50" t="n"/>
      <c r="V419" s="50" t="n"/>
      <c r="W419" s="50" t="n"/>
      <c r="X419" s="50" t="n"/>
      <c r="Y419" s="50" t="n"/>
      <c r="Z419" s="50" t="n"/>
    </row>
    <row r="420">
      <c r="A420" s="50" t="n"/>
      <c r="B420" s="50" t="n"/>
      <c r="C420" s="50" t="n"/>
      <c r="D420" s="84" t="n"/>
      <c r="E420" s="84" t="n"/>
      <c r="F420" s="84" t="n"/>
      <c r="G420" s="50" t="n"/>
      <c r="H420" s="84" t="n"/>
      <c r="I420" s="84" t="n"/>
      <c r="J420" s="84" t="n"/>
      <c r="K420" s="84" t="n"/>
      <c r="L420" s="84" t="n"/>
      <c r="M420" s="84" t="n"/>
      <c r="N420" s="50" t="n"/>
      <c r="O420" s="84" t="n"/>
      <c r="P420" s="84">
        <f>IF(AND($A420="",$B420=""),"",N(D420)-N(E420)+N(J420)-N(K420))</f>
        <v/>
      </c>
      <c r="Q420" s="84">
        <f>IF(AND($A420="",$B420=""),"",IF(COUNT(L420:M420,O420)=0,"",P420-(N(L420)-N(M420))))</f>
        <v/>
      </c>
      <c r="R420" s="54">
        <f>IF(AND($A420="",$B420=""),"",IF(COUNT(L420:M420,O420)=0,"kein Mandanten-Saldo",IF(OR(AND(L420="",M420="")),"",IF(ABS(ROUND(((ROUND(N(D420)*100,0)+ROUND(N(J420)*100,0)+ROUND(N(M420)*100,0))-(ROUND(N(E420)*100,0)+ROUND(N(K420)*100,0)+ROUND(N(L420)*100,0))),0)-(0))&lt;=0,"OK","ABWEICHUNG"))))</f>
        <v/>
      </c>
      <c r="S420" s="84" t="n"/>
      <c r="T420" s="50" t="n"/>
      <c r="U420" s="50" t="n"/>
      <c r="V420" s="50" t="n"/>
      <c r="W420" s="50" t="n"/>
      <c r="X420" s="50" t="n"/>
      <c r="Y420" s="50" t="n"/>
      <c r="Z420" s="50" t="n"/>
    </row>
    <row r="421">
      <c r="A421" s="50" t="n"/>
      <c r="B421" s="50" t="n"/>
      <c r="C421" s="50" t="n"/>
      <c r="D421" s="84" t="n"/>
      <c r="E421" s="84" t="n"/>
      <c r="F421" s="84" t="n"/>
      <c r="G421" s="50" t="n"/>
      <c r="H421" s="84" t="n"/>
      <c r="I421" s="84" t="n"/>
      <c r="J421" s="84" t="n"/>
      <c r="K421" s="84" t="n"/>
      <c r="L421" s="84" t="n"/>
      <c r="M421" s="84" t="n"/>
      <c r="N421" s="50" t="n"/>
      <c r="O421" s="84" t="n"/>
      <c r="P421" s="84">
        <f>IF(AND($A421="",$B421=""),"",N(D421)-N(E421)+N(J421)-N(K421))</f>
        <v/>
      </c>
      <c r="Q421" s="84">
        <f>IF(AND($A421="",$B421=""),"",IF(COUNT(L421:M421,O421)=0,"",P421-(N(L421)-N(M421))))</f>
        <v/>
      </c>
      <c r="R421" s="54">
        <f>IF(AND($A421="",$B421=""),"",IF(COUNT(L421:M421,O421)=0,"kein Mandanten-Saldo",IF(OR(AND(L421="",M421="")),"",IF(ABS(ROUND(((ROUND(N(D421)*100,0)+ROUND(N(J421)*100,0)+ROUND(N(M421)*100,0))-(ROUND(N(E421)*100,0)+ROUND(N(K421)*100,0)+ROUND(N(L421)*100,0))),0)-(0))&lt;=0,"OK","ABWEICHUNG"))))</f>
        <v/>
      </c>
      <c r="S421" s="84" t="n"/>
      <c r="T421" s="50" t="n"/>
      <c r="U421" s="50" t="n"/>
      <c r="V421" s="50" t="n"/>
      <c r="W421" s="50" t="n"/>
      <c r="X421" s="50" t="n"/>
      <c r="Y421" s="50" t="n"/>
      <c r="Z421" s="50" t="n"/>
    </row>
    <row r="422">
      <c r="A422" s="50" t="n"/>
      <c r="B422" s="50" t="n"/>
      <c r="C422" s="50" t="n"/>
      <c r="D422" s="84" t="n"/>
      <c r="E422" s="84" t="n"/>
      <c r="F422" s="84" t="n"/>
      <c r="G422" s="50" t="n"/>
      <c r="H422" s="84" t="n"/>
      <c r="I422" s="84" t="n"/>
      <c r="J422" s="84" t="n"/>
      <c r="K422" s="84" t="n"/>
      <c r="L422" s="84" t="n"/>
      <c r="M422" s="84" t="n"/>
      <c r="N422" s="50" t="n"/>
      <c r="O422" s="84" t="n"/>
      <c r="P422" s="84">
        <f>IF(AND($A422="",$B422=""),"",N(D422)-N(E422)+N(J422)-N(K422))</f>
        <v/>
      </c>
      <c r="Q422" s="84">
        <f>IF(AND($A422="",$B422=""),"",IF(COUNT(L422:M422,O422)=0,"",P422-(N(L422)-N(M422))))</f>
        <v/>
      </c>
      <c r="R422" s="54">
        <f>IF(AND($A422="",$B422=""),"",IF(COUNT(L422:M422,O422)=0,"kein Mandanten-Saldo",IF(OR(AND(L422="",M422="")),"",IF(ABS(ROUND(((ROUND(N(D422)*100,0)+ROUND(N(J422)*100,0)+ROUND(N(M422)*100,0))-(ROUND(N(E422)*100,0)+ROUND(N(K422)*100,0)+ROUND(N(L422)*100,0))),0)-(0))&lt;=0,"OK","ABWEICHUNG"))))</f>
        <v/>
      </c>
      <c r="S422" s="84" t="n"/>
      <c r="T422" s="50" t="n"/>
      <c r="U422" s="50" t="n"/>
      <c r="V422" s="50" t="n"/>
      <c r="W422" s="50" t="n"/>
      <c r="X422" s="50" t="n"/>
      <c r="Y422" s="50" t="n"/>
      <c r="Z422" s="50" t="n"/>
    </row>
    <row r="423">
      <c r="A423" s="50" t="n"/>
      <c r="B423" s="50" t="n"/>
      <c r="C423" s="50" t="n"/>
      <c r="D423" s="84" t="n"/>
      <c r="E423" s="84" t="n"/>
      <c r="F423" s="84" t="n"/>
      <c r="G423" s="50" t="n"/>
      <c r="H423" s="84" t="n"/>
      <c r="I423" s="84" t="n"/>
      <c r="J423" s="84" t="n"/>
      <c r="K423" s="84" t="n"/>
      <c r="L423" s="84" t="n"/>
      <c r="M423" s="84" t="n"/>
      <c r="N423" s="50" t="n"/>
      <c r="O423" s="84" t="n"/>
      <c r="P423" s="84">
        <f>IF(AND($A423="",$B423=""),"",N(D423)-N(E423)+N(J423)-N(K423))</f>
        <v/>
      </c>
      <c r="Q423" s="84">
        <f>IF(AND($A423="",$B423=""),"",IF(COUNT(L423:M423,O423)=0,"",P423-(N(L423)-N(M423))))</f>
        <v/>
      </c>
      <c r="R423" s="54">
        <f>IF(AND($A423="",$B423=""),"",IF(COUNT(L423:M423,O423)=0,"kein Mandanten-Saldo",IF(OR(AND(L423="",M423="")),"",IF(ABS(ROUND(((ROUND(N(D423)*100,0)+ROUND(N(J423)*100,0)+ROUND(N(M423)*100,0))-(ROUND(N(E423)*100,0)+ROUND(N(K423)*100,0)+ROUND(N(L423)*100,0))),0)-(0))&lt;=0,"OK","ABWEICHUNG"))))</f>
        <v/>
      </c>
      <c r="S423" s="84" t="n"/>
      <c r="T423" s="50" t="n"/>
      <c r="U423" s="50" t="n"/>
      <c r="V423" s="50" t="n"/>
      <c r="W423" s="50" t="n"/>
      <c r="X423" s="50" t="n"/>
      <c r="Y423" s="50" t="n"/>
      <c r="Z423" s="50" t="n"/>
    </row>
    <row r="424">
      <c r="A424" s="50" t="n"/>
      <c r="B424" s="50" t="n"/>
      <c r="C424" s="50" t="n"/>
      <c r="D424" s="84" t="n"/>
      <c r="E424" s="84" t="n"/>
      <c r="F424" s="84" t="n"/>
      <c r="G424" s="50" t="n"/>
      <c r="H424" s="84" t="n"/>
      <c r="I424" s="84" t="n"/>
      <c r="J424" s="84" t="n"/>
      <c r="K424" s="84" t="n"/>
      <c r="L424" s="84" t="n"/>
      <c r="M424" s="84" t="n"/>
      <c r="N424" s="50" t="n"/>
      <c r="O424" s="84" t="n"/>
      <c r="P424" s="84">
        <f>IF(AND($A424="",$B424=""),"",N(D424)-N(E424)+N(J424)-N(K424))</f>
        <v/>
      </c>
      <c r="Q424" s="84">
        <f>IF(AND($A424="",$B424=""),"",IF(COUNT(L424:M424,O424)=0,"",P424-(N(L424)-N(M424))))</f>
        <v/>
      </c>
      <c r="R424" s="54">
        <f>IF(AND($A424="",$B424=""),"",IF(COUNT(L424:M424,O424)=0,"kein Mandanten-Saldo",IF(OR(AND(L424="",M424="")),"",IF(ABS(ROUND(((ROUND(N(D424)*100,0)+ROUND(N(J424)*100,0)+ROUND(N(M424)*100,0))-(ROUND(N(E424)*100,0)+ROUND(N(K424)*100,0)+ROUND(N(L424)*100,0))),0)-(0))&lt;=0,"OK","ABWEICHUNG"))))</f>
        <v/>
      </c>
      <c r="S424" s="84" t="n"/>
      <c r="T424" s="50" t="n"/>
      <c r="U424" s="50" t="n"/>
      <c r="V424" s="50" t="n"/>
      <c r="W424" s="50" t="n"/>
      <c r="X424" s="50" t="n"/>
      <c r="Y424" s="50" t="n"/>
      <c r="Z424" s="50" t="n"/>
    </row>
    <row r="425">
      <c r="A425" s="50" t="n"/>
      <c r="B425" s="50" t="n"/>
      <c r="C425" s="50" t="n"/>
      <c r="D425" s="84" t="n"/>
      <c r="E425" s="84" t="n"/>
      <c r="F425" s="84" t="n"/>
      <c r="G425" s="50" t="n"/>
      <c r="H425" s="84" t="n"/>
      <c r="I425" s="84" t="n"/>
      <c r="J425" s="84" t="n"/>
      <c r="K425" s="84" t="n"/>
      <c r="L425" s="84" t="n"/>
      <c r="M425" s="84" t="n"/>
      <c r="N425" s="50" t="n"/>
      <c r="O425" s="84" t="n"/>
      <c r="P425" s="84">
        <f>IF(AND($A425="",$B425=""),"",N(D425)-N(E425)+N(J425)-N(K425))</f>
        <v/>
      </c>
      <c r="Q425" s="84">
        <f>IF(AND($A425="",$B425=""),"",IF(COUNT(L425:M425,O425)=0,"",P425-(N(L425)-N(M425))))</f>
        <v/>
      </c>
      <c r="R425" s="54">
        <f>IF(AND($A425="",$B425=""),"",IF(COUNT(L425:M425,O425)=0,"kein Mandanten-Saldo",IF(OR(AND(L425="",M425="")),"",IF(ABS(ROUND(((ROUND(N(D425)*100,0)+ROUND(N(J425)*100,0)+ROUND(N(M425)*100,0))-(ROUND(N(E425)*100,0)+ROUND(N(K425)*100,0)+ROUND(N(L425)*100,0))),0)-(0))&lt;=0,"OK","ABWEICHUNG"))))</f>
        <v/>
      </c>
      <c r="S425" s="84" t="n"/>
      <c r="T425" s="50" t="n"/>
      <c r="U425" s="50" t="n"/>
      <c r="V425" s="50" t="n"/>
      <c r="W425" s="50" t="n"/>
      <c r="X425" s="50" t="n"/>
      <c r="Y425" s="50" t="n"/>
      <c r="Z425" s="50" t="n"/>
    </row>
    <row r="426">
      <c r="A426" s="50" t="n"/>
      <c r="B426" s="50" t="n"/>
      <c r="C426" s="50" t="n"/>
      <c r="D426" s="84" t="n"/>
      <c r="E426" s="84" t="n"/>
      <c r="F426" s="84" t="n"/>
      <c r="G426" s="50" t="n"/>
      <c r="H426" s="84" t="n"/>
      <c r="I426" s="84" t="n"/>
      <c r="J426" s="84" t="n"/>
      <c r="K426" s="84" t="n"/>
      <c r="L426" s="84" t="n"/>
      <c r="M426" s="84" t="n"/>
      <c r="N426" s="50" t="n"/>
      <c r="O426" s="84" t="n"/>
      <c r="P426" s="84">
        <f>IF(AND($A426="",$B426=""),"",N(D426)-N(E426)+N(J426)-N(K426))</f>
        <v/>
      </c>
      <c r="Q426" s="84">
        <f>IF(AND($A426="",$B426=""),"",IF(COUNT(L426:M426,O426)=0,"",P426-(N(L426)-N(M426))))</f>
        <v/>
      </c>
      <c r="R426" s="54">
        <f>IF(AND($A426="",$B426=""),"",IF(COUNT(L426:M426,O426)=0,"kein Mandanten-Saldo",IF(OR(AND(L426="",M426="")),"",IF(ABS(ROUND(((ROUND(N(D426)*100,0)+ROUND(N(J426)*100,0)+ROUND(N(M426)*100,0))-(ROUND(N(E426)*100,0)+ROUND(N(K426)*100,0)+ROUND(N(L426)*100,0))),0)-(0))&lt;=0,"OK","ABWEICHUNG"))))</f>
        <v/>
      </c>
      <c r="S426" s="84" t="n"/>
      <c r="T426" s="50" t="n"/>
      <c r="U426" s="50" t="n"/>
      <c r="V426" s="50" t="n"/>
      <c r="W426" s="50" t="n"/>
      <c r="X426" s="50" t="n"/>
      <c r="Y426" s="50" t="n"/>
      <c r="Z426" s="50" t="n"/>
    </row>
    <row r="427">
      <c r="A427" s="50" t="n"/>
      <c r="B427" s="50" t="n"/>
      <c r="C427" s="50" t="n"/>
      <c r="D427" s="84" t="n"/>
      <c r="E427" s="84" t="n"/>
      <c r="F427" s="84" t="n"/>
      <c r="G427" s="50" t="n"/>
      <c r="H427" s="84" t="n"/>
      <c r="I427" s="84" t="n"/>
      <c r="J427" s="84" t="n"/>
      <c r="K427" s="84" t="n"/>
      <c r="L427" s="84" t="n"/>
      <c r="M427" s="84" t="n"/>
      <c r="N427" s="50" t="n"/>
      <c r="O427" s="84" t="n"/>
      <c r="P427" s="84">
        <f>IF(AND($A427="",$B427=""),"",N(D427)-N(E427)+N(J427)-N(K427))</f>
        <v/>
      </c>
      <c r="Q427" s="84">
        <f>IF(AND($A427="",$B427=""),"",IF(COUNT(L427:M427,O427)=0,"",P427-(N(L427)-N(M427))))</f>
        <v/>
      </c>
      <c r="R427" s="54">
        <f>IF(AND($A427="",$B427=""),"",IF(COUNT(L427:M427,O427)=0,"kein Mandanten-Saldo",IF(OR(AND(L427="",M427="")),"",IF(ABS(ROUND(((ROUND(N(D427)*100,0)+ROUND(N(J427)*100,0)+ROUND(N(M427)*100,0))-(ROUND(N(E427)*100,0)+ROUND(N(K427)*100,0)+ROUND(N(L427)*100,0))),0)-(0))&lt;=0,"OK","ABWEICHUNG"))))</f>
        <v/>
      </c>
      <c r="S427" s="84" t="n"/>
      <c r="T427" s="50" t="n"/>
      <c r="U427" s="50" t="n"/>
      <c r="V427" s="50" t="n"/>
      <c r="W427" s="50" t="n"/>
      <c r="X427" s="50" t="n"/>
      <c r="Y427" s="50" t="n"/>
      <c r="Z427" s="50" t="n"/>
    </row>
    <row r="428">
      <c r="A428" s="50" t="n"/>
      <c r="B428" s="50" t="n"/>
      <c r="C428" s="50" t="n"/>
      <c r="D428" s="84" t="n"/>
      <c r="E428" s="84" t="n"/>
      <c r="F428" s="84" t="n"/>
      <c r="G428" s="50" t="n"/>
      <c r="H428" s="84" t="n"/>
      <c r="I428" s="84" t="n"/>
      <c r="J428" s="84" t="n"/>
      <c r="K428" s="84" t="n"/>
      <c r="L428" s="84" t="n"/>
      <c r="M428" s="84" t="n"/>
      <c r="N428" s="50" t="n"/>
      <c r="O428" s="84" t="n"/>
      <c r="P428" s="84">
        <f>IF(AND($A428="",$B428=""),"",N(D428)-N(E428)+N(J428)-N(K428))</f>
        <v/>
      </c>
      <c r="Q428" s="84">
        <f>IF(AND($A428="",$B428=""),"",IF(COUNT(L428:M428,O428)=0,"",P428-(N(L428)-N(M428))))</f>
        <v/>
      </c>
      <c r="R428" s="54">
        <f>IF(AND($A428="",$B428=""),"",IF(COUNT(L428:M428,O428)=0,"kein Mandanten-Saldo",IF(OR(AND(L428="",M428="")),"",IF(ABS(ROUND(((ROUND(N(D428)*100,0)+ROUND(N(J428)*100,0)+ROUND(N(M428)*100,0))-(ROUND(N(E428)*100,0)+ROUND(N(K428)*100,0)+ROUND(N(L428)*100,0))),0)-(0))&lt;=0,"OK","ABWEICHUNG"))))</f>
        <v/>
      </c>
      <c r="S428" s="84" t="n"/>
      <c r="T428" s="50" t="n"/>
      <c r="U428" s="50" t="n"/>
      <c r="V428" s="50" t="n"/>
      <c r="W428" s="50" t="n"/>
      <c r="X428" s="50" t="n"/>
      <c r="Y428" s="50" t="n"/>
      <c r="Z428" s="50" t="n"/>
    </row>
    <row r="429">
      <c r="A429" s="50" t="n"/>
      <c r="B429" s="50" t="n"/>
      <c r="C429" s="50" t="n"/>
      <c r="D429" s="84" t="n"/>
      <c r="E429" s="84" t="n"/>
      <c r="F429" s="84" t="n"/>
      <c r="G429" s="50" t="n"/>
      <c r="H429" s="84" t="n"/>
      <c r="I429" s="84" t="n"/>
      <c r="J429" s="84" t="n"/>
      <c r="K429" s="84" t="n"/>
      <c r="L429" s="84" t="n"/>
      <c r="M429" s="84" t="n"/>
      <c r="N429" s="50" t="n"/>
      <c r="O429" s="84" t="n"/>
      <c r="P429" s="84">
        <f>IF(AND($A429="",$B429=""),"",N(D429)-N(E429)+N(J429)-N(K429))</f>
        <v/>
      </c>
      <c r="Q429" s="84">
        <f>IF(AND($A429="",$B429=""),"",IF(COUNT(L429:M429,O429)=0,"",P429-(N(L429)-N(M429))))</f>
        <v/>
      </c>
      <c r="R429" s="54">
        <f>IF(AND($A429="",$B429=""),"",IF(COUNT(L429:M429,O429)=0,"kein Mandanten-Saldo",IF(OR(AND(L429="",M429="")),"",IF(ABS(ROUND(((ROUND(N(D429)*100,0)+ROUND(N(J429)*100,0)+ROUND(N(M429)*100,0))-(ROUND(N(E429)*100,0)+ROUND(N(K429)*100,0)+ROUND(N(L429)*100,0))),0)-(0))&lt;=0,"OK","ABWEICHUNG"))))</f>
        <v/>
      </c>
      <c r="S429" s="84" t="n"/>
      <c r="T429" s="50" t="n"/>
      <c r="U429" s="50" t="n"/>
      <c r="V429" s="50" t="n"/>
      <c r="W429" s="50" t="n"/>
      <c r="X429" s="50" t="n"/>
      <c r="Y429" s="50" t="n"/>
      <c r="Z429" s="50" t="n"/>
    </row>
    <row r="430">
      <c r="A430" s="50" t="n"/>
      <c r="B430" s="50" t="n"/>
      <c r="C430" s="50" t="n"/>
      <c r="D430" s="84" t="n"/>
      <c r="E430" s="84" t="n"/>
      <c r="F430" s="84" t="n"/>
      <c r="G430" s="50" t="n"/>
      <c r="H430" s="84" t="n"/>
      <c r="I430" s="84" t="n"/>
      <c r="J430" s="84" t="n"/>
      <c r="K430" s="84" t="n"/>
      <c r="L430" s="84" t="n"/>
      <c r="M430" s="84" t="n"/>
      <c r="N430" s="50" t="n"/>
      <c r="O430" s="84" t="n"/>
      <c r="P430" s="84">
        <f>IF(AND($A430="",$B430=""),"",N(D430)-N(E430)+N(J430)-N(K430))</f>
        <v/>
      </c>
      <c r="Q430" s="84">
        <f>IF(AND($A430="",$B430=""),"",IF(COUNT(L430:M430,O430)=0,"",P430-(N(L430)-N(M430))))</f>
        <v/>
      </c>
      <c r="R430" s="54">
        <f>IF(AND($A430="",$B430=""),"",IF(COUNT(L430:M430,O430)=0,"kein Mandanten-Saldo",IF(OR(AND(L430="",M430="")),"",IF(ABS(ROUND(((ROUND(N(D430)*100,0)+ROUND(N(J430)*100,0)+ROUND(N(M430)*100,0))-(ROUND(N(E430)*100,0)+ROUND(N(K430)*100,0)+ROUND(N(L430)*100,0))),0)-(0))&lt;=0,"OK","ABWEICHUNG"))))</f>
        <v/>
      </c>
      <c r="S430" s="84" t="n"/>
      <c r="T430" s="50" t="n"/>
      <c r="U430" s="50" t="n"/>
      <c r="V430" s="50" t="n"/>
      <c r="W430" s="50" t="n"/>
      <c r="X430" s="50" t="n"/>
      <c r="Y430" s="50" t="n"/>
      <c r="Z430" s="50" t="n"/>
    </row>
    <row r="431">
      <c r="A431" s="50" t="n"/>
      <c r="B431" s="50" t="n"/>
      <c r="C431" s="50" t="n"/>
      <c r="D431" s="84" t="n"/>
      <c r="E431" s="84" t="n"/>
      <c r="F431" s="84" t="n"/>
      <c r="G431" s="50" t="n"/>
      <c r="H431" s="84" t="n"/>
      <c r="I431" s="84" t="n"/>
      <c r="J431" s="84" t="n"/>
      <c r="K431" s="84" t="n"/>
      <c r="L431" s="84" t="n"/>
      <c r="M431" s="84" t="n"/>
      <c r="N431" s="50" t="n"/>
      <c r="O431" s="84" t="n"/>
      <c r="P431" s="84">
        <f>IF(AND($A431="",$B431=""),"",N(D431)-N(E431)+N(J431)-N(K431))</f>
        <v/>
      </c>
      <c r="Q431" s="84">
        <f>IF(AND($A431="",$B431=""),"",IF(COUNT(L431:M431,O431)=0,"",P431-(N(L431)-N(M431))))</f>
        <v/>
      </c>
      <c r="R431" s="54">
        <f>IF(AND($A431="",$B431=""),"",IF(COUNT(L431:M431,O431)=0,"kein Mandanten-Saldo",IF(OR(AND(L431="",M431="")),"",IF(ABS(ROUND(((ROUND(N(D431)*100,0)+ROUND(N(J431)*100,0)+ROUND(N(M431)*100,0))-(ROUND(N(E431)*100,0)+ROUND(N(K431)*100,0)+ROUND(N(L431)*100,0))),0)-(0))&lt;=0,"OK","ABWEICHUNG"))))</f>
        <v/>
      </c>
      <c r="S431" s="84" t="n"/>
      <c r="T431" s="50" t="n"/>
      <c r="U431" s="50" t="n"/>
      <c r="V431" s="50" t="n"/>
      <c r="W431" s="50" t="n"/>
      <c r="X431" s="50" t="n"/>
      <c r="Y431" s="50" t="n"/>
      <c r="Z431" s="50" t="n"/>
    </row>
    <row r="432">
      <c r="A432" s="50" t="n"/>
      <c r="B432" s="50" t="n"/>
      <c r="C432" s="50" t="n"/>
      <c r="D432" s="84" t="n"/>
      <c r="E432" s="84" t="n"/>
      <c r="F432" s="84" t="n"/>
      <c r="G432" s="50" t="n"/>
      <c r="H432" s="84" t="n"/>
      <c r="I432" s="84" t="n"/>
      <c r="J432" s="84" t="n"/>
      <c r="K432" s="84" t="n"/>
      <c r="L432" s="84" t="n"/>
      <c r="M432" s="84" t="n"/>
      <c r="N432" s="50" t="n"/>
      <c r="O432" s="84" t="n"/>
      <c r="P432" s="84">
        <f>IF(AND($A432="",$B432=""),"",N(D432)-N(E432)+N(J432)-N(K432))</f>
        <v/>
      </c>
      <c r="Q432" s="84">
        <f>IF(AND($A432="",$B432=""),"",IF(COUNT(L432:M432,O432)=0,"",P432-(N(L432)-N(M432))))</f>
        <v/>
      </c>
      <c r="R432" s="54">
        <f>IF(AND($A432="",$B432=""),"",IF(COUNT(L432:M432,O432)=0,"kein Mandanten-Saldo",IF(OR(AND(L432="",M432="")),"",IF(ABS(ROUND(((ROUND(N(D432)*100,0)+ROUND(N(J432)*100,0)+ROUND(N(M432)*100,0))-(ROUND(N(E432)*100,0)+ROUND(N(K432)*100,0)+ROUND(N(L432)*100,0))),0)-(0))&lt;=0,"OK","ABWEICHUNG"))))</f>
        <v/>
      </c>
      <c r="S432" s="84" t="n"/>
      <c r="T432" s="50" t="n"/>
      <c r="U432" s="50" t="n"/>
      <c r="V432" s="50" t="n"/>
      <c r="W432" s="50" t="n"/>
      <c r="X432" s="50" t="n"/>
      <c r="Y432" s="50" t="n"/>
      <c r="Z432" s="50" t="n"/>
    </row>
    <row r="433">
      <c r="A433" s="50" t="n"/>
      <c r="B433" s="50" t="n"/>
      <c r="C433" s="50" t="n"/>
      <c r="D433" s="84" t="n"/>
      <c r="E433" s="84" t="n"/>
      <c r="F433" s="84" t="n"/>
      <c r="G433" s="50" t="n"/>
      <c r="H433" s="84" t="n"/>
      <c r="I433" s="84" t="n"/>
      <c r="J433" s="84" t="n"/>
      <c r="K433" s="84" t="n"/>
      <c r="L433" s="84" t="n"/>
      <c r="M433" s="84" t="n"/>
      <c r="N433" s="50" t="n"/>
      <c r="O433" s="84" t="n"/>
      <c r="P433" s="84">
        <f>IF(AND($A433="",$B433=""),"",N(D433)-N(E433)+N(J433)-N(K433))</f>
        <v/>
      </c>
      <c r="Q433" s="84">
        <f>IF(AND($A433="",$B433=""),"",IF(COUNT(L433:M433,O433)=0,"",P433-(N(L433)-N(M433))))</f>
        <v/>
      </c>
      <c r="R433" s="54">
        <f>IF(AND($A433="",$B433=""),"",IF(COUNT(L433:M433,O433)=0,"kein Mandanten-Saldo",IF(OR(AND(L433="",M433="")),"",IF(ABS(ROUND(((ROUND(N(D433)*100,0)+ROUND(N(J433)*100,0)+ROUND(N(M433)*100,0))-(ROUND(N(E433)*100,0)+ROUND(N(K433)*100,0)+ROUND(N(L433)*100,0))),0)-(0))&lt;=0,"OK","ABWEICHUNG"))))</f>
        <v/>
      </c>
      <c r="S433" s="84" t="n"/>
      <c r="T433" s="50" t="n"/>
      <c r="U433" s="50" t="n"/>
      <c r="V433" s="50" t="n"/>
      <c r="W433" s="50" t="n"/>
      <c r="X433" s="50" t="n"/>
      <c r="Y433" s="50" t="n"/>
      <c r="Z433" s="50" t="n"/>
    </row>
    <row r="434">
      <c r="A434" s="50" t="n"/>
      <c r="B434" s="50" t="n"/>
      <c r="C434" s="50" t="n"/>
      <c r="D434" s="84" t="n"/>
      <c r="E434" s="84" t="n"/>
      <c r="F434" s="84" t="n"/>
      <c r="G434" s="50" t="n"/>
      <c r="H434" s="84" t="n"/>
      <c r="I434" s="84" t="n"/>
      <c r="J434" s="84" t="n"/>
      <c r="K434" s="84" t="n"/>
      <c r="L434" s="84" t="n"/>
      <c r="M434" s="84" t="n"/>
      <c r="N434" s="50" t="n"/>
      <c r="O434" s="84" t="n"/>
      <c r="P434" s="84">
        <f>IF(AND($A434="",$B434=""),"",N(D434)-N(E434)+N(J434)-N(K434))</f>
        <v/>
      </c>
      <c r="Q434" s="84">
        <f>IF(AND($A434="",$B434=""),"",IF(COUNT(L434:M434,O434)=0,"",P434-(N(L434)-N(M434))))</f>
        <v/>
      </c>
      <c r="R434" s="54">
        <f>IF(AND($A434="",$B434=""),"",IF(COUNT(L434:M434,O434)=0,"kein Mandanten-Saldo",IF(OR(AND(L434="",M434="")),"",IF(ABS(ROUND(((ROUND(N(D434)*100,0)+ROUND(N(J434)*100,0)+ROUND(N(M434)*100,0))-(ROUND(N(E434)*100,0)+ROUND(N(K434)*100,0)+ROUND(N(L434)*100,0))),0)-(0))&lt;=0,"OK","ABWEICHUNG"))))</f>
        <v/>
      </c>
      <c r="S434" s="84" t="n"/>
      <c r="T434" s="50" t="n"/>
      <c r="U434" s="50" t="n"/>
      <c r="V434" s="50" t="n"/>
      <c r="W434" s="50" t="n"/>
      <c r="X434" s="50" t="n"/>
      <c r="Y434" s="50" t="n"/>
      <c r="Z434" s="50" t="n"/>
    </row>
    <row r="435">
      <c r="A435" s="50" t="n"/>
      <c r="B435" s="50" t="n"/>
      <c r="C435" s="50" t="n"/>
      <c r="D435" s="84" t="n"/>
      <c r="E435" s="84" t="n"/>
      <c r="F435" s="84" t="n"/>
      <c r="G435" s="50" t="n"/>
      <c r="H435" s="84" t="n"/>
      <c r="I435" s="84" t="n"/>
      <c r="J435" s="84" t="n"/>
      <c r="K435" s="84" t="n"/>
      <c r="L435" s="84" t="n"/>
      <c r="M435" s="84" t="n"/>
      <c r="N435" s="50" t="n"/>
      <c r="O435" s="84" t="n"/>
      <c r="P435" s="84">
        <f>IF(AND($A435="",$B435=""),"",N(D435)-N(E435)+N(J435)-N(K435))</f>
        <v/>
      </c>
      <c r="Q435" s="84">
        <f>IF(AND($A435="",$B435=""),"",IF(COUNT(L435:M435,O435)=0,"",P435-(N(L435)-N(M435))))</f>
        <v/>
      </c>
      <c r="R435" s="54">
        <f>IF(AND($A435="",$B435=""),"",IF(COUNT(L435:M435,O435)=0,"kein Mandanten-Saldo",IF(OR(AND(L435="",M435="")),"",IF(ABS(ROUND(((ROUND(N(D435)*100,0)+ROUND(N(J435)*100,0)+ROUND(N(M435)*100,0))-(ROUND(N(E435)*100,0)+ROUND(N(K435)*100,0)+ROUND(N(L435)*100,0))),0)-(0))&lt;=0,"OK","ABWEICHUNG"))))</f>
        <v/>
      </c>
      <c r="S435" s="84" t="n"/>
      <c r="T435" s="50" t="n"/>
      <c r="U435" s="50" t="n"/>
      <c r="V435" s="50" t="n"/>
      <c r="W435" s="50" t="n"/>
      <c r="X435" s="50" t="n"/>
      <c r="Y435" s="50" t="n"/>
      <c r="Z435" s="50" t="n"/>
    </row>
    <row r="436">
      <c r="A436" s="50" t="n"/>
      <c r="B436" s="50" t="n"/>
      <c r="C436" s="50" t="n"/>
      <c r="D436" s="84" t="n"/>
      <c r="E436" s="84" t="n"/>
      <c r="F436" s="84" t="n"/>
      <c r="G436" s="50" t="n"/>
      <c r="H436" s="84" t="n"/>
      <c r="I436" s="84" t="n"/>
      <c r="J436" s="84" t="n"/>
      <c r="K436" s="84" t="n"/>
      <c r="L436" s="84" t="n"/>
      <c r="M436" s="84" t="n"/>
      <c r="N436" s="50" t="n"/>
      <c r="O436" s="84" t="n"/>
      <c r="P436" s="84">
        <f>IF(AND($A436="",$B436=""),"",N(D436)-N(E436)+N(J436)-N(K436))</f>
        <v/>
      </c>
      <c r="Q436" s="84">
        <f>IF(AND($A436="",$B436=""),"",IF(COUNT(L436:M436,O436)=0,"",P436-(N(L436)-N(M436))))</f>
        <v/>
      </c>
      <c r="R436" s="54">
        <f>IF(AND($A436="",$B436=""),"",IF(COUNT(L436:M436,O436)=0,"kein Mandanten-Saldo",IF(OR(AND(L436="",M436="")),"",IF(ABS(ROUND(((ROUND(N(D436)*100,0)+ROUND(N(J436)*100,0)+ROUND(N(M436)*100,0))-(ROUND(N(E436)*100,0)+ROUND(N(K436)*100,0)+ROUND(N(L436)*100,0))),0)-(0))&lt;=0,"OK","ABWEICHUNG"))))</f>
        <v/>
      </c>
      <c r="S436" s="84" t="n"/>
      <c r="T436" s="50" t="n"/>
      <c r="U436" s="50" t="n"/>
      <c r="V436" s="50" t="n"/>
      <c r="W436" s="50" t="n"/>
      <c r="X436" s="50" t="n"/>
      <c r="Y436" s="50" t="n"/>
      <c r="Z436" s="50" t="n"/>
    </row>
    <row r="437">
      <c r="A437" s="50" t="n"/>
      <c r="B437" s="50" t="n"/>
      <c r="C437" s="50" t="n"/>
      <c r="D437" s="84" t="n"/>
      <c r="E437" s="84" t="n"/>
      <c r="F437" s="84" t="n"/>
      <c r="G437" s="50" t="n"/>
      <c r="H437" s="84" t="n"/>
      <c r="I437" s="84" t="n"/>
      <c r="J437" s="84" t="n"/>
      <c r="K437" s="84" t="n"/>
      <c r="L437" s="84" t="n"/>
      <c r="M437" s="84" t="n"/>
      <c r="N437" s="50" t="n"/>
      <c r="O437" s="84" t="n"/>
      <c r="P437" s="84">
        <f>IF(AND($A437="",$B437=""),"",N(D437)-N(E437)+N(J437)-N(K437))</f>
        <v/>
      </c>
      <c r="Q437" s="84">
        <f>IF(AND($A437="",$B437=""),"",IF(COUNT(L437:M437,O437)=0,"",P437-(N(L437)-N(M437))))</f>
        <v/>
      </c>
      <c r="R437" s="54">
        <f>IF(AND($A437="",$B437=""),"",IF(COUNT(L437:M437,O437)=0,"kein Mandanten-Saldo",IF(OR(AND(L437="",M437="")),"",IF(ABS(ROUND(((ROUND(N(D437)*100,0)+ROUND(N(J437)*100,0)+ROUND(N(M437)*100,0))-(ROUND(N(E437)*100,0)+ROUND(N(K437)*100,0)+ROUND(N(L437)*100,0))),0)-(0))&lt;=0,"OK","ABWEICHUNG"))))</f>
        <v/>
      </c>
      <c r="S437" s="84" t="n"/>
      <c r="T437" s="50" t="n"/>
      <c r="U437" s="50" t="n"/>
      <c r="V437" s="50" t="n"/>
      <c r="W437" s="50" t="n"/>
      <c r="X437" s="50" t="n"/>
      <c r="Y437" s="50" t="n"/>
      <c r="Z437" s="50" t="n"/>
    </row>
    <row r="438">
      <c r="A438" s="50" t="n"/>
      <c r="B438" s="50" t="n"/>
      <c r="C438" s="50" t="n"/>
      <c r="D438" s="84" t="n"/>
      <c r="E438" s="84" t="n"/>
      <c r="F438" s="84" t="n"/>
      <c r="G438" s="50" t="n"/>
      <c r="H438" s="84" t="n"/>
      <c r="I438" s="84" t="n"/>
      <c r="J438" s="84" t="n"/>
      <c r="K438" s="84" t="n"/>
      <c r="L438" s="84" t="n"/>
      <c r="M438" s="84" t="n"/>
      <c r="N438" s="50" t="n"/>
      <c r="O438" s="84" t="n"/>
      <c r="P438" s="84">
        <f>IF(AND($A438="",$B438=""),"",N(D438)-N(E438)+N(J438)-N(K438))</f>
        <v/>
      </c>
      <c r="Q438" s="84">
        <f>IF(AND($A438="",$B438=""),"",IF(COUNT(L438:M438,O438)=0,"",P438-(N(L438)-N(M438))))</f>
        <v/>
      </c>
      <c r="R438" s="54">
        <f>IF(AND($A438="",$B438=""),"",IF(COUNT(L438:M438,O438)=0,"kein Mandanten-Saldo",IF(OR(AND(L438="",M438="")),"",IF(ABS(ROUND(((ROUND(N(D438)*100,0)+ROUND(N(J438)*100,0)+ROUND(N(M438)*100,0))-(ROUND(N(E438)*100,0)+ROUND(N(K438)*100,0)+ROUND(N(L438)*100,0))),0)-(0))&lt;=0,"OK","ABWEICHUNG"))))</f>
        <v/>
      </c>
      <c r="S438" s="84" t="n"/>
      <c r="T438" s="50" t="n"/>
      <c r="U438" s="50" t="n"/>
      <c r="V438" s="50" t="n"/>
      <c r="W438" s="50" t="n"/>
      <c r="X438" s="50" t="n"/>
      <c r="Y438" s="50" t="n"/>
      <c r="Z438" s="50" t="n"/>
    </row>
    <row r="439">
      <c r="A439" s="50" t="n"/>
      <c r="B439" s="50" t="n"/>
      <c r="C439" s="50" t="n"/>
      <c r="D439" s="84" t="n"/>
      <c r="E439" s="84" t="n"/>
      <c r="F439" s="84" t="n"/>
      <c r="G439" s="50" t="n"/>
      <c r="H439" s="84" t="n"/>
      <c r="I439" s="84" t="n"/>
      <c r="J439" s="84" t="n"/>
      <c r="K439" s="84" t="n"/>
      <c r="L439" s="84" t="n"/>
      <c r="M439" s="84" t="n"/>
      <c r="N439" s="50" t="n"/>
      <c r="O439" s="84" t="n"/>
      <c r="P439" s="84">
        <f>IF(AND($A439="",$B439=""),"",N(D439)-N(E439)+N(J439)-N(K439))</f>
        <v/>
      </c>
      <c r="Q439" s="84">
        <f>IF(AND($A439="",$B439=""),"",IF(COUNT(L439:M439,O439)=0,"",P439-(N(L439)-N(M439))))</f>
        <v/>
      </c>
      <c r="R439" s="54">
        <f>IF(AND($A439="",$B439=""),"",IF(COUNT(L439:M439,O439)=0,"kein Mandanten-Saldo",IF(OR(AND(L439="",M439="")),"",IF(ABS(ROUND(((ROUND(N(D439)*100,0)+ROUND(N(J439)*100,0)+ROUND(N(M439)*100,0))-(ROUND(N(E439)*100,0)+ROUND(N(K439)*100,0)+ROUND(N(L439)*100,0))),0)-(0))&lt;=0,"OK","ABWEICHUNG"))))</f>
        <v/>
      </c>
      <c r="S439" s="84" t="n"/>
      <c r="T439" s="50" t="n"/>
      <c r="U439" s="50" t="n"/>
      <c r="V439" s="50" t="n"/>
      <c r="W439" s="50" t="n"/>
      <c r="X439" s="50" t="n"/>
      <c r="Y439" s="50" t="n"/>
      <c r="Z439" s="50" t="n"/>
    </row>
    <row r="440">
      <c r="A440" s="50" t="n"/>
      <c r="B440" s="50" t="n"/>
      <c r="C440" s="50" t="n"/>
      <c r="D440" s="84" t="n"/>
      <c r="E440" s="84" t="n"/>
      <c r="F440" s="84" t="n"/>
      <c r="G440" s="50" t="n"/>
      <c r="H440" s="84" t="n"/>
      <c r="I440" s="84" t="n"/>
      <c r="J440" s="84" t="n"/>
      <c r="K440" s="84" t="n"/>
      <c r="L440" s="84" t="n"/>
      <c r="M440" s="84" t="n"/>
      <c r="N440" s="50" t="n"/>
      <c r="O440" s="84" t="n"/>
      <c r="P440" s="84">
        <f>IF(AND($A440="",$B440=""),"",N(D440)-N(E440)+N(J440)-N(K440))</f>
        <v/>
      </c>
      <c r="Q440" s="84">
        <f>IF(AND($A440="",$B440=""),"",IF(COUNT(L440:M440,O440)=0,"",P440-(N(L440)-N(M440))))</f>
        <v/>
      </c>
      <c r="R440" s="54">
        <f>IF(AND($A440="",$B440=""),"",IF(COUNT(L440:M440,O440)=0,"kein Mandanten-Saldo",IF(OR(AND(L440="",M440="")),"",IF(ABS(ROUND(((ROUND(N(D440)*100,0)+ROUND(N(J440)*100,0)+ROUND(N(M440)*100,0))-(ROUND(N(E440)*100,0)+ROUND(N(K440)*100,0)+ROUND(N(L440)*100,0))),0)-(0))&lt;=0,"OK","ABWEICHUNG"))))</f>
        <v/>
      </c>
      <c r="S440" s="84" t="n"/>
      <c r="T440" s="50" t="n"/>
      <c r="U440" s="50" t="n"/>
      <c r="V440" s="50" t="n"/>
      <c r="W440" s="50" t="n"/>
      <c r="X440" s="50" t="n"/>
      <c r="Y440" s="50" t="n"/>
      <c r="Z440" s="50" t="n"/>
    </row>
    <row r="441">
      <c r="A441" s="50" t="n"/>
      <c r="B441" s="50" t="n"/>
      <c r="C441" s="50" t="n"/>
      <c r="D441" s="84" t="n"/>
      <c r="E441" s="84" t="n"/>
      <c r="F441" s="84" t="n"/>
      <c r="G441" s="50" t="n"/>
      <c r="H441" s="84" t="n"/>
      <c r="I441" s="84" t="n"/>
      <c r="J441" s="84" t="n"/>
      <c r="K441" s="84" t="n"/>
      <c r="L441" s="84" t="n"/>
      <c r="M441" s="84" t="n"/>
      <c r="N441" s="50" t="n"/>
      <c r="O441" s="84" t="n"/>
      <c r="P441" s="84">
        <f>IF(AND($A441="",$B441=""),"",N(D441)-N(E441)+N(J441)-N(K441))</f>
        <v/>
      </c>
      <c r="Q441" s="84">
        <f>IF(AND($A441="",$B441=""),"",IF(COUNT(L441:M441,O441)=0,"",P441-(N(L441)-N(M441))))</f>
        <v/>
      </c>
      <c r="R441" s="54">
        <f>IF(AND($A441="",$B441=""),"",IF(COUNT(L441:M441,O441)=0,"kein Mandanten-Saldo",IF(OR(AND(L441="",M441="")),"",IF(ABS(ROUND(((ROUND(N(D441)*100,0)+ROUND(N(J441)*100,0)+ROUND(N(M441)*100,0))-(ROUND(N(E441)*100,0)+ROUND(N(K441)*100,0)+ROUND(N(L441)*100,0))),0)-(0))&lt;=0,"OK","ABWEICHUNG"))))</f>
        <v/>
      </c>
      <c r="S441" s="84" t="n"/>
      <c r="T441" s="50" t="n"/>
      <c r="U441" s="50" t="n"/>
      <c r="V441" s="50" t="n"/>
      <c r="W441" s="50" t="n"/>
      <c r="X441" s="50" t="n"/>
      <c r="Y441" s="50" t="n"/>
      <c r="Z441" s="50" t="n"/>
    </row>
    <row r="442">
      <c r="A442" s="50" t="n"/>
      <c r="B442" s="50" t="n"/>
      <c r="C442" s="50" t="n"/>
      <c r="D442" s="84" t="n"/>
      <c r="E442" s="84" t="n"/>
      <c r="F442" s="84" t="n"/>
      <c r="G442" s="50" t="n"/>
      <c r="H442" s="84" t="n"/>
      <c r="I442" s="84" t="n"/>
      <c r="J442" s="84" t="n"/>
      <c r="K442" s="84" t="n"/>
      <c r="L442" s="84" t="n"/>
      <c r="M442" s="84" t="n"/>
      <c r="N442" s="50" t="n"/>
      <c r="O442" s="84" t="n"/>
      <c r="P442" s="84">
        <f>IF(AND($A442="",$B442=""),"",N(D442)-N(E442)+N(J442)-N(K442))</f>
        <v/>
      </c>
      <c r="Q442" s="84">
        <f>IF(AND($A442="",$B442=""),"",IF(COUNT(L442:M442,O442)=0,"",P442-(N(L442)-N(M442))))</f>
        <v/>
      </c>
      <c r="R442" s="54">
        <f>IF(AND($A442="",$B442=""),"",IF(COUNT(L442:M442,O442)=0,"kein Mandanten-Saldo",IF(OR(AND(L442="",M442="")),"",IF(ABS(ROUND(((ROUND(N(D442)*100,0)+ROUND(N(J442)*100,0)+ROUND(N(M442)*100,0))-(ROUND(N(E442)*100,0)+ROUND(N(K442)*100,0)+ROUND(N(L442)*100,0))),0)-(0))&lt;=0,"OK","ABWEICHUNG"))))</f>
        <v/>
      </c>
      <c r="S442" s="84" t="n"/>
      <c r="T442" s="50" t="n"/>
      <c r="U442" s="50" t="n"/>
      <c r="V442" s="50" t="n"/>
      <c r="W442" s="50" t="n"/>
      <c r="X442" s="50" t="n"/>
      <c r="Y442" s="50" t="n"/>
      <c r="Z442" s="50" t="n"/>
    </row>
    <row r="443">
      <c r="A443" s="50" t="n"/>
      <c r="B443" s="50" t="n"/>
      <c r="C443" s="50" t="n"/>
      <c r="D443" s="84" t="n"/>
      <c r="E443" s="84" t="n"/>
      <c r="F443" s="84" t="n"/>
      <c r="G443" s="50" t="n"/>
      <c r="H443" s="84" t="n"/>
      <c r="I443" s="84" t="n"/>
      <c r="J443" s="84" t="n"/>
      <c r="K443" s="84" t="n"/>
      <c r="L443" s="84" t="n"/>
      <c r="M443" s="84" t="n"/>
      <c r="N443" s="50" t="n"/>
      <c r="O443" s="84" t="n"/>
      <c r="P443" s="84">
        <f>IF(AND($A443="",$B443=""),"",N(D443)-N(E443)+N(J443)-N(K443))</f>
        <v/>
      </c>
      <c r="Q443" s="84">
        <f>IF(AND($A443="",$B443=""),"",IF(COUNT(L443:M443,O443)=0,"",P443-(N(L443)-N(M443))))</f>
        <v/>
      </c>
      <c r="R443" s="54">
        <f>IF(AND($A443="",$B443=""),"",IF(COUNT(L443:M443,O443)=0,"kein Mandanten-Saldo",IF(OR(AND(L443="",M443="")),"",IF(ABS(ROUND(((ROUND(N(D443)*100,0)+ROUND(N(J443)*100,0)+ROUND(N(M443)*100,0))-(ROUND(N(E443)*100,0)+ROUND(N(K443)*100,0)+ROUND(N(L443)*100,0))),0)-(0))&lt;=0,"OK","ABWEICHUNG"))))</f>
        <v/>
      </c>
      <c r="S443" s="84" t="n"/>
      <c r="T443" s="50" t="n"/>
      <c r="U443" s="50" t="n"/>
      <c r="V443" s="50" t="n"/>
      <c r="W443" s="50" t="n"/>
      <c r="X443" s="50" t="n"/>
      <c r="Y443" s="50" t="n"/>
      <c r="Z443" s="50" t="n"/>
    </row>
    <row r="444">
      <c r="A444" s="50" t="n"/>
      <c r="B444" s="50" t="n"/>
      <c r="C444" s="50" t="n"/>
      <c r="D444" s="84" t="n"/>
      <c r="E444" s="84" t="n"/>
      <c r="F444" s="84" t="n"/>
      <c r="G444" s="50" t="n"/>
      <c r="H444" s="84" t="n"/>
      <c r="I444" s="84" t="n"/>
      <c r="J444" s="84" t="n"/>
      <c r="K444" s="84" t="n"/>
      <c r="L444" s="84" t="n"/>
      <c r="M444" s="84" t="n"/>
      <c r="N444" s="50" t="n"/>
      <c r="O444" s="84" t="n"/>
      <c r="P444" s="84">
        <f>IF(AND($A444="",$B444=""),"",N(D444)-N(E444)+N(J444)-N(K444))</f>
        <v/>
      </c>
      <c r="Q444" s="84">
        <f>IF(AND($A444="",$B444=""),"",IF(COUNT(L444:M444,O444)=0,"",P444-(N(L444)-N(M444))))</f>
        <v/>
      </c>
      <c r="R444" s="54">
        <f>IF(AND($A444="",$B444=""),"",IF(COUNT(L444:M444,O444)=0,"kein Mandanten-Saldo",IF(OR(AND(L444="",M444="")),"",IF(ABS(ROUND(((ROUND(N(D444)*100,0)+ROUND(N(J444)*100,0)+ROUND(N(M444)*100,0))-(ROUND(N(E444)*100,0)+ROUND(N(K444)*100,0)+ROUND(N(L444)*100,0))),0)-(0))&lt;=0,"OK","ABWEICHUNG"))))</f>
        <v/>
      </c>
      <c r="S444" s="84" t="n"/>
      <c r="T444" s="50" t="n"/>
      <c r="U444" s="50" t="n"/>
      <c r="V444" s="50" t="n"/>
      <c r="W444" s="50" t="n"/>
      <c r="X444" s="50" t="n"/>
      <c r="Y444" s="50" t="n"/>
      <c r="Z444" s="50" t="n"/>
    </row>
    <row r="445">
      <c r="A445" s="50" t="n"/>
      <c r="B445" s="50" t="n"/>
      <c r="C445" s="50" t="n"/>
      <c r="D445" s="84" t="n"/>
      <c r="E445" s="84" t="n"/>
      <c r="F445" s="84" t="n"/>
      <c r="G445" s="50" t="n"/>
      <c r="H445" s="84" t="n"/>
      <c r="I445" s="84" t="n"/>
      <c r="J445" s="84" t="n"/>
      <c r="K445" s="84" t="n"/>
      <c r="L445" s="84" t="n"/>
      <c r="M445" s="84" t="n"/>
      <c r="N445" s="50" t="n"/>
      <c r="O445" s="84" t="n"/>
      <c r="P445" s="84">
        <f>IF(AND($A445="",$B445=""),"",N(D445)-N(E445)+N(J445)-N(K445))</f>
        <v/>
      </c>
      <c r="Q445" s="84">
        <f>IF(AND($A445="",$B445=""),"",IF(COUNT(L445:M445,O445)=0,"",P445-(N(L445)-N(M445))))</f>
        <v/>
      </c>
      <c r="R445" s="54">
        <f>IF(AND($A445="",$B445=""),"",IF(COUNT(L445:M445,O445)=0,"kein Mandanten-Saldo",IF(OR(AND(L445="",M445="")),"",IF(ABS(ROUND(((ROUND(N(D445)*100,0)+ROUND(N(J445)*100,0)+ROUND(N(M445)*100,0))-(ROUND(N(E445)*100,0)+ROUND(N(K445)*100,0)+ROUND(N(L445)*100,0))),0)-(0))&lt;=0,"OK","ABWEICHUNG"))))</f>
        <v/>
      </c>
      <c r="S445" s="84" t="n"/>
      <c r="T445" s="50" t="n"/>
      <c r="U445" s="50" t="n"/>
      <c r="V445" s="50" t="n"/>
      <c r="W445" s="50" t="n"/>
      <c r="X445" s="50" t="n"/>
      <c r="Y445" s="50" t="n"/>
      <c r="Z445" s="50" t="n"/>
    </row>
    <row r="446">
      <c r="A446" s="50" t="n"/>
      <c r="B446" s="50" t="n"/>
      <c r="C446" s="50" t="n"/>
      <c r="D446" s="84" t="n"/>
      <c r="E446" s="84" t="n"/>
      <c r="F446" s="84" t="n"/>
      <c r="G446" s="50" t="n"/>
      <c r="H446" s="84" t="n"/>
      <c r="I446" s="84" t="n"/>
      <c r="J446" s="84" t="n"/>
      <c r="K446" s="84" t="n"/>
      <c r="L446" s="84" t="n"/>
      <c r="M446" s="84" t="n"/>
      <c r="N446" s="50" t="n"/>
      <c r="O446" s="84" t="n"/>
      <c r="P446" s="84">
        <f>IF(AND($A446="",$B446=""),"",N(D446)-N(E446)+N(J446)-N(K446))</f>
        <v/>
      </c>
      <c r="Q446" s="84">
        <f>IF(AND($A446="",$B446=""),"",IF(COUNT(L446:M446,O446)=0,"",P446-(N(L446)-N(M446))))</f>
        <v/>
      </c>
      <c r="R446" s="54">
        <f>IF(AND($A446="",$B446=""),"",IF(COUNT(L446:M446,O446)=0,"kein Mandanten-Saldo",IF(OR(AND(L446="",M446="")),"",IF(ABS(ROUND(((ROUND(N(D446)*100,0)+ROUND(N(J446)*100,0)+ROUND(N(M446)*100,0))-(ROUND(N(E446)*100,0)+ROUND(N(K446)*100,0)+ROUND(N(L446)*100,0))),0)-(0))&lt;=0,"OK","ABWEICHUNG"))))</f>
        <v/>
      </c>
      <c r="S446" s="84" t="n"/>
      <c r="T446" s="50" t="n"/>
      <c r="U446" s="50" t="n"/>
      <c r="V446" s="50" t="n"/>
      <c r="W446" s="50" t="n"/>
      <c r="X446" s="50" t="n"/>
      <c r="Y446" s="50" t="n"/>
      <c r="Z446" s="50" t="n"/>
    </row>
    <row r="447">
      <c r="A447" s="50" t="n"/>
      <c r="B447" s="50" t="n"/>
      <c r="C447" s="50" t="n"/>
      <c r="D447" s="84" t="n"/>
      <c r="E447" s="84" t="n"/>
      <c r="F447" s="84" t="n"/>
      <c r="G447" s="50" t="n"/>
      <c r="H447" s="84" t="n"/>
      <c r="I447" s="84" t="n"/>
      <c r="J447" s="84" t="n"/>
      <c r="K447" s="84" t="n"/>
      <c r="L447" s="84" t="n"/>
      <c r="M447" s="84" t="n"/>
      <c r="N447" s="50" t="n"/>
      <c r="O447" s="84" t="n"/>
      <c r="P447" s="84">
        <f>IF(AND($A447="",$B447=""),"",N(D447)-N(E447)+N(J447)-N(K447))</f>
        <v/>
      </c>
      <c r="Q447" s="84">
        <f>IF(AND($A447="",$B447=""),"",IF(COUNT(L447:M447,O447)=0,"",P447-(N(L447)-N(M447))))</f>
        <v/>
      </c>
      <c r="R447" s="54">
        <f>IF(AND($A447="",$B447=""),"",IF(COUNT(L447:M447,O447)=0,"kein Mandanten-Saldo",IF(OR(AND(L447="",M447="")),"",IF(ABS(ROUND(((ROUND(N(D447)*100,0)+ROUND(N(J447)*100,0)+ROUND(N(M447)*100,0))-(ROUND(N(E447)*100,0)+ROUND(N(K447)*100,0)+ROUND(N(L447)*100,0))),0)-(0))&lt;=0,"OK","ABWEICHUNG"))))</f>
        <v/>
      </c>
      <c r="S447" s="84" t="n"/>
      <c r="T447" s="50" t="n"/>
      <c r="U447" s="50" t="n"/>
      <c r="V447" s="50" t="n"/>
      <c r="W447" s="50" t="n"/>
      <c r="X447" s="50" t="n"/>
      <c r="Y447" s="50" t="n"/>
      <c r="Z447" s="50" t="n"/>
    </row>
    <row r="448">
      <c r="A448" s="50" t="n"/>
      <c r="B448" s="50" t="n"/>
      <c r="C448" s="50" t="n"/>
      <c r="D448" s="84" t="n"/>
      <c r="E448" s="84" t="n"/>
      <c r="F448" s="84" t="n"/>
      <c r="G448" s="50" t="n"/>
      <c r="H448" s="84" t="n"/>
      <c r="I448" s="84" t="n"/>
      <c r="J448" s="84" t="n"/>
      <c r="K448" s="84" t="n"/>
      <c r="L448" s="84" t="n"/>
      <c r="M448" s="84" t="n"/>
      <c r="N448" s="50" t="n"/>
      <c r="O448" s="84" t="n"/>
      <c r="P448" s="84">
        <f>IF(AND($A448="",$B448=""),"",N(D448)-N(E448)+N(J448)-N(K448))</f>
        <v/>
      </c>
      <c r="Q448" s="84">
        <f>IF(AND($A448="",$B448=""),"",IF(COUNT(L448:M448,O448)=0,"",P448-(N(L448)-N(M448))))</f>
        <v/>
      </c>
      <c r="R448" s="54">
        <f>IF(AND($A448="",$B448=""),"",IF(COUNT(L448:M448,O448)=0,"kein Mandanten-Saldo",IF(OR(AND(L448="",M448="")),"",IF(ABS(ROUND(((ROUND(N(D448)*100,0)+ROUND(N(J448)*100,0)+ROUND(N(M448)*100,0))-(ROUND(N(E448)*100,0)+ROUND(N(K448)*100,0)+ROUND(N(L448)*100,0))),0)-(0))&lt;=0,"OK","ABWEICHUNG"))))</f>
        <v/>
      </c>
      <c r="S448" s="84" t="n"/>
      <c r="T448" s="50" t="n"/>
      <c r="U448" s="50" t="n"/>
      <c r="V448" s="50" t="n"/>
      <c r="W448" s="50" t="n"/>
      <c r="X448" s="50" t="n"/>
      <c r="Y448" s="50" t="n"/>
      <c r="Z448" s="50" t="n"/>
    </row>
    <row r="449">
      <c r="A449" s="50" t="n"/>
      <c r="B449" s="50" t="n"/>
      <c r="C449" s="50" t="n"/>
      <c r="D449" s="84" t="n"/>
      <c r="E449" s="84" t="n"/>
      <c r="F449" s="84" t="n"/>
      <c r="G449" s="50" t="n"/>
      <c r="H449" s="84" t="n"/>
      <c r="I449" s="84" t="n"/>
      <c r="J449" s="84" t="n"/>
      <c r="K449" s="84" t="n"/>
      <c r="L449" s="84" t="n"/>
      <c r="M449" s="84" t="n"/>
      <c r="N449" s="50" t="n"/>
      <c r="O449" s="84" t="n"/>
      <c r="P449" s="84">
        <f>IF(AND($A449="",$B449=""),"",N(D449)-N(E449)+N(J449)-N(K449))</f>
        <v/>
      </c>
      <c r="Q449" s="84">
        <f>IF(AND($A449="",$B449=""),"",IF(COUNT(L449:M449,O449)=0,"",P449-(N(L449)-N(M449))))</f>
        <v/>
      </c>
      <c r="R449" s="54">
        <f>IF(AND($A449="",$B449=""),"",IF(COUNT(L449:M449,O449)=0,"kein Mandanten-Saldo",IF(OR(AND(L449="",M449="")),"",IF(ABS(ROUND(((ROUND(N(D449)*100,0)+ROUND(N(J449)*100,0)+ROUND(N(M449)*100,0))-(ROUND(N(E449)*100,0)+ROUND(N(K449)*100,0)+ROUND(N(L449)*100,0))),0)-(0))&lt;=0,"OK","ABWEICHUNG"))))</f>
        <v/>
      </c>
      <c r="S449" s="84" t="n"/>
      <c r="T449" s="50" t="n"/>
      <c r="U449" s="50" t="n"/>
      <c r="V449" s="50" t="n"/>
      <c r="W449" s="50" t="n"/>
      <c r="X449" s="50" t="n"/>
      <c r="Y449" s="50" t="n"/>
      <c r="Z449" s="50" t="n"/>
    </row>
    <row r="450">
      <c r="A450" s="50" t="n"/>
      <c r="B450" s="50" t="n"/>
      <c r="C450" s="50" t="n"/>
      <c r="D450" s="84" t="n"/>
      <c r="E450" s="84" t="n"/>
      <c r="F450" s="84" t="n"/>
      <c r="G450" s="50" t="n"/>
      <c r="H450" s="84" t="n"/>
      <c r="I450" s="84" t="n"/>
      <c r="J450" s="84" t="n"/>
      <c r="K450" s="84" t="n"/>
      <c r="L450" s="84" t="n"/>
      <c r="M450" s="84" t="n"/>
      <c r="N450" s="50" t="n"/>
      <c r="O450" s="84" t="n"/>
      <c r="P450" s="84">
        <f>IF(AND($A450="",$B450=""),"",N(D450)-N(E450)+N(J450)-N(K450))</f>
        <v/>
      </c>
      <c r="Q450" s="84">
        <f>IF(AND($A450="",$B450=""),"",IF(COUNT(L450:M450,O450)=0,"",P450-(N(L450)-N(M450))))</f>
        <v/>
      </c>
      <c r="R450" s="54">
        <f>IF(AND($A450="",$B450=""),"",IF(COUNT(L450:M450,O450)=0,"kein Mandanten-Saldo",IF(OR(AND(L450="",M450="")),"",IF(ABS(ROUND(((ROUND(N(D450)*100,0)+ROUND(N(J450)*100,0)+ROUND(N(M450)*100,0))-(ROUND(N(E450)*100,0)+ROUND(N(K450)*100,0)+ROUND(N(L450)*100,0))),0)-(0))&lt;=0,"OK","ABWEICHUNG"))))</f>
        <v/>
      </c>
      <c r="S450" s="84" t="n"/>
      <c r="T450" s="50" t="n"/>
      <c r="U450" s="50" t="n"/>
      <c r="V450" s="50" t="n"/>
      <c r="W450" s="50" t="n"/>
      <c r="X450" s="50" t="n"/>
      <c r="Y450" s="50" t="n"/>
      <c r="Z450" s="50" t="n"/>
    </row>
    <row r="451">
      <c r="A451" s="50" t="n"/>
      <c r="B451" s="50" t="n"/>
      <c r="C451" s="50" t="n"/>
      <c r="D451" s="84" t="n"/>
      <c r="E451" s="84" t="n"/>
      <c r="F451" s="84" t="n"/>
      <c r="G451" s="50" t="n"/>
      <c r="H451" s="84" t="n"/>
      <c r="I451" s="84" t="n"/>
      <c r="J451" s="84" t="n"/>
      <c r="K451" s="84" t="n"/>
      <c r="L451" s="84" t="n"/>
      <c r="M451" s="84" t="n"/>
      <c r="N451" s="50" t="n"/>
      <c r="O451" s="84" t="n"/>
      <c r="P451" s="84">
        <f>IF(AND($A451="",$B451=""),"",N(D451)-N(E451)+N(J451)-N(K451))</f>
        <v/>
      </c>
      <c r="Q451" s="84">
        <f>IF(AND($A451="",$B451=""),"",IF(COUNT(L451:M451,O451)=0,"",P451-(N(L451)-N(M451))))</f>
        <v/>
      </c>
      <c r="R451" s="54">
        <f>IF(AND($A451="",$B451=""),"",IF(COUNT(L451:M451,O451)=0,"kein Mandanten-Saldo",IF(OR(AND(L451="",M451="")),"",IF(ABS(ROUND(((ROUND(N(D451)*100,0)+ROUND(N(J451)*100,0)+ROUND(N(M451)*100,0))-(ROUND(N(E451)*100,0)+ROUND(N(K451)*100,0)+ROUND(N(L451)*100,0))),0)-(0))&lt;=0,"OK","ABWEICHUNG"))))</f>
        <v/>
      </c>
      <c r="S451" s="84" t="n"/>
      <c r="T451" s="50" t="n"/>
      <c r="U451" s="50" t="n"/>
      <c r="V451" s="50" t="n"/>
      <c r="W451" s="50" t="n"/>
      <c r="X451" s="50" t="n"/>
      <c r="Y451" s="50" t="n"/>
      <c r="Z451" s="50" t="n"/>
    </row>
    <row r="452">
      <c r="A452" s="50" t="n"/>
      <c r="B452" s="50" t="n"/>
      <c r="C452" s="50" t="n"/>
      <c r="D452" s="84" t="n"/>
      <c r="E452" s="84" t="n"/>
      <c r="F452" s="84" t="n"/>
      <c r="G452" s="50" t="n"/>
      <c r="H452" s="84" t="n"/>
      <c r="I452" s="84" t="n"/>
      <c r="J452" s="84" t="n"/>
      <c r="K452" s="84" t="n"/>
      <c r="L452" s="84" t="n"/>
      <c r="M452" s="84" t="n"/>
      <c r="N452" s="50" t="n"/>
      <c r="O452" s="84" t="n"/>
      <c r="P452" s="84">
        <f>IF(AND($A452="",$B452=""),"",N(D452)-N(E452)+N(J452)-N(K452))</f>
        <v/>
      </c>
      <c r="Q452" s="84">
        <f>IF(AND($A452="",$B452=""),"",IF(COUNT(L452:M452,O452)=0,"",P452-(N(L452)-N(M452))))</f>
        <v/>
      </c>
      <c r="R452" s="54">
        <f>IF(AND($A452="",$B452=""),"",IF(COUNT(L452:M452,O452)=0,"kein Mandanten-Saldo",IF(OR(AND(L452="",M452="")),"",IF(ABS(ROUND(((ROUND(N(D452)*100,0)+ROUND(N(J452)*100,0)+ROUND(N(M452)*100,0))-(ROUND(N(E452)*100,0)+ROUND(N(K452)*100,0)+ROUND(N(L452)*100,0))),0)-(0))&lt;=0,"OK","ABWEICHUNG"))))</f>
        <v/>
      </c>
      <c r="S452" s="84" t="n"/>
      <c r="T452" s="50" t="n"/>
      <c r="U452" s="50" t="n"/>
      <c r="V452" s="50" t="n"/>
      <c r="W452" s="50" t="n"/>
      <c r="X452" s="50" t="n"/>
      <c r="Y452" s="50" t="n"/>
      <c r="Z452" s="50" t="n"/>
    </row>
    <row r="453">
      <c r="A453" s="50" t="n"/>
      <c r="B453" s="50" t="n"/>
      <c r="C453" s="50" t="n"/>
      <c r="D453" s="84" t="n"/>
      <c r="E453" s="84" t="n"/>
      <c r="F453" s="84" t="n"/>
      <c r="G453" s="50" t="n"/>
      <c r="H453" s="84" t="n"/>
      <c r="I453" s="84" t="n"/>
      <c r="J453" s="84" t="n"/>
      <c r="K453" s="84" t="n"/>
      <c r="L453" s="84" t="n"/>
      <c r="M453" s="84" t="n"/>
      <c r="N453" s="50" t="n"/>
      <c r="O453" s="84" t="n"/>
      <c r="P453" s="84">
        <f>IF(AND($A453="",$B453=""),"",N(D453)-N(E453)+N(J453)-N(K453))</f>
        <v/>
      </c>
      <c r="Q453" s="84">
        <f>IF(AND($A453="",$B453=""),"",IF(COUNT(L453:M453,O453)=0,"",P453-(N(L453)-N(M453))))</f>
        <v/>
      </c>
      <c r="R453" s="54">
        <f>IF(AND($A453="",$B453=""),"",IF(COUNT(L453:M453,O453)=0,"kein Mandanten-Saldo",IF(OR(AND(L453="",M453="")),"",IF(ABS(ROUND(((ROUND(N(D453)*100,0)+ROUND(N(J453)*100,0)+ROUND(N(M453)*100,0))-(ROUND(N(E453)*100,0)+ROUND(N(K453)*100,0)+ROUND(N(L453)*100,0))),0)-(0))&lt;=0,"OK","ABWEICHUNG"))))</f>
        <v/>
      </c>
      <c r="S453" s="84" t="n"/>
      <c r="T453" s="50" t="n"/>
      <c r="U453" s="50" t="n"/>
      <c r="V453" s="50" t="n"/>
      <c r="W453" s="50" t="n"/>
      <c r="X453" s="50" t="n"/>
      <c r="Y453" s="50" t="n"/>
      <c r="Z453" s="50" t="n"/>
    </row>
    <row r="454">
      <c r="A454" s="50" t="n"/>
      <c r="B454" s="50" t="n"/>
      <c r="C454" s="50" t="n"/>
      <c r="D454" s="84" t="n"/>
      <c r="E454" s="84" t="n"/>
      <c r="F454" s="84" t="n"/>
      <c r="G454" s="50" t="n"/>
      <c r="H454" s="84" t="n"/>
      <c r="I454" s="84" t="n"/>
      <c r="J454" s="84" t="n"/>
      <c r="K454" s="84" t="n"/>
      <c r="L454" s="84" t="n"/>
      <c r="M454" s="84" t="n"/>
      <c r="N454" s="50" t="n"/>
      <c r="O454" s="84" t="n"/>
      <c r="P454" s="84">
        <f>IF(AND($A454="",$B454=""),"",N(D454)-N(E454)+N(J454)-N(K454))</f>
        <v/>
      </c>
      <c r="Q454" s="84">
        <f>IF(AND($A454="",$B454=""),"",IF(COUNT(L454:M454,O454)=0,"",P454-(N(L454)-N(M454))))</f>
        <v/>
      </c>
      <c r="R454" s="54">
        <f>IF(AND($A454="",$B454=""),"",IF(COUNT(L454:M454,O454)=0,"kein Mandanten-Saldo",IF(OR(AND(L454="",M454="")),"",IF(ABS(ROUND(((ROUND(N(D454)*100,0)+ROUND(N(J454)*100,0)+ROUND(N(M454)*100,0))-(ROUND(N(E454)*100,0)+ROUND(N(K454)*100,0)+ROUND(N(L454)*100,0))),0)-(0))&lt;=0,"OK","ABWEICHUNG"))))</f>
        <v/>
      </c>
      <c r="S454" s="84" t="n"/>
      <c r="T454" s="50" t="n"/>
      <c r="U454" s="50" t="n"/>
      <c r="V454" s="50" t="n"/>
      <c r="W454" s="50" t="n"/>
      <c r="X454" s="50" t="n"/>
      <c r="Y454" s="50" t="n"/>
      <c r="Z454" s="50" t="n"/>
    </row>
    <row r="455">
      <c r="A455" s="50" t="n"/>
      <c r="B455" s="50" t="n"/>
      <c r="C455" s="50" t="n"/>
      <c r="D455" s="84" t="n"/>
      <c r="E455" s="84" t="n"/>
      <c r="F455" s="84" t="n"/>
      <c r="G455" s="50" t="n"/>
      <c r="H455" s="84" t="n"/>
      <c r="I455" s="84" t="n"/>
      <c r="J455" s="84" t="n"/>
      <c r="K455" s="84" t="n"/>
      <c r="L455" s="84" t="n"/>
      <c r="M455" s="84" t="n"/>
      <c r="N455" s="50" t="n"/>
      <c r="O455" s="84" t="n"/>
      <c r="P455" s="84">
        <f>IF(AND($A455="",$B455=""),"",N(D455)-N(E455)+N(J455)-N(K455))</f>
        <v/>
      </c>
      <c r="Q455" s="84">
        <f>IF(AND($A455="",$B455=""),"",IF(COUNT(L455:M455,O455)=0,"",P455-(N(L455)-N(M455))))</f>
        <v/>
      </c>
      <c r="R455" s="54">
        <f>IF(AND($A455="",$B455=""),"",IF(COUNT(L455:M455,O455)=0,"kein Mandanten-Saldo",IF(OR(AND(L455="",M455="")),"",IF(ABS(ROUND(((ROUND(N(D455)*100,0)+ROUND(N(J455)*100,0)+ROUND(N(M455)*100,0))-(ROUND(N(E455)*100,0)+ROUND(N(K455)*100,0)+ROUND(N(L455)*100,0))),0)-(0))&lt;=0,"OK","ABWEICHUNG"))))</f>
        <v/>
      </c>
      <c r="S455" s="84" t="n"/>
      <c r="T455" s="50" t="n"/>
      <c r="U455" s="50" t="n"/>
      <c r="V455" s="50" t="n"/>
      <c r="W455" s="50" t="n"/>
      <c r="X455" s="50" t="n"/>
      <c r="Y455" s="50" t="n"/>
      <c r="Z455" s="50" t="n"/>
    </row>
    <row r="456">
      <c r="A456" s="50" t="n"/>
      <c r="B456" s="50" t="n"/>
      <c r="C456" s="50" t="n"/>
      <c r="D456" s="84" t="n"/>
      <c r="E456" s="84" t="n"/>
      <c r="F456" s="84" t="n"/>
      <c r="G456" s="50" t="n"/>
      <c r="H456" s="84" t="n"/>
      <c r="I456" s="84" t="n"/>
      <c r="J456" s="84" t="n"/>
      <c r="K456" s="84" t="n"/>
      <c r="L456" s="84" t="n"/>
      <c r="M456" s="84" t="n"/>
      <c r="N456" s="50" t="n"/>
      <c r="O456" s="84" t="n"/>
      <c r="P456" s="84">
        <f>IF(AND($A456="",$B456=""),"",N(D456)-N(E456)+N(J456)-N(K456))</f>
        <v/>
      </c>
      <c r="Q456" s="84">
        <f>IF(AND($A456="",$B456=""),"",IF(COUNT(L456:M456,O456)=0,"",P456-(N(L456)-N(M456))))</f>
        <v/>
      </c>
      <c r="R456" s="54">
        <f>IF(AND($A456="",$B456=""),"",IF(COUNT(L456:M456,O456)=0,"kein Mandanten-Saldo",IF(OR(AND(L456="",M456="")),"",IF(ABS(ROUND(((ROUND(N(D456)*100,0)+ROUND(N(J456)*100,0)+ROUND(N(M456)*100,0))-(ROUND(N(E456)*100,0)+ROUND(N(K456)*100,0)+ROUND(N(L456)*100,0))),0)-(0))&lt;=0,"OK","ABWEICHUNG"))))</f>
        <v/>
      </c>
      <c r="S456" s="84" t="n"/>
      <c r="T456" s="50" t="n"/>
      <c r="U456" s="50" t="n"/>
      <c r="V456" s="50" t="n"/>
      <c r="W456" s="50" t="n"/>
      <c r="X456" s="50" t="n"/>
      <c r="Y456" s="50" t="n"/>
      <c r="Z456" s="50" t="n"/>
    </row>
    <row r="457">
      <c r="A457" s="50" t="n"/>
      <c r="B457" s="50" t="n"/>
      <c r="C457" s="50" t="n"/>
      <c r="D457" s="84" t="n"/>
      <c r="E457" s="84" t="n"/>
      <c r="F457" s="84" t="n"/>
      <c r="G457" s="50" t="n"/>
      <c r="H457" s="84" t="n"/>
      <c r="I457" s="84" t="n"/>
      <c r="J457" s="84" t="n"/>
      <c r="K457" s="84" t="n"/>
      <c r="L457" s="84" t="n"/>
      <c r="M457" s="84" t="n"/>
      <c r="N457" s="50" t="n"/>
      <c r="O457" s="84" t="n"/>
      <c r="P457" s="84">
        <f>IF(AND($A457="",$B457=""),"",N(D457)-N(E457)+N(J457)-N(K457))</f>
        <v/>
      </c>
      <c r="Q457" s="84">
        <f>IF(AND($A457="",$B457=""),"",IF(COUNT(L457:M457,O457)=0,"",P457-(N(L457)-N(M457))))</f>
        <v/>
      </c>
      <c r="R457" s="54">
        <f>IF(AND($A457="",$B457=""),"",IF(COUNT(L457:M457,O457)=0,"kein Mandanten-Saldo",IF(OR(AND(L457="",M457="")),"",IF(ABS(ROUND(((ROUND(N(D457)*100,0)+ROUND(N(J457)*100,0)+ROUND(N(M457)*100,0))-(ROUND(N(E457)*100,0)+ROUND(N(K457)*100,0)+ROUND(N(L457)*100,0))),0)-(0))&lt;=0,"OK","ABWEICHUNG"))))</f>
        <v/>
      </c>
      <c r="S457" s="84" t="n"/>
      <c r="T457" s="50" t="n"/>
      <c r="U457" s="50" t="n"/>
      <c r="V457" s="50" t="n"/>
      <c r="W457" s="50" t="n"/>
      <c r="X457" s="50" t="n"/>
      <c r="Y457" s="50" t="n"/>
      <c r="Z457" s="50" t="n"/>
    </row>
    <row r="458">
      <c r="A458" s="50" t="n"/>
      <c r="B458" s="50" t="n"/>
      <c r="C458" s="50" t="n"/>
      <c r="D458" s="84" t="n"/>
      <c r="E458" s="84" t="n"/>
      <c r="F458" s="84" t="n"/>
      <c r="G458" s="50" t="n"/>
      <c r="H458" s="84" t="n"/>
      <c r="I458" s="84" t="n"/>
      <c r="J458" s="84" t="n"/>
      <c r="K458" s="84" t="n"/>
      <c r="L458" s="84" t="n"/>
      <c r="M458" s="84" t="n"/>
      <c r="N458" s="50" t="n"/>
      <c r="O458" s="84" t="n"/>
      <c r="P458" s="84">
        <f>IF(AND($A458="",$B458=""),"",N(D458)-N(E458)+N(J458)-N(K458))</f>
        <v/>
      </c>
      <c r="Q458" s="84">
        <f>IF(AND($A458="",$B458=""),"",IF(COUNT(L458:M458,O458)=0,"",P458-(N(L458)-N(M458))))</f>
        <v/>
      </c>
      <c r="R458" s="54">
        <f>IF(AND($A458="",$B458=""),"",IF(COUNT(L458:M458,O458)=0,"kein Mandanten-Saldo",IF(OR(AND(L458="",M458="")),"",IF(ABS(ROUND(((ROUND(N(D458)*100,0)+ROUND(N(J458)*100,0)+ROUND(N(M458)*100,0))-(ROUND(N(E458)*100,0)+ROUND(N(K458)*100,0)+ROUND(N(L458)*100,0))),0)-(0))&lt;=0,"OK","ABWEICHUNG"))))</f>
        <v/>
      </c>
      <c r="S458" s="84" t="n"/>
      <c r="T458" s="50" t="n"/>
      <c r="U458" s="50" t="n"/>
      <c r="V458" s="50" t="n"/>
      <c r="W458" s="50" t="n"/>
      <c r="X458" s="50" t="n"/>
      <c r="Y458" s="50" t="n"/>
      <c r="Z458" s="50" t="n"/>
    </row>
    <row r="459">
      <c r="A459" s="50" t="n"/>
      <c r="B459" s="50" t="n"/>
      <c r="C459" s="50" t="n"/>
      <c r="D459" s="84" t="n"/>
      <c r="E459" s="84" t="n"/>
      <c r="F459" s="84" t="n"/>
      <c r="G459" s="50" t="n"/>
      <c r="H459" s="84" t="n"/>
      <c r="I459" s="84" t="n"/>
      <c r="J459" s="84" t="n"/>
      <c r="K459" s="84" t="n"/>
      <c r="L459" s="84" t="n"/>
      <c r="M459" s="84" t="n"/>
      <c r="N459" s="50" t="n"/>
      <c r="O459" s="84" t="n"/>
      <c r="P459" s="84">
        <f>IF(AND($A459="",$B459=""),"",N(D459)-N(E459)+N(J459)-N(K459))</f>
        <v/>
      </c>
      <c r="Q459" s="84">
        <f>IF(AND($A459="",$B459=""),"",IF(COUNT(L459:M459,O459)=0,"",P459-(N(L459)-N(M459))))</f>
        <v/>
      </c>
      <c r="R459" s="54">
        <f>IF(AND($A459="",$B459=""),"",IF(COUNT(L459:M459,O459)=0,"kein Mandanten-Saldo",IF(OR(AND(L459="",M459="")),"",IF(ABS(ROUND(((ROUND(N(D459)*100,0)+ROUND(N(J459)*100,0)+ROUND(N(M459)*100,0))-(ROUND(N(E459)*100,0)+ROUND(N(K459)*100,0)+ROUND(N(L459)*100,0))),0)-(0))&lt;=0,"OK","ABWEICHUNG"))))</f>
        <v/>
      </c>
      <c r="S459" s="84" t="n"/>
      <c r="T459" s="50" t="n"/>
      <c r="U459" s="50" t="n"/>
      <c r="V459" s="50" t="n"/>
      <c r="W459" s="50" t="n"/>
      <c r="X459" s="50" t="n"/>
      <c r="Y459" s="50" t="n"/>
      <c r="Z459" s="50" t="n"/>
    </row>
    <row r="460">
      <c r="A460" s="50" t="n"/>
      <c r="B460" s="50" t="n"/>
      <c r="C460" s="50" t="n"/>
      <c r="D460" s="84" t="n"/>
      <c r="E460" s="84" t="n"/>
      <c r="F460" s="84" t="n"/>
      <c r="G460" s="50" t="n"/>
      <c r="H460" s="84" t="n"/>
      <c r="I460" s="84" t="n"/>
      <c r="J460" s="84" t="n"/>
      <c r="K460" s="84" t="n"/>
      <c r="L460" s="84" t="n"/>
      <c r="M460" s="84" t="n"/>
      <c r="N460" s="50" t="n"/>
      <c r="O460" s="84" t="n"/>
      <c r="P460" s="84">
        <f>IF(AND($A460="",$B460=""),"",N(D460)-N(E460)+N(J460)-N(K460))</f>
        <v/>
      </c>
      <c r="Q460" s="84">
        <f>IF(AND($A460="",$B460=""),"",IF(COUNT(L460:M460,O460)=0,"",P460-(N(L460)-N(M460))))</f>
        <v/>
      </c>
      <c r="R460" s="54">
        <f>IF(AND($A460="",$B460=""),"",IF(COUNT(L460:M460,O460)=0,"kein Mandanten-Saldo",IF(OR(AND(L460="",M460="")),"",IF(ABS(ROUND(((ROUND(N(D460)*100,0)+ROUND(N(J460)*100,0)+ROUND(N(M460)*100,0))-(ROUND(N(E460)*100,0)+ROUND(N(K460)*100,0)+ROUND(N(L460)*100,0))),0)-(0))&lt;=0,"OK","ABWEICHUNG"))))</f>
        <v/>
      </c>
      <c r="S460" s="84" t="n"/>
      <c r="T460" s="50" t="n"/>
      <c r="U460" s="50" t="n"/>
      <c r="V460" s="50" t="n"/>
      <c r="W460" s="50" t="n"/>
      <c r="X460" s="50" t="n"/>
      <c r="Y460" s="50" t="n"/>
      <c r="Z460" s="50" t="n"/>
    </row>
    <row r="461">
      <c r="A461" s="50" t="n"/>
      <c r="B461" s="50" t="n"/>
      <c r="C461" s="50" t="n"/>
      <c r="D461" s="84" t="n"/>
      <c r="E461" s="84" t="n"/>
      <c r="F461" s="84" t="n"/>
      <c r="G461" s="50" t="n"/>
      <c r="H461" s="84" t="n"/>
      <c r="I461" s="84" t="n"/>
      <c r="J461" s="84" t="n"/>
      <c r="K461" s="84" t="n"/>
      <c r="L461" s="84" t="n"/>
      <c r="M461" s="84" t="n"/>
      <c r="N461" s="50" t="n"/>
      <c r="O461" s="84" t="n"/>
      <c r="P461" s="84">
        <f>IF(AND($A461="",$B461=""),"",N(D461)-N(E461)+N(J461)-N(K461))</f>
        <v/>
      </c>
      <c r="Q461" s="84">
        <f>IF(AND($A461="",$B461=""),"",IF(COUNT(L461:M461,O461)=0,"",P461-(N(L461)-N(M461))))</f>
        <v/>
      </c>
      <c r="R461" s="54">
        <f>IF(AND($A461="",$B461=""),"",IF(COUNT(L461:M461,O461)=0,"kein Mandanten-Saldo",IF(OR(AND(L461="",M461="")),"",IF(ABS(ROUND(((ROUND(N(D461)*100,0)+ROUND(N(J461)*100,0)+ROUND(N(M461)*100,0))-(ROUND(N(E461)*100,0)+ROUND(N(K461)*100,0)+ROUND(N(L461)*100,0))),0)-(0))&lt;=0,"OK","ABWEICHUNG"))))</f>
        <v/>
      </c>
      <c r="S461" s="84" t="n"/>
      <c r="T461" s="50" t="n"/>
      <c r="U461" s="50" t="n"/>
      <c r="V461" s="50" t="n"/>
      <c r="W461" s="50" t="n"/>
      <c r="X461" s="50" t="n"/>
      <c r="Y461" s="50" t="n"/>
      <c r="Z461" s="50" t="n"/>
    </row>
    <row r="462">
      <c r="A462" s="50" t="n"/>
      <c r="B462" s="50" t="n"/>
      <c r="C462" s="50" t="n"/>
      <c r="D462" s="84" t="n"/>
      <c r="E462" s="84" t="n"/>
      <c r="F462" s="84" t="n"/>
      <c r="G462" s="50" t="n"/>
      <c r="H462" s="84" t="n"/>
      <c r="I462" s="84" t="n"/>
      <c r="J462" s="84" t="n"/>
      <c r="K462" s="84" t="n"/>
      <c r="L462" s="84" t="n"/>
      <c r="M462" s="84" t="n"/>
      <c r="N462" s="50" t="n"/>
      <c r="O462" s="84" t="n"/>
      <c r="P462" s="84">
        <f>IF(AND($A462="",$B462=""),"",N(D462)-N(E462)+N(J462)-N(K462))</f>
        <v/>
      </c>
      <c r="Q462" s="84">
        <f>IF(AND($A462="",$B462=""),"",IF(COUNT(L462:M462,O462)=0,"",P462-(N(L462)-N(M462))))</f>
        <v/>
      </c>
      <c r="R462" s="54">
        <f>IF(AND($A462="",$B462=""),"",IF(COUNT(L462:M462,O462)=0,"kein Mandanten-Saldo",IF(OR(AND(L462="",M462="")),"",IF(ABS(ROUND(((ROUND(N(D462)*100,0)+ROUND(N(J462)*100,0)+ROUND(N(M462)*100,0))-(ROUND(N(E462)*100,0)+ROUND(N(K462)*100,0)+ROUND(N(L462)*100,0))),0)-(0))&lt;=0,"OK","ABWEICHUNG"))))</f>
        <v/>
      </c>
      <c r="S462" s="84" t="n"/>
      <c r="T462" s="50" t="n"/>
      <c r="U462" s="50" t="n"/>
      <c r="V462" s="50" t="n"/>
      <c r="W462" s="50" t="n"/>
      <c r="X462" s="50" t="n"/>
      <c r="Y462" s="50" t="n"/>
      <c r="Z462" s="50" t="n"/>
    </row>
    <row r="463">
      <c r="A463" s="50" t="n"/>
      <c r="B463" s="50" t="n"/>
      <c r="C463" s="50" t="n"/>
      <c r="D463" s="84" t="n"/>
      <c r="E463" s="84" t="n"/>
      <c r="F463" s="84" t="n"/>
      <c r="G463" s="50" t="n"/>
      <c r="H463" s="84" t="n"/>
      <c r="I463" s="84" t="n"/>
      <c r="J463" s="84" t="n"/>
      <c r="K463" s="84" t="n"/>
      <c r="L463" s="84" t="n"/>
      <c r="M463" s="84" t="n"/>
      <c r="N463" s="50" t="n"/>
      <c r="O463" s="84" t="n"/>
      <c r="P463" s="84">
        <f>IF(AND($A463="",$B463=""),"",N(D463)-N(E463)+N(J463)-N(K463))</f>
        <v/>
      </c>
      <c r="Q463" s="84">
        <f>IF(AND($A463="",$B463=""),"",IF(COUNT(L463:M463,O463)=0,"",P463-(N(L463)-N(M463))))</f>
        <v/>
      </c>
      <c r="R463" s="54">
        <f>IF(AND($A463="",$B463=""),"",IF(COUNT(L463:M463,O463)=0,"kein Mandanten-Saldo",IF(OR(AND(L463="",M463="")),"",IF(ABS(ROUND(((ROUND(N(D463)*100,0)+ROUND(N(J463)*100,0)+ROUND(N(M463)*100,0))-(ROUND(N(E463)*100,0)+ROUND(N(K463)*100,0)+ROUND(N(L463)*100,0))),0)-(0))&lt;=0,"OK","ABWEICHUNG"))))</f>
        <v/>
      </c>
      <c r="S463" s="84" t="n"/>
      <c r="T463" s="50" t="n"/>
      <c r="U463" s="50" t="n"/>
      <c r="V463" s="50" t="n"/>
      <c r="W463" s="50" t="n"/>
      <c r="X463" s="50" t="n"/>
      <c r="Y463" s="50" t="n"/>
      <c r="Z463" s="50" t="n"/>
    </row>
    <row r="464">
      <c r="A464" s="50" t="n"/>
      <c r="B464" s="50" t="n"/>
      <c r="C464" s="50" t="n"/>
      <c r="D464" s="84" t="n"/>
      <c r="E464" s="84" t="n"/>
      <c r="F464" s="84" t="n"/>
      <c r="G464" s="50" t="n"/>
      <c r="H464" s="84" t="n"/>
      <c r="I464" s="84" t="n"/>
      <c r="J464" s="84" t="n"/>
      <c r="K464" s="84" t="n"/>
      <c r="L464" s="84" t="n"/>
      <c r="M464" s="84" t="n"/>
      <c r="N464" s="50" t="n"/>
      <c r="O464" s="84" t="n"/>
      <c r="P464" s="84">
        <f>IF(AND($A464="",$B464=""),"",N(D464)-N(E464)+N(J464)-N(K464))</f>
        <v/>
      </c>
      <c r="Q464" s="84">
        <f>IF(AND($A464="",$B464=""),"",IF(COUNT(L464:M464,O464)=0,"",P464-(N(L464)-N(M464))))</f>
        <v/>
      </c>
      <c r="R464" s="54">
        <f>IF(AND($A464="",$B464=""),"",IF(COUNT(L464:M464,O464)=0,"kein Mandanten-Saldo",IF(OR(AND(L464="",M464="")),"",IF(ABS(ROUND(((ROUND(N(D464)*100,0)+ROUND(N(J464)*100,0)+ROUND(N(M464)*100,0))-(ROUND(N(E464)*100,0)+ROUND(N(K464)*100,0)+ROUND(N(L464)*100,0))),0)-(0))&lt;=0,"OK","ABWEICHUNG"))))</f>
        <v/>
      </c>
      <c r="S464" s="84" t="n"/>
      <c r="T464" s="50" t="n"/>
      <c r="U464" s="50" t="n"/>
      <c r="V464" s="50" t="n"/>
      <c r="W464" s="50" t="n"/>
      <c r="X464" s="50" t="n"/>
      <c r="Y464" s="50" t="n"/>
      <c r="Z464" s="50" t="n"/>
    </row>
    <row r="465">
      <c r="A465" s="50" t="n"/>
      <c r="B465" s="50" t="n"/>
      <c r="C465" s="50" t="n"/>
      <c r="D465" s="84" t="n"/>
      <c r="E465" s="84" t="n"/>
      <c r="F465" s="84" t="n"/>
      <c r="G465" s="50" t="n"/>
      <c r="H465" s="84" t="n"/>
      <c r="I465" s="84" t="n"/>
      <c r="J465" s="84" t="n"/>
      <c r="K465" s="84" t="n"/>
      <c r="L465" s="84" t="n"/>
      <c r="M465" s="84" t="n"/>
      <c r="N465" s="50" t="n"/>
      <c r="O465" s="84" t="n"/>
      <c r="P465" s="84">
        <f>IF(AND($A465="",$B465=""),"",N(D465)-N(E465)+N(J465)-N(K465))</f>
        <v/>
      </c>
      <c r="Q465" s="84">
        <f>IF(AND($A465="",$B465=""),"",IF(COUNT(L465:M465,O465)=0,"",P465-(N(L465)-N(M465))))</f>
        <v/>
      </c>
      <c r="R465" s="54">
        <f>IF(AND($A465="",$B465=""),"",IF(COUNT(L465:M465,O465)=0,"kein Mandanten-Saldo",IF(OR(AND(L465="",M465="")),"",IF(ABS(ROUND(((ROUND(N(D465)*100,0)+ROUND(N(J465)*100,0)+ROUND(N(M465)*100,0))-(ROUND(N(E465)*100,0)+ROUND(N(K465)*100,0)+ROUND(N(L465)*100,0))),0)-(0))&lt;=0,"OK","ABWEICHUNG"))))</f>
        <v/>
      </c>
      <c r="S465" s="84" t="n"/>
      <c r="T465" s="50" t="n"/>
      <c r="U465" s="50" t="n"/>
      <c r="V465" s="50" t="n"/>
      <c r="W465" s="50" t="n"/>
      <c r="X465" s="50" t="n"/>
      <c r="Y465" s="50" t="n"/>
      <c r="Z465" s="50" t="n"/>
    </row>
    <row r="466">
      <c r="A466" s="50" t="n"/>
      <c r="B466" s="50" t="n"/>
      <c r="C466" s="50" t="n"/>
      <c r="D466" s="84" t="n"/>
      <c r="E466" s="84" t="n"/>
      <c r="F466" s="84" t="n"/>
      <c r="G466" s="50" t="n"/>
      <c r="H466" s="84" t="n"/>
      <c r="I466" s="84" t="n"/>
      <c r="J466" s="84" t="n"/>
      <c r="K466" s="84" t="n"/>
      <c r="L466" s="84" t="n"/>
      <c r="M466" s="84" t="n"/>
      <c r="N466" s="50" t="n"/>
      <c r="O466" s="84" t="n"/>
      <c r="P466" s="84">
        <f>IF(AND($A466="",$B466=""),"",N(D466)-N(E466)+N(J466)-N(K466))</f>
        <v/>
      </c>
      <c r="Q466" s="84">
        <f>IF(AND($A466="",$B466=""),"",IF(COUNT(L466:M466,O466)=0,"",P466-(N(L466)-N(M466))))</f>
        <v/>
      </c>
      <c r="R466" s="54">
        <f>IF(AND($A466="",$B466=""),"",IF(COUNT(L466:M466,O466)=0,"kein Mandanten-Saldo",IF(OR(AND(L466="",M466="")),"",IF(ABS(ROUND(((ROUND(N(D466)*100,0)+ROUND(N(J466)*100,0)+ROUND(N(M466)*100,0))-(ROUND(N(E466)*100,0)+ROUND(N(K466)*100,0)+ROUND(N(L466)*100,0))),0)-(0))&lt;=0,"OK","ABWEICHUNG"))))</f>
        <v/>
      </c>
      <c r="S466" s="84" t="n"/>
      <c r="T466" s="50" t="n"/>
      <c r="U466" s="50" t="n"/>
      <c r="V466" s="50" t="n"/>
      <c r="W466" s="50" t="n"/>
      <c r="X466" s="50" t="n"/>
      <c r="Y466" s="50" t="n"/>
      <c r="Z466" s="50" t="n"/>
    </row>
    <row r="467">
      <c r="A467" s="50" t="n"/>
      <c r="B467" s="50" t="n"/>
      <c r="C467" s="50" t="n"/>
      <c r="D467" s="84" t="n"/>
      <c r="E467" s="84" t="n"/>
      <c r="F467" s="84" t="n"/>
      <c r="G467" s="50" t="n"/>
      <c r="H467" s="84" t="n"/>
      <c r="I467" s="84" t="n"/>
      <c r="J467" s="84" t="n"/>
      <c r="K467" s="84" t="n"/>
      <c r="L467" s="84" t="n"/>
      <c r="M467" s="84" t="n"/>
      <c r="N467" s="50" t="n"/>
      <c r="O467" s="84" t="n"/>
      <c r="P467" s="84">
        <f>IF(AND($A467="",$B467=""),"",N(D467)-N(E467)+N(J467)-N(K467))</f>
        <v/>
      </c>
      <c r="Q467" s="84">
        <f>IF(AND($A467="",$B467=""),"",IF(COUNT(L467:M467,O467)=0,"",P467-(N(L467)-N(M467))))</f>
        <v/>
      </c>
      <c r="R467" s="54">
        <f>IF(AND($A467="",$B467=""),"",IF(COUNT(L467:M467,O467)=0,"kein Mandanten-Saldo",IF(OR(AND(L467="",M467="")),"",IF(ABS(ROUND(((ROUND(N(D467)*100,0)+ROUND(N(J467)*100,0)+ROUND(N(M467)*100,0))-(ROUND(N(E467)*100,0)+ROUND(N(K467)*100,0)+ROUND(N(L467)*100,0))),0)-(0))&lt;=0,"OK","ABWEICHUNG"))))</f>
        <v/>
      </c>
      <c r="S467" s="84" t="n"/>
      <c r="T467" s="50" t="n"/>
      <c r="U467" s="50" t="n"/>
      <c r="V467" s="50" t="n"/>
      <c r="W467" s="50" t="n"/>
      <c r="X467" s="50" t="n"/>
      <c r="Y467" s="50" t="n"/>
      <c r="Z467" s="50" t="n"/>
    </row>
    <row r="468">
      <c r="A468" s="50" t="n"/>
      <c r="B468" s="50" t="n"/>
      <c r="C468" s="50" t="n"/>
      <c r="D468" s="84" t="n"/>
      <c r="E468" s="84" t="n"/>
      <c r="F468" s="84" t="n"/>
      <c r="G468" s="50" t="n"/>
      <c r="H468" s="84" t="n"/>
      <c r="I468" s="84" t="n"/>
      <c r="J468" s="84" t="n"/>
      <c r="K468" s="84" t="n"/>
      <c r="L468" s="84" t="n"/>
      <c r="M468" s="84" t="n"/>
      <c r="N468" s="50" t="n"/>
      <c r="O468" s="84" t="n"/>
      <c r="P468" s="84">
        <f>IF(AND($A468="",$B468=""),"",N(D468)-N(E468)+N(J468)-N(K468))</f>
        <v/>
      </c>
      <c r="Q468" s="84">
        <f>IF(AND($A468="",$B468=""),"",IF(COUNT(L468:M468,O468)=0,"",P468-(N(L468)-N(M468))))</f>
        <v/>
      </c>
      <c r="R468" s="54">
        <f>IF(AND($A468="",$B468=""),"",IF(COUNT(L468:M468,O468)=0,"kein Mandanten-Saldo",IF(OR(AND(L468="",M468="")),"",IF(ABS(ROUND(((ROUND(N(D468)*100,0)+ROUND(N(J468)*100,0)+ROUND(N(M468)*100,0))-(ROUND(N(E468)*100,0)+ROUND(N(K468)*100,0)+ROUND(N(L468)*100,0))),0)-(0))&lt;=0,"OK","ABWEICHUNG"))))</f>
        <v/>
      </c>
      <c r="S468" s="84" t="n"/>
      <c r="T468" s="50" t="n"/>
      <c r="U468" s="50" t="n"/>
      <c r="V468" s="50" t="n"/>
      <c r="W468" s="50" t="n"/>
      <c r="X468" s="50" t="n"/>
      <c r="Y468" s="50" t="n"/>
      <c r="Z468" s="50" t="n"/>
    </row>
    <row r="469">
      <c r="A469" s="50" t="n"/>
      <c r="B469" s="50" t="n"/>
      <c r="C469" s="50" t="n"/>
      <c r="D469" s="84" t="n"/>
      <c r="E469" s="84" t="n"/>
      <c r="F469" s="84" t="n"/>
      <c r="G469" s="50" t="n"/>
      <c r="H469" s="84" t="n"/>
      <c r="I469" s="84" t="n"/>
      <c r="J469" s="84" t="n"/>
      <c r="K469" s="84" t="n"/>
      <c r="L469" s="84" t="n"/>
      <c r="M469" s="84" t="n"/>
      <c r="N469" s="50" t="n"/>
      <c r="O469" s="84" t="n"/>
      <c r="P469" s="84">
        <f>IF(AND($A469="",$B469=""),"",N(D469)-N(E469)+N(J469)-N(K469))</f>
        <v/>
      </c>
      <c r="Q469" s="84">
        <f>IF(AND($A469="",$B469=""),"",IF(COUNT(L469:M469,O469)=0,"",P469-(N(L469)-N(M469))))</f>
        <v/>
      </c>
      <c r="R469" s="54">
        <f>IF(AND($A469="",$B469=""),"",IF(COUNT(L469:M469,O469)=0,"kein Mandanten-Saldo",IF(OR(AND(L469="",M469="")),"",IF(ABS(ROUND(((ROUND(N(D469)*100,0)+ROUND(N(J469)*100,0)+ROUND(N(M469)*100,0))-(ROUND(N(E469)*100,0)+ROUND(N(K469)*100,0)+ROUND(N(L469)*100,0))),0)-(0))&lt;=0,"OK","ABWEICHUNG"))))</f>
        <v/>
      </c>
      <c r="S469" s="84" t="n"/>
      <c r="T469" s="50" t="n"/>
      <c r="U469" s="50" t="n"/>
      <c r="V469" s="50" t="n"/>
      <c r="W469" s="50" t="n"/>
      <c r="X469" s="50" t="n"/>
      <c r="Y469" s="50" t="n"/>
      <c r="Z469" s="50" t="n"/>
    </row>
    <row r="470">
      <c r="A470" s="50" t="n"/>
      <c r="B470" s="50" t="n"/>
      <c r="C470" s="50" t="n"/>
      <c r="D470" s="84" t="n"/>
      <c r="E470" s="84" t="n"/>
      <c r="F470" s="84" t="n"/>
      <c r="G470" s="50" t="n"/>
      <c r="H470" s="84" t="n"/>
      <c r="I470" s="84" t="n"/>
      <c r="J470" s="84" t="n"/>
      <c r="K470" s="84" t="n"/>
      <c r="L470" s="84" t="n"/>
      <c r="M470" s="84" t="n"/>
      <c r="N470" s="50" t="n"/>
      <c r="O470" s="84" t="n"/>
      <c r="P470" s="84">
        <f>IF(AND($A470="",$B470=""),"",N(D470)-N(E470)+N(J470)-N(K470))</f>
        <v/>
      </c>
      <c r="Q470" s="84">
        <f>IF(AND($A470="",$B470=""),"",IF(COUNT(L470:M470,O470)=0,"",P470-(N(L470)-N(M470))))</f>
        <v/>
      </c>
      <c r="R470" s="54">
        <f>IF(AND($A470="",$B470=""),"",IF(COUNT(L470:M470,O470)=0,"kein Mandanten-Saldo",IF(OR(AND(L470="",M470="")),"",IF(ABS(ROUND(((ROUND(N(D470)*100,0)+ROUND(N(J470)*100,0)+ROUND(N(M470)*100,0))-(ROUND(N(E470)*100,0)+ROUND(N(K470)*100,0)+ROUND(N(L470)*100,0))),0)-(0))&lt;=0,"OK","ABWEICHUNG"))))</f>
        <v/>
      </c>
      <c r="S470" s="84" t="n"/>
      <c r="T470" s="50" t="n"/>
      <c r="U470" s="50" t="n"/>
      <c r="V470" s="50" t="n"/>
      <c r="W470" s="50" t="n"/>
      <c r="X470" s="50" t="n"/>
      <c r="Y470" s="50" t="n"/>
      <c r="Z470" s="50" t="n"/>
    </row>
    <row r="471">
      <c r="A471" s="50" t="n"/>
      <c r="B471" s="50" t="n"/>
      <c r="C471" s="50" t="n"/>
      <c r="D471" s="84" t="n"/>
      <c r="E471" s="84" t="n"/>
      <c r="F471" s="84" t="n"/>
      <c r="G471" s="50" t="n"/>
      <c r="H471" s="84" t="n"/>
      <c r="I471" s="84" t="n"/>
      <c r="J471" s="84" t="n"/>
      <c r="K471" s="84" t="n"/>
      <c r="L471" s="84" t="n"/>
      <c r="M471" s="84" t="n"/>
      <c r="N471" s="50" t="n"/>
      <c r="O471" s="84" t="n"/>
      <c r="P471" s="84">
        <f>IF(AND($A471="",$B471=""),"",N(D471)-N(E471)+N(J471)-N(K471))</f>
        <v/>
      </c>
      <c r="Q471" s="84">
        <f>IF(AND($A471="",$B471=""),"",IF(COUNT(L471:M471,O471)=0,"",P471-(N(L471)-N(M471))))</f>
        <v/>
      </c>
      <c r="R471" s="54">
        <f>IF(AND($A471="",$B471=""),"",IF(COUNT(L471:M471,O471)=0,"kein Mandanten-Saldo",IF(OR(AND(L471="",M471="")),"",IF(ABS(ROUND(((ROUND(N(D471)*100,0)+ROUND(N(J471)*100,0)+ROUND(N(M471)*100,0))-(ROUND(N(E471)*100,0)+ROUND(N(K471)*100,0)+ROUND(N(L471)*100,0))),0)-(0))&lt;=0,"OK","ABWEICHUNG"))))</f>
        <v/>
      </c>
      <c r="S471" s="84" t="n"/>
      <c r="T471" s="50" t="n"/>
      <c r="U471" s="50" t="n"/>
      <c r="V471" s="50" t="n"/>
      <c r="W471" s="50" t="n"/>
      <c r="X471" s="50" t="n"/>
      <c r="Y471" s="50" t="n"/>
      <c r="Z471" s="50" t="n"/>
    </row>
    <row r="472">
      <c r="A472" s="50" t="n"/>
      <c r="B472" s="50" t="n"/>
      <c r="C472" s="50" t="n"/>
      <c r="D472" s="84" t="n"/>
      <c r="E472" s="84" t="n"/>
      <c r="F472" s="84" t="n"/>
      <c r="G472" s="50" t="n"/>
      <c r="H472" s="84" t="n"/>
      <c r="I472" s="84" t="n"/>
      <c r="J472" s="84" t="n"/>
      <c r="K472" s="84" t="n"/>
      <c r="L472" s="84" t="n"/>
      <c r="M472" s="84" t="n"/>
      <c r="N472" s="50" t="n"/>
      <c r="O472" s="84" t="n"/>
      <c r="P472" s="84">
        <f>IF(AND($A472="",$B472=""),"",N(D472)-N(E472)+N(J472)-N(K472))</f>
        <v/>
      </c>
      <c r="Q472" s="84">
        <f>IF(AND($A472="",$B472=""),"",IF(COUNT(L472:M472,O472)=0,"",P472-(N(L472)-N(M472))))</f>
        <v/>
      </c>
      <c r="R472" s="54">
        <f>IF(AND($A472="",$B472=""),"",IF(COUNT(L472:M472,O472)=0,"kein Mandanten-Saldo",IF(OR(AND(L472="",M472="")),"",IF(ABS(ROUND(((ROUND(N(D472)*100,0)+ROUND(N(J472)*100,0)+ROUND(N(M472)*100,0))-(ROUND(N(E472)*100,0)+ROUND(N(K472)*100,0)+ROUND(N(L472)*100,0))),0)-(0))&lt;=0,"OK","ABWEICHUNG"))))</f>
        <v/>
      </c>
      <c r="S472" s="84" t="n"/>
      <c r="T472" s="50" t="n"/>
      <c r="U472" s="50" t="n"/>
      <c r="V472" s="50" t="n"/>
      <c r="W472" s="50" t="n"/>
      <c r="X472" s="50" t="n"/>
      <c r="Y472" s="50" t="n"/>
      <c r="Z472" s="50" t="n"/>
    </row>
    <row r="473">
      <c r="A473" s="50" t="n"/>
      <c r="B473" s="50" t="n"/>
      <c r="C473" s="50" t="n"/>
      <c r="D473" s="84" t="n"/>
      <c r="E473" s="84" t="n"/>
      <c r="F473" s="84" t="n"/>
      <c r="G473" s="50" t="n"/>
      <c r="H473" s="84" t="n"/>
      <c r="I473" s="84" t="n"/>
      <c r="J473" s="84" t="n"/>
      <c r="K473" s="84" t="n"/>
      <c r="L473" s="84" t="n"/>
      <c r="M473" s="84" t="n"/>
      <c r="N473" s="50" t="n"/>
      <c r="O473" s="84" t="n"/>
      <c r="P473" s="84">
        <f>IF(AND($A473="",$B473=""),"",N(D473)-N(E473)+N(J473)-N(K473))</f>
        <v/>
      </c>
      <c r="Q473" s="84">
        <f>IF(AND($A473="",$B473=""),"",IF(COUNT(L473:M473,O473)=0,"",P473-(N(L473)-N(M473))))</f>
        <v/>
      </c>
      <c r="R473" s="54">
        <f>IF(AND($A473="",$B473=""),"",IF(COUNT(L473:M473,O473)=0,"kein Mandanten-Saldo",IF(OR(AND(L473="",M473="")),"",IF(ABS(ROUND(((ROUND(N(D473)*100,0)+ROUND(N(J473)*100,0)+ROUND(N(M473)*100,0))-(ROUND(N(E473)*100,0)+ROUND(N(K473)*100,0)+ROUND(N(L473)*100,0))),0)-(0))&lt;=0,"OK","ABWEICHUNG"))))</f>
        <v/>
      </c>
      <c r="S473" s="84" t="n"/>
      <c r="T473" s="50" t="n"/>
      <c r="U473" s="50" t="n"/>
      <c r="V473" s="50" t="n"/>
      <c r="W473" s="50" t="n"/>
      <c r="X473" s="50" t="n"/>
      <c r="Y473" s="50" t="n"/>
      <c r="Z473" s="50" t="n"/>
    </row>
    <row r="474">
      <c r="A474" s="50" t="n"/>
      <c r="B474" s="50" t="n"/>
      <c r="C474" s="50" t="n"/>
      <c r="D474" s="84" t="n"/>
      <c r="E474" s="84" t="n"/>
      <c r="F474" s="84" t="n"/>
      <c r="G474" s="50" t="n"/>
      <c r="H474" s="84" t="n"/>
      <c r="I474" s="84" t="n"/>
      <c r="J474" s="84" t="n"/>
      <c r="K474" s="84" t="n"/>
      <c r="L474" s="84" t="n"/>
      <c r="M474" s="84" t="n"/>
      <c r="N474" s="50" t="n"/>
      <c r="O474" s="84" t="n"/>
      <c r="P474" s="84">
        <f>IF(AND($A474="",$B474=""),"",N(D474)-N(E474)+N(J474)-N(K474))</f>
        <v/>
      </c>
      <c r="Q474" s="84">
        <f>IF(AND($A474="",$B474=""),"",IF(COUNT(L474:M474,O474)=0,"",P474-(N(L474)-N(M474))))</f>
        <v/>
      </c>
      <c r="R474" s="54">
        <f>IF(AND($A474="",$B474=""),"",IF(COUNT(L474:M474,O474)=0,"kein Mandanten-Saldo",IF(OR(AND(L474="",M474="")),"",IF(ABS(ROUND(((ROUND(N(D474)*100,0)+ROUND(N(J474)*100,0)+ROUND(N(M474)*100,0))-(ROUND(N(E474)*100,0)+ROUND(N(K474)*100,0)+ROUND(N(L474)*100,0))),0)-(0))&lt;=0,"OK","ABWEICHUNG"))))</f>
        <v/>
      </c>
      <c r="S474" s="84" t="n"/>
      <c r="T474" s="50" t="n"/>
      <c r="U474" s="50" t="n"/>
      <c r="V474" s="50" t="n"/>
      <c r="W474" s="50" t="n"/>
      <c r="X474" s="50" t="n"/>
      <c r="Y474" s="50" t="n"/>
      <c r="Z474" s="50" t="n"/>
    </row>
    <row r="475">
      <c r="A475" s="50" t="n"/>
      <c r="B475" s="50" t="n"/>
      <c r="C475" s="50" t="n"/>
      <c r="D475" s="84" t="n"/>
      <c r="E475" s="84" t="n"/>
      <c r="F475" s="84" t="n"/>
      <c r="G475" s="50" t="n"/>
      <c r="H475" s="84" t="n"/>
      <c r="I475" s="84" t="n"/>
      <c r="J475" s="84" t="n"/>
      <c r="K475" s="84" t="n"/>
      <c r="L475" s="84" t="n"/>
      <c r="M475" s="84" t="n"/>
      <c r="N475" s="50" t="n"/>
      <c r="O475" s="84" t="n"/>
      <c r="P475" s="84">
        <f>IF(AND($A475="",$B475=""),"",N(D475)-N(E475)+N(J475)-N(K475))</f>
        <v/>
      </c>
      <c r="Q475" s="84">
        <f>IF(AND($A475="",$B475=""),"",IF(COUNT(L475:M475,O475)=0,"",P475-(N(L475)-N(M475))))</f>
        <v/>
      </c>
      <c r="R475" s="54">
        <f>IF(AND($A475="",$B475=""),"",IF(COUNT(L475:M475,O475)=0,"kein Mandanten-Saldo",IF(OR(AND(L475="",M475="")),"",IF(ABS(ROUND(((ROUND(N(D475)*100,0)+ROUND(N(J475)*100,0)+ROUND(N(M475)*100,0))-(ROUND(N(E475)*100,0)+ROUND(N(K475)*100,0)+ROUND(N(L475)*100,0))),0)-(0))&lt;=0,"OK","ABWEICHUNG"))))</f>
        <v/>
      </c>
      <c r="S475" s="84" t="n"/>
      <c r="T475" s="50" t="n"/>
      <c r="U475" s="50" t="n"/>
      <c r="V475" s="50" t="n"/>
      <c r="W475" s="50" t="n"/>
      <c r="X475" s="50" t="n"/>
      <c r="Y475" s="50" t="n"/>
      <c r="Z475" s="50" t="n"/>
    </row>
    <row r="476">
      <c r="A476" s="50" t="n"/>
      <c r="B476" s="50" t="n"/>
      <c r="C476" s="50" t="n"/>
      <c r="D476" s="84" t="n"/>
      <c r="E476" s="84" t="n"/>
      <c r="F476" s="84" t="n"/>
      <c r="G476" s="50" t="n"/>
      <c r="H476" s="84" t="n"/>
      <c r="I476" s="84" t="n"/>
      <c r="J476" s="84" t="n"/>
      <c r="K476" s="84" t="n"/>
      <c r="L476" s="84" t="n"/>
      <c r="M476" s="84" t="n"/>
      <c r="N476" s="50" t="n"/>
      <c r="O476" s="84" t="n"/>
      <c r="P476" s="84">
        <f>IF(AND($A476="",$B476=""),"",N(D476)-N(E476)+N(J476)-N(K476))</f>
        <v/>
      </c>
      <c r="Q476" s="84">
        <f>IF(AND($A476="",$B476=""),"",IF(COUNT(L476:M476,O476)=0,"",P476-(N(L476)-N(M476))))</f>
        <v/>
      </c>
      <c r="R476" s="54">
        <f>IF(AND($A476="",$B476=""),"",IF(COUNT(L476:M476,O476)=0,"kein Mandanten-Saldo",IF(OR(AND(L476="",M476="")),"",IF(ABS(ROUND(((ROUND(N(D476)*100,0)+ROUND(N(J476)*100,0)+ROUND(N(M476)*100,0))-(ROUND(N(E476)*100,0)+ROUND(N(K476)*100,0)+ROUND(N(L476)*100,0))),0)-(0))&lt;=0,"OK","ABWEICHUNG"))))</f>
        <v/>
      </c>
      <c r="S476" s="84" t="n"/>
      <c r="T476" s="50" t="n"/>
      <c r="U476" s="50" t="n"/>
      <c r="V476" s="50" t="n"/>
      <c r="W476" s="50" t="n"/>
      <c r="X476" s="50" t="n"/>
      <c r="Y476" s="50" t="n"/>
      <c r="Z476" s="50" t="n"/>
    </row>
    <row r="477">
      <c r="A477" s="50" t="n"/>
      <c r="B477" s="50" t="n"/>
      <c r="C477" s="50" t="n"/>
      <c r="D477" s="84" t="n"/>
      <c r="E477" s="84" t="n"/>
      <c r="F477" s="84" t="n"/>
      <c r="G477" s="50" t="n"/>
      <c r="H477" s="84" t="n"/>
      <c r="I477" s="84" t="n"/>
      <c r="J477" s="84" t="n"/>
      <c r="K477" s="84" t="n"/>
      <c r="L477" s="84" t="n"/>
      <c r="M477" s="84" t="n"/>
      <c r="N477" s="50" t="n"/>
      <c r="O477" s="84" t="n"/>
      <c r="P477" s="84">
        <f>IF(AND($A477="",$B477=""),"",N(D477)-N(E477)+N(J477)-N(K477))</f>
        <v/>
      </c>
      <c r="Q477" s="84">
        <f>IF(AND($A477="",$B477=""),"",IF(COUNT(L477:M477,O477)=0,"",P477-(N(L477)-N(M477))))</f>
        <v/>
      </c>
      <c r="R477" s="54">
        <f>IF(AND($A477="",$B477=""),"",IF(COUNT(L477:M477,O477)=0,"kein Mandanten-Saldo",IF(OR(AND(L477="",M477="")),"",IF(ABS(ROUND(((ROUND(N(D477)*100,0)+ROUND(N(J477)*100,0)+ROUND(N(M477)*100,0))-(ROUND(N(E477)*100,0)+ROUND(N(K477)*100,0)+ROUND(N(L477)*100,0))),0)-(0))&lt;=0,"OK","ABWEICHUNG"))))</f>
        <v/>
      </c>
      <c r="S477" s="84" t="n"/>
      <c r="T477" s="50" t="n"/>
      <c r="U477" s="50" t="n"/>
      <c r="V477" s="50" t="n"/>
      <c r="W477" s="50" t="n"/>
      <c r="X477" s="50" t="n"/>
      <c r="Y477" s="50" t="n"/>
      <c r="Z477" s="50" t="n"/>
    </row>
    <row r="478">
      <c r="A478" s="50" t="n"/>
      <c r="B478" s="50" t="n"/>
      <c r="C478" s="50" t="n"/>
      <c r="D478" s="84" t="n"/>
      <c r="E478" s="84" t="n"/>
      <c r="F478" s="84" t="n"/>
      <c r="G478" s="50" t="n"/>
      <c r="H478" s="84" t="n"/>
      <c r="I478" s="84" t="n"/>
      <c r="J478" s="84" t="n"/>
      <c r="K478" s="84" t="n"/>
      <c r="L478" s="84" t="n"/>
      <c r="M478" s="84" t="n"/>
      <c r="N478" s="50" t="n"/>
      <c r="O478" s="84" t="n"/>
      <c r="P478" s="84">
        <f>IF(AND($A478="",$B478=""),"",N(D478)-N(E478)+N(J478)-N(K478))</f>
        <v/>
      </c>
      <c r="Q478" s="84">
        <f>IF(AND($A478="",$B478=""),"",IF(COUNT(L478:M478,O478)=0,"",P478-(N(L478)-N(M478))))</f>
        <v/>
      </c>
      <c r="R478" s="54">
        <f>IF(AND($A478="",$B478=""),"",IF(COUNT(L478:M478,O478)=0,"kein Mandanten-Saldo",IF(OR(AND(L478="",M478="")),"",IF(ABS(ROUND(((ROUND(N(D478)*100,0)+ROUND(N(J478)*100,0)+ROUND(N(M478)*100,0))-(ROUND(N(E478)*100,0)+ROUND(N(K478)*100,0)+ROUND(N(L478)*100,0))),0)-(0))&lt;=0,"OK","ABWEICHUNG"))))</f>
        <v/>
      </c>
      <c r="S478" s="84" t="n"/>
      <c r="T478" s="50" t="n"/>
      <c r="U478" s="50" t="n"/>
      <c r="V478" s="50" t="n"/>
      <c r="W478" s="50" t="n"/>
      <c r="X478" s="50" t="n"/>
      <c r="Y478" s="50" t="n"/>
      <c r="Z478" s="50" t="n"/>
    </row>
    <row r="479">
      <c r="A479" s="50" t="n"/>
      <c r="B479" s="50" t="n"/>
      <c r="C479" s="50" t="n"/>
      <c r="D479" s="84" t="n"/>
      <c r="E479" s="84" t="n"/>
      <c r="F479" s="84" t="n"/>
      <c r="G479" s="50" t="n"/>
      <c r="H479" s="84" t="n"/>
      <c r="I479" s="84" t="n"/>
      <c r="J479" s="84" t="n"/>
      <c r="K479" s="84" t="n"/>
      <c r="L479" s="84" t="n"/>
      <c r="M479" s="84" t="n"/>
      <c r="N479" s="50" t="n"/>
      <c r="O479" s="84" t="n"/>
      <c r="P479" s="84">
        <f>IF(AND($A479="",$B479=""),"",N(D479)-N(E479)+N(J479)-N(K479))</f>
        <v/>
      </c>
      <c r="Q479" s="84">
        <f>IF(AND($A479="",$B479=""),"",IF(COUNT(L479:M479,O479)=0,"",P479-(N(L479)-N(M479))))</f>
        <v/>
      </c>
      <c r="R479" s="54">
        <f>IF(AND($A479="",$B479=""),"",IF(COUNT(L479:M479,O479)=0,"kein Mandanten-Saldo",IF(OR(AND(L479="",M479="")),"",IF(ABS(ROUND(((ROUND(N(D479)*100,0)+ROUND(N(J479)*100,0)+ROUND(N(M479)*100,0))-(ROUND(N(E479)*100,0)+ROUND(N(K479)*100,0)+ROUND(N(L479)*100,0))),0)-(0))&lt;=0,"OK","ABWEICHUNG"))))</f>
        <v/>
      </c>
      <c r="S479" s="84" t="n"/>
      <c r="T479" s="50" t="n"/>
      <c r="U479" s="50" t="n"/>
      <c r="V479" s="50" t="n"/>
      <c r="W479" s="50" t="n"/>
      <c r="X479" s="50" t="n"/>
      <c r="Y479" s="50" t="n"/>
      <c r="Z479" s="50" t="n"/>
    </row>
    <row r="480">
      <c r="A480" s="50" t="n"/>
      <c r="B480" s="50" t="n"/>
      <c r="C480" s="50" t="n"/>
      <c r="D480" s="84" t="n"/>
      <c r="E480" s="84" t="n"/>
      <c r="F480" s="84" t="n"/>
      <c r="G480" s="50" t="n"/>
      <c r="H480" s="84" t="n"/>
      <c r="I480" s="84" t="n"/>
      <c r="J480" s="84" t="n"/>
      <c r="K480" s="84" t="n"/>
      <c r="L480" s="84" t="n"/>
      <c r="M480" s="84" t="n"/>
      <c r="N480" s="50" t="n"/>
      <c r="O480" s="84" t="n"/>
      <c r="P480" s="84">
        <f>IF(AND($A480="",$B480=""),"",N(D480)-N(E480)+N(J480)-N(K480))</f>
        <v/>
      </c>
      <c r="Q480" s="84">
        <f>IF(AND($A480="",$B480=""),"",IF(COUNT(L480:M480,O480)=0,"",P480-(N(L480)-N(M480))))</f>
        <v/>
      </c>
      <c r="R480" s="54">
        <f>IF(AND($A480="",$B480=""),"",IF(COUNT(L480:M480,O480)=0,"kein Mandanten-Saldo",IF(OR(AND(L480="",M480="")),"",IF(ABS(ROUND(((ROUND(N(D480)*100,0)+ROUND(N(J480)*100,0)+ROUND(N(M480)*100,0))-(ROUND(N(E480)*100,0)+ROUND(N(K480)*100,0)+ROUND(N(L480)*100,0))),0)-(0))&lt;=0,"OK","ABWEICHUNG"))))</f>
        <v/>
      </c>
      <c r="S480" s="84" t="n"/>
      <c r="T480" s="50" t="n"/>
      <c r="U480" s="50" t="n"/>
      <c r="V480" s="50" t="n"/>
      <c r="W480" s="50" t="n"/>
      <c r="X480" s="50" t="n"/>
      <c r="Y480" s="50" t="n"/>
      <c r="Z480" s="50" t="n"/>
    </row>
    <row r="481">
      <c r="A481" s="50" t="n"/>
      <c r="B481" s="50" t="n"/>
      <c r="C481" s="50" t="n"/>
      <c r="D481" s="84" t="n"/>
      <c r="E481" s="84" t="n"/>
      <c r="F481" s="84" t="n"/>
      <c r="G481" s="50" t="n"/>
      <c r="H481" s="84" t="n"/>
      <c r="I481" s="84" t="n"/>
      <c r="J481" s="84" t="n"/>
      <c r="K481" s="84" t="n"/>
      <c r="L481" s="84" t="n"/>
      <c r="M481" s="84" t="n"/>
      <c r="N481" s="50" t="n"/>
      <c r="O481" s="84" t="n"/>
      <c r="P481" s="84">
        <f>IF(AND($A481="",$B481=""),"",N(D481)-N(E481)+N(J481)-N(K481))</f>
        <v/>
      </c>
      <c r="Q481" s="84">
        <f>IF(AND($A481="",$B481=""),"",IF(COUNT(L481:M481,O481)=0,"",P481-(N(L481)-N(M481))))</f>
        <v/>
      </c>
      <c r="R481" s="54">
        <f>IF(AND($A481="",$B481=""),"",IF(COUNT(L481:M481,O481)=0,"kein Mandanten-Saldo",IF(OR(AND(L481="",M481="")),"",IF(ABS(ROUND(((ROUND(N(D481)*100,0)+ROUND(N(J481)*100,0)+ROUND(N(M481)*100,0))-(ROUND(N(E481)*100,0)+ROUND(N(K481)*100,0)+ROUND(N(L481)*100,0))),0)-(0))&lt;=0,"OK","ABWEICHUNG"))))</f>
        <v/>
      </c>
      <c r="S481" s="84" t="n"/>
      <c r="T481" s="50" t="n"/>
      <c r="U481" s="50" t="n"/>
      <c r="V481" s="50" t="n"/>
      <c r="W481" s="50" t="n"/>
      <c r="X481" s="50" t="n"/>
      <c r="Y481" s="50" t="n"/>
      <c r="Z481" s="50" t="n"/>
    </row>
    <row r="482">
      <c r="A482" s="50" t="n"/>
      <c r="B482" s="50" t="n"/>
      <c r="C482" s="50" t="n"/>
      <c r="D482" s="84" t="n"/>
      <c r="E482" s="84" t="n"/>
      <c r="F482" s="84" t="n"/>
      <c r="G482" s="50" t="n"/>
      <c r="H482" s="84" t="n"/>
      <c r="I482" s="84" t="n"/>
      <c r="J482" s="84" t="n"/>
      <c r="K482" s="84" t="n"/>
      <c r="L482" s="84" t="n"/>
      <c r="M482" s="84" t="n"/>
      <c r="N482" s="50" t="n"/>
      <c r="O482" s="84" t="n"/>
      <c r="P482" s="84">
        <f>IF(AND($A482="",$B482=""),"",N(D482)-N(E482)+N(J482)-N(K482))</f>
        <v/>
      </c>
      <c r="Q482" s="84">
        <f>IF(AND($A482="",$B482=""),"",IF(COUNT(L482:M482,O482)=0,"",P482-(N(L482)-N(M482))))</f>
        <v/>
      </c>
      <c r="R482" s="54">
        <f>IF(AND($A482="",$B482=""),"",IF(COUNT(L482:M482,O482)=0,"kein Mandanten-Saldo",IF(OR(AND(L482="",M482="")),"",IF(ABS(ROUND(((ROUND(N(D482)*100,0)+ROUND(N(J482)*100,0)+ROUND(N(M482)*100,0))-(ROUND(N(E482)*100,0)+ROUND(N(K482)*100,0)+ROUND(N(L482)*100,0))),0)-(0))&lt;=0,"OK","ABWEICHUNG"))))</f>
        <v/>
      </c>
      <c r="S482" s="84" t="n"/>
      <c r="T482" s="50" t="n"/>
      <c r="U482" s="50" t="n"/>
      <c r="V482" s="50" t="n"/>
      <c r="W482" s="50" t="n"/>
      <c r="X482" s="50" t="n"/>
      <c r="Y482" s="50" t="n"/>
      <c r="Z482" s="50" t="n"/>
    </row>
    <row r="483">
      <c r="A483" s="50" t="n"/>
      <c r="B483" s="50" t="n"/>
      <c r="C483" s="50" t="n"/>
      <c r="D483" s="84" t="n"/>
      <c r="E483" s="84" t="n"/>
      <c r="F483" s="84" t="n"/>
      <c r="G483" s="50" t="n"/>
      <c r="H483" s="84" t="n"/>
      <c r="I483" s="84" t="n"/>
      <c r="J483" s="84" t="n"/>
      <c r="K483" s="84" t="n"/>
      <c r="L483" s="84" t="n"/>
      <c r="M483" s="84" t="n"/>
      <c r="N483" s="50" t="n"/>
      <c r="O483" s="84" t="n"/>
      <c r="P483" s="84">
        <f>IF(AND($A483="",$B483=""),"",N(D483)-N(E483)+N(J483)-N(K483))</f>
        <v/>
      </c>
      <c r="Q483" s="84">
        <f>IF(AND($A483="",$B483=""),"",IF(COUNT(L483:M483,O483)=0,"",P483-(N(L483)-N(M483))))</f>
        <v/>
      </c>
      <c r="R483" s="54">
        <f>IF(AND($A483="",$B483=""),"",IF(COUNT(L483:M483,O483)=0,"kein Mandanten-Saldo",IF(OR(AND(L483="",M483="")),"",IF(ABS(ROUND(((ROUND(N(D483)*100,0)+ROUND(N(J483)*100,0)+ROUND(N(M483)*100,0))-(ROUND(N(E483)*100,0)+ROUND(N(K483)*100,0)+ROUND(N(L483)*100,0))),0)-(0))&lt;=0,"OK","ABWEICHUNG"))))</f>
        <v/>
      </c>
      <c r="S483" s="84" t="n"/>
      <c r="T483" s="50" t="n"/>
      <c r="U483" s="50" t="n"/>
      <c r="V483" s="50" t="n"/>
      <c r="W483" s="50" t="n"/>
      <c r="X483" s="50" t="n"/>
      <c r="Y483" s="50" t="n"/>
      <c r="Z483" s="50" t="n"/>
    </row>
    <row r="484">
      <c r="A484" s="50" t="n"/>
      <c r="B484" s="50" t="n"/>
      <c r="C484" s="50" t="n"/>
      <c r="D484" s="84" t="n"/>
      <c r="E484" s="84" t="n"/>
      <c r="F484" s="84" t="n"/>
      <c r="G484" s="50" t="n"/>
      <c r="H484" s="84" t="n"/>
      <c r="I484" s="84" t="n"/>
      <c r="J484" s="84" t="n"/>
      <c r="K484" s="84" t="n"/>
      <c r="L484" s="84" t="n"/>
      <c r="M484" s="84" t="n"/>
      <c r="N484" s="50" t="n"/>
      <c r="O484" s="84" t="n"/>
      <c r="P484" s="84">
        <f>IF(AND($A484="",$B484=""),"",N(D484)-N(E484)+N(J484)-N(K484))</f>
        <v/>
      </c>
      <c r="Q484" s="84">
        <f>IF(AND($A484="",$B484=""),"",IF(COUNT(L484:M484,O484)=0,"",P484-(N(L484)-N(M484))))</f>
        <v/>
      </c>
      <c r="R484" s="54">
        <f>IF(AND($A484="",$B484=""),"",IF(COUNT(L484:M484,O484)=0,"kein Mandanten-Saldo",IF(OR(AND(L484="",M484="")),"",IF(ABS(ROUND(((ROUND(N(D484)*100,0)+ROUND(N(J484)*100,0)+ROUND(N(M484)*100,0))-(ROUND(N(E484)*100,0)+ROUND(N(K484)*100,0)+ROUND(N(L484)*100,0))),0)-(0))&lt;=0,"OK","ABWEICHUNG"))))</f>
        <v/>
      </c>
      <c r="S484" s="84" t="n"/>
      <c r="T484" s="50" t="n"/>
      <c r="U484" s="50" t="n"/>
      <c r="V484" s="50" t="n"/>
      <c r="W484" s="50" t="n"/>
      <c r="X484" s="50" t="n"/>
      <c r="Y484" s="50" t="n"/>
      <c r="Z484" s="50" t="n"/>
    </row>
    <row r="485">
      <c r="A485" s="50" t="n"/>
      <c r="B485" s="50" t="n"/>
      <c r="C485" s="50" t="n"/>
      <c r="D485" s="84" t="n"/>
      <c r="E485" s="84" t="n"/>
      <c r="F485" s="84" t="n"/>
      <c r="G485" s="50" t="n"/>
      <c r="H485" s="84" t="n"/>
      <c r="I485" s="84" t="n"/>
      <c r="J485" s="84" t="n"/>
      <c r="K485" s="84" t="n"/>
      <c r="L485" s="84" t="n"/>
      <c r="M485" s="84" t="n"/>
      <c r="N485" s="50" t="n"/>
      <c r="O485" s="84" t="n"/>
      <c r="P485" s="84">
        <f>IF(AND($A485="",$B485=""),"",N(D485)-N(E485)+N(J485)-N(K485))</f>
        <v/>
      </c>
      <c r="Q485" s="84">
        <f>IF(AND($A485="",$B485=""),"",IF(COUNT(L485:M485,O485)=0,"",P485-(N(L485)-N(M485))))</f>
        <v/>
      </c>
      <c r="R485" s="54">
        <f>IF(AND($A485="",$B485=""),"",IF(COUNT(L485:M485,O485)=0,"kein Mandanten-Saldo",IF(OR(AND(L485="",M485="")),"",IF(ABS(ROUND(((ROUND(N(D485)*100,0)+ROUND(N(J485)*100,0)+ROUND(N(M485)*100,0))-(ROUND(N(E485)*100,0)+ROUND(N(K485)*100,0)+ROUND(N(L485)*100,0))),0)-(0))&lt;=0,"OK","ABWEICHUNG"))))</f>
        <v/>
      </c>
      <c r="S485" s="84" t="n"/>
      <c r="T485" s="50" t="n"/>
      <c r="U485" s="50" t="n"/>
      <c r="V485" s="50" t="n"/>
      <c r="W485" s="50" t="n"/>
      <c r="X485" s="50" t="n"/>
      <c r="Y485" s="50" t="n"/>
      <c r="Z485" s="50" t="n"/>
    </row>
    <row r="486">
      <c r="A486" s="50" t="n"/>
      <c r="B486" s="50" t="n"/>
      <c r="C486" s="50" t="n"/>
      <c r="D486" s="84" t="n"/>
      <c r="E486" s="84" t="n"/>
      <c r="F486" s="84" t="n"/>
      <c r="G486" s="50" t="n"/>
      <c r="H486" s="84" t="n"/>
      <c r="I486" s="84" t="n"/>
      <c r="J486" s="84" t="n"/>
      <c r="K486" s="84" t="n"/>
      <c r="L486" s="84" t="n"/>
      <c r="M486" s="84" t="n"/>
      <c r="N486" s="50" t="n"/>
      <c r="O486" s="84" t="n"/>
      <c r="P486" s="84">
        <f>IF(AND($A486="",$B486=""),"",N(D486)-N(E486)+N(J486)-N(K486))</f>
        <v/>
      </c>
      <c r="Q486" s="84">
        <f>IF(AND($A486="",$B486=""),"",IF(COUNT(L486:M486,O486)=0,"",P486-(N(L486)-N(M486))))</f>
        <v/>
      </c>
      <c r="R486" s="54">
        <f>IF(AND($A486="",$B486=""),"",IF(COUNT(L486:M486,O486)=0,"kein Mandanten-Saldo",IF(OR(AND(L486="",M486="")),"",IF(ABS(ROUND(((ROUND(N(D486)*100,0)+ROUND(N(J486)*100,0)+ROUND(N(M486)*100,0))-(ROUND(N(E486)*100,0)+ROUND(N(K486)*100,0)+ROUND(N(L486)*100,0))),0)-(0))&lt;=0,"OK","ABWEICHUNG"))))</f>
        <v/>
      </c>
      <c r="S486" s="84" t="n"/>
      <c r="T486" s="50" t="n"/>
      <c r="U486" s="50" t="n"/>
      <c r="V486" s="50" t="n"/>
      <c r="W486" s="50" t="n"/>
      <c r="X486" s="50" t="n"/>
      <c r="Y486" s="50" t="n"/>
      <c r="Z486" s="50" t="n"/>
    </row>
    <row r="487">
      <c r="A487" s="50" t="n"/>
      <c r="B487" s="50" t="n"/>
      <c r="C487" s="50" t="n"/>
      <c r="D487" s="84" t="n"/>
      <c r="E487" s="84" t="n"/>
      <c r="F487" s="84" t="n"/>
      <c r="G487" s="50" t="n"/>
      <c r="H487" s="84" t="n"/>
      <c r="I487" s="84" t="n"/>
      <c r="J487" s="84" t="n"/>
      <c r="K487" s="84" t="n"/>
      <c r="L487" s="84" t="n"/>
      <c r="M487" s="84" t="n"/>
      <c r="N487" s="50" t="n"/>
      <c r="O487" s="84" t="n"/>
      <c r="P487" s="84">
        <f>IF(AND($A487="",$B487=""),"",N(D487)-N(E487)+N(J487)-N(K487))</f>
        <v/>
      </c>
      <c r="Q487" s="84">
        <f>IF(AND($A487="",$B487=""),"",IF(COUNT(L487:M487,O487)=0,"",P487-(N(L487)-N(M487))))</f>
        <v/>
      </c>
      <c r="R487" s="54">
        <f>IF(AND($A487="",$B487=""),"",IF(COUNT(L487:M487,O487)=0,"kein Mandanten-Saldo",IF(OR(AND(L487="",M487="")),"",IF(ABS(ROUND(((ROUND(N(D487)*100,0)+ROUND(N(J487)*100,0)+ROUND(N(M487)*100,0))-(ROUND(N(E487)*100,0)+ROUND(N(K487)*100,0)+ROUND(N(L487)*100,0))),0)-(0))&lt;=0,"OK","ABWEICHUNG"))))</f>
        <v/>
      </c>
      <c r="S487" s="84" t="n"/>
      <c r="T487" s="50" t="n"/>
      <c r="U487" s="50" t="n"/>
      <c r="V487" s="50" t="n"/>
      <c r="W487" s="50" t="n"/>
      <c r="X487" s="50" t="n"/>
      <c r="Y487" s="50" t="n"/>
      <c r="Z487" s="50" t="n"/>
    </row>
    <row r="488">
      <c r="A488" s="50" t="n"/>
      <c r="B488" s="50" t="n"/>
      <c r="C488" s="50" t="n"/>
      <c r="D488" s="84" t="n"/>
      <c r="E488" s="84" t="n"/>
      <c r="F488" s="84" t="n"/>
      <c r="G488" s="50" t="n"/>
      <c r="H488" s="84" t="n"/>
      <c r="I488" s="84" t="n"/>
      <c r="J488" s="84" t="n"/>
      <c r="K488" s="84" t="n"/>
      <c r="L488" s="84" t="n"/>
      <c r="M488" s="84" t="n"/>
      <c r="N488" s="50" t="n"/>
      <c r="O488" s="84" t="n"/>
      <c r="P488" s="84">
        <f>IF(AND($A488="",$B488=""),"",N(D488)-N(E488)+N(J488)-N(K488))</f>
        <v/>
      </c>
      <c r="Q488" s="84">
        <f>IF(AND($A488="",$B488=""),"",IF(COUNT(L488:M488,O488)=0,"",P488-(N(L488)-N(M488))))</f>
        <v/>
      </c>
      <c r="R488" s="54">
        <f>IF(AND($A488="",$B488=""),"",IF(COUNT(L488:M488,O488)=0,"kein Mandanten-Saldo",IF(OR(AND(L488="",M488="")),"",IF(ABS(ROUND(((ROUND(N(D488)*100,0)+ROUND(N(J488)*100,0)+ROUND(N(M488)*100,0))-(ROUND(N(E488)*100,0)+ROUND(N(K488)*100,0)+ROUND(N(L488)*100,0))),0)-(0))&lt;=0,"OK","ABWEICHUNG"))))</f>
        <v/>
      </c>
      <c r="S488" s="84" t="n"/>
      <c r="T488" s="50" t="n"/>
      <c r="U488" s="50" t="n"/>
      <c r="V488" s="50" t="n"/>
      <c r="W488" s="50" t="n"/>
      <c r="X488" s="50" t="n"/>
      <c r="Y488" s="50" t="n"/>
      <c r="Z488" s="50" t="n"/>
    </row>
    <row r="489">
      <c r="A489" s="50" t="n"/>
      <c r="B489" s="50" t="n"/>
      <c r="C489" s="50" t="n"/>
      <c r="D489" s="84" t="n"/>
      <c r="E489" s="84" t="n"/>
      <c r="F489" s="84" t="n"/>
      <c r="G489" s="50" t="n"/>
      <c r="H489" s="84" t="n"/>
      <c r="I489" s="84" t="n"/>
      <c r="J489" s="84" t="n"/>
      <c r="K489" s="84" t="n"/>
      <c r="L489" s="84" t="n"/>
      <c r="M489" s="84" t="n"/>
      <c r="N489" s="50" t="n"/>
      <c r="O489" s="84" t="n"/>
      <c r="P489" s="84">
        <f>IF(AND($A489="",$B489=""),"",N(D489)-N(E489)+N(J489)-N(K489))</f>
        <v/>
      </c>
      <c r="Q489" s="84">
        <f>IF(AND($A489="",$B489=""),"",IF(COUNT(L489:M489,O489)=0,"",P489-(N(L489)-N(M489))))</f>
        <v/>
      </c>
      <c r="R489" s="54">
        <f>IF(AND($A489="",$B489=""),"",IF(COUNT(L489:M489,O489)=0,"kein Mandanten-Saldo",IF(OR(AND(L489="",M489="")),"",IF(ABS(ROUND(((ROUND(N(D489)*100,0)+ROUND(N(J489)*100,0)+ROUND(N(M489)*100,0))-(ROUND(N(E489)*100,0)+ROUND(N(K489)*100,0)+ROUND(N(L489)*100,0))),0)-(0))&lt;=0,"OK","ABWEICHUNG"))))</f>
        <v/>
      </c>
      <c r="S489" s="84" t="n"/>
      <c r="T489" s="50" t="n"/>
      <c r="U489" s="50" t="n"/>
      <c r="V489" s="50" t="n"/>
      <c r="W489" s="50" t="n"/>
      <c r="X489" s="50" t="n"/>
      <c r="Y489" s="50" t="n"/>
      <c r="Z489" s="50" t="n"/>
    </row>
    <row r="490">
      <c r="A490" s="50" t="n"/>
      <c r="B490" s="50" t="n"/>
      <c r="C490" s="50" t="n"/>
      <c r="D490" s="84" t="n"/>
      <c r="E490" s="84" t="n"/>
      <c r="F490" s="84" t="n"/>
      <c r="G490" s="50" t="n"/>
      <c r="H490" s="84" t="n"/>
      <c r="I490" s="84" t="n"/>
      <c r="J490" s="84" t="n"/>
      <c r="K490" s="84" t="n"/>
      <c r="L490" s="84" t="n"/>
      <c r="M490" s="84" t="n"/>
      <c r="N490" s="50" t="n"/>
      <c r="O490" s="84" t="n"/>
      <c r="P490" s="84">
        <f>IF(AND($A490="",$B490=""),"",N(D490)-N(E490)+N(J490)-N(K490))</f>
        <v/>
      </c>
      <c r="Q490" s="84">
        <f>IF(AND($A490="",$B490=""),"",IF(COUNT(L490:M490,O490)=0,"",P490-(N(L490)-N(M490))))</f>
        <v/>
      </c>
      <c r="R490" s="54">
        <f>IF(AND($A490="",$B490=""),"",IF(COUNT(L490:M490,O490)=0,"kein Mandanten-Saldo",IF(OR(AND(L490="",M490="")),"",IF(ABS(ROUND(((ROUND(N(D490)*100,0)+ROUND(N(J490)*100,0)+ROUND(N(M490)*100,0))-(ROUND(N(E490)*100,0)+ROUND(N(K490)*100,0)+ROUND(N(L490)*100,0))),0)-(0))&lt;=0,"OK","ABWEICHUNG"))))</f>
        <v/>
      </c>
      <c r="S490" s="84" t="n"/>
      <c r="T490" s="50" t="n"/>
      <c r="U490" s="50" t="n"/>
      <c r="V490" s="50" t="n"/>
      <c r="W490" s="50" t="n"/>
      <c r="X490" s="50" t="n"/>
      <c r="Y490" s="50" t="n"/>
      <c r="Z490" s="50" t="n"/>
    </row>
    <row r="491">
      <c r="A491" s="50" t="n"/>
      <c r="B491" s="50" t="n"/>
      <c r="C491" s="50" t="n"/>
      <c r="D491" s="84" t="n"/>
      <c r="E491" s="84" t="n"/>
      <c r="F491" s="84" t="n"/>
      <c r="G491" s="50" t="n"/>
      <c r="H491" s="84" t="n"/>
      <c r="I491" s="84" t="n"/>
      <c r="J491" s="84" t="n"/>
      <c r="K491" s="84" t="n"/>
      <c r="L491" s="84" t="n"/>
      <c r="M491" s="84" t="n"/>
      <c r="N491" s="50" t="n"/>
      <c r="O491" s="84" t="n"/>
      <c r="P491" s="84">
        <f>IF(AND($A491="",$B491=""),"",N(D491)-N(E491)+N(J491)-N(K491))</f>
        <v/>
      </c>
      <c r="Q491" s="84">
        <f>IF(AND($A491="",$B491=""),"",IF(COUNT(L491:M491,O491)=0,"",P491-(N(L491)-N(M491))))</f>
        <v/>
      </c>
      <c r="R491" s="54">
        <f>IF(AND($A491="",$B491=""),"",IF(COUNT(L491:M491,O491)=0,"kein Mandanten-Saldo",IF(OR(AND(L491="",M491="")),"",IF(ABS(ROUND(((ROUND(N(D491)*100,0)+ROUND(N(J491)*100,0)+ROUND(N(M491)*100,0))-(ROUND(N(E491)*100,0)+ROUND(N(K491)*100,0)+ROUND(N(L491)*100,0))),0)-(0))&lt;=0,"OK","ABWEICHUNG"))))</f>
        <v/>
      </c>
      <c r="S491" s="84" t="n"/>
      <c r="T491" s="50" t="n"/>
      <c r="U491" s="50" t="n"/>
      <c r="V491" s="50" t="n"/>
      <c r="W491" s="50" t="n"/>
      <c r="X491" s="50" t="n"/>
      <c r="Y491" s="50" t="n"/>
      <c r="Z491" s="50" t="n"/>
    </row>
    <row r="492">
      <c r="A492" s="50" t="n"/>
      <c r="B492" s="50" t="n"/>
      <c r="C492" s="50" t="n"/>
      <c r="D492" s="84" t="n"/>
      <c r="E492" s="84" t="n"/>
      <c r="F492" s="84" t="n"/>
      <c r="G492" s="50" t="n"/>
      <c r="H492" s="84" t="n"/>
      <c r="I492" s="84" t="n"/>
      <c r="J492" s="84" t="n"/>
      <c r="K492" s="84" t="n"/>
      <c r="L492" s="84" t="n"/>
      <c r="M492" s="84" t="n"/>
      <c r="N492" s="50" t="n"/>
      <c r="O492" s="84" t="n"/>
      <c r="P492" s="84">
        <f>IF(AND($A492="",$B492=""),"",N(D492)-N(E492)+N(J492)-N(K492))</f>
        <v/>
      </c>
      <c r="Q492" s="84">
        <f>IF(AND($A492="",$B492=""),"",IF(COUNT(L492:M492,O492)=0,"",P492-(N(L492)-N(M492))))</f>
        <v/>
      </c>
      <c r="R492" s="54">
        <f>IF(AND($A492="",$B492=""),"",IF(COUNT(L492:M492,O492)=0,"kein Mandanten-Saldo",IF(OR(AND(L492="",M492="")),"",IF(ABS(ROUND(((ROUND(N(D492)*100,0)+ROUND(N(J492)*100,0)+ROUND(N(M492)*100,0))-(ROUND(N(E492)*100,0)+ROUND(N(K492)*100,0)+ROUND(N(L492)*100,0))),0)-(0))&lt;=0,"OK","ABWEICHUNG"))))</f>
        <v/>
      </c>
      <c r="S492" s="84" t="n"/>
      <c r="T492" s="50" t="n"/>
      <c r="U492" s="50" t="n"/>
      <c r="V492" s="50" t="n"/>
      <c r="W492" s="50" t="n"/>
      <c r="X492" s="50" t="n"/>
      <c r="Y492" s="50" t="n"/>
      <c r="Z492" s="50" t="n"/>
    </row>
    <row r="493">
      <c r="A493" s="50" t="n"/>
      <c r="B493" s="50" t="n"/>
      <c r="C493" s="50" t="n"/>
      <c r="D493" s="84" t="n"/>
      <c r="E493" s="84" t="n"/>
      <c r="F493" s="84" t="n"/>
      <c r="G493" s="50" t="n"/>
      <c r="H493" s="84" t="n"/>
      <c r="I493" s="84" t="n"/>
      <c r="J493" s="84" t="n"/>
      <c r="K493" s="84" t="n"/>
      <c r="L493" s="84" t="n"/>
      <c r="M493" s="84" t="n"/>
      <c r="N493" s="50" t="n"/>
      <c r="O493" s="84" t="n"/>
      <c r="P493" s="84">
        <f>IF(AND($A493="",$B493=""),"",N(D493)-N(E493)+N(J493)-N(K493))</f>
        <v/>
      </c>
      <c r="Q493" s="84">
        <f>IF(AND($A493="",$B493=""),"",IF(COUNT(L493:M493,O493)=0,"",P493-(N(L493)-N(M493))))</f>
        <v/>
      </c>
      <c r="R493" s="54">
        <f>IF(AND($A493="",$B493=""),"",IF(COUNT(L493:M493,O493)=0,"kein Mandanten-Saldo",IF(OR(AND(L493="",M493="")),"",IF(ABS(ROUND(((ROUND(N(D493)*100,0)+ROUND(N(J493)*100,0)+ROUND(N(M493)*100,0))-(ROUND(N(E493)*100,0)+ROUND(N(K493)*100,0)+ROUND(N(L493)*100,0))),0)-(0))&lt;=0,"OK","ABWEICHUNG"))))</f>
        <v/>
      </c>
      <c r="S493" s="84" t="n"/>
      <c r="T493" s="50" t="n"/>
      <c r="U493" s="50" t="n"/>
      <c r="V493" s="50" t="n"/>
      <c r="W493" s="50" t="n"/>
      <c r="X493" s="50" t="n"/>
      <c r="Y493" s="50" t="n"/>
      <c r="Z493" s="50" t="n"/>
    </row>
    <row r="494">
      <c r="A494" s="50" t="n"/>
      <c r="B494" s="50" t="n"/>
      <c r="C494" s="50" t="n"/>
      <c r="D494" s="84" t="n"/>
      <c r="E494" s="84" t="n"/>
      <c r="F494" s="84" t="n"/>
      <c r="G494" s="50" t="n"/>
      <c r="H494" s="84" t="n"/>
      <c r="I494" s="84" t="n"/>
      <c r="J494" s="84" t="n"/>
      <c r="K494" s="84" t="n"/>
      <c r="L494" s="84" t="n"/>
      <c r="M494" s="84" t="n"/>
      <c r="N494" s="50" t="n"/>
      <c r="O494" s="84" t="n"/>
      <c r="P494" s="84">
        <f>IF(AND($A494="",$B494=""),"",N(D494)-N(E494)+N(J494)-N(K494))</f>
        <v/>
      </c>
      <c r="Q494" s="84">
        <f>IF(AND($A494="",$B494=""),"",IF(COUNT(L494:M494,O494)=0,"",P494-(N(L494)-N(M494))))</f>
        <v/>
      </c>
      <c r="R494" s="54">
        <f>IF(AND($A494="",$B494=""),"",IF(COUNT(L494:M494,O494)=0,"kein Mandanten-Saldo",IF(OR(AND(L494="",M494="")),"",IF(ABS(ROUND(((ROUND(N(D494)*100,0)+ROUND(N(J494)*100,0)+ROUND(N(M494)*100,0))-(ROUND(N(E494)*100,0)+ROUND(N(K494)*100,0)+ROUND(N(L494)*100,0))),0)-(0))&lt;=0,"OK","ABWEICHUNG"))))</f>
        <v/>
      </c>
      <c r="S494" s="84" t="n"/>
      <c r="T494" s="50" t="n"/>
      <c r="U494" s="50" t="n"/>
      <c r="V494" s="50" t="n"/>
      <c r="W494" s="50" t="n"/>
      <c r="X494" s="50" t="n"/>
      <c r="Y494" s="50" t="n"/>
      <c r="Z494" s="50" t="n"/>
    </row>
    <row r="495">
      <c r="A495" s="50" t="n"/>
      <c r="B495" s="50" t="n"/>
      <c r="C495" s="50" t="n"/>
      <c r="D495" s="84" t="n"/>
      <c r="E495" s="84" t="n"/>
      <c r="F495" s="84" t="n"/>
      <c r="G495" s="50" t="n"/>
      <c r="H495" s="84" t="n"/>
      <c r="I495" s="84" t="n"/>
      <c r="J495" s="84" t="n"/>
      <c r="K495" s="84" t="n"/>
      <c r="L495" s="84" t="n"/>
      <c r="M495" s="84" t="n"/>
      <c r="N495" s="50" t="n"/>
      <c r="O495" s="84" t="n"/>
      <c r="P495" s="84">
        <f>IF(AND($A495="",$B495=""),"",N(D495)-N(E495)+N(J495)-N(K495))</f>
        <v/>
      </c>
      <c r="Q495" s="84">
        <f>IF(AND($A495="",$B495=""),"",IF(COUNT(L495:M495,O495)=0,"",P495-(N(L495)-N(M495))))</f>
        <v/>
      </c>
      <c r="R495" s="54">
        <f>IF(AND($A495="",$B495=""),"",IF(COUNT(L495:M495,O495)=0,"kein Mandanten-Saldo",IF(OR(AND(L495="",M495="")),"",IF(ABS(ROUND(((ROUND(N(D495)*100,0)+ROUND(N(J495)*100,0)+ROUND(N(M495)*100,0))-(ROUND(N(E495)*100,0)+ROUND(N(K495)*100,0)+ROUND(N(L495)*100,0))),0)-(0))&lt;=0,"OK","ABWEICHUNG"))))</f>
        <v/>
      </c>
      <c r="S495" s="84" t="n"/>
      <c r="T495" s="50" t="n"/>
      <c r="U495" s="50" t="n"/>
      <c r="V495" s="50" t="n"/>
      <c r="W495" s="50" t="n"/>
      <c r="X495" s="50" t="n"/>
      <c r="Y495" s="50" t="n"/>
      <c r="Z495" s="50" t="n"/>
    </row>
    <row r="496">
      <c r="A496" s="50" t="n"/>
      <c r="B496" s="50" t="n"/>
      <c r="C496" s="50" t="n"/>
      <c r="D496" s="84" t="n"/>
      <c r="E496" s="84" t="n"/>
      <c r="F496" s="84" t="n"/>
      <c r="G496" s="50" t="n"/>
      <c r="H496" s="84" t="n"/>
      <c r="I496" s="84" t="n"/>
      <c r="J496" s="84" t="n"/>
      <c r="K496" s="84" t="n"/>
      <c r="L496" s="84" t="n"/>
      <c r="M496" s="84" t="n"/>
      <c r="N496" s="50" t="n"/>
      <c r="O496" s="84" t="n"/>
      <c r="P496" s="84">
        <f>IF(AND($A496="",$B496=""),"",N(D496)-N(E496)+N(J496)-N(K496))</f>
        <v/>
      </c>
      <c r="Q496" s="84">
        <f>IF(AND($A496="",$B496=""),"",IF(COUNT(L496:M496,O496)=0,"",P496-(N(L496)-N(M496))))</f>
        <v/>
      </c>
      <c r="R496" s="54">
        <f>IF(AND($A496="",$B496=""),"",IF(COUNT(L496:M496,O496)=0,"kein Mandanten-Saldo",IF(OR(AND(L496="",M496="")),"",IF(ABS(ROUND(((ROUND(N(D496)*100,0)+ROUND(N(J496)*100,0)+ROUND(N(M496)*100,0))-(ROUND(N(E496)*100,0)+ROUND(N(K496)*100,0)+ROUND(N(L496)*100,0))),0)-(0))&lt;=0,"OK","ABWEICHUNG"))))</f>
        <v/>
      </c>
      <c r="S496" s="84" t="n"/>
      <c r="T496" s="50" t="n"/>
      <c r="U496" s="50" t="n"/>
      <c r="V496" s="50" t="n"/>
      <c r="W496" s="50" t="n"/>
      <c r="X496" s="50" t="n"/>
      <c r="Y496" s="50" t="n"/>
      <c r="Z496" s="50" t="n"/>
    </row>
    <row r="497">
      <c r="A497" s="50" t="n"/>
      <c r="B497" s="50" t="n"/>
      <c r="C497" s="50" t="n"/>
      <c r="D497" s="84" t="n"/>
      <c r="E497" s="84" t="n"/>
      <c r="F497" s="84" t="n"/>
      <c r="G497" s="50" t="n"/>
      <c r="H497" s="84" t="n"/>
      <c r="I497" s="84" t="n"/>
      <c r="J497" s="84" t="n"/>
      <c r="K497" s="84" t="n"/>
      <c r="L497" s="84" t="n"/>
      <c r="M497" s="84" t="n"/>
      <c r="N497" s="50" t="n"/>
      <c r="O497" s="84" t="n"/>
      <c r="P497" s="84">
        <f>IF(AND($A497="",$B497=""),"",N(D497)-N(E497)+N(J497)-N(K497))</f>
        <v/>
      </c>
      <c r="Q497" s="84">
        <f>IF(AND($A497="",$B497=""),"",IF(COUNT(L497:M497,O497)=0,"",P497-(N(L497)-N(M497))))</f>
        <v/>
      </c>
      <c r="R497" s="54">
        <f>IF(AND($A497="",$B497=""),"",IF(COUNT(L497:M497,O497)=0,"kein Mandanten-Saldo",IF(OR(AND(L497="",M497="")),"",IF(ABS(ROUND(((ROUND(N(D497)*100,0)+ROUND(N(J497)*100,0)+ROUND(N(M497)*100,0))-(ROUND(N(E497)*100,0)+ROUND(N(K497)*100,0)+ROUND(N(L497)*100,0))),0)-(0))&lt;=0,"OK","ABWEICHUNG"))))</f>
        <v/>
      </c>
      <c r="S497" s="84" t="n"/>
      <c r="T497" s="50" t="n"/>
      <c r="U497" s="50" t="n"/>
      <c r="V497" s="50" t="n"/>
      <c r="W497" s="50" t="n"/>
      <c r="X497" s="50" t="n"/>
      <c r="Y497" s="50" t="n"/>
      <c r="Z497" s="50" t="n"/>
    </row>
    <row r="498">
      <c r="A498" s="50" t="n"/>
      <c r="B498" s="50" t="n"/>
      <c r="C498" s="50" t="n"/>
      <c r="D498" s="84" t="n"/>
      <c r="E498" s="84" t="n"/>
      <c r="F498" s="84" t="n"/>
      <c r="G498" s="50" t="n"/>
      <c r="H498" s="84" t="n"/>
      <c r="I498" s="84" t="n"/>
      <c r="J498" s="84" t="n"/>
      <c r="K498" s="84" t="n"/>
      <c r="L498" s="84" t="n"/>
      <c r="M498" s="84" t="n"/>
      <c r="N498" s="50" t="n"/>
      <c r="O498" s="84" t="n"/>
      <c r="P498" s="84">
        <f>IF(AND($A498="",$B498=""),"",N(D498)-N(E498)+N(J498)-N(K498))</f>
        <v/>
      </c>
      <c r="Q498" s="84">
        <f>IF(AND($A498="",$B498=""),"",IF(COUNT(L498:M498,O498)=0,"",P498-(N(L498)-N(M498))))</f>
        <v/>
      </c>
      <c r="R498" s="54">
        <f>IF(AND($A498="",$B498=""),"",IF(COUNT(L498:M498,O498)=0,"kein Mandanten-Saldo",IF(OR(AND(L498="",M498="")),"",IF(ABS(ROUND(((ROUND(N(D498)*100,0)+ROUND(N(J498)*100,0)+ROUND(N(M498)*100,0))-(ROUND(N(E498)*100,0)+ROUND(N(K498)*100,0)+ROUND(N(L498)*100,0))),0)-(0))&lt;=0,"OK","ABWEICHUNG"))))</f>
        <v/>
      </c>
      <c r="S498" s="84" t="n"/>
      <c r="T498" s="50" t="n"/>
      <c r="U498" s="50" t="n"/>
      <c r="V498" s="50" t="n"/>
      <c r="W498" s="50" t="n"/>
      <c r="X498" s="50" t="n"/>
      <c r="Y498" s="50" t="n"/>
      <c r="Z498" s="50" t="n"/>
    </row>
    <row r="499">
      <c r="A499" s="50" t="n"/>
      <c r="B499" s="50" t="n"/>
      <c r="C499" s="50" t="n"/>
      <c r="D499" s="84" t="n"/>
      <c r="E499" s="84" t="n"/>
      <c r="F499" s="84" t="n"/>
      <c r="G499" s="50" t="n"/>
      <c r="H499" s="84" t="n"/>
      <c r="I499" s="84" t="n"/>
      <c r="J499" s="84" t="n"/>
      <c r="K499" s="84" t="n"/>
      <c r="L499" s="84" t="n"/>
      <c r="M499" s="84" t="n"/>
      <c r="N499" s="50" t="n"/>
      <c r="O499" s="84" t="n"/>
      <c r="P499" s="84">
        <f>IF(AND($A499="",$B499=""),"",N(D499)-N(E499)+N(J499)-N(K499))</f>
        <v/>
      </c>
      <c r="Q499" s="84">
        <f>IF(AND($A499="",$B499=""),"",IF(COUNT(L499:M499,O499)=0,"",P499-(N(L499)-N(M499))))</f>
        <v/>
      </c>
      <c r="R499" s="54">
        <f>IF(AND($A499="",$B499=""),"",IF(COUNT(L499:M499,O499)=0,"kein Mandanten-Saldo",IF(OR(AND(L499="",M499="")),"",IF(ABS(ROUND(((ROUND(N(D499)*100,0)+ROUND(N(J499)*100,0)+ROUND(N(M499)*100,0))-(ROUND(N(E499)*100,0)+ROUND(N(K499)*100,0)+ROUND(N(L499)*100,0))),0)-(0))&lt;=0,"OK","ABWEICHUNG"))))</f>
        <v/>
      </c>
      <c r="S499" s="84" t="n"/>
      <c r="T499" s="50" t="n"/>
      <c r="U499" s="50" t="n"/>
      <c r="V499" s="50" t="n"/>
      <c r="W499" s="50" t="n"/>
      <c r="X499" s="50" t="n"/>
      <c r="Y499" s="50" t="n"/>
      <c r="Z499" s="50" t="n"/>
    </row>
    <row r="500">
      <c r="A500" s="50" t="n"/>
      <c r="B500" s="50" t="n"/>
      <c r="C500" s="50" t="n"/>
      <c r="D500" s="84" t="n"/>
      <c r="E500" s="84" t="n"/>
      <c r="F500" s="84" t="n"/>
      <c r="G500" s="50" t="n"/>
      <c r="H500" s="84" t="n"/>
      <c r="I500" s="84" t="n"/>
      <c r="J500" s="84" t="n"/>
      <c r="K500" s="84" t="n"/>
      <c r="L500" s="84" t="n"/>
      <c r="M500" s="84" t="n"/>
      <c r="N500" s="50" t="n"/>
      <c r="O500" s="84" t="n"/>
      <c r="P500" s="84">
        <f>IF(AND($A500="",$B500=""),"",N(D500)-N(E500)+N(J500)-N(K500))</f>
        <v/>
      </c>
      <c r="Q500" s="84">
        <f>IF(AND($A500="",$B500=""),"",IF(COUNT(L500:M500,O500)=0,"",P500-(N(L500)-N(M500))))</f>
        <v/>
      </c>
      <c r="R500" s="54">
        <f>IF(AND($A500="",$B500=""),"",IF(COUNT(L500:M500,O500)=0,"kein Mandanten-Saldo",IF(OR(AND(L500="",M500="")),"",IF(ABS(ROUND(((ROUND(N(D500)*100,0)+ROUND(N(J500)*100,0)+ROUND(N(M500)*100,0))-(ROUND(N(E500)*100,0)+ROUND(N(K500)*100,0)+ROUND(N(L500)*100,0))),0)-(0))&lt;=0,"OK","ABWEICHUNG"))))</f>
        <v/>
      </c>
      <c r="S500" s="84" t="n"/>
      <c r="T500" s="50" t="n"/>
      <c r="U500" s="50" t="n"/>
      <c r="V500" s="50" t="n"/>
      <c r="W500" s="50" t="n"/>
      <c r="X500" s="50" t="n"/>
      <c r="Y500" s="50" t="n"/>
      <c r="Z500" s="50" t="n"/>
    </row>
    <row r="501">
      <c r="A501" s="50" t="n"/>
      <c r="B501" s="50" t="n"/>
      <c r="C501" s="50" t="n"/>
      <c r="D501" s="84" t="n"/>
      <c r="E501" s="84" t="n"/>
      <c r="F501" s="84" t="n"/>
      <c r="G501" s="50" t="n"/>
      <c r="H501" s="84" t="n"/>
      <c r="I501" s="84" t="n"/>
      <c r="J501" s="84" t="n"/>
      <c r="K501" s="84" t="n"/>
      <c r="L501" s="84" t="n"/>
      <c r="M501" s="84" t="n"/>
      <c r="N501" s="50" t="n"/>
      <c r="O501" s="84" t="n"/>
      <c r="P501" s="84">
        <f>IF(AND($A501="",$B501=""),"",N(D501)-N(E501)+N(J501)-N(K501))</f>
        <v/>
      </c>
      <c r="Q501" s="84">
        <f>IF(AND($A501="",$B501=""),"",IF(COUNT(L501:M501,O501)=0,"",P501-(N(L501)-N(M501))))</f>
        <v/>
      </c>
      <c r="R501" s="54">
        <f>IF(AND($A501="",$B501=""),"",IF(COUNT(L501:M501,O501)=0,"kein Mandanten-Saldo",IF(OR(AND(L501="",M501="")),"",IF(ABS(ROUND(((ROUND(N(D501)*100,0)+ROUND(N(J501)*100,0)+ROUND(N(M501)*100,0))-(ROUND(N(E501)*100,0)+ROUND(N(K501)*100,0)+ROUND(N(L501)*100,0))),0)-(0))&lt;=0,"OK","ABWEICHUNG"))))</f>
        <v/>
      </c>
      <c r="S501" s="84" t="n"/>
      <c r="T501" s="50" t="n"/>
      <c r="U501" s="50" t="n"/>
      <c r="V501" s="50" t="n"/>
      <c r="W501" s="50" t="n"/>
      <c r="X501" s="50" t="n"/>
      <c r="Y501" s="50" t="n"/>
      <c r="Z501" s="50" t="n"/>
    </row>
    <row r="503">
      <c r="A503" s="4" t="inlineStr">
        <is>
          <t>Summe</t>
        </is>
      </c>
      <c r="D503" s="90">
        <f>SUMIF($X$2:$X$501,"&lt;&gt;Summe",D2:D501)</f>
        <v/>
      </c>
      <c r="E503" s="90">
        <f>SUMIF($X$2:$X$501,"&lt;&gt;Summe",E2:E501)</f>
        <v/>
      </c>
      <c r="H503" s="90">
        <f>SUMIF($X$2:$X$501,"&lt;&gt;Summe",H2:H501)</f>
        <v/>
      </c>
      <c r="I503" s="90">
        <f>SUMIF($X$2:$X$501,"&lt;&gt;Summe",I2:I501)</f>
        <v/>
      </c>
      <c r="J503" s="90">
        <f>SUMIF($X$2:$X$501,"&lt;&gt;Summe",J2:J501)</f>
        <v/>
      </c>
      <c r="K503" s="90">
        <f>SUMIF($X$2:$X$501,"&lt;&gt;Summe",K2:K501)</f>
        <v/>
      </c>
      <c r="L503" s="90">
        <f>SUMIF($X$2:$X$501,"&lt;&gt;Summe",L2:L501)</f>
        <v/>
      </c>
      <c r="M503" s="90">
        <f>SUMIF($X$2:$X$501,"&lt;&gt;Summe",M2:M501)</f>
        <v/>
      </c>
      <c r="P503" s="90">
        <f>SUMIF($X$2:$X$501,"&lt;&gt;Summe",P2:P501)</f>
        <v/>
      </c>
    </row>
    <row r="505">
      <c r="A505" s="4" t="inlineStr">
        <is>
          <t>Kontrollen über die ganze Liste</t>
        </is>
      </c>
    </row>
    <row r="506">
      <c r="B506" s="32" t="inlineStr">
        <is>
          <t>Σ Saldo (gerechnet) = 0 — die Liste ist ausgeglichen</t>
        </is>
      </c>
      <c r="J506" s="79">
        <f>IF(OR(COUNTA(A2:A501)=0),"",P503)</f>
        <v/>
      </c>
      <c r="L506" s="38">
        <f>IF(J506="","offen",IF(OR(AND(COUNT(D503)=0,COUNT(E503)=0),AND(COUNT(J503)=0,COUNT(K503)=0)),"",IF(ABS(ROUND((SUM(D503)+SUM(J503))-(SUM(E503)+SUM(K503)),2))&lt;=Listen!$P$2,"OK","ABWEICHUNG")))</f>
        <v/>
      </c>
    </row>
    <row r="507">
      <c r="B507" s="32" t="inlineStr">
        <is>
          <t>Σ JVZ Soll − Σ JVZ Haben = 0</t>
        </is>
      </c>
      <c r="J507" s="79">
        <f>IF(OR(COUNTA(A2:A501)=0),"",J503-K503)</f>
        <v/>
      </c>
      <c r="L507" s="38">
        <f>IF(J507="","offen",IF(OR(COUNT(J503)=0,COUNT(K503)=0),"",IF(ABS(ROUND((SUM(J503))-(SUM(K503)),2))&lt;=Listen!$P$3,"OK","ABWEICHUNG")))</f>
        <v/>
      </c>
    </row>
    <row r="508">
      <c r="B508" s="32" t="inlineStr">
        <is>
          <t>Zeilen mit Abweichung</t>
        </is>
      </c>
      <c r="J508" s="79">
        <f>IF(OR(COUNTA(A2:A501)=0),"",COUNTIF(R2:R501,"ABWEICHUNG"))</f>
        <v/>
      </c>
      <c r="L508" s="38">
        <f>IF(J508="","offen",IF(J508=0,"OK","ABWEICHUNG"))</f>
        <v/>
      </c>
    </row>
    <row r="509">
      <c r="B509" s="32" t="inlineStr">
        <is>
          <t>Zeilen ohne Mandanten-Saldo (ungeprüft, nicht OK)</t>
        </is>
      </c>
      <c r="J509" s="79">
        <f>IF(OR(COUNTA(A2:A501)=0),"",IF(SUMPRODUCT(--($X$2:$X$501&lt;&gt;"Summe"),--ISNUMBER(L2:L501)) + SUMPRODUCT(--($X$2:$X$501&lt;&gt;"Summe"),--ISNUMBER(M2:M501)) + SUMPRODUCT(--($X$2:$X$501&lt;&gt;"Summe"),--ISNUMBER(O2:O501))=0,"",COUNTIF(R2:R501,"kein Mandanten-Saldo")))</f>
        <v/>
      </c>
      <c r="L509" s="38">
        <f>IF(J509="","offen",IF(J509=0,"OK","ABWEICHUNG"))</f>
        <v/>
      </c>
    </row>
    <row r="510">
      <c r="B510" s="32" t="inlineStr">
        <is>
          <t>keine Eintragung unterhalb von Zeile 501</t>
        </is>
      </c>
      <c r="J510" s="79">
        <f>IF(OR(COUNTA(A2:A501)=0),"",COUNTA($A$502:$A$502)+(N($D$503)&lt;&gt;SUMIF($X$2:$X$501,"&lt;&gt;Summe",$D$2:$D$501))+AND($A$503&lt;&gt;"Summe",$A$503&lt;&gt;""))</f>
        <v/>
      </c>
      <c r="L510" s="38">
        <f>IF(J510="","offen",IF(J510=0,"OK","ABWEICHUNG"))</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88"/>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Bilanz nach § 266 HGB – Zahlen laut Mandant</t>
        </is>
      </c>
    </row>
    <row r="2">
      <c r="A2" s="2" t="inlineStr">
        <is>
          <t>Jede Zahl des Mandanten steht auf der Zeile, zu der sie nach § 266 HGB gehört. Jede Summenzeile stellt die Summe laut Mandant der Summe seiner Posten gegenüber.</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Aktiva A.I.1</t>
        </is>
      </c>
      <c r="B5" s="56" t="inlineStr">
        <is>
          <t>Selbst geschaffene gewerbliche Schutzrechte und ähnliche Rechte und Werte</t>
        </is>
      </c>
      <c r="C5" s="84" t="n"/>
      <c r="D5" s="84" t="n"/>
      <c r="E5" s="84" t="n"/>
      <c r="F5" s="84" t="n"/>
      <c r="G5" s="84" t="n"/>
      <c r="H5" s="84" t="n"/>
      <c r="I5" s="84" t="n"/>
      <c r="J5" s="84" t="n"/>
      <c r="K5" s="84" t="n"/>
      <c r="L5" s="84" t="n"/>
      <c r="M5" s="91">
        <f>IF(OR(N(D5)=0,NOT(ISNUMBER(C5))),"",(C5-D5)/ABS(D5))</f>
        <v/>
      </c>
      <c r="N5" s="84" t="inlineStr">
        <is>
          <t>Aktiva A.</t>
        </is>
      </c>
      <c r="O5" s="84" t="inlineStr">
        <is>
          <t>I.</t>
        </is>
      </c>
      <c r="P5" s="84" t="inlineStr">
        <is>
          <t>1.</t>
        </is>
      </c>
      <c r="Q5" s="84" t="n"/>
    </row>
    <row r="6">
      <c r="A6" s="50" t="inlineStr">
        <is>
          <t>Aktiva A.I.2</t>
        </is>
      </c>
      <c r="B6" s="56" t="inlineStr">
        <is>
          <t>Entgeltlich erworbene Konzessionen, gewerbliche Schutzrechte und ähnliche Rechte und Werte sowie Lizenzen an solchen Rechten und Werten</t>
        </is>
      </c>
      <c r="C6" s="84" t="n"/>
      <c r="D6" s="84" t="n"/>
      <c r="E6" s="84" t="n"/>
      <c r="F6" s="84" t="n"/>
      <c r="G6" s="84" t="n"/>
      <c r="H6" s="84" t="n"/>
      <c r="I6" s="84" t="n"/>
      <c r="J6" s="84" t="n"/>
      <c r="K6" s="84" t="n"/>
      <c r="L6" s="84" t="n"/>
      <c r="M6" s="91">
        <f>IF(OR(N(D6)=0,NOT(ISNUMBER(C6))),"",(C6-D6)/ABS(D6))</f>
        <v/>
      </c>
      <c r="N6" s="84" t="inlineStr">
        <is>
          <t>Aktiva A.</t>
        </is>
      </c>
      <c r="O6" s="84" t="inlineStr">
        <is>
          <t>I.</t>
        </is>
      </c>
      <c r="P6" s="84" t="inlineStr">
        <is>
          <t>2.</t>
        </is>
      </c>
      <c r="Q6" s="84" t="n"/>
    </row>
    <row r="7">
      <c r="A7" s="50" t="inlineStr">
        <is>
          <t>Aktiva A.I.3</t>
        </is>
      </c>
      <c r="B7" s="56" t="inlineStr">
        <is>
          <t>Geschäfts- oder Firmenwert</t>
        </is>
      </c>
      <c r="C7" s="84" t="n"/>
      <c r="D7" s="84" t="n"/>
      <c r="E7" s="84" t="n"/>
      <c r="F7" s="84" t="n"/>
      <c r="G7" s="84" t="n"/>
      <c r="H7" s="84" t="n"/>
      <c r="I7" s="84" t="n"/>
      <c r="J7" s="84" t="n"/>
      <c r="K7" s="84" t="n"/>
      <c r="L7" s="84" t="n"/>
      <c r="M7" s="91">
        <f>IF(OR(N(D7)=0,NOT(ISNUMBER(C7))),"",(C7-D7)/ABS(D7))</f>
        <v/>
      </c>
      <c r="N7" s="84" t="inlineStr">
        <is>
          <t>Aktiva A.</t>
        </is>
      </c>
      <c r="O7" s="84" t="inlineStr">
        <is>
          <t>I.</t>
        </is>
      </c>
      <c r="P7" s="84" t="inlineStr">
        <is>
          <t>3.</t>
        </is>
      </c>
      <c r="Q7" s="84" t="n"/>
    </row>
    <row r="8">
      <c r="A8" s="50" t="inlineStr">
        <is>
          <t>Aktiva A.I.4</t>
        </is>
      </c>
      <c r="B8" s="56" t="inlineStr">
        <is>
          <t>Geleistete Anzahlungen</t>
        </is>
      </c>
      <c r="C8" s="84" t="n"/>
      <c r="D8" s="84" t="n"/>
      <c r="E8" s="84" t="n"/>
      <c r="F8" s="84" t="n"/>
      <c r="G8" s="84" t="n"/>
      <c r="H8" s="84" t="n"/>
      <c r="I8" s="84" t="n"/>
      <c r="J8" s="84" t="n"/>
      <c r="K8" s="84" t="n"/>
      <c r="L8" s="84" t="n"/>
      <c r="M8" s="91">
        <f>IF(OR(N(D8)=0,NOT(ISNUMBER(C8))),"",(C8-D8)/ABS(D8))</f>
        <v/>
      </c>
      <c r="N8" s="84" t="inlineStr">
        <is>
          <t>Aktiva A.</t>
        </is>
      </c>
      <c r="O8" s="84" t="inlineStr">
        <is>
          <t>I.</t>
        </is>
      </c>
      <c r="P8" s="84" t="inlineStr">
        <is>
          <t>4.</t>
        </is>
      </c>
      <c r="Q8" s="84" t="n"/>
    </row>
    <row r="9">
      <c r="A9" s="92" t="inlineStr">
        <is>
          <t>Summe Immaterielle Vermögensgegenstände</t>
        </is>
      </c>
      <c r="B9" s="93" t="n"/>
      <c r="C9" s="94" t="n"/>
      <c r="D9" s="94" t="n"/>
      <c r="E9" s="94">
        <f>IF(COUNT(C5,C6,C7,C8)=0,"",SUM(C5,C6,C7,C8))</f>
        <v/>
      </c>
      <c r="F9" s="94">
        <f>IF(OR(C9="",E9=""),"",C9-E9)</f>
        <v/>
      </c>
      <c r="G9" s="94">
        <f>IF(F9="","",IF(ROUND(F9,2)=0,"","Abweichung"))</f>
        <v/>
      </c>
      <c r="H9" s="94">
        <f>IF(COUNT(D5,D6,D7,D8)=0,"",SUM(D5,D6,D7,D8))</f>
        <v/>
      </c>
      <c r="I9" s="94">
        <f>IF(OR(D9="",H9=""),"",D9-H9)</f>
        <v/>
      </c>
      <c r="J9" s="94">
        <f>IF(I9="","",IF(ROUND(I9,2)=0,"","Abweichung"))</f>
        <v/>
      </c>
      <c r="K9" s="94" t="n"/>
      <c r="L9" s="94" t="n"/>
      <c r="M9" s="95">
        <f>IF(OR(N(D9)=0,NOT(ISNUMBER(C9))),"",(C9-D9)/ABS(D9))</f>
        <v/>
      </c>
      <c r="N9" s="94" t="inlineStr">
        <is>
          <t>Aktiva A.</t>
        </is>
      </c>
      <c r="O9" s="94" t="inlineStr">
        <is>
          <t>I.</t>
        </is>
      </c>
      <c r="P9" s="94" t="n"/>
      <c r="Q9" s="94" t="n"/>
    </row>
    <row r="10">
      <c r="A10" s="50" t="inlineStr">
        <is>
          <t>Aktiva A.II.1</t>
        </is>
      </c>
      <c r="B10" s="56" t="inlineStr">
        <is>
          <t>Grundstücke, grundstücksgleiche Rechte und Bauten einschließlich der Bauten auf fremden Grundstücken</t>
        </is>
      </c>
      <c r="C10" s="84" t="n"/>
      <c r="D10" s="84" t="n"/>
      <c r="E10" s="84" t="n"/>
      <c r="F10" s="84" t="n"/>
      <c r="G10" s="84" t="n"/>
      <c r="H10" s="84" t="n"/>
      <c r="I10" s="84" t="n"/>
      <c r="J10" s="84" t="n"/>
      <c r="K10" s="84" t="n"/>
      <c r="L10" s="84" t="n"/>
      <c r="M10" s="91">
        <f>IF(OR(N(D10)=0,NOT(ISNUMBER(C10))),"",(C10-D10)/ABS(D10))</f>
        <v/>
      </c>
      <c r="N10" s="84" t="inlineStr">
        <is>
          <t>Aktiva A.</t>
        </is>
      </c>
      <c r="O10" s="84" t="inlineStr">
        <is>
          <t>II.</t>
        </is>
      </c>
      <c r="P10" s="84" t="inlineStr">
        <is>
          <t>1.</t>
        </is>
      </c>
      <c r="Q10" s="84" t="n"/>
    </row>
    <row r="11">
      <c r="A11" s="50" t="inlineStr">
        <is>
          <t>Aktiva A.II.2</t>
        </is>
      </c>
      <c r="B11" s="56" t="inlineStr">
        <is>
          <t>Technische Anlagen und Maschinen</t>
        </is>
      </c>
      <c r="C11" s="84" t="n"/>
      <c r="D11" s="84" t="n"/>
      <c r="E11" s="84" t="n"/>
      <c r="F11" s="84" t="n"/>
      <c r="G11" s="84" t="n"/>
      <c r="H11" s="84" t="n"/>
      <c r="I11" s="84" t="n"/>
      <c r="J11" s="84" t="n"/>
      <c r="K11" s="84" t="n"/>
      <c r="L11" s="84" t="n"/>
      <c r="M11" s="91">
        <f>IF(OR(N(D11)=0,NOT(ISNUMBER(C11))),"",(C11-D11)/ABS(D11))</f>
        <v/>
      </c>
      <c r="N11" s="84" t="inlineStr">
        <is>
          <t>Aktiva A.</t>
        </is>
      </c>
      <c r="O11" s="84" t="inlineStr">
        <is>
          <t>II.</t>
        </is>
      </c>
      <c r="P11" s="84" t="inlineStr">
        <is>
          <t>2.</t>
        </is>
      </c>
      <c r="Q11" s="84" t="n"/>
    </row>
    <row r="12">
      <c r="A12" s="50" t="inlineStr">
        <is>
          <t>Aktiva A.II.3</t>
        </is>
      </c>
      <c r="B12" s="56" t="inlineStr">
        <is>
          <t>Andere Anlagen, Betriebs- und Geschäftsausstattung</t>
        </is>
      </c>
      <c r="C12" s="84" t="n"/>
      <c r="D12" s="84" t="n"/>
      <c r="E12" s="84" t="n"/>
      <c r="F12" s="84" t="n"/>
      <c r="G12" s="84" t="n"/>
      <c r="H12" s="84" t="n"/>
      <c r="I12" s="84" t="n"/>
      <c r="J12" s="84" t="n"/>
      <c r="K12" s="84" t="n"/>
      <c r="L12" s="84" t="n"/>
      <c r="M12" s="91">
        <f>IF(OR(N(D12)=0,NOT(ISNUMBER(C12))),"",(C12-D12)/ABS(D12))</f>
        <v/>
      </c>
      <c r="N12" s="84" t="inlineStr">
        <is>
          <t>Aktiva A.</t>
        </is>
      </c>
      <c r="O12" s="84" t="inlineStr">
        <is>
          <t>II.</t>
        </is>
      </c>
      <c r="P12" s="84" t="inlineStr">
        <is>
          <t>3.</t>
        </is>
      </c>
      <c r="Q12" s="84" t="n"/>
    </row>
    <row r="13">
      <c r="A13" s="50" t="inlineStr">
        <is>
          <t>Aktiva A.II.4</t>
        </is>
      </c>
      <c r="B13" s="56" t="inlineStr">
        <is>
          <t>Geleistete Anzahlungen und Anlagen im Bau</t>
        </is>
      </c>
      <c r="C13" s="84" t="n"/>
      <c r="D13" s="84" t="n"/>
      <c r="E13" s="84" t="n"/>
      <c r="F13" s="84" t="n"/>
      <c r="G13" s="84" t="n"/>
      <c r="H13" s="84" t="n"/>
      <c r="I13" s="84" t="n"/>
      <c r="J13" s="84" t="n"/>
      <c r="K13" s="84" t="n"/>
      <c r="L13" s="84" t="n"/>
      <c r="M13" s="91">
        <f>IF(OR(N(D13)=0,NOT(ISNUMBER(C13))),"",(C13-D13)/ABS(D13))</f>
        <v/>
      </c>
      <c r="N13" s="84" t="inlineStr">
        <is>
          <t>Aktiva A.</t>
        </is>
      </c>
      <c r="O13" s="84" t="inlineStr">
        <is>
          <t>II.</t>
        </is>
      </c>
      <c r="P13" s="84" t="inlineStr">
        <is>
          <t>4.</t>
        </is>
      </c>
      <c r="Q13" s="84" t="n"/>
    </row>
    <row r="14">
      <c r="A14" s="92" t="inlineStr">
        <is>
          <t>Summe Sachanlagen</t>
        </is>
      </c>
      <c r="B14" s="93" t="n"/>
      <c r="C14" s="94" t="n"/>
      <c r="D14" s="94" t="n"/>
      <c r="E14" s="94">
        <f>IF(COUNT(C10,C11,C12,C13)=0,"",SUM(C10,C11,C12,C13))</f>
        <v/>
      </c>
      <c r="F14" s="94">
        <f>IF(OR(C14="",E14=""),"",C14-E14)</f>
        <v/>
      </c>
      <c r="G14" s="94">
        <f>IF(F14="","",IF(ROUND(F14,2)=0,"","Abweichung"))</f>
        <v/>
      </c>
      <c r="H14" s="94">
        <f>IF(COUNT(D10,D11,D12,D13)=0,"",SUM(D10,D11,D12,D13))</f>
        <v/>
      </c>
      <c r="I14" s="94">
        <f>IF(OR(D14="",H14=""),"",D14-H14)</f>
        <v/>
      </c>
      <c r="J14" s="94">
        <f>IF(I14="","",IF(ROUND(I14,2)=0,"","Abweichung"))</f>
        <v/>
      </c>
      <c r="K14" s="94" t="n"/>
      <c r="L14" s="94" t="n"/>
      <c r="M14" s="95">
        <f>IF(OR(N(D14)=0,NOT(ISNUMBER(C14))),"",(C14-D14)/ABS(D14))</f>
        <v/>
      </c>
      <c r="N14" s="94" t="inlineStr">
        <is>
          <t>Aktiva A.</t>
        </is>
      </c>
      <c r="O14" s="94" t="inlineStr">
        <is>
          <t>II.</t>
        </is>
      </c>
      <c r="P14" s="94" t="n"/>
      <c r="Q14" s="94" t="n"/>
    </row>
    <row r="15">
      <c r="A15" s="50" t="inlineStr">
        <is>
          <t>Aktiva A.III.1</t>
        </is>
      </c>
      <c r="B15" s="56" t="inlineStr">
        <is>
          <t>Anteile an verbundenen Unternehmen</t>
        </is>
      </c>
      <c r="C15" s="84" t="n"/>
      <c r="D15" s="84" t="n"/>
      <c r="E15" s="84" t="n"/>
      <c r="F15" s="84" t="n"/>
      <c r="G15" s="84" t="n"/>
      <c r="H15" s="84" t="n"/>
      <c r="I15" s="84" t="n"/>
      <c r="J15" s="84" t="n"/>
      <c r="K15" s="84" t="n"/>
      <c r="L15" s="84" t="n"/>
      <c r="M15" s="91">
        <f>IF(OR(N(D15)=0,NOT(ISNUMBER(C15))),"",(C15-D15)/ABS(D15))</f>
        <v/>
      </c>
      <c r="N15" s="84" t="inlineStr">
        <is>
          <t>Aktiva A.</t>
        </is>
      </c>
      <c r="O15" s="84" t="inlineStr">
        <is>
          <t>III.</t>
        </is>
      </c>
      <c r="P15" s="84" t="inlineStr">
        <is>
          <t>1.</t>
        </is>
      </c>
      <c r="Q15" s="84" t="n"/>
    </row>
    <row r="16">
      <c r="A16" s="50" t="inlineStr">
        <is>
          <t>Aktiva A.III.2</t>
        </is>
      </c>
      <c r="B16" s="56" t="inlineStr">
        <is>
          <t>Ausleihungen an verbundene Unternehmen</t>
        </is>
      </c>
      <c r="C16" s="84" t="n"/>
      <c r="D16" s="84" t="n"/>
      <c r="E16" s="84" t="n"/>
      <c r="F16" s="84" t="n"/>
      <c r="G16" s="84" t="n"/>
      <c r="H16" s="84" t="n"/>
      <c r="I16" s="84" t="n"/>
      <c r="J16" s="84" t="n"/>
      <c r="K16" s="84" t="n"/>
      <c r="L16" s="84" t="n"/>
      <c r="M16" s="91">
        <f>IF(OR(N(D16)=0,NOT(ISNUMBER(C16))),"",(C16-D16)/ABS(D16))</f>
        <v/>
      </c>
      <c r="N16" s="84" t="inlineStr">
        <is>
          <t>Aktiva A.</t>
        </is>
      </c>
      <c r="O16" s="84" t="inlineStr">
        <is>
          <t>III.</t>
        </is>
      </c>
      <c r="P16" s="84" t="inlineStr">
        <is>
          <t>2.</t>
        </is>
      </c>
      <c r="Q16" s="84" t="n"/>
    </row>
    <row r="17">
      <c r="A17" s="50" t="inlineStr">
        <is>
          <t>Aktiva A.III.3</t>
        </is>
      </c>
      <c r="B17" s="56" t="inlineStr">
        <is>
          <t>Beteiligungen</t>
        </is>
      </c>
      <c r="C17" s="84" t="n"/>
      <c r="D17" s="84" t="n"/>
      <c r="E17" s="84" t="n"/>
      <c r="F17" s="84" t="n"/>
      <c r="G17" s="84" t="n"/>
      <c r="H17" s="84" t="n"/>
      <c r="I17" s="84" t="n"/>
      <c r="J17" s="84" t="n"/>
      <c r="K17" s="84" t="n"/>
      <c r="L17" s="84" t="n"/>
      <c r="M17" s="91">
        <f>IF(OR(N(D17)=0,NOT(ISNUMBER(C17))),"",(C17-D17)/ABS(D17))</f>
        <v/>
      </c>
      <c r="N17" s="84" t="inlineStr">
        <is>
          <t>Aktiva A.</t>
        </is>
      </c>
      <c r="O17" s="84" t="inlineStr">
        <is>
          <t>III.</t>
        </is>
      </c>
      <c r="P17" s="84" t="inlineStr">
        <is>
          <t>3.</t>
        </is>
      </c>
      <c r="Q17" s="84" t="n"/>
    </row>
    <row r="18">
      <c r="A18" s="50" t="inlineStr">
        <is>
          <t>Aktiva A.III.4</t>
        </is>
      </c>
      <c r="B18" s="56" t="inlineStr">
        <is>
          <t>Ausleihungen an Unternehmen, mit denen ein Beteiligungsverhältnis besteht</t>
        </is>
      </c>
      <c r="C18" s="84" t="n"/>
      <c r="D18" s="84" t="n"/>
      <c r="E18" s="84" t="n"/>
      <c r="F18" s="84" t="n"/>
      <c r="G18" s="84" t="n"/>
      <c r="H18" s="84" t="n"/>
      <c r="I18" s="84" t="n"/>
      <c r="J18" s="84" t="n"/>
      <c r="K18" s="84" t="n"/>
      <c r="L18" s="84" t="n"/>
      <c r="M18" s="91">
        <f>IF(OR(N(D18)=0,NOT(ISNUMBER(C18))),"",(C18-D18)/ABS(D18))</f>
        <v/>
      </c>
      <c r="N18" s="84" t="inlineStr">
        <is>
          <t>Aktiva A.</t>
        </is>
      </c>
      <c r="O18" s="84" t="inlineStr">
        <is>
          <t>III.</t>
        </is>
      </c>
      <c r="P18" s="84" t="inlineStr">
        <is>
          <t>4.</t>
        </is>
      </c>
      <c r="Q18" s="84" t="n"/>
    </row>
    <row r="19">
      <c r="A19" s="50" t="inlineStr">
        <is>
          <t>Aktiva A.III.5</t>
        </is>
      </c>
      <c r="B19" s="56" t="inlineStr">
        <is>
          <t>Wertpapiere des Anlagevermögens</t>
        </is>
      </c>
      <c r="C19" s="84" t="n"/>
      <c r="D19" s="84" t="n"/>
      <c r="E19" s="84" t="n"/>
      <c r="F19" s="84" t="n"/>
      <c r="G19" s="84" t="n"/>
      <c r="H19" s="84" t="n"/>
      <c r="I19" s="84" t="n"/>
      <c r="J19" s="84" t="n"/>
      <c r="K19" s="84" t="n"/>
      <c r="L19" s="84" t="n"/>
      <c r="M19" s="91">
        <f>IF(OR(N(D19)=0,NOT(ISNUMBER(C19))),"",(C19-D19)/ABS(D19))</f>
        <v/>
      </c>
      <c r="N19" s="84" t="inlineStr">
        <is>
          <t>Aktiva A.</t>
        </is>
      </c>
      <c r="O19" s="84" t="inlineStr">
        <is>
          <t>III.</t>
        </is>
      </c>
      <c r="P19" s="84" t="inlineStr">
        <is>
          <t>5.</t>
        </is>
      </c>
      <c r="Q19" s="84" t="n"/>
    </row>
    <row r="20">
      <c r="A20" s="50" t="inlineStr">
        <is>
          <t>Aktiva A.III.6</t>
        </is>
      </c>
      <c r="B20" s="56" t="inlineStr">
        <is>
          <t>Sonstige Ausleihungen</t>
        </is>
      </c>
      <c r="C20" s="84" t="n"/>
      <c r="D20" s="84" t="n"/>
      <c r="E20" s="84" t="n"/>
      <c r="F20" s="84" t="n"/>
      <c r="G20" s="84" t="n"/>
      <c r="H20" s="84" t="n"/>
      <c r="I20" s="84" t="n"/>
      <c r="J20" s="84" t="n"/>
      <c r="K20" s="84" t="n"/>
      <c r="L20" s="84" t="n"/>
      <c r="M20" s="91">
        <f>IF(OR(N(D20)=0,NOT(ISNUMBER(C20))),"",(C20-D20)/ABS(D20))</f>
        <v/>
      </c>
      <c r="N20" s="84" t="inlineStr">
        <is>
          <t>Aktiva A.</t>
        </is>
      </c>
      <c r="O20" s="84" t="inlineStr">
        <is>
          <t>III.</t>
        </is>
      </c>
      <c r="P20" s="84" t="inlineStr">
        <is>
          <t>6.</t>
        </is>
      </c>
      <c r="Q20" s="84" t="n"/>
    </row>
    <row r="21">
      <c r="A21" s="92" t="inlineStr">
        <is>
          <t>Summe Finanzanlagen</t>
        </is>
      </c>
      <c r="B21" s="93" t="n"/>
      <c r="C21" s="94" t="n"/>
      <c r="D21" s="94" t="n"/>
      <c r="E21" s="94">
        <f>IF(COUNT(C15,C16,C17,C18,C19,C20)=0,"",SUM(C15,C16,C17,C18,C19,C20))</f>
        <v/>
      </c>
      <c r="F21" s="94">
        <f>IF(OR(C21="",E21=""),"",C21-E21)</f>
        <v/>
      </c>
      <c r="G21" s="94">
        <f>IF(F21="","",IF(ROUND(F21,2)=0,"","Abweichung"))</f>
        <v/>
      </c>
      <c r="H21" s="94">
        <f>IF(COUNT(D15,D16,D17,D18,D19,D20)=0,"",SUM(D15,D16,D17,D18,D19,D20))</f>
        <v/>
      </c>
      <c r="I21" s="94">
        <f>IF(OR(D21="",H21=""),"",D21-H21)</f>
        <v/>
      </c>
      <c r="J21" s="94">
        <f>IF(I21="","",IF(ROUND(I21,2)=0,"","Abweichung"))</f>
        <v/>
      </c>
      <c r="K21" s="94" t="n"/>
      <c r="L21" s="94" t="n"/>
      <c r="M21" s="95">
        <f>IF(OR(N(D21)=0,NOT(ISNUMBER(C21))),"",(C21-D21)/ABS(D21))</f>
        <v/>
      </c>
      <c r="N21" s="94" t="inlineStr">
        <is>
          <t>Aktiva A.</t>
        </is>
      </c>
      <c r="O21" s="94" t="inlineStr">
        <is>
          <t>III.</t>
        </is>
      </c>
      <c r="P21" s="94" t="n"/>
      <c r="Q21" s="94" t="n"/>
    </row>
    <row r="22">
      <c r="A22" s="92" t="inlineStr">
        <is>
          <t>Summe Anlagevermögen</t>
        </is>
      </c>
      <c r="B22" s="93" t="n"/>
      <c r="C22" s="94" t="n"/>
      <c r="D22" s="94" t="n"/>
      <c r="E22" s="94">
        <f>IF(COUNT(C9,E9,C14,E14,C21,E21)=0,"",SUM(IF(ISNUMBER(C9),C9,N(E9)),IF(ISNUMBER(C14),C14,N(E14)),IF(ISNUMBER(C21),C21,N(E21))))</f>
        <v/>
      </c>
      <c r="F22" s="94">
        <f>IF(OR(C22="",E22=""),"",C22-E22)</f>
        <v/>
      </c>
      <c r="G22" s="94">
        <f>IF(F22="","",IF(ROUND(F22,2)=0,"","Abweichung"))</f>
        <v/>
      </c>
      <c r="H22" s="94">
        <f>IF(COUNT(D9,H9,D14,H14,D21,H21)=0,"",SUM(IF(ISNUMBER(D9),D9,N(H9)),IF(ISNUMBER(D14),D14,N(H14)),IF(ISNUMBER(D21),D21,N(H21))))</f>
        <v/>
      </c>
      <c r="I22" s="94">
        <f>IF(OR(D22="",H22=""),"",D22-H22)</f>
        <v/>
      </c>
      <c r="J22" s="94">
        <f>IF(I22="","",IF(ROUND(I22,2)=0,"","Abweichung"))</f>
        <v/>
      </c>
      <c r="K22" s="94" t="n"/>
      <c r="L22" s="94" t="n"/>
      <c r="M22" s="95">
        <f>IF(OR(N(D22)=0,NOT(ISNUMBER(C22))),"",(C22-D22)/ABS(D22))</f>
        <v/>
      </c>
      <c r="N22" s="94" t="inlineStr">
        <is>
          <t>Aktiva A.</t>
        </is>
      </c>
      <c r="O22" s="94" t="n"/>
      <c r="P22" s="94" t="n"/>
      <c r="Q22" s="94" t="n"/>
    </row>
    <row r="23">
      <c r="A23" s="50" t="inlineStr">
        <is>
          <t>Aktiva B.I.1</t>
        </is>
      </c>
      <c r="B23" s="56" t="inlineStr">
        <is>
          <t>Roh-, Hilfs- und Betriebsstoffe</t>
        </is>
      </c>
      <c r="C23" s="84" t="n"/>
      <c r="D23" s="84" t="n"/>
      <c r="E23" s="84" t="n"/>
      <c r="F23" s="84" t="n"/>
      <c r="G23" s="84" t="n"/>
      <c r="H23" s="84" t="n"/>
      <c r="I23" s="84" t="n"/>
      <c r="J23" s="84" t="n"/>
      <c r="K23" s="84" t="n"/>
      <c r="L23" s="84" t="n"/>
      <c r="M23" s="91">
        <f>IF(OR(N(D23)=0,NOT(ISNUMBER(C23))),"",(C23-D23)/ABS(D23))</f>
        <v/>
      </c>
      <c r="N23" s="84" t="inlineStr">
        <is>
          <t>Aktiva B.</t>
        </is>
      </c>
      <c r="O23" s="84" t="inlineStr">
        <is>
          <t>I.</t>
        </is>
      </c>
      <c r="P23" s="84" t="inlineStr">
        <is>
          <t>1.</t>
        </is>
      </c>
      <c r="Q23" s="84" t="n"/>
    </row>
    <row r="24">
      <c r="A24" s="50" t="inlineStr">
        <is>
          <t>Aktiva B.I.2</t>
        </is>
      </c>
      <c r="B24" s="56" t="inlineStr">
        <is>
          <t>Unfertige Erzeugnisse, unfertige Leistungen</t>
        </is>
      </c>
      <c r="C24" s="84" t="n"/>
      <c r="D24" s="84" t="n"/>
      <c r="E24" s="84" t="n"/>
      <c r="F24" s="84" t="n"/>
      <c r="G24" s="84" t="n"/>
      <c r="H24" s="84" t="n"/>
      <c r="I24" s="84" t="n"/>
      <c r="J24" s="84" t="n"/>
      <c r="K24" s="84" t="n"/>
      <c r="L24" s="84" t="n"/>
      <c r="M24" s="91">
        <f>IF(OR(N(D24)=0,NOT(ISNUMBER(C24))),"",(C24-D24)/ABS(D24))</f>
        <v/>
      </c>
      <c r="N24" s="84" t="inlineStr">
        <is>
          <t>Aktiva B.</t>
        </is>
      </c>
      <c r="O24" s="84" t="inlineStr">
        <is>
          <t>I.</t>
        </is>
      </c>
      <c r="P24" s="84" t="inlineStr">
        <is>
          <t>2.</t>
        </is>
      </c>
      <c r="Q24" s="84" t="n"/>
    </row>
    <row r="25">
      <c r="A25" s="50" t="inlineStr">
        <is>
          <t>Aktiva B.I.3</t>
        </is>
      </c>
      <c r="B25" s="56" t="inlineStr">
        <is>
          <t>Fertige Erzeugnisse und Waren</t>
        </is>
      </c>
      <c r="C25" s="84" t="n"/>
      <c r="D25" s="84" t="n"/>
      <c r="E25" s="84" t="n"/>
      <c r="F25" s="84" t="n"/>
      <c r="G25" s="84" t="n"/>
      <c r="H25" s="84" t="n"/>
      <c r="I25" s="84" t="n"/>
      <c r="J25" s="84" t="n"/>
      <c r="K25" s="84" t="n"/>
      <c r="L25" s="84" t="n"/>
      <c r="M25" s="91">
        <f>IF(OR(N(D25)=0,NOT(ISNUMBER(C25))),"",(C25-D25)/ABS(D25))</f>
        <v/>
      </c>
      <c r="N25" s="84" t="inlineStr">
        <is>
          <t>Aktiva B.</t>
        </is>
      </c>
      <c r="O25" s="84" t="inlineStr">
        <is>
          <t>I.</t>
        </is>
      </c>
      <c r="P25" s="84" t="inlineStr">
        <is>
          <t>3.</t>
        </is>
      </c>
      <c r="Q25" s="84" t="n"/>
    </row>
    <row r="26">
      <c r="A26" s="50" t="inlineStr">
        <is>
          <t>Aktiva B.I.4</t>
        </is>
      </c>
      <c r="B26" s="56" t="inlineStr">
        <is>
          <t>Geleistete Anzahlungen</t>
        </is>
      </c>
      <c r="C26" s="84" t="n"/>
      <c r="D26" s="84" t="n"/>
      <c r="E26" s="84" t="n"/>
      <c r="F26" s="84" t="n"/>
      <c r="G26" s="84" t="n"/>
      <c r="H26" s="84" t="n"/>
      <c r="I26" s="84" t="n"/>
      <c r="J26" s="84" t="n"/>
      <c r="K26" s="84" t="n"/>
      <c r="L26" s="84" t="n"/>
      <c r="M26" s="91">
        <f>IF(OR(N(D26)=0,NOT(ISNUMBER(C26))),"",(C26-D26)/ABS(D26))</f>
        <v/>
      </c>
      <c r="N26" s="84" t="inlineStr">
        <is>
          <t>Aktiva B.</t>
        </is>
      </c>
      <c r="O26" s="84" t="inlineStr">
        <is>
          <t>I.</t>
        </is>
      </c>
      <c r="P26" s="84" t="inlineStr">
        <is>
          <t>4.</t>
        </is>
      </c>
      <c r="Q26" s="84" t="n"/>
    </row>
    <row r="27">
      <c r="A27" s="92" t="inlineStr">
        <is>
          <t>Summe Vorräte</t>
        </is>
      </c>
      <c r="B27" s="93" t="n"/>
      <c r="C27" s="94" t="n"/>
      <c r="D27" s="94" t="n"/>
      <c r="E27" s="94">
        <f>IF(COUNT(C23,C24,C25,C26)=0,"",SUM(C23,C24,C25,C26))</f>
        <v/>
      </c>
      <c r="F27" s="94">
        <f>IF(OR(C27="",E27=""),"",C27-E27)</f>
        <v/>
      </c>
      <c r="G27" s="94">
        <f>IF(F27="","",IF(ROUND(F27,2)=0,"","Abweichung"))</f>
        <v/>
      </c>
      <c r="H27" s="94">
        <f>IF(COUNT(D23,D24,D25,D26)=0,"",SUM(D23,D24,D25,D26))</f>
        <v/>
      </c>
      <c r="I27" s="94">
        <f>IF(OR(D27="",H27=""),"",D27-H27)</f>
        <v/>
      </c>
      <c r="J27" s="94">
        <f>IF(I27="","",IF(ROUND(I27,2)=0,"","Abweichung"))</f>
        <v/>
      </c>
      <c r="K27" s="94" t="n"/>
      <c r="L27" s="94" t="n"/>
      <c r="M27" s="95">
        <f>IF(OR(N(D27)=0,NOT(ISNUMBER(C27))),"",(C27-D27)/ABS(D27))</f>
        <v/>
      </c>
      <c r="N27" s="94" t="inlineStr">
        <is>
          <t>Aktiva B.</t>
        </is>
      </c>
      <c r="O27" s="94" t="inlineStr">
        <is>
          <t>I.</t>
        </is>
      </c>
      <c r="P27" s="94" t="n"/>
      <c r="Q27" s="94" t="n"/>
    </row>
    <row r="28">
      <c r="A28" s="50" t="inlineStr">
        <is>
          <t>Aktiva B.II.1</t>
        </is>
      </c>
      <c r="B28" s="56" t="inlineStr">
        <is>
          <t>Forderungen aus Lieferungen und Leistungen</t>
        </is>
      </c>
      <c r="C28" s="84" t="n"/>
      <c r="D28" s="84" t="n"/>
      <c r="E28" s="84" t="n"/>
      <c r="F28" s="84" t="n"/>
      <c r="G28" s="84" t="n"/>
      <c r="H28" s="84" t="n"/>
      <c r="I28" s="84" t="n"/>
      <c r="J28" s="84" t="n"/>
      <c r="K28" s="84" t="n"/>
      <c r="L28" s="84" t="n"/>
      <c r="M28" s="91">
        <f>IF(OR(N(D28)=0,NOT(ISNUMBER(C28))),"",(C28-D28)/ABS(D28))</f>
        <v/>
      </c>
      <c r="N28" s="84" t="inlineStr">
        <is>
          <t>Aktiva B.</t>
        </is>
      </c>
      <c r="O28" s="84" t="inlineStr">
        <is>
          <t>II.</t>
        </is>
      </c>
      <c r="P28" s="84" t="inlineStr">
        <is>
          <t>1.</t>
        </is>
      </c>
      <c r="Q28" s="84" t="n"/>
    </row>
    <row r="29">
      <c r="A29" s="50" t="n"/>
      <c r="B29" s="61" t="inlineStr">
        <is>
          <t>davon mit einer Restlaufzeit von mehr als einem Jahr</t>
        </is>
      </c>
      <c r="C29" s="84" t="n"/>
      <c r="D29" s="84" t="n"/>
      <c r="E29" s="84" t="n"/>
      <c r="F29" s="84" t="n"/>
      <c r="G29" s="84" t="n"/>
      <c r="H29" s="84" t="n"/>
      <c r="I29" s="84" t="n"/>
      <c r="J29" s="84" t="n"/>
      <c r="K29" s="84" t="n"/>
      <c r="L29" s="84" t="n"/>
      <c r="M29" s="91">
        <f>IF(OR(N(D29)=0,NOT(ISNUMBER(C29))),"",(C29-D29)/ABS(D29))</f>
        <v/>
      </c>
      <c r="N29" s="84" t="n"/>
      <c r="O29" s="84" t="n"/>
      <c r="P29" s="84" t="n"/>
      <c r="Q29" s="84" t="n"/>
    </row>
    <row r="30">
      <c r="A30" s="50" t="inlineStr">
        <is>
          <t>Aktiva B.II.2</t>
        </is>
      </c>
      <c r="B30" s="56" t="inlineStr">
        <is>
          <t>Forderungen gegen verbundene Unternehmen</t>
        </is>
      </c>
      <c r="C30" s="84" t="n"/>
      <c r="D30" s="84" t="n"/>
      <c r="E30" s="84" t="n"/>
      <c r="F30" s="84" t="n"/>
      <c r="G30" s="84" t="n"/>
      <c r="H30" s="84" t="n"/>
      <c r="I30" s="84" t="n"/>
      <c r="J30" s="84" t="n"/>
      <c r="K30" s="84" t="n"/>
      <c r="L30" s="84" t="n"/>
      <c r="M30" s="91">
        <f>IF(OR(N(D30)=0,NOT(ISNUMBER(C30))),"",(C30-D30)/ABS(D30))</f>
        <v/>
      </c>
      <c r="N30" s="84" t="inlineStr">
        <is>
          <t>Aktiva B.</t>
        </is>
      </c>
      <c r="O30" s="84" t="inlineStr">
        <is>
          <t>II.</t>
        </is>
      </c>
      <c r="P30" s="84" t="inlineStr">
        <is>
          <t>2.</t>
        </is>
      </c>
      <c r="Q30" s="84" t="n"/>
    </row>
    <row r="31">
      <c r="A31" s="50" t="n"/>
      <c r="B31" s="61" t="inlineStr">
        <is>
          <t>davon mit einer Restlaufzeit von mehr als einem Jahr</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Aktiva B.II.3</t>
        </is>
      </c>
      <c r="B32" s="56" t="inlineStr">
        <is>
          <t>Forderungen gegen Unternehmen, mit denen ein Beteiligungsverhältnis besteht</t>
        </is>
      </c>
      <c r="C32" s="84" t="n"/>
      <c r="D32" s="84" t="n"/>
      <c r="E32" s="84" t="n"/>
      <c r="F32" s="84" t="n"/>
      <c r="G32" s="84" t="n"/>
      <c r="H32" s="84" t="n"/>
      <c r="I32" s="84" t="n"/>
      <c r="J32" s="84" t="n"/>
      <c r="K32" s="84" t="n"/>
      <c r="L32" s="84" t="n"/>
      <c r="M32" s="91">
        <f>IF(OR(N(D32)=0,NOT(ISNUMBER(C32))),"",(C32-D32)/ABS(D32))</f>
        <v/>
      </c>
      <c r="N32" s="84" t="inlineStr">
        <is>
          <t>Aktiva B.</t>
        </is>
      </c>
      <c r="O32" s="84" t="inlineStr">
        <is>
          <t>II.</t>
        </is>
      </c>
      <c r="P32" s="84" t="inlineStr">
        <is>
          <t>3.</t>
        </is>
      </c>
      <c r="Q32" s="84" t="n"/>
    </row>
    <row r="33">
      <c r="A33" s="50" t="n"/>
      <c r="B33" s="61" t="inlineStr">
        <is>
          <t>davon mit einer Restlaufzeit von mehr als einem Jahr</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inlineStr">
        <is>
          <t>Aktiva B.II.4</t>
        </is>
      </c>
      <c r="B34" s="56" t="inlineStr">
        <is>
          <t>Sonstige Vermögensgegenstände</t>
        </is>
      </c>
      <c r="C34" s="84" t="n"/>
      <c r="D34" s="84" t="n"/>
      <c r="E34" s="84" t="n"/>
      <c r="F34" s="84" t="n"/>
      <c r="G34" s="84" t="n"/>
      <c r="H34" s="84" t="n"/>
      <c r="I34" s="84" t="n"/>
      <c r="J34" s="84" t="n"/>
      <c r="K34" s="84" t="n"/>
      <c r="L34" s="84" t="n"/>
      <c r="M34" s="91">
        <f>IF(OR(N(D34)=0,NOT(ISNUMBER(C34))),"",(C34-D34)/ABS(D34))</f>
        <v/>
      </c>
      <c r="N34" s="84" t="inlineStr">
        <is>
          <t>Aktiva B.</t>
        </is>
      </c>
      <c r="O34" s="84" t="inlineStr">
        <is>
          <t>II.</t>
        </is>
      </c>
      <c r="P34" s="84" t="inlineStr">
        <is>
          <t>4.</t>
        </is>
      </c>
      <c r="Q34" s="84" t="n"/>
    </row>
    <row r="35">
      <c r="A35" s="50" t="n"/>
      <c r="B35" s="61" t="inlineStr">
        <is>
          <t>davon mit einer Restlaufzeit von mehr als einem Jahr</t>
        </is>
      </c>
      <c r="C35" s="84" t="n"/>
      <c r="D35" s="84" t="n"/>
      <c r="E35" s="84" t="n"/>
      <c r="F35" s="84" t="n"/>
      <c r="G35" s="84" t="n"/>
      <c r="H35" s="84" t="n"/>
      <c r="I35" s="84" t="n"/>
      <c r="J35" s="84" t="n"/>
      <c r="K35" s="84" t="n"/>
      <c r="L35" s="84" t="n"/>
      <c r="M35" s="91">
        <f>IF(OR(N(D35)=0,NOT(ISNUMBER(C35))),"",(C35-D35)/ABS(D35))</f>
        <v/>
      </c>
      <c r="N35" s="84" t="n"/>
      <c r="O35" s="84" t="n"/>
      <c r="P35" s="84" t="n"/>
      <c r="Q35" s="84" t="n"/>
    </row>
    <row r="36">
      <c r="A36" s="92" t="inlineStr">
        <is>
          <t>Summe Forderungen und sonstige Vermögensgegenstände</t>
        </is>
      </c>
      <c r="B36" s="93" t="n"/>
      <c r="C36" s="94" t="n"/>
      <c r="D36" s="94" t="n"/>
      <c r="E36" s="94">
        <f>IF(COUNT(C28,C30,C32,C34)=0,"",SUM(C28,C30,C32,C34))</f>
        <v/>
      </c>
      <c r="F36" s="94">
        <f>IF(OR(C36="",E36=""),"",C36-E36)</f>
        <v/>
      </c>
      <c r="G36" s="94">
        <f>IF(F36="","",IF(ROUND(F36,2)=0,"","Abweichung"))</f>
        <v/>
      </c>
      <c r="H36" s="94">
        <f>IF(COUNT(D28,D30,D32,D34)=0,"",SUM(D28,D30,D32,D34))</f>
        <v/>
      </c>
      <c r="I36" s="94">
        <f>IF(OR(D36="",H36=""),"",D36-H36)</f>
        <v/>
      </c>
      <c r="J36" s="94">
        <f>IF(I36="","",IF(ROUND(I36,2)=0,"","Abweichung"))</f>
        <v/>
      </c>
      <c r="K36" s="94" t="n"/>
      <c r="L36" s="94" t="n"/>
      <c r="M36" s="95">
        <f>IF(OR(N(D36)=0,NOT(ISNUMBER(C36))),"",(C36-D36)/ABS(D36))</f>
        <v/>
      </c>
      <c r="N36" s="94" t="inlineStr">
        <is>
          <t>Aktiva B.</t>
        </is>
      </c>
      <c r="O36" s="94" t="inlineStr">
        <is>
          <t>II.</t>
        </is>
      </c>
      <c r="P36" s="94" t="n"/>
      <c r="Q36" s="94" t="n"/>
    </row>
    <row r="37">
      <c r="A37" s="50" t="inlineStr">
        <is>
          <t>Aktiva B.III.1</t>
        </is>
      </c>
      <c r="B37" s="56" t="inlineStr">
        <is>
          <t>Anteile an verbundenen Unternehmen</t>
        </is>
      </c>
      <c r="C37" s="84" t="n"/>
      <c r="D37" s="84" t="n"/>
      <c r="E37" s="84" t="n"/>
      <c r="F37" s="84" t="n"/>
      <c r="G37" s="84" t="n"/>
      <c r="H37" s="84" t="n"/>
      <c r="I37" s="84" t="n"/>
      <c r="J37" s="84" t="n"/>
      <c r="K37" s="84" t="n"/>
      <c r="L37" s="84" t="n"/>
      <c r="M37" s="91">
        <f>IF(OR(N(D37)=0,NOT(ISNUMBER(C37))),"",(C37-D37)/ABS(D37))</f>
        <v/>
      </c>
      <c r="N37" s="84" t="inlineStr">
        <is>
          <t>Aktiva B.</t>
        </is>
      </c>
      <c r="O37" s="84" t="inlineStr">
        <is>
          <t>III.</t>
        </is>
      </c>
      <c r="P37" s="84" t="inlineStr">
        <is>
          <t>1.</t>
        </is>
      </c>
      <c r="Q37" s="84" t="n"/>
    </row>
    <row r="38">
      <c r="A38" s="50" t="inlineStr">
        <is>
          <t>Aktiva B.III.2</t>
        </is>
      </c>
      <c r="B38" s="56" t="inlineStr">
        <is>
          <t>Sonstige Wertpapiere</t>
        </is>
      </c>
      <c r="C38" s="84" t="n"/>
      <c r="D38" s="84" t="n"/>
      <c r="E38" s="84" t="n"/>
      <c r="F38" s="84" t="n"/>
      <c r="G38" s="84" t="n"/>
      <c r="H38" s="84" t="n"/>
      <c r="I38" s="84" t="n"/>
      <c r="J38" s="84" t="n"/>
      <c r="K38" s="84" t="n"/>
      <c r="L38" s="84" t="n"/>
      <c r="M38" s="91">
        <f>IF(OR(N(D38)=0,NOT(ISNUMBER(C38))),"",(C38-D38)/ABS(D38))</f>
        <v/>
      </c>
      <c r="N38" s="84" t="inlineStr">
        <is>
          <t>Aktiva B.</t>
        </is>
      </c>
      <c r="O38" s="84" t="inlineStr">
        <is>
          <t>III.</t>
        </is>
      </c>
      <c r="P38" s="84" t="inlineStr">
        <is>
          <t>2.</t>
        </is>
      </c>
      <c r="Q38" s="84" t="n"/>
    </row>
    <row r="39">
      <c r="A39" s="92" t="inlineStr">
        <is>
          <t>Summe Wertpapiere</t>
        </is>
      </c>
      <c r="B39" s="93" t="n"/>
      <c r="C39" s="94" t="n"/>
      <c r="D39" s="94" t="n"/>
      <c r="E39" s="94">
        <f>IF(COUNT(C37,C38)=0,"",SUM(C37,C38))</f>
        <v/>
      </c>
      <c r="F39" s="94">
        <f>IF(OR(C39="",E39=""),"",C39-E39)</f>
        <v/>
      </c>
      <c r="G39" s="94">
        <f>IF(F39="","",IF(ROUND(F39,2)=0,"","Abweichung"))</f>
        <v/>
      </c>
      <c r="H39" s="94">
        <f>IF(COUNT(D37,D38)=0,"",SUM(D37,D38))</f>
        <v/>
      </c>
      <c r="I39" s="94">
        <f>IF(OR(D39="",H39=""),"",D39-H39)</f>
        <v/>
      </c>
      <c r="J39" s="94">
        <f>IF(I39="","",IF(ROUND(I39,2)=0,"","Abweichung"))</f>
        <v/>
      </c>
      <c r="K39" s="94" t="n"/>
      <c r="L39" s="94" t="n"/>
      <c r="M39" s="95">
        <f>IF(OR(N(D39)=0,NOT(ISNUMBER(C39))),"",(C39-D39)/ABS(D39))</f>
        <v/>
      </c>
      <c r="N39" s="94" t="inlineStr">
        <is>
          <t>Aktiva B.</t>
        </is>
      </c>
      <c r="O39" s="94" t="inlineStr">
        <is>
          <t>III.</t>
        </is>
      </c>
      <c r="P39" s="94" t="n"/>
      <c r="Q39" s="94" t="n"/>
    </row>
    <row r="40">
      <c r="A40" s="50" t="inlineStr">
        <is>
          <t>Aktiva B.IV</t>
        </is>
      </c>
      <c r="B40" s="62" t="inlineStr">
        <is>
          <t>Kassenbestand, Bundesbankguthaben, Guthaben bei Kreditinstituten und Schecks</t>
        </is>
      </c>
      <c r="C40" s="84" t="n"/>
      <c r="D40" s="84" t="n"/>
      <c r="E40" s="84" t="n"/>
      <c r="F40" s="84" t="n"/>
      <c r="G40" s="84" t="n"/>
      <c r="H40" s="84" t="n"/>
      <c r="I40" s="84" t="n"/>
      <c r="J40" s="84" t="n"/>
      <c r="K40" s="84" t="n"/>
      <c r="L40" s="84" t="n"/>
      <c r="M40" s="91">
        <f>IF(OR(N(D40)=0,NOT(ISNUMBER(C40))),"",(C40-D40)/ABS(D40))</f>
        <v/>
      </c>
      <c r="N40" s="84" t="inlineStr">
        <is>
          <t>Aktiva B.</t>
        </is>
      </c>
      <c r="O40" s="84" t="inlineStr">
        <is>
          <t>IV.</t>
        </is>
      </c>
      <c r="P40" s="84" t="n"/>
      <c r="Q40" s="84" t="n"/>
    </row>
    <row r="41">
      <c r="A41" s="92" t="inlineStr">
        <is>
          <t>Summe Umlaufvermögen</t>
        </is>
      </c>
      <c r="B41" s="93" t="n"/>
      <c r="C41" s="94" t="n"/>
      <c r="D41" s="94" t="n"/>
      <c r="E41" s="94">
        <f>IF(COUNT(C27,E27,C36,E36,C39,E39,C40)=0,"",SUM(IF(ISNUMBER(C27),C27,N(E27)),IF(ISNUMBER(C36),C36,N(E36)),IF(ISNUMBER(C39),C39,N(E39)),C40))</f>
        <v/>
      </c>
      <c r="F41" s="94">
        <f>IF(OR(C41="",E41=""),"",C41-E41)</f>
        <v/>
      </c>
      <c r="G41" s="94">
        <f>IF(F41="","",IF(ROUND(F41,2)=0,"","Abweichung"))</f>
        <v/>
      </c>
      <c r="H41" s="94">
        <f>IF(COUNT(D27,H27,D36,H36,D39,H39,D40)=0,"",SUM(IF(ISNUMBER(D27),D27,N(H27)),IF(ISNUMBER(D36),D36,N(H36)),IF(ISNUMBER(D39),D39,N(H39)),D40))</f>
        <v/>
      </c>
      <c r="I41" s="94">
        <f>IF(OR(D41="",H41=""),"",D41-H41)</f>
        <v/>
      </c>
      <c r="J41" s="94">
        <f>IF(I41="","",IF(ROUND(I41,2)=0,"","Abweichung"))</f>
        <v/>
      </c>
      <c r="K41" s="94" t="n"/>
      <c r="L41" s="94" t="n"/>
      <c r="M41" s="95">
        <f>IF(OR(N(D41)=0,NOT(ISNUMBER(C41))),"",(C41-D41)/ABS(D41))</f>
        <v/>
      </c>
      <c r="N41" s="94" t="inlineStr">
        <is>
          <t>Aktiva B.</t>
        </is>
      </c>
      <c r="O41" s="94" t="n"/>
      <c r="P41" s="94" t="n"/>
      <c r="Q41" s="94" t="n"/>
    </row>
    <row r="42">
      <c r="A42" s="50" t="inlineStr">
        <is>
          <t>Aktiva C.</t>
        </is>
      </c>
      <c r="B42" s="63" t="inlineStr">
        <is>
          <t>Rechnungsabgrenzungsposten</t>
        </is>
      </c>
      <c r="C42" s="84" t="n"/>
      <c r="D42" s="84" t="n"/>
      <c r="E42" s="84" t="n"/>
      <c r="F42" s="84" t="n"/>
      <c r="G42" s="84" t="n"/>
      <c r="H42" s="84" t="n"/>
      <c r="I42" s="84" t="n"/>
      <c r="J42" s="84" t="n"/>
      <c r="K42" s="84" t="n"/>
      <c r="L42" s="84" t="n"/>
      <c r="M42" s="91">
        <f>IF(OR(N(D42)=0,NOT(ISNUMBER(C42))),"",(C42-D42)/ABS(D42))</f>
        <v/>
      </c>
      <c r="N42" s="84" t="inlineStr">
        <is>
          <t>Aktiva C.</t>
        </is>
      </c>
      <c r="O42" s="84" t="n"/>
      <c r="P42" s="84" t="n"/>
      <c r="Q42" s="84" t="n"/>
    </row>
    <row r="43">
      <c r="A43" s="50" t="n"/>
      <c r="B43" s="62" t="inlineStr">
        <is>
          <t>davon Disagio (§ 250 Abs. 3 HGB)</t>
        </is>
      </c>
      <c r="C43" s="84" t="n"/>
      <c r="D43" s="84" t="n"/>
      <c r="E43" s="84" t="n"/>
      <c r="F43" s="84" t="n"/>
      <c r="G43" s="84" t="n"/>
      <c r="H43" s="84" t="n"/>
      <c r="I43" s="84" t="n"/>
      <c r="J43" s="84" t="n"/>
      <c r="K43" s="84" t="n"/>
      <c r="L43" s="84" t="n"/>
      <c r="M43" s="91">
        <f>IF(OR(N(D43)=0,NOT(ISNUMBER(C43))),"",(C43-D43)/ABS(D43))</f>
        <v/>
      </c>
      <c r="N43" s="84" t="n"/>
      <c r="O43" s="84" t="n"/>
      <c r="P43" s="84" t="n"/>
      <c r="Q43" s="84" t="n"/>
    </row>
    <row r="44">
      <c r="A44" s="50" t="inlineStr">
        <is>
          <t>Aktiva D.</t>
        </is>
      </c>
      <c r="B44" s="63" t="inlineStr">
        <is>
          <t>Aktive latente Steuern</t>
        </is>
      </c>
      <c r="C44" s="84" t="n"/>
      <c r="D44" s="84" t="n"/>
      <c r="E44" s="84" t="n"/>
      <c r="F44" s="84" t="n"/>
      <c r="G44" s="84" t="n"/>
      <c r="H44" s="84" t="n"/>
      <c r="I44" s="84" t="n"/>
      <c r="J44" s="84" t="n"/>
      <c r="K44" s="84" t="n"/>
      <c r="L44" s="84" t="n"/>
      <c r="M44" s="91">
        <f>IF(OR(N(D44)=0,NOT(ISNUMBER(C44))),"",(C44-D44)/ABS(D44))</f>
        <v/>
      </c>
      <c r="N44" s="84" t="inlineStr">
        <is>
          <t>Aktiva D.</t>
        </is>
      </c>
      <c r="O44" s="84" t="n"/>
      <c r="P44" s="84" t="n"/>
      <c r="Q44" s="84" t="n"/>
    </row>
    <row r="45">
      <c r="A45" s="50" t="inlineStr">
        <is>
          <t>Aktiva E.</t>
        </is>
      </c>
      <c r="B45" s="63" t="inlineStr">
        <is>
          <t>Aktiver Unterschiedsbetrag aus der Vermögensverrechnung</t>
        </is>
      </c>
      <c r="C45" s="84" t="n"/>
      <c r="D45" s="84" t="n"/>
      <c r="E45" s="84" t="n"/>
      <c r="F45" s="84" t="n"/>
      <c r="G45" s="84" t="n"/>
      <c r="H45" s="84" t="n"/>
      <c r="I45" s="84" t="n"/>
      <c r="J45" s="84" t="n"/>
      <c r="K45" s="84" t="n"/>
      <c r="L45" s="84" t="n"/>
      <c r="M45" s="91">
        <f>IF(OR(N(D45)=0,NOT(ISNUMBER(C45))),"",(C45-D45)/ABS(D45))</f>
        <v/>
      </c>
      <c r="N45" s="84" t="inlineStr">
        <is>
          <t>Aktiva E.</t>
        </is>
      </c>
      <c r="O45" s="84" t="n"/>
      <c r="P45" s="84" t="n"/>
      <c r="Q45" s="84" t="n"/>
    </row>
    <row r="46">
      <c r="A46" s="96" t="inlineStr">
        <is>
          <t>Summe Aktiva</t>
        </is>
      </c>
      <c r="B46" s="97" t="n"/>
      <c r="C46" s="98" t="n"/>
      <c r="D46" s="98" t="n"/>
      <c r="E46" s="98">
        <f>IF(COUNT(C22,E22,C41,E41,C42,C44,C45)=0,"",SUM(IF(ISNUMBER(C22),C22,N(E22)),IF(ISNUMBER(C41),C41,N(E41)),C42,C44,C45))</f>
        <v/>
      </c>
      <c r="F46" s="98">
        <f>IF(OR(C46="",E46=""),"",C46-E46)</f>
        <v/>
      </c>
      <c r="G46" s="98">
        <f>IF(F46="","",IF(ROUND(F46,2)=0,"","Abweichung"))</f>
        <v/>
      </c>
      <c r="H46" s="98">
        <f>IF(COUNT(D22,H22,D41,H41,D42,D44,D45)=0,"",SUM(IF(ISNUMBER(D22),D22,N(H22)),IF(ISNUMBER(D41),D41,N(H41)),D42,D44,D45))</f>
        <v/>
      </c>
      <c r="I46" s="98">
        <f>IF(OR(D46="",H46=""),"",D46-H46)</f>
        <v/>
      </c>
      <c r="J46" s="98">
        <f>IF(I46="","",IF(ROUND(I46,2)=0,"","Abweichung"))</f>
        <v/>
      </c>
      <c r="K46" s="98" t="n"/>
      <c r="L46" s="98" t="n"/>
      <c r="M46" s="99">
        <f>IF(OR(N(D46)=0,NOT(ISNUMBER(C46))),"",(C46-D46)/ABS(D46))</f>
        <v/>
      </c>
      <c r="N46" s="98" t="n"/>
      <c r="O46" s="98" t="n"/>
      <c r="P46" s="98" t="n"/>
      <c r="Q46" s="98" t="n"/>
    </row>
    <row r="47">
      <c r="A47" s="50" t="inlineStr">
        <is>
          <t>Passiva A.I</t>
        </is>
      </c>
      <c r="B47" s="62" t="inlineStr">
        <is>
          <t>Gezeichnetes Kapital</t>
        </is>
      </c>
      <c r="C47" s="84" t="n"/>
      <c r="D47" s="84" t="n"/>
      <c r="E47" s="84" t="n"/>
      <c r="F47" s="84" t="n"/>
      <c r="G47" s="84" t="n"/>
      <c r="H47" s="84" t="n"/>
      <c r="I47" s="84" t="n"/>
      <c r="J47" s="84" t="n"/>
      <c r="K47" s="84" t="n"/>
      <c r="L47" s="84" t="n"/>
      <c r="M47" s="91">
        <f>IF(OR(N(D47)=0,NOT(ISNUMBER(C47))),"",(C47-D47)/ABS(D47))</f>
        <v/>
      </c>
      <c r="N47" s="84" t="inlineStr">
        <is>
          <t>Passiva A.</t>
        </is>
      </c>
      <c r="O47" s="84" t="inlineStr">
        <is>
          <t>I.</t>
        </is>
      </c>
      <c r="P47" s="84" t="n"/>
      <c r="Q47" s="84" t="n"/>
    </row>
    <row r="48">
      <c r="A48" s="50" t="inlineStr">
        <is>
          <t>Passiva A.II</t>
        </is>
      </c>
      <c r="B48" s="62" t="inlineStr">
        <is>
          <t>Kapitalrücklage</t>
        </is>
      </c>
      <c r="C48" s="84" t="n"/>
      <c r="D48" s="84" t="n"/>
      <c r="E48" s="84" t="n"/>
      <c r="F48" s="84" t="n"/>
      <c r="G48" s="84" t="n"/>
      <c r="H48" s="84" t="n"/>
      <c r="I48" s="84" t="n"/>
      <c r="J48" s="84" t="n"/>
      <c r="K48" s="84" t="n"/>
      <c r="L48" s="84" t="n"/>
      <c r="M48" s="91">
        <f>IF(OR(N(D48)=0,NOT(ISNUMBER(C48))),"",(C48-D48)/ABS(D48))</f>
        <v/>
      </c>
      <c r="N48" s="84" t="inlineStr">
        <is>
          <t>Passiva A.</t>
        </is>
      </c>
      <c r="O48" s="84" t="inlineStr">
        <is>
          <t>II.</t>
        </is>
      </c>
      <c r="P48" s="84" t="n"/>
      <c r="Q48" s="84" t="n"/>
    </row>
    <row r="49">
      <c r="A49" s="50" t="inlineStr">
        <is>
          <t>Passiva A.IV</t>
        </is>
      </c>
      <c r="B49" s="62" t="inlineStr">
        <is>
          <t>Gewinnvortrag / Verlustvortrag</t>
        </is>
      </c>
      <c r="C49" s="84" t="n"/>
      <c r="D49" s="84" t="n"/>
      <c r="E49" s="84" t="n"/>
      <c r="F49" s="84" t="n"/>
      <c r="G49" s="84" t="n"/>
      <c r="H49" s="84" t="n"/>
      <c r="I49" s="84" t="n"/>
      <c r="J49" s="84" t="n"/>
      <c r="K49" s="84" t="n"/>
      <c r="L49" s="84" t="n"/>
      <c r="M49" s="91">
        <f>IF(OR(N(D49)=0,NOT(ISNUMBER(C49))),"",(C49-D49)/ABS(D49))</f>
        <v/>
      </c>
      <c r="N49" s="84" t="inlineStr">
        <is>
          <t>Passiva A.</t>
        </is>
      </c>
      <c r="O49" s="84" t="inlineStr">
        <is>
          <t>IV.</t>
        </is>
      </c>
      <c r="P49" s="84" t="n"/>
      <c r="Q49" s="84" t="n"/>
    </row>
    <row r="50">
      <c r="A50" s="50" t="inlineStr">
        <is>
          <t>Passiva A.V</t>
        </is>
      </c>
      <c r="B50" s="62" t="inlineStr">
        <is>
          <t>Jahresüberschuss / Jahresfehlbetrag</t>
        </is>
      </c>
      <c r="C50" s="84" t="n"/>
      <c r="D50" s="84" t="n"/>
      <c r="E50" s="84" t="n"/>
      <c r="F50" s="84" t="n"/>
      <c r="G50" s="84" t="n"/>
      <c r="H50" s="84" t="n"/>
      <c r="I50" s="84" t="n"/>
      <c r="J50" s="84" t="n"/>
      <c r="K50" s="84" t="n"/>
      <c r="L50" s="84" t="n"/>
      <c r="M50" s="91">
        <f>IF(OR(N(D50)=0,NOT(ISNUMBER(C50))),"",(C50-D50)/ABS(D50))</f>
        <v/>
      </c>
      <c r="N50" s="84" t="inlineStr">
        <is>
          <t>Passiva A.</t>
        </is>
      </c>
      <c r="O50" s="84" t="inlineStr">
        <is>
          <t>V.</t>
        </is>
      </c>
      <c r="P50" s="84" t="n"/>
      <c r="Q50" s="84" t="n"/>
    </row>
    <row r="51">
      <c r="A51" s="92" t="inlineStr">
        <is>
          <t>Summe Eigenkapital</t>
        </is>
      </c>
      <c r="B51" s="93" t="n"/>
      <c r="C51" s="94" t="n"/>
      <c r="D51" s="94" t="n"/>
      <c r="E51" s="94">
        <f>IF(COUNT(C47,C48,C49,C50)=0,"",SUM(C47,C48,C49,C50))</f>
        <v/>
      </c>
      <c r="F51" s="94">
        <f>IF(OR(C51="",E51=""),"",C51-E51)</f>
        <v/>
      </c>
      <c r="G51" s="94">
        <f>IF(F51="","",IF(ROUND(F51,2)=0,"","Abweichung"))</f>
        <v/>
      </c>
      <c r="H51" s="94">
        <f>IF(COUNT(D47,D48,D49,D50)=0,"",SUM(D47,D48,D49,D50))</f>
        <v/>
      </c>
      <c r="I51" s="94">
        <f>IF(OR(D51="",H51=""),"",D51-H51)</f>
        <v/>
      </c>
      <c r="J51" s="94">
        <f>IF(I51="","",IF(ROUND(I51,2)=0,"","Abweichung"))</f>
        <v/>
      </c>
      <c r="K51" s="94" t="n"/>
      <c r="L51" s="94" t="n"/>
      <c r="M51" s="95">
        <f>IF(OR(N(D51)=0,NOT(ISNUMBER(C51))),"",(C51-D51)/ABS(D51))</f>
        <v/>
      </c>
      <c r="N51" s="94" t="inlineStr">
        <is>
          <t>Passiva A.</t>
        </is>
      </c>
      <c r="O51" s="94" t="n"/>
      <c r="P51" s="94" t="n"/>
      <c r="Q51" s="94" t="n"/>
    </row>
    <row r="52">
      <c r="A52" s="50" t="n"/>
      <c r="B52" s="63" t="inlineStr">
        <is>
          <t>Sonderposten für Zuschüsse und Zulagen</t>
        </is>
      </c>
      <c r="C52" s="84" t="n"/>
      <c r="D52" s="84" t="n"/>
      <c r="E52" s="84" t="n"/>
      <c r="F52" s="84" t="n"/>
      <c r="G52" s="84" t="n"/>
      <c r="H52" s="84" t="n"/>
      <c r="I52" s="84" t="n"/>
      <c r="J52" s="84" t="n"/>
      <c r="K52" s="84" t="n"/>
      <c r="L52" s="84" t="n"/>
      <c r="M52" s="91">
        <f>IF(OR(N(D52)=0,NOT(ISNUMBER(C52))),"",(C52-D52)/ABS(D52))</f>
        <v/>
      </c>
      <c r="N52" s="84" t="n"/>
      <c r="O52" s="84" t="n"/>
      <c r="P52" s="84" t="n"/>
      <c r="Q52" s="84" t="n"/>
    </row>
    <row r="53">
      <c r="A53" s="50" t="inlineStr">
        <is>
          <t>Passiva B.1</t>
        </is>
      </c>
      <c r="B53" s="56" t="inlineStr">
        <is>
          <t>Rückstellungen für Pensionen und ähnliche Verpflichtungen</t>
        </is>
      </c>
      <c r="C53" s="84" t="n"/>
      <c r="D53" s="84" t="n"/>
      <c r="E53" s="84" t="n"/>
      <c r="F53" s="84" t="n"/>
      <c r="G53" s="84" t="n"/>
      <c r="H53" s="84" t="n"/>
      <c r="I53" s="84" t="n"/>
      <c r="J53" s="84" t="n"/>
      <c r="K53" s="84" t="n"/>
      <c r="L53" s="84" t="n"/>
      <c r="M53" s="91">
        <f>IF(OR(N(D53)=0,NOT(ISNUMBER(C53))),"",(C53-D53)/ABS(D53))</f>
        <v/>
      </c>
      <c r="N53" s="84" t="inlineStr">
        <is>
          <t>Passiva B.</t>
        </is>
      </c>
      <c r="O53" s="84" t="n"/>
      <c r="P53" s="84" t="inlineStr">
        <is>
          <t>1.</t>
        </is>
      </c>
      <c r="Q53" s="84" t="n"/>
    </row>
    <row r="54">
      <c r="A54" s="50" t="inlineStr">
        <is>
          <t>Passiva B.2</t>
        </is>
      </c>
      <c r="B54" s="56" t="inlineStr">
        <is>
          <t>Steuerrückstellungen</t>
        </is>
      </c>
      <c r="C54" s="84" t="n"/>
      <c r="D54" s="84" t="n"/>
      <c r="E54" s="84" t="n"/>
      <c r="F54" s="84" t="n"/>
      <c r="G54" s="84" t="n"/>
      <c r="H54" s="84" t="n"/>
      <c r="I54" s="84" t="n"/>
      <c r="J54" s="84" t="n"/>
      <c r="K54" s="84" t="n"/>
      <c r="L54" s="84" t="n"/>
      <c r="M54" s="91">
        <f>IF(OR(N(D54)=0,NOT(ISNUMBER(C54))),"",(C54-D54)/ABS(D54))</f>
        <v/>
      </c>
      <c r="N54" s="84" t="inlineStr">
        <is>
          <t>Passiva B.</t>
        </is>
      </c>
      <c r="O54" s="84" t="n"/>
      <c r="P54" s="84" t="inlineStr">
        <is>
          <t>2.</t>
        </is>
      </c>
      <c r="Q54" s="84" t="n"/>
    </row>
    <row r="55">
      <c r="A55" s="50" t="inlineStr">
        <is>
          <t>Passiva B.3</t>
        </is>
      </c>
      <c r="B55" s="56" t="inlineStr">
        <is>
          <t>sonstige Rückstellungen</t>
        </is>
      </c>
      <c r="C55" s="84" t="n"/>
      <c r="D55" s="84" t="n"/>
      <c r="E55" s="84" t="n"/>
      <c r="F55" s="84" t="n"/>
      <c r="G55" s="84" t="n"/>
      <c r="H55" s="84" t="n"/>
      <c r="I55" s="84" t="n"/>
      <c r="J55" s="84" t="n"/>
      <c r="K55" s="84" t="n"/>
      <c r="L55" s="84" t="n"/>
      <c r="M55" s="91">
        <f>IF(OR(N(D55)=0,NOT(ISNUMBER(C55))),"",(C55-D55)/ABS(D55))</f>
        <v/>
      </c>
      <c r="N55" s="84" t="inlineStr">
        <is>
          <t>Passiva B.</t>
        </is>
      </c>
      <c r="O55" s="84" t="n"/>
      <c r="P55" s="84" t="inlineStr">
        <is>
          <t>3.</t>
        </is>
      </c>
      <c r="Q55" s="84" t="n"/>
    </row>
    <row r="56">
      <c r="A56" s="92" t="inlineStr">
        <is>
          <t>Summe Rückstellungen</t>
        </is>
      </c>
      <c r="B56" s="93" t="n"/>
      <c r="C56" s="94" t="n"/>
      <c r="D56" s="94" t="n"/>
      <c r="E56" s="94">
        <f>IF(COUNT(C53,C54,C55)=0,"",SUM(C53,C54,C55))</f>
        <v/>
      </c>
      <c r="F56" s="94">
        <f>IF(OR(C56="",E56=""),"",C56-E56)</f>
        <v/>
      </c>
      <c r="G56" s="94">
        <f>IF(F56="","",IF(ROUND(F56,2)=0,"","Abweichung"))</f>
        <v/>
      </c>
      <c r="H56" s="94">
        <f>IF(COUNT(D53,D54,D55)=0,"",SUM(D53,D54,D55))</f>
        <v/>
      </c>
      <c r="I56" s="94">
        <f>IF(OR(D56="",H56=""),"",D56-H56)</f>
        <v/>
      </c>
      <c r="J56" s="94">
        <f>IF(I56="","",IF(ROUND(I56,2)=0,"","Abweichung"))</f>
        <v/>
      </c>
      <c r="K56" s="94" t="n"/>
      <c r="L56" s="94" t="n"/>
      <c r="M56" s="95">
        <f>IF(OR(N(D56)=0,NOT(ISNUMBER(C56))),"",(C56-D56)/ABS(D56))</f>
        <v/>
      </c>
      <c r="N56" s="94" t="inlineStr">
        <is>
          <t>Passiva B.</t>
        </is>
      </c>
      <c r="O56" s="94" t="n"/>
      <c r="P56" s="94" t="n"/>
      <c r="Q56" s="94" t="n"/>
    </row>
    <row r="57">
      <c r="A57" s="50" t="inlineStr">
        <is>
          <t>Passiva C.1</t>
        </is>
      </c>
      <c r="B57" s="56" t="inlineStr">
        <is>
          <t>Anleihen</t>
        </is>
      </c>
      <c r="C57" s="84" t="n"/>
      <c r="D57" s="84" t="n"/>
      <c r="E57" s="84" t="n"/>
      <c r="F57" s="84" t="n"/>
      <c r="G57" s="84" t="n"/>
      <c r="H57" s="84" t="n"/>
      <c r="I57" s="84" t="n"/>
      <c r="J57" s="84" t="n"/>
      <c r="K57" s="84" t="n"/>
      <c r="L57" s="84" t="n"/>
      <c r="M57" s="91">
        <f>IF(OR(N(D57)=0,NOT(ISNUMBER(C57))),"",(C57-D57)/ABS(D57))</f>
        <v/>
      </c>
      <c r="N57" s="84" t="inlineStr">
        <is>
          <t>Passiva C.</t>
        </is>
      </c>
      <c r="O57" s="84" t="n"/>
      <c r="P57" s="84" t="inlineStr">
        <is>
          <t>1.</t>
        </is>
      </c>
      <c r="Q57" s="84" t="n"/>
    </row>
    <row r="58">
      <c r="A58" s="50" t="n"/>
      <c r="B58" s="61" t="inlineStr">
        <is>
          <t>davon konvertibel</t>
        </is>
      </c>
      <c r="C58" s="84" t="n"/>
      <c r="D58" s="84" t="n"/>
      <c r="E58" s="84" t="n"/>
      <c r="F58" s="84" t="n"/>
      <c r="G58" s="84" t="n"/>
      <c r="H58" s="84" t="n"/>
      <c r="I58" s="84" t="n"/>
      <c r="J58" s="84" t="n"/>
      <c r="K58" s="84" t="n"/>
      <c r="L58" s="84" t="n"/>
      <c r="M58" s="91">
        <f>IF(OR(N(D58)=0,NOT(ISNUMBER(C58))),"",(C58-D58)/ABS(D58))</f>
        <v/>
      </c>
      <c r="N58" s="84" t="n"/>
      <c r="O58" s="84" t="n"/>
      <c r="P58" s="84" t="n"/>
      <c r="Q58" s="84" t="n"/>
    </row>
    <row r="59">
      <c r="A59" s="50" t="n"/>
      <c r="B59" s="61" t="inlineStr">
        <is>
          <t>davon mit einer Restlaufzeit bis zu einem Jahr</t>
        </is>
      </c>
      <c r="C59" s="84" t="n"/>
      <c r="D59" s="84" t="n"/>
      <c r="E59" s="84" t="n"/>
      <c r="F59" s="84" t="n"/>
      <c r="G59" s="84" t="n"/>
      <c r="H59" s="84" t="n"/>
      <c r="I59" s="84" t="n"/>
      <c r="J59" s="84" t="n"/>
      <c r="K59" s="84" t="n"/>
      <c r="L59" s="84" t="n"/>
      <c r="M59" s="91">
        <f>IF(OR(N(D59)=0,NOT(ISNUMBER(C59))),"",(C59-D59)/ABS(D59))</f>
        <v/>
      </c>
      <c r="N59" s="84" t="n"/>
      <c r="O59" s="84" t="n"/>
      <c r="P59" s="84" t="n"/>
      <c r="Q59" s="84" t="n"/>
    </row>
    <row r="60">
      <c r="A60" s="50" t="n"/>
      <c r="B60" s="61" t="inlineStr">
        <is>
          <t>davon mit einer Restlaufzeit von mehr als einem Jahr</t>
        </is>
      </c>
      <c r="C60" s="84" t="n"/>
      <c r="D60" s="84" t="n"/>
      <c r="E60" s="84" t="n"/>
      <c r="F60" s="84" t="n"/>
      <c r="G60" s="84" t="n"/>
      <c r="H60" s="84" t="n"/>
      <c r="I60" s="84" t="n"/>
      <c r="J60" s="84" t="n"/>
      <c r="K60" s="84" t="n"/>
      <c r="L60" s="84" t="n"/>
      <c r="M60" s="91">
        <f>IF(OR(N(D60)=0,NOT(ISNUMBER(C60))),"",(C60-D60)/ABS(D60))</f>
        <v/>
      </c>
      <c r="N60" s="84" t="n"/>
      <c r="O60" s="84" t="n"/>
      <c r="P60" s="84" t="n"/>
      <c r="Q60" s="84" t="n"/>
    </row>
    <row r="61">
      <c r="A61" s="50" t="inlineStr">
        <is>
          <t>Passiva C.2</t>
        </is>
      </c>
      <c r="B61" s="56" t="inlineStr">
        <is>
          <t>Verbindlichkeiten gegenüber Kreditinstituten</t>
        </is>
      </c>
      <c r="C61" s="84" t="n"/>
      <c r="D61" s="84" t="n"/>
      <c r="E61" s="84" t="n"/>
      <c r="F61" s="84" t="n"/>
      <c r="G61" s="84" t="n"/>
      <c r="H61" s="84" t="n"/>
      <c r="I61" s="84" t="n"/>
      <c r="J61" s="84" t="n"/>
      <c r="K61" s="84" t="n"/>
      <c r="L61" s="84" t="n"/>
      <c r="M61" s="91">
        <f>IF(OR(N(D61)=0,NOT(ISNUMBER(C61))),"",(C61-D61)/ABS(D61))</f>
        <v/>
      </c>
      <c r="N61" s="84" t="inlineStr">
        <is>
          <t>Passiva C.</t>
        </is>
      </c>
      <c r="O61" s="84" t="n"/>
      <c r="P61" s="84" t="inlineStr">
        <is>
          <t>2.</t>
        </is>
      </c>
      <c r="Q61" s="84" t="n"/>
    </row>
    <row r="62">
      <c r="A62" s="50" t="n"/>
      <c r="B62" s="61" t="inlineStr">
        <is>
          <t>davon mit einer Restlaufzeit bis zu einem Jahr</t>
        </is>
      </c>
      <c r="C62" s="84" t="n"/>
      <c r="D62" s="84" t="n"/>
      <c r="E62" s="84" t="n"/>
      <c r="F62" s="84" t="n"/>
      <c r="G62" s="84" t="n"/>
      <c r="H62" s="84" t="n"/>
      <c r="I62" s="84" t="n"/>
      <c r="J62" s="84" t="n"/>
      <c r="K62" s="84" t="n"/>
      <c r="L62" s="84" t="n"/>
      <c r="M62" s="91">
        <f>IF(OR(N(D62)=0,NOT(ISNUMBER(C62))),"",(C62-D62)/ABS(D62))</f>
        <v/>
      </c>
      <c r="N62" s="84" t="n"/>
      <c r="O62" s="84" t="n"/>
      <c r="P62" s="84" t="n"/>
      <c r="Q62" s="84" t="n"/>
    </row>
    <row r="63">
      <c r="A63" s="50" t="n"/>
      <c r="B63" s="61" t="inlineStr">
        <is>
          <t>davon mit einer Restlaufzeit von mehr als einem Jahr</t>
        </is>
      </c>
      <c r="C63" s="84" t="n"/>
      <c r="D63" s="84" t="n"/>
      <c r="E63" s="84" t="n"/>
      <c r="F63" s="84" t="n"/>
      <c r="G63" s="84" t="n"/>
      <c r="H63" s="84" t="n"/>
      <c r="I63" s="84" t="n"/>
      <c r="J63" s="84" t="n"/>
      <c r="K63" s="84" t="n"/>
      <c r="L63" s="84" t="n"/>
      <c r="M63" s="91">
        <f>IF(OR(N(D63)=0,NOT(ISNUMBER(C63))),"",(C63-D63)/ABS(D63))</f>
        <v/>
      </c>
      <c r="N63" s="84" t="n"/>
      <c r="O63" s="84" t="n"/>
      <c r="P63" s="84" t="n"/>
      <c r="Q63" s="84" t="n"/>
    </row>
    <row r="64">
      <c r="A64" s="50" t="inlineStr">
        <is>
          <t>Passiva C.3</t>
        </is>
      </c>
      <c r="B64" s="56" t="inlineStr">
        <is>
          <t>Erhaltene Anzahlungen auf Bestellungen</t>
        </is>
      </c>
      <c r="C64" s="84" t="n"/>
      <c r="D64" s="84" t="n"/>
      <c r="E64" s="84" t="n"/>
      <c r="F64" s="84" t="n"/>
      <c r="G64" s="84" t="n"/>
      <c r="H64" s="84" t="n"/>
      <c r="I64" s="84" t="n"/>
      <c r="J64" s="84" t="n"/>
      <c r="K64" s="84" t="n"/>
      <c r="L64" s="84" t="n"/>
      <c r="M64" s="91">
        <f>IF(OR(N(D64)=0,NOT(ISNUMBER(C64))),"",(C64-D64)/ABS(D64))</f>
        <v/>
      </c>
      <c r="N64" s="84" t="inlineStr">
        <is>
          <t>Passiva C.</t>
        </is>
      </c>
      <c r="O64" s="84" t="n"/>
      <c r="P64" s="84" t="inlineStr">
        <is>
          <t>3.</t>
        </is>
      </c>
      <c r="Q64" s="84" t="n"/>
    </row>
    <row r="65">
      <c r="A65" s="50" t="n"/>
      <c r="B65" s="61" t="inlineStr">
        <is>
          <t>davon mit einer Restlaufzeit bis zu einem Jahr</t>
        </is>
      </c>
      <c r="C65" s="84" t="n"/>
      <c r="D65" s="84" t="n"/>
      <c r="E65" s="84" t="n"/>
      <c r="F65" s="84" t="n"/>
      <c r="G65" s="84" t="n"/>
      <c r="H65" s="84" t="n"/>
      <c r="I65" s="84" t="n"/>
      <c r="J65" s="84" t="n"/>
      <c r="K65" s="84" t="n"/>
      <c r="L65" s="84" t="n"/>
      <c r="M65" s="91">
        <f>IF(OR(N(D65)=0,NOT(ISNUMBER(C65))),"",(C65-D65)/ABS(D65))</f>
        <v/>
      </c>
      <c r="N65" s="84" t="n"/>
      <c r="O65" s="84" t="n"/>
      <c r="P65" s="84" t="n"/>
      <c r="Q65" s="84" t="n"/>
    </row>
    <row r="66">
      <c r="A66" s="50" t="n"/>
      <c r="B66" s="61" t="inlineStr">
        <is>
          <t>davon mit einer Restlaufzeit von mehr als einem Jahr</t>
        </is>
      </c>
      <c r="C66" s="84" t="n"/>
      <c r="D66" s="84" t="n"/>
      <c r="E66" s="84" t="n"/>
      <c r="F66" s="84" t="n"/>
      <c r="G66" s="84" t="n"/>
      <c r="H66" s="84" t="n"/>
      <c r="I66" s="84" t="n"/>
      <c r="J66" s="84" t="n"/>
      <c r="K66" s="84" t="n"/>
      <c r="L66" s="84" t="n"/>
      <c r="M66" s="91">
        <f>IF(OR(N(D66)=0,NOT(ISNUMBER(C66))),"",(C66-D66)/ABS(D66))</f>
        <v/>
      </c>
      <c r="N66" s="84" t="n"/>
      <c r="O66" s="84" t="n"/>
      <c r="P66" s="84" t="n"/>
      <c r="Q66" s="84" t="n"/>
    </row>
    <row r="67">
      <c r="A67" s="50" t="inlineStr">
        <is>
          <t>Passiva C.4</t>
        </is>
      </c>
      <c r="B67" s="56" t="inlineStr">
        <is>
          <t>Verbindlichkeiten aus Lieferungen und Leistungen</t>
        </is>
      </c>
      <c r="C67" s="84" t="n"/>
      <c r="D67" s="84" t="n"/>
      <c r="E67" s="84" t="n"/>
      <c r="F67" s="84" t="n"/>
      <c r="G67" s="84" t="n"/>
      <c r="H67" s="84" t="n"/>
      <c r="I67" s="84" t="n"/>
      <c r="J67" s="84" t="n"/>
      <c r="K67" s="84" t="n"/>
      <c r="L67" s="84" t="n"/>
      <c r="M67" s="91">
        <f>IF(OR(N(D67)=0,NOT(ISNUMBER(C67))),"",(C67-D67)/ABS(D67))</f>
        <v/>
      </c>
      <c r="N67" s="84" t="inlineStr">
        <is>
          <t>Passiva C.</t>
        </is>
      </c>
      <c r="O67" s="84" t="n"/>
      <c r="P67" s="84" t="inlineStr">
        <is>
          <t>4.</t>
        </is>
      </c>
      <c r="Q67" s="84" t="n"/>
    </row>
    <row r="68">
      <c r="A68" s="50" t="n"/>
      <c r="B68" s="61" t="inlineStr">
        <is>
          <t>davon mit einer Restlaufzeit bis zu einem Jahr</t>
        </is>
      </c>
      <c r="C68" s="84" t="n"/>
      <c r="D68" s="84" t="n"/>
      <c r="E68" s="84" t="n"/>
      <c r="F68" s="84" t="n"/>
      <c r="G68" s="84" t="n"/>
      <c r="H68" s="84" t="n"/>
      <c r="I68" s="84" t="n"/>
      <c r="J68" s="84" t="n"/>
      <c r="K68" s="84" t="n"/>
      <c r="L68" s="84" t="n"/>
      <c r="M68" s="91">
        <f>IF(OR(N(D68)=0,NOT(ISNUMBER(C68))),"",(C68-D68)/ABS(D68))</f>
        <v/>
      </c>
      <c r="N68" s="84" t="n"/>
      <c r="O68" s="84" t="n"/>
      <c r="P68" s="84" t="n"/>
      <c r="Q68" s="84" t="n"/>
    </row>
    <row r="69">
      <c r="A69" s="50" t="n"/>
      <c r="B69" s="61" t="inlineStr">
        <is>
          <t>davon mit einer Restlaufzeit von mehr als einem Jahr</t>
        </is>
      </c>
      <c r="C69" s="84" t="n"/>
      <c r="D69" s="84" t="n"/>
      <c r="E69" s="84" t="n"/>
      <c r="F69" s="84" t="n"/>
      <c r="G69" s="84" t="n"/>
      <c r="H69" s="84" t="n"/>
      <c r="I69" s="84" t="n"/>
      <c r="J69" s="84" t="n"/>
      <c r="K69" s="84" t="n"/>
      <c r="L69" s="84" t="n"/>
      <c r="M69" s="91">
        <f>IF(OR(N(D69)=0,NOT(ISNUMBER(C69))),"",(C69-D69)/ABS(D69))</f>
        <v/>
      </c>
      <c r="N69" s="84" t="n"/>
      <c r="O69" s="84" t="n"/>
      <c r="P69" s="84" t="n"/>
      <c r="Q69" s="84" t="n"/>
    </row>
    <row r="70">
      <c r="A70" s="50" t="inlineStr">
        <is>
          <t>Passiva C.5</t>
        </is>
      </c>
      <c r="B70" s="56" t="inlineStr">
        <is>
          <t>Verbindlichkeiten aus der Annahme gezogener Wechsel und der Ausstellung eigener Wechsel</t>
        </is>
      </c>
      <c r="C70" s="84" t="n"/>
      <c r="D70" s="84" t="n"/>
      <c r="E70" s="84" t="n"/>
      <c r="F70" s="84" t="n"/>
      <c r="G70" s="84" t="n"/>
      <c r="H70" s="84" t="n"/>
      <c r="I70" s="84" t="n"/>
      <c r="J70" s="84" t="n"/>
      <c r="K70" s="84" t="n"/>
      <c r="L70" s="84" t="n"/>
      <c r="M70" s="91">
        <f>IF(OR(N(D70)=0,NOT(ISNUMBER(C70))),"",(C70-D70)/ABS(D70))</f>
        <v/>
      </c>
      <c r="N70" s="84" t="inlineStr">
        <is>
          <t>Passiva C.</t>
        </is>
      </c>
      <c r="O70" s="84" t="n"/>
      <c r="P70" s="84" t="inlineStr">
        <is>
          <t>5.</t>
        </is>
      </c>
      <c r="Q70" s="84" t="n"/>
    </row>
    <row r="71">
      <c r="A71" s="50" t="n"/>
      <c r="B71" s="61" t="inlineStr">
        <is>
          <t>davon mit einer Restlaufzeit bis zu einem Jahr</t>
        </is>
      </c>
      <c r="C71" s="84" t="n"/>
      <c r="D71" s="84" t="n"/>
      <c r="E71" s="84" t="n"/>
      <c r="F71" s="84" t="n"/>
      <c r="G71" s="84" t="n"/>
      <c r="H71" s="84" t="n"/>
      <c r="I71" s="84" t="n"/>
      <c r="J71" s="84" t="n"/>
      <c r="K71" s="84" t="n"/>
      <c r="L71" s="84" t="n"/>
      <c r="M71" s="91">
        <f>IF(OR(N(D71)=0,NOT(ISNUMBER(C71))),"",(C71-D71)/ABS(D71))</f>
        <v/>
      </c>
      <c r="N71" s="84" t="n"/>
      <c r="O71" s="84" t="n"/>
      <c r="P71" s="84" t="n"/>
      <c r="Q71" s="84" t="n"/>
    </row>
    <row r="72">
      <c r="A72" s="50" t="n"/>
      <c r="B72" s="61" t="inlineStr">
        <is>
          <t>davon mit einer Restlaufzeit von mehr als einem Jahr</t>
        </is>
      </c>
      <c r="C72" s="84" t="n"/>
      <c r="D72" s="84" t="n"/>
      <c r="E72" s="84" t="n"/>
      <c r="F72" s="84" t="n"/>
      <c r="G72" s="84" t="n"/>
      <c r="H72" s="84" t="n"/>
      <c r="I72" s="84" t="n"/>
      <c r="J72" s="84" t="n"/>
      <c r="K72" s="84" t="n"/>
      <c r="L72" s="84" t="n"/>
      <c r="M72" s="91">
        <f>IF(OR(N(D72)=0,NOT(ISNUMBER(C72))),"",(C72-D72)/ABS(D72))</f>
        <v/>
      </c>
      <c r="N72" s="84" t="n"/>
      <c r="O72" s="84" t="n"/>
      <c r="P72" s="84" t="n"/>
      <c r="Q72" s="84" t="n"/>
    </row>
    <row r="73">
      <c r="A73" s="50" t="inlineStr">
        <is>
          <t>Passiva C.6</t>
        </is>
      </c>
      <c r="B73" s="56" t="inlineStr">
        <is>
          <t>Verbindlichkeiten gegenüber verbundenen Unternehmen</t>
        </is>
      </c>
      <c r="C73" s="84" t="n"/>
      <c r="D73" s="84" t="n"/>
      <c r="E73" s="84" t="n"/>
      <c r="F73" s="84" t="n"/>
      <c r="G73" s="84" t="n"/>
      <c r="H73" s="84" t="n"/>
      <c r="I73" s="84" t="n"/>
      <c r="J73" s="84" t="n"/>
      <c r="K73" s="84" t="n"/>
      <c r="L73" s="84" t="n"/>
      <c r="M73" s="91">
        <f>IF(OR(N(D73)=0,NOT(ISNUMBER(C73))),"",(C73-D73)/ABS(D73))</f>
        <v/>
      </c>
      <c r="N73" s="84" t="inlineStr">
        <is>
          <t>Passiva C.</t>
        </is>
      </c>
      <c r="O73" s="84" t="n"/>
      <c r="P73" s="84" t="inlineStr">
        <is>
          <t>6.</t>
        </is>
      </c>
      <c r="Q73" s="84" t="n"/>
    </row>
    <row r="74">
      <c r="A74" s="50" t="n"/>
      <c r="B74" s="61" t="inlineStr">
        <is>
          <t>davon mit einer Restlaufzeit bis zu einem Jahr</t>
        </is>
      </c>
      <c r="C74" s="84" t="n"/>
      <c r="D74" s="84" t="n"/>
      <c r="E74" s="84" t="n"/>
      <c r="F74" s="84" t="n"/>
      <c r="G74" s="84" t="n"/>
      <c r="H74" s="84" t="n"/>
      <c r="I74" s="84" t="n"/>
      <c r="J74" s="84" t="n"/>
      <c r="K74" s="84" t="n"/>
      <c r="L74" s="84" t="n"/>
      <c r="M74" s="91">
        <f>IF(OR(N(D74)=0,NOT(ISNUMBER(C74))),"",(C74-D74)/ABS(D74))</f>
        <v/>
      </c>
      <c r="N74" s="84" t="n"/>
      <c r="O74" s="84" t="n"/>
      <c r="P74" s="84" t="n"/>
      <c r="Q74" s="84" t="n"/>
    </row>
    <row r="75">
      <c r="A75" s="50" t="n"/>
      <c r="B75" s="61" t="inlineStr">
        <is>
          <t>davon mit einer Restlaufzeit von mehr als einem Jahr</t>
        </is>
      </c>
      <c r="C75" s="84" t="n"/>
      <c r="D75" s="84" t="n"/>
      <c r="E75" s="84" t="n"/>
      <c r="F75" s="84" t="n"/>
      <c r="G75" s="84" t="n"/>
      <c r="H75" s="84" t="n"/>
      <c r="I75" s="84" t="n"/>
      <c r="J75" s="84" t="n"/>
      <c r="K75" s="84" t="n"/>
      <c r="L75" s="84" t="n"/>
      <c r="M75" s="91">
        <f>IF(OR(N(D75)=0,NOT(ISNUMBER(C75))),"",(C75-D75)/ABS(D75))</f>
        <v/>
      </c>
      <c r="N75" s="84" t="n"/>
      <c r="O75" s="84" t="n"/>
      <c r="P75" s="84" t="n"/>
      <c r="Q75" s="84" t="n"/>
    </row>
    <row r="76">
      <c r="A76" s="50" t="inlineStr">
        <is>
          <t>Passiva C.7</t>
        </is>
      </c>
      <c r="B76" s="56" t="inlineStr">
        <is>
          <t>Verbindlichkeiten gegenüber Unternehmen, mit denen ein Beteiligungsverhältnis besteht</t>
        </is>
      </c>
      <c r="C76" s="84" t="n"/>
      <c r="D76" s="84" t="n"/>
      <c r="E76" s="84" t="n"/>
      <c r="F76" s="84" t="n"/>
      <c r="G76" s="84" t="n"/>
      <c r="H76" s="84" t="n"/>
      <c r="I76" s="84" t="n"/>
      <c r="J76" s="84" t="n"/>
      <c r="K76" s="84" t="n"/>
      <c r="L76" s="84" t="n"/>
      <c r="M76" s="91">
        <f>IF(OR(N(D76)=0,NOT(ISNUMBER(C76))),"",(C76-D76)/ABS(D76))</f>
        <v/>
      </c>
      <c r="N76" s="84" t="inlineStr">
        <is>
          <t>Passiva C.</t>
        </is>
      </c>
      <c r="O76" s="84" t="n"/>
      <c r="P76" s="84" t="inlineStr">
        <is>
          <t>7.</t>
        </is>
      </c>
      <c r="Q76" s="84" t="n"/>
    </row>
    <row r="77">
      <c r="A77" s="50" t="n"/>
      <c r="B77" s="61" t="inlineStr">
        <is>
          <t>davon mit einer Restlaufzeit bis zu einem Jahr</t>
        </is>
      </c>
      <c r="C77" s="84" t="n"/>
      <c r="D77" s="84" t="n"/>
      <c r="E77" s="84" t="n"/>
      <c r="F77" s="84" t="n"/>
      <c r="G77" s="84" t="n"/>
      <c r="H77" s="84" t="n"/>
      <c r="I77" s="84" t="n"/>
      <c r="J77" s="84" t="n"/>
      <c r="K77" s="84" t="n"/>
      <c r="L77" s="84" t="n"/>
      <c r="M77" s="91">
        <f>IF(OR(N(D77)=0,NOT(ISNUMBER(C77))),"",(C77-D77)/ABS(D77))</f>
        <v/>
      </c>
      <c r="N77" s="84" t="n"/>
      <c r="O77" s="84" t="n"/>
      <c r="P77" s="84" t="n"/>
      <c r="Q77" s="84" t="n"/>
    </row>
    <row r="78">
      <c r="A78" s="50" t="n"/>
      <c r="B78" s="61" t="inlineStr">
        <is>
          <t>davon mit einer Restlaufzeit von mehr als einem Jahr</t>
        </is>
      </c>
      <c r="C78" s="84" t="n"/>
      <c r="D78" s="84" t="n"/>
      <c r="E78" s="84" t="n"/>
      <c r="F78" s="84" t="n"/>
      <c r="G78" s="84" t="n"/>
      <c r="H78" s="84" t="n"/>
      <c r="I78" s="84" t="n"/>
      <c r="J78" s="84" t="n"/>
      <c r="K78" s="84" t="n"/>
      <c r="L78" s="84" t="n"/>
      <c r="M78" s="91">
        <f>IF(OR(N(D78)=0,NOT(ISNUMBER(C78))),"",(C78-D78)/ABS(D78))</f>
        <v/>
      </c>
      <c r="N78" s="84" t="n"/>
      <c r="O78" s="84" t="n"/>
      <c r="P78" s="84" t="n"/>
      <c r="Q78" s="84" t="n"/>
    </row>
    <row r="79">
      <c r="A79" s="50" t="inlineStr">
        <is>
          <t>Passiva C.8</t>
        </is>
      </c>
      <c r="B79" s="56" t="inlineStr">
        <is>
          <t>Sonstige Verbindlichkeiten</t>
        </is>
      </c>
      <c r="C79" s="84" t="n"/>
      <c r="D79" s="84" t="n"/>
      <c r="E79" s="84" t="n"/>
      <c r="F79" s="84" t="n"/>
      <c r="G79" s="84" t="n"/>
      <c r="H79" s="84" t="n"/>
      <c r="I79" s="84" t="n"/>
      <c r="J79" s="84" t="n"/>
      <c r="K79" s="84" t="n"/>
      <c r="L79" s="84" t="n"/>
      <c r="M79" s="91">
        <f>IF(OR(N(D79)=0,NOT(ISNUMBER(C79))),"",(C79-D79)/ABS(D79))</f>
        <v/>
      </c>
      <c r="N79" s="84" t="inlineStr">
        <is>
          <t>Passiva C.</t>
        </is>
      </c>
      <c r="O79" s="84" t="n"/>
      <c r="P79" s="84" t="inlineStr">
        <is>
          <t>8.</t>
        </is>
      </c>
      <c r="Q79" s="84" t="n"/>
    </row>
    <row r="80">
      <c r="A80" s="50" t="n"/>
      <c r="B80" s="61" t="inlineStr">
        <is>
          <t>davon aus Steuern</t>
        </is>
      </c>
      <c r="C80" s="84" t="n"/>
      <c r="D80" s="84" t="n"/>
      <c r="E80" s="84" t="n"/>
      <c r="F80" s="84" t="n"/>
      <c r="G80" s="84" t="n"/>
      <c r="H80" s="84" t="n"/>
      <c r="I80" s="84" t="n"/>
      <c r="J80" s="84" t="n"/>
      <c r="K80" s="84" t="n"/>
      <c r="L80" s="84" t="n"/>
      <c r="M80" s="91">
        <f>IF(OR(N(D80)=0,NOT(ISNUMBER(C80))),"",(C80-D80)/ABS(D80))</f>
        <v/>
      </c>
      <c r="N80" s="84" t="n"/>
      <c r="O80" s="84" t="n"/>
      <c r="P80" s="84" t="n"/>
      <c r="Q80" s="84" t="n"/>
    </row>
    <row r="81">
      <c r="A81" s="50" t="n"/>
      <c r="B81" s="61" t="inlineStr">
        <is>
          <t>davon im Rahmen der sozialen Sicherheit</t>
        </is>
      </c>
      <c r="C81" s="84" t="n"/>
      <c r="D81" s="84" t="n"/>
      <c r="E81" s="84" t="n"/>
      <c r="F81" s="84" t="n"/>
      <c r="G81" s="84" t="n"/>
      <c r="H81" s="84" t="n"/>
      <c r="I81" s="84" t="n"/>
      <c r="J81" s="84" t="n"/>
      <c r="K81" s="84" t="n"/>
      <c r="L81" s="84" t="n"/>
      <c r="M81" s="91">
        <f>IF(OR(N(D81)=0,NOT(ISNUMBER(C81))),"",(C81-D81)/ABS(D81))</f>
        <v/>
      </c>
      <c r="N81" s="84" t="n"/>
      <c r="O81" s="84" t="n"/>
      <c r="P81" s="84" t="n"/>
      <c r="Q81" s="84" t="n"/>
    </row>
    <row r="82">
      <c r="A82" s="50" t="n"/>
      <c r="B82" s="61" t="inlineStr">
        <is>
          <t>davon mit einer Restlaufzeit bis zu einem Jahr</t>
        </is>
      </c>
      <c r="C82" s="84" t="n"/>
      <c r="D82" s="84" t="n"/>
      <c r="E82" s="84" t="n"/>
      <c r="F82" s="84" t="n"/>
      <c r="G82" s="84" t="n"/>
      <c r="H82" s="84" t="n"/>
      <c r="I82" s="84" t="n"/>
      <c r="J82" s="84" t="n"/>
      <c r="K82" s="84" t="n"/>
      <c r="L82" s="84" t="n"/>
      <c r="M82" s="91">
        <f>IF(OR(N(D82)=0,NOT(ISNUMBER(C82))),"",(C82-D82)/ABS(D82))</f>
        <v/>
      </c>
      <c r="N82" s="84" t="n"/>
      <c r="O82" s="84" t="n"/>
      <c r="P82" s="84" t="n"/>
      <c r="Q82" s="84" t="n"/>
    </row>
    <row r="83">
      <c r="A83" s="50" t="n"/>
      <c r="B83" s="61" t="inlineStr">
        <is>
          <t>davon mit einer Restlaufzeit von mehr als einem Jahr</t>
        </is>
      </c>
      <c r="C83" s="84" t="n"/>
      <c r="D83" s="84" t="n"/>
      <c r="E83" s="84" t="n"/>
      <c r="F83" s="84" t="n"/>
      <c r="G83" s="84" t="n"/>
      <c r="H83" s="84" t="n"/>
      <c r="I83" s="84" t="n"/>
      <c r="J83" s="84" t="n"/>
      <c r="K83" s="84" t="n"/>
      <c r="L83" s="84" t="n"/>
      <c r="M83" s="91">
        <f>IF(OR(N(D83)=0,NOT(ISNUMBER(C83))),"",(C83-D83)/ABS(D83))</f>
        <v/>
      </c>
      <c r="N83" s="84" t="n"/>
      <c r="O83" s="84" t="n"/>
      <c r="P83" s="84" t="n"/>
      <c r="Q83" s="84" t="n"/>
    </row>
    <row r="84">
      <c r="A84" s="92" t="inlineStr">
        <is>
          <t>Summe Verbindlichkeiten</t>
        </is>
      </c>
      <c r="B84" s="93" t="n"/>
      <c r="C84" s="94" t="n"/>
      <c r="D84" s="94" t="n"/>
      <c r="E84" s="94">
        <f>IF(COUNT(C57,C61,C64,C67,C70,C73,C76,C79)=0,"",SUM(C57,C61,C64,C67,C70,C73,C76,C79))</f>
        <v/>
      </c>
      <c r="F84" s="94">
        <f>IF(OR(C84="",E84=""),"",C84-E84)</f>
        <v/>
      </c>
      <c r="G84" s="94">
        <f>IF(F84="","",IF(ROUND(F84,2)=0,"","Abweichung"))</f>
        <v/>
      </c>
      <c r="H84" s="94">
        <f>IF(COUNT(D57,D61,D64,D67,D70,D73,D76,D79)=0,"",SUM(D57,D61,D64,D67,D70,D73,D76,D79))</f>
        <v/>
      </c>
      <c r="I84" s="94">
        <f>IF(OR(D84="",H84=""),"",D84-H84)</f>
        <v/>
      </c>
      <c r="J84" s="94">
        <f>IF(I84="","",IF(ROUND(I84,2)=0,"","Abweichung"))</f>
        <v/>
      </c>
      <c r="K84" s="94" t="n"/>
      <c r="L84" s="94" t="n"/>
      <c r="M84" s="95">
        <f>IF(OR(N(D84)=0,NOT(ISNUMBER(C84))),"",(C84-D84)/ABS(D84))</f>
        <v/>
      </c>
      <c r="N84" s="94" t="inlineStr">
        <is>
          <t>Passiva C.</t>
        </is>
      </c>
      <c r="O84" s="94" t="n"/>
      <c r="P84" s="94" t="n"/>
      <c r="Q84" s="94" t="n"/>
    </row>
    <row r="85">
      <c r="A85" s="50" t="inlineStr">
        <is>
          <t>Passiva D.</t>
        </is>
      </c>
      <c r="B85" s="63" t="inlineStr">
        <is>
          <t>Rechnungsabgrenzungsposten</t>
        </is>
      </c>
      <c r="C85" s="84" t="n"/>
      <c r="D85" s="84" t="n"/>
      <c r="E85" s="84" t="n"/>
      <c r="F85" s="84" t="n"/>
      <c r="G85" s="84" t="n"/>
      <c r="H85" s="84" t="n"/>
      <c r="I85" s="84" t="n"/>
      <c r="J85" s="84" t="n"/>
      <c r="K85" s="84" t="n"/>
      <c r="L85" s="84" t="n"/>
      <c r="M85" s="91">
        <f>IF(OR(N(D85)=0,NOT(ISNUMBER(C85))),"",(C85-D85)/ABS(D85))</f>
        <v/>
      </c>
      <c r="N85" s="84" t="inlineStr">
        <is>
          <t>Passiva D.</t>
        </is>
      </c>
      <c r="O85" s="84" t="n"/>
      <c r="P85" s="84" t="n"/>
      <c r="Q85" s="84" t="n"/>
    </row>
    <row r="86">
      <c r="A86" s="50" t="inlineStr">
        <is>
          <t>Passiva E.</t>
        </is>
      </c>
      <c r="B86" s="63" t="inlineStr">
        <is>
          <t>Passive latente Steuern</t>
        </is>
      </c>
      <c r="C86" s="84" t="n"/>
      <c r="D86" s="84" t="n"/>
      <c r="E86" s="84" t="n"/>
      <c r="F86" s="84" t="n"/>
      <c r="G86" s="84" t="n"/>
      <c r="H86" s="84" t="n"/>
      <c r="I86" s="84" t="n"/>
      <c r="J86" s="84" t="n"/>
      <c r="K86" s="84" t="n"/>
      <c r="L86" s="84" t="n"/>
      <c r="M86" s="91">
        <f>IF(OR(N(D86)=0,NOT(ISNUMBER(C86))),"",(C86-D86)/ABS(D86))</f>
        <v/>
      </c>
      <c r="N86" s="84" t="inlineStr">
        <is>
          <t>Passiva E.</t>
        </is>
      </c>
      <c r="O86" s="84" t="n"/>
      <c r="P86" s="84" t="n"/>
      <c r="Q86" s="84" t="n"/>
    </row>
    <row r="87">
      <c r="A87" s="96" t="inlineStr">
        <is>
          <t>Summe Passiva</t>
        </is>
      </c>
      <c r="B87" s="97" t="n"/>
      <c r="C87" s="98" t="n"/>
      <c r="D87" s="98" t="n"/>
      <c r="E87" s="98">
        <f>IF(COUNT(C51,E51,C52,C56,E56,C84,E84,C85,C86)=0,"",SUM(IF(ISNUMBER(C51),C51,N(E51)),C52,IF(ISNUMBER(C56),C56,N(E56)),IF(ISNUMBER(C84),C84,N(E84)),C85,C86))</f>
        <v/>
      </c>
      <c r="F87" s="98">
        <f>IF(OR(C87="",E87=""),"",C87-E87)</f>
        <v/>
      </c>
      <c r="G87" s="98">
        <f>IF(F87="","",IF(ROUND(F87,2)=0,"","Abweichung"))</f>
        <v/>
      </c>
      <c r="H87" s="98">
        <f>IF(COUNT(D51,H51,D52,D56,H56,D84,H84,D85,D86)=0,"",SUM(IF(ISNUMBER(D51),D51,N(H51)),D52,IF(ISNUMBER(D56),D56,N(H56)),IF(ISNUMBER(D84),D84,N(H84)),D85,D86))</f>
        <v/>
      </c>
      <c r="I87" s="98">
        <f>IF(OR(D87="",H87=""),"",D87-H87)</f>
        <v/>
      </c>
      <c r="J87" s="98">
        <f>IF(I87="","",IF(ROUND(I87,2)=0,"","Abweichung"))</f>
        <v/>
      </c>
      <c r="K87" s="98" t="n"/>
      <c r="L87" s="98" t="n"/>
      <c r="M87" s="99">
        <f>IF(OR(N(D87)=0,NOT(ISNUMBER(C87))),"",(C87-D87)/ABS(D87))</f>
        <v/>
      </c>
      <c r="N87" s="98" t="n"/>
      <c r="O87" s="98" t="n"/>
      <c r="P87" s="98" t="n"/>
      <c r="Q87" s="98" t="n"/>
    </row>
    <row r="88">
      <c r="A88" s="4" t="inlineStr">
        <is>
          <t>Differenz Aktiva ./. Passiva</t>
        </is>
      </c>
      <c r="C88" s="4" t="n"/>
      <c r="D88" s="4" t="n"/>
      <c r="E88" s="4" t="n"/>
      <c r="F88" s="100">
        <f>ABS(IF(ISNUMBER(C46),C46,N(E46)))-ABS(IF(ISNUMBER(C87),C87,N(E87)))</f>
        <v/>
      </c>
      <c r="G88" s="4">
        <f>IF(F88="","",IF(ROUND(F88,2)=0,"","Abweichung"))</f>
        <v/>
      </c>
      <c r="H88" s="4" t="n"/>
      <c r="I88" s="100">
        <f>ABS(IF(ISNUMBER(D46),D46,N(H46)))-ABS(IF(ISNUMBER(D87),D87,N(H87)))</f>
        <v/>
      </c>
      <c r="J88" s="4">
        <f>IF(I88="","",IF(ROUND(I88,2)=0,"","Abweichung"))</f>
        <v/>
      </c>
      <c r="K88" s="4" t="n"/>
      <c r="L88" s="4" t="n"/>
      <c r="M88" s="4" t="n"/>
      <c r="N88" s="4" t="n"/>
      <c r="O88" s="4" t="n"/>
      <c r="P88" s="4" t="n"/>
      <c r="Q88" s="4" t="n"/>
    </row>
  </sheetData>
  <mergeCells count="14">
    <mergeCell ref="A21:B21"/>
    <mergeCell ref="A22:B22"/>
    <mergeCell ref="A41:B41"/>
    <mergeCell ref="A51:B51"/>
    <mergeCell ref="A9:B9"/>
    <mergeCell ref="A46:B46"/>
    <mergeCell ref="A84:B84"/>
    <mergeCell ref="A36:B36"/>
    <mergeCell ref="A14:B14"/>
    <mergeCell ref="A88:B88"/>
    <mergeCell ref="A56:B56"/>
    <mergeCell ref="A27:B27"/>
    <mergeCell ref="A39:B39"/>
    <mergeCell ref="A87:B8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Bilanz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46"/>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Gewinn- und Verlustrechnung nach § 275 Abs. 2 HGB (Gesamtkostenverfahren) und § 158 Abs. 1 AktG – Zahlen laut Mandant</t>
        </is>
      </c>
    </row>
    <row r="2">
      <c r="A2" s="2" t="inlineStr">
        <is>
          <t>Jede Zahl des Mandanten steht auf der Zeile, zu der sie nach § 275 HGB gehört; die Ergebnisverwendung folgt nach § 158 Abs. 1 AktG. Ein Ergebnis, das als Fehlbetrag oder Verlust bezeichnet ist, zählt negativ.</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1.</t>
        </is>
      </c>
      <c r="B5" s="63" t="inlineStr">
        <is>
          <t>Umsatzerlöse</t>
        </is>
      </c>
      <c r="C5" s="84" t="n"/>
      <c r="D5" s="84" t="n"/>
      <c r="E5" s="84" t="n"/>
      <c r="F5" s="84" t="n"/>
      <c r="G5" s="84" t="n"/>
      <c r="H5" s="84" t="n"/>
      <c r="I5" s="84" t="n"/>
      <c r="J5" s="84" t="n"/>
      <c r="K5" s="84" t="n"/>
      <c r="L5" s="84" t="n"/>
      <c r="M5" s="91">
        <f>IF(OR(N(D5)=0,NOT(ISNUMBER(C5))),"",(C5-D5)/ABS(D5))</f>
        <v/>
      </c>
      <c r="N5" s="84" t="inlineStr">
        <is>
          <t>1.</t>
        </is>
      </c>
      <c r="O5" s="84" t="n"/>
      <c r="P5" s="84" t="n"/>
      <c r="Q5" s="84" t="n"/>
    </row>
    <row r="6">
      <c r="A6" s="50" t="inlineStr">
        <is>
          <t>2.</t>
        </is>
      </c>
      <c r="B6" s="63" t="inlineStr">
        <is>
          <t>Erhöhung oder Verminderung des Bestands an fertigen und unfertigen Erzeugnissen</t>
        </is>
      </c>
      <c r="C6" s="84" t="n"/>
      <c r="D6" s="84" t="n"/>
      <c r="E6" s="84" t="n"/>
      <c r="F6" s="84" t="n"/>
      <c r="G6" s="84" t="n"/>
      <c r="H6" s="84" t="n"/>
      <c r="I6" s="84" t="n"/>
      <c r="J6" s="84" t="n"/>
      <c r="K6" s="84" t="n"/>
      <c r="L6" s="84" t="n"/>
      <c r="M6" s="91">
        <f>IF(OR(N(D6)=0,NOT(ISNUMBER(C6))),"",(C6-D6)/ABS(D6))</f>
        <v/>
      </c>
      <c r="N6" s="84" t="inlineStr">
        <is>
          <t>2.</t>
        </is>
      </c>
      <c r="O6" s="84" t="n"/>
      <c r="P6" s="84" t="n"/>
      <c r="Q6" s="84" t="n"/>
    </row>
    <row r="7">
      <c r="A7" s="50" t="inlineStr">
        <is>
          <t>3.</t>
        </is>
      </c>
      <c r="B7" s="63" t="inlineStr">
        <is>
          <t>andere aktivierte Eigenleistungen</t>
        </is>
      </c>
      <c r="C7" s="84" t="n"/>
      <c r="D7" s="84" t="n"/>
      <c r="E7" s="84" t="n"/>
      <c r="F7" s="84" t="n"/>
      <c r="G7" s="84" t="n"/>
      <c r="H7" s="84" t="n"/>
      <c r="I7" s="84" t="n"/>
      <c r="J7" s="84" t="n"/>
      <c r="K7" s="84" t="n"/>
      <c r="L7" s="84" t="n"/>
      <c r="M7" s="91">
        <f>IF(OR(N(D7)=0,NOT(ISNUMBER(C7))),"",(C7-D7)/ABS(D7))</f>
        <v/>
      </c>
      <c r="N7" s="84" t="inlineStr">
        <is>
          <t>3.</t>
        </is>
      </c>
      <c r="O7" s="84" t="n"/>
      <c r="P7" s="84" t="n"/>
      <c r="Q7" s="84" t="n"/>
    </row>
    <row r="8">
      <c r="A8" s="50" t="inlineStr">
        <is>
          <t>4.</t>
        </is>
      </c>
      <c r="B8" s="63" t="inlineStr">
        <is>
          <t>sonstige betriebliche Erträge</t>
        </is>
      </c>
      <c r="C8" s="84" t="n"/>
      <c r="D8" s="84" t="n"/>
      <c r="E8" s="84" t="n"/>
      <c r="F8" s="84" t="n"/>
      <c r="G8" s="84" t="n"/>
      <c r="H8" s="84" t="n"/>
      <c r="I8" s="84" t="n"/>
      <c r="J8" s="84" t="n"/>
      <c r="K8" s="84" t="n"/>
      <c r="L8" s="84" t="n"/>
      <c r="M8" s="91">
        <f>IF(OR(N(D8)=0,NOT(ISNUMBER(C8))),"",(C8-D8)/ABS(D8))</f>
        <v/>
      </c>
      <c r="N8" s="84" t="inlineStr">
        <is>
          <t>4.</t>
        </is>
      </c>
      <c r="O8" s="84" t="n"/>
      <c r="P8" s="84" t="n"/>
      <c r="Q8" s="84" t="n"/>
    </row>
    <row r="9">
      <c r="A9" s="50" t="n"/>
      <c r="B9" s="62" t="inlineStr">
        <is>
          <t>davon Erträge aus der Währungsumrechnung</t>
        </is>
      </c>
      <c r="C9" s="84" t="n"/>
      <c r="D9" s="84" t="n"/>
      <c r="E9" s="84" t="n"/>
      <c r="F9" s="84" t="n"/>
      <c r="G9" s="84" t="n"/>
      <c r="H9" s="84" t="n"/>
      <c r="I9" s="84" t="n"/>
      <c r="J9" s="84" t="n"/>
      <c r="K9" s="84" t="n"/>
      <c r="L9" s="84" t="n"/>
      <c r="M9" s="91">
        <f>IF(OR(N(D9)=0,NOT(ISNUMBER(C9))),"",(C9-D9)/ABS(D9))</f>
        <v/>
      </c>
      <c r="N9" s="84" t="n"/>
      <c r="O9" s="84" t="n"/>
      <c r="P9" s="84" t="n"/>
      <c r="Q9" s="84" t="n"/>
    </row>
    <row r="10">
      <c r="A10" s="50" t="inlineStr">
        <is>
          <t>5.a</t>
        </is>
      </c>
      <c r="B10" s="62" t="inlineStr">
        <is>
          <t>Aufwendungen für Roh-, Hilfs- und Betriebsstoffe und für bezogene Waren</t>
        </is>
      </c>
      <c r="C10" s="84" t="n"/>
      <c r="D10" s="84" t="n"/>
      <c r="E10" s="84" t="n"/>
      <c r="F10" s="84" t="n"/>
      <c r="G10" s="84" t="n"/>
      <c r="H10" s="84" t="n"/>
      <c r="I10" s="84" t="n"/>
      <c r="J10" s="84" t="n"/>
      <c r="K10" s="84" t="n"/>
      <c r="L10" s="84" t="n"/>
      <c r="M10" s="91">
        <f>IF(OR(N(D10)=0,NOT(ISNUMBER(C10))),"",(C10-D10)/ABS(D10))</f>
        <v/>
      </c>
      <c r="N10" s="84" t="inlineStr">
        <is>
          <t>5.</t>
        </is>
      </c>
      <c r="O10" s="84" t="inlineStr">
        <is>
          <t>a)</t>
        </is>
      </c>
      <c r="P10" s="84" t="n"/>
      <c r="Q10" s="84" t="n"/>
    </row>
    <row r="11">
      <c r="A11" s="50" t="inlineStr">
        <is>
          <t>5.b</t>
        </is>
      </c>
      <c r="B11" s="62" t="inlineStr">
        <is>
          <t>Aufwendungen für bezogene Leistungen</t>
        </is>
      </c>
      <c r="C11" s="84" t="n"/>
      <c r="D11" s="84" t="n"/>
      <c r="E11" s="84" t="n"/>
      <c r="F11" s="84" t="n"/>
      <c r="G11" s="84" t="n"/>
      <c r="H11" s="84" t="n"/>
      <c r="I11" s="84" t="n"/>
      <c r="J11" s="84" t="n"/>
      <c r="K11" s="84" t="n"/>
      <c r="L11" s="84" t="n"/>
      <c r="M11" s="91">
        <f>IF(OR(N(D11)=0,NOT(ISNUMBER(C11))),"",(C11-D11)/ABS(D11))</f>
        <v/>
      </c>
      <c r="N11" s="84" t="inlineStr">
        <is>
          <t>5.</t>
        </is>
      </c>
      <c r="O11" s="84" t="inlineStr">
        <is>
          <t>b)</t>
        </is>
      </c>
      <c r="P11" s="84" t="n"/>
      <c r="Q11" s="84" t="n"/>
    </row>
    <row r="12">
      <c r="A12" s="92" t="inlineStr">
        <is>
          <t>Summe Materialaufwand</t>
        </is>
      </c>
      <c r="B12" s="93" t="n"/>
      <c r="C12" s="94" t="n"/>
      <c r="D12" s="94" t="n"/>
      <c r="E12" s="94">
        <f>IF(COUNT(C10,C11)=0,"",SUM(C10,C11))</f>
        <v/>
      </c>
      <c r="F12" s="94">
        <f>IF(OR(C12="",E12=""),"",C12-E12)</f>
        <v/>
      </c>
      <c r="G12" s="94">
        <f>IF(F12="","",IF(ROUND(F12,2)=0,"","Abweichung"))</f>
        <v/>
      </c>
      <c r="H12" s="94">
        <f>IF(COUNT(D10,D11)=0,"",SUM(D10,D11))</f>
        <v/>
      </c>
      <c r="I12" s="94">
        <f>IF(OR(D12="",H12=""),"",D12-H12)</f>
        <v/>
      </c>
      <c r="J12" s="94">
        <f>IF(I12="","",IF(ROUND(I12,2)=0,"","Abweichung"))</f>
        <v/>
      </c>
      <c r="K12" s="94" t="n"/>
      <c r="L12" s="94" t="n"/>
      <c r="M12" s="95">
        <f>IF(OR(N(D12)=0,NOT(ISNUMBER(C12))),"",(C12-D12)/ABS(D12))</f>
        <v/>
      </c>
      <c r="N12" s="94" t="inlineStr">
        <is>
          <t>5.</t>
        </is>
      </c>
      <c r="O12" s="94" t="n"/>
      <c r="P12" s="94" t="n"/>
      <c r="Q12" s="94" t="n"/>
    </row>
    <row r="13">
      <c r="A13" s="92" t="inlineStr">
        <is>
          <t>Summe Rohergebnis</t>
        </is>
      </c>
      <c r="B13" s="93" t="n"/>
      <c r="C13" s="94" t="n"/>
      <c r="D13" s="94" t="n"/>
      <c r="E13" s="94">
        <f>IF(COUNT(C5,C6,C7,C8,C12,C10,C11)=0,"",ABS(C5)+C6+ABS(C7)+ABS(C8)+IF(C12="",-ABS(C10)-ABS(C11),-ABS(C12)))</f>
        <v/>
      </c>
      <c r="F13" s="94">
        <f>IF(OR(C13="",E13=""),"",IF(ROUND(C13-(C5+C6+C7+C8+IF(C12="",C10+C11,C12)),2)=0,0,C13-(E13)))</f>
        <v/>
      </c>
      <c r="G13" s="94">
        <f>IF(F13="","",IF(ROUND(F13,2)=0,"","Abweichung"))</f>
        <v/>
      </c>
      <c r="H13" s="94">
        <f>IF(COUNT(D5,D6,D7,D8,D12,D10,D11)=0,"",ABS(D5)+D6+ABS(D7)+ABS(D8)+IF(D12="",-ABS(D10)-ABS(D11),-ABS(D12)))</f>
        <v/>
      </c>
      <c r="I13" s="94">
        <f>IF(OR(D13="",H13=""),"",IF(ROUND(D13-(D5+D6+D7+D8+IF(D12="",D10+D11,D12)),2)=0,0,D13-(H13)))</f>
        <v/>
      </c>
      <c r="J13" s="94">
        <f>IF(I13="","",IF(ROUND(I13,2)=0,"","Abweichung"))</f>
        <v/>
      </c>
      <c r="K13" s="94" t="n"/>
      <c r="L13" s="94" t="n"/>
      <c r="M13" s="95">
        <f>IF(OR(N(D13)=0,NOT(ISNUMBER(C13))),"",(C13-D13)/ABS(D13))</f>
        <v/>
      </c>
      <c r="N13" s="94" t="n"/>
      <c r="O13" s="94" t="n"/>
      <c r="P13" s="94" t="n"/>
      <c r="Q13" s="94" t="n"/>
    </row>
    <row r="14">
      <c r="A14" s="50" t="inlineStr">
        <is>
          <t>6.a</t>
        </is>
      </c>
      <c r="B14" s="62" t="inlineStr">
        <is>
          <t>Löhne und Gehälter</t>
        </is>
      </c>
      <c r="C14" s="84" t="n"/>
      <c r="D14" s="84" t="n"/>
      <c r="E14" s="84" t="n"/>
      <c r="F14" s="84" t="n"/>
      <c r="G14" s="84" t="n"/>
      <c r="H14" s="84" t="n"/>
      <c r="I14" s="84" t="n"/>
      <c r="J14" s="84" t="n"/>
      <c r="K14" s="84" t="n"/>
      <c r="L14" s="84" t="n"/>
      <c r="M14" s="91">
        <f>IF(OR(N(D14)=0,NOT(ISNUMBER(C14))),"",(C14-D14)/ABS(D14))</f>
        <v/>
      </c>
      <c r="N14" s="84" t="inlineStr">
        <is>
          <t>6.</t>
        </is>
      </c>
      <c r="O14" s="84" t="inlineStr">
        <is>
          <t>a)</t>
        </is>
      </c>
      <c r="P14" s="84" t="n"/>
      <c r="Q14" s="84" t="n"/>
    </row>
    <row r="15">
      <c r="A15" s="50" t="inlineStr">
        <is>
          <t>6.b</t>
        </is>
      </c>
      <c r="B15" s="62" t="inlineStr">
        <is>
          <t>soziale Abgaben und Aufwendungen für Altersversorgung und für Unterstützung</t>
        </is>
      </c>
      <c r="C15" s="84" t="n"/>
      <c r="D15" s="84" t="n"/>
      <c r="E15" s="84" t="n"/>
      <c r="F15" s="84" t="n"/>
      <c r="G15" s="84" t="n"/>
      <c r="H15" s="84" t="n"/>
      <c r="I15" s="84" t="n"/>
      <c r="J15" s="84" t="n"/>
      <c r="K15" s="84" t="n"/>
      <c r="L15" s="84" t="n"/>
      <c r="M15" s="91">
        <f>IF(OR(N(D15)=0,NOT(ISNUMBER(C15))),"",(C15-D15)/ABS(D15))</f>
        <v/>
      </c>
      <c r="N15" s="84" t="inlineStr">
        <is>
          <t>6.</t>
        </is>
      </c>
      <c r="O15" s="84" t="inlineStr">
        <is>
          <t>b)</t>
        </is>
      </c>
      <c r="P15" s="84" t="n"/>
      <c r="Q15" s="84" t="n"/>
    </row>
    <row r="16">
      <c r="A16" s="50" t="n"/>
      <c r="B16" s="56" t="inlineStr">
        <is>
          <t>davon für Altersversorgung</t>
        </is>
      </c>
      <c r="C16" s="84" t="n"/>
      <c r="D16" s="84" t="n"/>
      <c r="E16" s="84" t="n"/>
      <c r="F16" s="84" t="n"/>
      <c r="G16" s="84" t="n"/>
      <c r="H16" s="84" t="n"/>
      <c r="I16" s="84" t="n"/>
      <c r="J16" s="84" t="n"/>
      <c r="K16" s="84" t="n"/>
      <c r="L16" s="84" t="n"/>
      <c r="M16" s="91">
        <f>IF(OR(N(D16)=0,NOT(ISNUMBER(C16))),"",(C16-D16)/ABS(D16))</f>
        <v/>
      </c>
      <c r="N16" s="84" t="n"/>
      <c r="O16" s="84" t="n"/>
      <c r="P16" s="84" t="n"/>
      <c r="Q16" s="84" t="n"/>
    </row>
    <row r="17">
      <c r="A17" s="92" t="inlineStr">
        <is>
          <t>Summe Personalaufwand</t>
        </is>
      </c>
      <c r="B17" s="93" t="n"/>
      <c r="C17" s="94" t="n"/>
      <c r="D17" s="94" t="n"/>
      <c r="E17" s="94">
        <f>IF(COUNT(C14,C15)=0,"",SUM(C14,C15))</f>
        <v/>
      </c>
      <c r="F17" s="94">
        <f>IF(OR(C17="",E17=""),"",C17-E17)</f>
        <v/>
      </c>
      <c r="G17" s="94">
        <f>IF(F17="","",IF(ROUND(F17,2)=0,"","Abweichung"))</f>
        <v/>
      </c>
      <c r="H17" s="94">
        <f>IF(COUNT(D14,D15)=0,"",SUM(D14,D15))</f>
        <v/>
      </c>
      <c r="I17" s="94">
        <f>IF(OR(D17="",H17=""),"",D17-H17)</f>
        <v/>
      </c>
      <c r="J17" s="94">
        <f>IF(I17="","",IF(ROUND(I17,2)=0,"","Abweichung"))</f>
        <v/>
      </c>
      <c r="K17" s="94" t="n"/>
      <c r="L17" s="94" t="n"/>
      <c r="M17" s="95">
        <f>IF(OR(N(D17)=0,NOT(ISNUMBER(C17))),"",(C17-D17)/ABS(D17))</f>
        <v/>
      </c>
      <c r="N17" s="94" t="inlineStr">
        <is>
          <t>6.</t>
        </is>
      </c>
      <c r="O17" s="94" t="n"/>
      <c r="P17" s="94" t="n"/>
      <c r="Q17" s="94" t="n"/>
    </row>
    <row r="18">
      <c r="A18" s="50" t="inlineStr">
        <is>
          <t>7.a</t>
        </is>
      </c>
      <c r="B18" s="62" t="inlineStr">
        <is>
          <t>auf immaterielle Vermögensgegenstände des Anlagevermögens und Sachanlagen</t>
        </is>
      </c>
      <c r="C18" s="84" t="n"/>
      <c r="D18" s="84" t="n"/>
      <c r="E18" s="84" t="n"/>
      <c r="F18" s="84" t="n"/>
      <c r="G18" s="84" t="n"/>
      <c r="H18" s="84" t="n"/>
      <c r="I18" s="84" t="n"/>
      <c r="J18" s="84" t="n"/>
      <c r="K18" s="84" t="n"/>
      <c r="L18" s="84" t="n"/>
      <c r="M18" s="91">
        <f>IF(OR(N(D18)=0,NOT(ISNUMBER(C18))),"",(C18-D18)/ABS(D18))</f>
        <v/>
      </c>
      <c r="N18" s="84" t="inlineStr">
        <is>
          <t>7.</t>
        </is>
      </c>
      <c r="O18" s="84" t="inlineStr">
        <is>
          <t>a)</t>
        </is>
      </c>
      <c r="P18" s="84" t="n"/>
      <c r="Q18" s="84" t="n"/>
    </row>
    <row r="19">
      <c r="A19" s="50" t="n"/>
      <c r="B19" s="56" t="inlineStr">
        <is>
          <t>davon außerplanmäßige Abschreibungen</t>
        </is>
      </c>
      <c r="C19" s="84" t="n"/>
      <c r="D19" s="84" t="n"/>
      <c r="E19" s="84" t="n"/>
      <c r="F19" s="84" t="n"/>
      <c r="G19" s="84" t="n"/>
      <c r="H19" s="84" t="n"/>
      <c r="I19" s="84" t="n"/>
      <c r="J19" s="84" t="n"/>
      <c r="K19" s="84" t="n"/>
      <c r="L19" s="84" t="n"/>
      <c r="M19" s="91">
        <f>IF(OR(N(D19)=0,NOT(ISNUMBER(C19))),"",(C19-D19)/ABS(D19))</f>
        <v/>
      </c>
      <c r="N19" s="84" t="n"/>
      <c r="O19" s="84" t="n"/>
      <c r="P19" s="84" t="n"/>
      <c r="Q19" s="84" t="n"/>
    </row>
    <row r="20">
      <c r="A20" s="50" t="inlineStr">
        <is>
          <t>7.b</t>
        </is>
      </c>
      <c r="B20" s="62" t="inlineStr">
        <is>
          <t>auf Vermögensgegenstände des Umlaufvermögens, soweit diese die üblichen Abschreibungen überschreiten</t>
        </is>
      </c>
      <c r="C20" s="84" t="n"/>
      <c r="D20" s="84" t="n"/>
      <c r="E20" s="84" t="n"/>
      <c r="F20" s="84" t="n"/>
      <c r="G20" s="84" t="n"/>
      <c r="H20" s="84" t="n"/>
      <c r="I20" s="84" t="n"/>
      <c r="J20" s="84" t="n"/>
      <c r="K20" s="84" t="n"/>
      <c r="L20" s="84" t="n"/>
      <c r="M20" s="91">
        <f>IF(OR(N(D20)=0,NOT(ISNUMBER(C20))),"",(C20-D20)/ABS(D20))</f>
        <v/>
      </c>
      <c r="N20" s="84" t="inlineStr">
        <is>
          <t>7.</t>
        </is>
      </c>
      <c r="O20" s="84" t="inlineStr">
        <is>
          <t>b)</t>
        </is>
      </c>
      <c r="P20" s="84" t="n"/>
      <c r="Q20" s="84" t="n"/>
    </row>
    <row r="21">
      <c r="A21" s="92" t="inlineStr">
        <is>
          <t>Summe Abschreibungen</t>
        </is>
      </c>
      <c r="B21" s="93" t="n"/>
      <c r="C21" s="94" t="n"/>
      <c r="D21" s="94" t="n"/>
      <c r="E21" s="94">
        <f>IF(COUNT(C18,C20)=0,"",SUM(C18,C20))</f>
        <v/>
      </c>
      <c r="F21" s="94">
        <f>IF(OR(C21="",E21=""),"",C21-E21)</f>
        <v/>
      </c>
      <c r="G21" s="94">
        <f>IF(F21="","",IF(ROUND(F21,2)=0,"","Abweichung"))</f>
        <v/>
      </c>
      <c r="H21" s="94">
        <f>IF(COUNT(D18,D20)=0,"",SUM(D18,D20))</f>
        <v/>
      </c>
      <c r="I21" s="94">
        <f>IF(OR(D21="",H21=""),"",D21-H21)</f>
        <v/>
      </c>
      <c r="J21" s="94">
        <f>IF(I21="","",IF(ROUND(I21,2)=0,"","Abweichung"))</f>
        <v/>
      </c>
      <c r="K21" s="94" t="n"/>
      <c r="L21" s="94" t="n"/>
      <c r="M21" s="95">
        <f>IF(OR(N(D21)=0,NOT(ISNUMBER(C21))),"",(C21-D21)/ABS(D21))</f>
        <v/>
      </c>
      <c r="N21" s="94" t="inlineStr">
        <is>
          <t>7.</t>
        </is>
      </c>
      <c r="O21" s="94" t="n"/>
      <c r="P21" s="94" t="n"/>
      <c r="Q21" s="94" t="n"/>
    </row>
    <row r="22">
      <c r="A22" s="50" t="inlineStr">
        <is>
          <t>8.</t>
        </is>
      </c>
      <c r="B22" s="63" t="inlineStr">
        <is>
          <t>sonstige betriebliche Aufwendungen</t>
        </is>
      </c>
      <c r="C22" s="84" t="n"/>
      <c r="D22" s="84" t="n"/>
      <c r="E22" s="84" t="n"/>
      <c r="F22" s="84" t="n"/>
      <c r="G22" s="84" t="n"/>
      <c r="H22" s="84" t="n"/>
      <c r="I22" s="84" t="n"/>
      <c r="J22" s="84" t="n"/>
      <c r="K22" s="84" t="n"/>
      <c r="L22" s="84" t="n"/>
      <c r="M22" s="91">
        <f>IF(OR(N(D22)=0,NOT(ISNUMBER(C22))),"",(C22-D22)/ABS(D22))</f>
        <v/>
      </c>
      <c r="N22" s="84" t="inlineStr">
        <is>
          <t>8.</t>
        </is>
      </c>
      <c r="O22" s="84" t="n"/>
      <c r="P22" s="84" t="n"/>
      <c r="Q22" s="84" t="n"/>
    </row>
    <row r="23">
      <c r="A23" s="50" t="n"/>
      <c r="B23" s="62" t="inlineStr">
        <is>
          <t>davon Aufwendungen aus der Währungsumrechnung</t>
        </is>
      </c>
      <c r="C23" s="84" t="n"/>
      <c r="D23" s="84" t="n"/>
      <c r="E23" s="84" t="n"/>
      <c r="F23" s="84" t="n"/>
      <c r="G23" s="84" t="n"/>
      <c r="H23" s="84" t="n"/>
      <c r="I23" s="84" t="n"/>
      <c r="J23" s="84" t="n"/>
      <c r="K23" s="84" t="n"/>
      <c r="L23" s="84" t="n"/>
      <c r="M23" s="91">
        <f>IF(OR(N(D23)=0,NOT(ISNUMBER(C23))),"",(C23-D23)/ABS(D23))</f>
        <v/>
      </c>
      <c r="N23" s="84" t="n"/>
      <c r="O23" s="84" t="n"/>
      <c r="P23" s="84" t="n"/>
      <c r="Q23" s="84" t="n"/>
    </row>
    <row r="24">
      <c r="A24" s="50" t="inlineStr">
        <is>
          <t>9.</t>
        </is>
      </c>
      <c r="B24" s="63" t="inlineStr">
        <is>
          <t>Erträge aus Beteiligungen</t>
        </is>
      </c>
      <c r="C24" s="84" t="n"/>
      <c r="D24" s="84" t="n"/>
      <c r="E24" s="84" t="n"/>
      <c r="F24" s="84" t="n"/>
      <c r="G24" s="84" t="n"/>
      <c r="H24" s="84" t="n"/>
      <c r="I24" s="84" t="n"/>
      <c r="J24" s="84" t="n"/>
      <c r="K24" s="84" t="n"/>
      <c r="L24" s="84" t="n"/>
      <c r="M24" s="91">
        <f>IF(OR(N(D24)=0,NOT(ISNUMBER(C24))),"",(C24-D24)/ABS(D24))</f>
        <v/>
      </c>
      <c r="N24" s="84" t="inlineStr">
        <is>
          <t>9.</t>
        </is>
      </c>
      <c r="O24" s="84" t="n"/>
      <c r="P24" s="84" t="n"/>
      <c r="Q24" s="84" t="n"/>
    </row>
    <row r="25">
      <c r="A25" s="50" t="n"/>
      <c r="B25" s="62" t="inlineStr">
        <is>
          <t>davon aus verbundenen Unternehmen</t>
        </is>
      </c>
      <c r="C25" s="84" t="n"/>
      <c r="D25" s="84" t="n"/>
      <c r="E25" s="84" t="n"/>
      <c r="F25" s="84" t="n"/>
      <c r="G25" s="84" t="n"/>
      <c r="H25" s="84" t="n"/>
      <c r="I25" s="84" t="n"/>
      <c r="J25" s="84" t="n"/>
      <c r="K25" s="84" t="n"/>
      <c r="L25" s="84" t="n"/>
      <c r="M25" s="91">
        <f>IF(OR(N(D25)=0,NOT(ISNUMBER(C25))),"",(C25-D25)/ABS(D25))</f>
        <v/>
      </c>
      <c r="N25" s="84" t="n"/>
      <c r="O25" s="84" t="n"/>
      <c r="P25" s="84" t="n"/>
      <c r="Q25" s="84" t="n"/>
    </row>
    <row r="26">
      <c r="A26" s="50" t="n"/>
      <c r="B26" s="63" t="inlineStr">
        <is>
          <t>Auf Grund einer Gewinngemeinschaft, eines Gewinnabführungs- oder eines Teilgewinnabführungsvertrags erhaltene Gewinne</t>
        </is>
      </c>
      <c r="C26" s="84" t="n"/>
      <c r="D26" s="84" t="n"/>
      <c r="E26" s="84" t="n"/>
      <c r="F26" s="84" t="n"/>
      <c r="G26" s="84" t="n"/>
      <c r="H26" s="84" t="n"/>
      <c r="I26" s="84" t="n"/>
      <c r="J26" s="84" t="n"/>
      <c r="K26" s="84" t="n"/>
      <c r="L26" s="84" t="n"/>
      <c r="M26" s="91">
        <f>IF(OR(N(D26)=0,NOT(ISNUMBER(C26))),"",(C26-D26)/ABS(D26))</f>
        <v/>
      </c>
      <c r="N26" s="84" t="n"/>
      <c r="O26" s="84" t="n"/>
      <c r="P26" s="84" t="n"/>
      <c r="Q26" s="84" t="n"/>
    </row>
    <row r="27">
      <c r="A27" s="50" t="inlineStr">
        <is>
          <t>10.</t>
        </is>
      </c>
      <c r="B27" s="63" t="inlineStr">
        <is>
          <t>Erträge aus anderen Wertpapieren und Ausleihungen des Finanzanlagevermögens</t>
        </is>
      </c>
      <c r="C27" s="84" t="n"/>
      <c r="D27" s="84" t="n"/>
      <c r="E27" s="84" t="n"/>
      <c r="F27" s="84" t="n"/>
      <c r="G27" s="84" t="n"/>
      <c r="H27" s="84" t="n"/>
      <c r="I27" s="84" t="n"/>
      <c r="J27" s="84" t="n"/>
      <c r="K27" s="84" t="n"/>
      <c r="L27" s="84" t="n"/>
      <c r="M27" s="91">
        <f>IF(OR(N(D27)=0,NOT(ISNUMBER(C27))),"",(C27-D27)/ABS(D27))</f>
        <v/>
      </c>
      <c r="N27" s="84" t="inlineStr">
        <is>
          <t>10.</t>
        </is>
      </c>
      <c r="O27" s="84" t="n"/>
      <c r="P27" s="84" t="n"/>
      <c r="Q27" s="84" t="n"/>
    </row>
    <row r="28">
      <c r="A28" s="50" t="n"/>
      <c r="B28" s="62" t="inlineStr">
        <is>
          <t>davon aus verbundenen Unternehmen</t>
        </is>
      </c>
      <c r="C28" s="84" t="n"/>
      <c r="D28" s="84" t="n"/>
      <c r="E28" s="84" t="n"/>
      <c r="F28" s="84" t="n"/>
      <c r="G28" s="84" t="n"/>
      <c r="H28" s="84" t="n"/>
      <c r="I28" s="84" t="n"/>
      <c r="J28" s="84" t="n"/>
      <c r="K28" s="84" t="n"/>
      <c r="L28" s="84" t="n"/>
      <c r="M28" s="91">
        <f>IF(OR(N(D28)=0,NOT(ISNUMBER(C28))),"",(C28-D28)/ABS(D28))</f>
        <v/>
      </c>
      <c r="N28" s="84" t="n"/>
      <c r="O28" s="84" t="n"/>
      <c r="P28" s="84" t="n"/>
      <c r="Q28" s="84" t="n"/>
    </row>
    <row r="29">
      <c r="A29" s="50" t="inlineStr">
        <is>
          <t>11.</t>
        </is>
      </c>
      <c r="B29" s="63" t="inlineStr">
        <is>
          <t>sonstige Zinsen und ähnliche Erträge</t>
        </is>
      </c>
      <c r="C29" s="84" t="n"/>
      <c r="D29" s="84" t="n"/>
      <c r="E29" s="84" t="n"/>
      <c r="F29" s="84" t="n"/>
      <c r="G29" s="84" t="n"/>
      <c r="H29" s="84" t="n"/>
      <c r="I29" s="84" t="n"/>
      <c r="J29" s="84" t="n"/>
      <c r="K29" s="84" t="n"/>
      <c r="L29" s="84" t="n"/>
      <c r="M29" s="91">
        <f>IF(OR(N(D29)=0,NOT(ISNUMBER(C29))),"",(C29-D29)/ABS(D29))</f>
        <v/>
      </c>
      <c r="N29" s="84" t="inlineStr">
        <is>
          <t>11.</t>
        </is>
      </c>
      <c r="O29" s="84" t="n"/>
      <c r="P29" s="84" t="n"/>
      <c r="Q29" s="84" t="n"/>
    </row>
    <row r="30">
      <c r="A30" s="50" t="n"/>
      <c r="B30" s="62" t="inlineStr">
        <is>
          <t>davon aus verbundenen Unternehmen</t>
        </is>
      </c>
      <c r="C30" s="84" t="n"/>
      <c r="D30" s="84" t="n"/>
      <c r="E30" s="84" t="n"/>
      <c r="F30" s="84" t="n"/>
      <c r="G30" s="84" t="n"/>
      <c r="H30" s="84" t="n"/>
      <c r="I30" s="84" t="n"/>
      <c r="J30" s="84" t="n"/>
      <c r="K30" s="84" t="n"/>
      <c r="L30" s="84" t="n"/>
      <c r="M30" s="91">
        <f>IF(OR(N(D30)=0,NOT(ISNUMBER(C30))),"",(C30-D30)/ABS(D30))</f>
        <v/>
      </c>
      <c r="N30" s="84" t="n"/>
      <c r="O30" s="84" t="n"/>
      <c r="P30" s="84" t="n"/>
      <c r="Q30" s="84" t="n"/>
    </row>
    <row r="31">
      <c r="A31" s="50" t="n"/>
      <c r="B31" s="62" t="inlineStr">
        <is>
          <t>davon Erträge aus der Abzinsung</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12.</t>
        </is>
      </c>
      <c r="B32" s="63" t="inlineStr">
        <is>
          <t>Abschreibungen auf Finanzanlagen und auf Wertpapiere des Umlaufvermögens</t>
        </is>
      </c>
      <c r="C32" s="84" t="n"/>
      <c r="D32" s="84" t="n"/>
      <c r="E32" s="84" t="n"/>
      <c r="F32" s="84" t="n"/>
      <c r="G32" s="84" t="n"/>
      <c r="H32" s="84" t="n"/>
      <c r="I32" s="84" t="n"/>
      <c r="J32" s="84" t="n"/>
      <c r="K32" s="84" t="n"/>
      <c r="L32" s="84" t="n"/>
      <c r="M32" s="91">
        <f>IF(OR(N(D32)=0,NOT(ISNUMBER(C32))),"",(C32-D32)/ABS(D32))</f>
        <v/>
      </c>
      <c r="N32" s="84" t="inlineStr">
        <is>
          <t>12.</t>
        </is>
      </c>
      <c r="O32" s="84" t="n"/>
      <c r="P32" s="84" t="n"/>
      <c r="Q32" s="84" t="n"/>
    </row>
    <row r="33">
      <c r="A33" s="50" t="n"/>
      <c r="B33" s="62" t="inlineStr">
        <is>
          <t>davon außerplanmäßige Abschreibungen</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n"/>
      <c r="B34" s="63" t="inlineStr">
        <is>
          <t>Aufwendungen aus Verlustübernahme</t>
        </is>
      </c>
      <c r="C34" s="84" t="n"/>
      <c r="D34" s="84" t="n"/>
      <c r="E34" s="84" t="n"/>
      <c r="F34" s="84" t="n"/>
      <c r="G34" s="84" t="n"/>
      <c r="H34" s="84" t="n"/>
      <c r="I34" s="84" t="n"/>
      <c r="J34" s="84" t="n"/>
      <c r="K34" s="84" t="n"/>
      <c r="L34" s="84" t="n"/>
      <c r="M34" s="91">
        <f>IF(OR(N(D34)=0,NOT(ISNUMBER(C34))),"",(C34-D34)/ABS(D34))</f>
        <v/>
      </c>
      <c r="N34" s="84" t="n"/>
      <c r="O34" s="84" t="n"/>
      <c r="P34" s="84" t="n"/>
      <c r="Q34" s="84" t="n"/>
    </row>
    <row r="35">
      <c r="A35" s="50" t="inlineStr">
        <is>
          <t>13.</t>
        </is>
      </c>
      <c r="B35" s="63" t="inlineStr">
        <is>
          <t>Zinsen und ähnliche Aufwendungen</t>
        </is>
      </c>
      <c r="C35" s="84" t="n"/>
      <c r="D35" s="84" t="n"/>
      <c r="E35" s="84" t="n"/>
      <c r="F35" s="84" t="n"/>
      <c r="G35" s="84" t="n"/>
      <c r="H35" s="84" t="n"/>
      <c r="I35" s="84" t="n"/>
      <c r="J35" s="84" t="n"/>
      <c r="K35" s="84" t="n"/>
      <c r="L35" s="84" t="n"/>
      <c r="M35" s="91">
        <f>IF(OR(N(D35)=0,NOT(ISNUMBER(C35))),"",(C35-D35)/ABS(D35))</f>
        <v/>
      </c>
      <c r="N35" s="84" t="inlineStr">
        <is>
          <t>13.</t>
        </is>
      </c>
      <c r="O35" s="84" t="n"/>
      <c r="P35" s="84" t="n"/>
      <c r="Q35" s="84" t="n"/>
    </row>
    <row r="36">
      <c r="A36" s="50" t="n"/>
      <c r="B36" s="62" t="inlineStr">
        <is>
          <t>davon an verbundene Unternehmen</t>
        </is>
      </c>
      <c r="C36" s="84" t="n"/>
      <c r="D36" s="84" t="n"/>
      <c r="E36" s="84" t="n"/>
      <c r="F36" s="84" t="n"/>
      <c r="G36" s="84" t="n"/>
      <c r="H36" s="84" t="n"/>
      <c r="I36" s="84" t="n"/>
      <c r="J36" s="84" t="n"/>
      <c r="K36" s="84" t="n"/>
      <c r="L36" s="84" t="n"/>
      <c r="M36" s="91">
        <f>IF(OR(N(D36)=0,NOT(ISNUMBER(C36))),"",(C36-D36)/ABS(D36))</f>
        <v/>
      </c>
      <c r="N36" s="84" t="n"/>
      <c r="O36" s="84" t="n"/>
      <c r="P36" s="84" t="n"/>
      <c r="Q36" s="84" t="n"/>
    </row>
    <row r="37">
      <c r="A37" s="50" t="n"/>
      <c r="B37" s="62" t="inlineStr">
        <is>
          <t>davon Aufwendungen aus der Aufzinsung</t>
        </is>
      </c>
      <c r="C37" s="84" t="n"/>
      <c r="D37" s="84" t="n"/>
      <c r="E37" s="84" t="n"/>
      <c r="F37" s="84" t="n"/>
      <c r="G37" s="84" t="n"/>
      <c r="H37" s="84" t="n"/>
      <c r="I37" s="84" t="n"/>
      <c r="J37" s="84" t="n"/>
      <c r="K37" s="84" t="n"/>
      <c r="L37" s="84" t="n"/>
      <c r="M37" s="91">
        <f>IF(OR(N(D37)=0,NOT(ISNUMBER(C37))),"",(C37-D37)/ABS(D37))</f>
        <v/>
      </c>
      <c r="N37" s="84" t="n"/>
      <c r="O37" s="84" t="n"/>
      <c r="P37" s="84" t="n"/>
      <c r="Q37" s="84" t="n"/>
    </row>
    <row r="38">
      <c r="A38" s="50" t="inlineStr">
        <is>
          <t>14.</t>
        </is>
      </c>
      <c r="B38" s="63" t="inlineStr">
        <is>
          <t>Steuern vom Einkommen und vom Ertrag</t>
        </is>
      </c>
      <c r="C38" s="84" t="n"/>
      <c r="D38" s="84" t="n"/>
      <c r="E38" s="84" t="n"/>
      <c r="F38" s="84" t="n"/>
      <c r="G38" s="84" t="n"/>
      <c r="H38" s="84" t="n"/>
      <c r="I38" s="84" t="n"/>
      <c r="J38" s="84" t="n"/>
      <c r="K38" s="84" t="n"/>
      <c r="L38" s="84" t="n"/>
      <c r="M38" s="91">
        <f>IF(OR(N(D38)=0,NOT(ISNUMBER(C38))),"",(C38-D38)/ABS(D38))</f>
        <v/>
      </c>
      <c r="N38" s="84" t="inlineStr">
        <is>
          <t>14.</t>
        </is>
      </c>
      <c r="O38" s="84" t="n"/>
      <c r="P38" s="84" t="n"/>
      <c r="Q38" s="84" t="n"/>
    </row>
    <row r="39">
      <c r="A39" s="50" t="n"/>
      <c r="B39" s="62" t="inlineStr">
        <is>
          <t>davon latente Steuern</t>
        </is>
      </c>
      <c r="C39" s="84" t="n"/>
      <c r="D39" s="84" t="n"/>
      <c r="E39" s="84" t="n"/>
      <c r="F39" s="84" t="n"/>
      <c r="G39" s="84" t="n"/>
      <c r="H39" s="84" t="n"/>
      <c r="I39" s="84" t="n"/>
      <c r="J39" s="84" t="n"/>
      <c r="K39" s="84" t="n"/>
      <c r="L39" s="84" t="n"/>
      <c r="M39" s="91">
        <f>IF(OR(N(D39)=0,NOT(ISNUMBER(C39))),"",(C39-D39)/ABS(D39))</f>
        <v/>
      </c>
      <c r="N39" s="84" t="n"/>
      <c r="O39" s="84" t="n"/>
      <c r="P39" s="84" t="n"/>
      <c r="Q39" s="84" t="n"/>
    </row>
    <row r="40">
      <c r="A40" s="92" t="inlineStr">
        <is>
          <t>Summe Ergebnis nach Steuern</t>
        </is>
      </c>
      <c r="B40" s="93" t="n"/>
      <c r="C40" s="94" t="n"/>
      <c r="D40" s="94" t="n"/>
      <c r="E40" s="94">
        <f>IF(COUNT(C5,C6,C7,C8,C12,C10,C11,C13,C17,C14,C15,C21,C18,C20,C22,C24,C26,C27,C29,C32,C34,C35,C38)=0,"",IF(C13="",ABS(C5)+C6+ABS(C7)+ABS(C8)+IF(C12="",-ABS(C10)-ABS(C11),-ABS(C12)),C13)+IF(C17="",-ABS(C14)-ABS(C15),-ABS(C17))+IF(C21="",-ABS(C18)-ABS(C20),-ABS(C21))-ABS(C22)+ABS(C24)+ABS(C26)+ABS(C27)+ABS(C29)-ABS(C32)-ABS(C34)-ABS(C35)-ABS(C38))</f>
        <v/>
      </c>
      <c r="F40" s="94">
        <f>IF(OR(C40="",E40=""),"",IF(ROUND(C40-(IF(C13="",C5+C6+C7+C8+IF(C12="",C10+C11,C12),C13)+IF(C17="",C14+C15,C17)+IF(C21="",C18+C20,C21)+C22+C24+C26+C27+C29+C32+C34+C35+C38),2)=0,0,C40-(E40)))</f>
        <v/>
      </c>
      <c r="G40" s="94">
        <f>IF(F40="","",IF(ROUND(F40,2)=0,"","Abweichung"))</f>
        <v/>
      </c>
      <c r="H40" s="94">
        <f>IF(COUNT(D5,D6,D7,D8,D12,D10,D11,D13,D17,D14,D15,D21,D18,D20,D22,D24,D26,D27,D29,D32,D34,D35,D38)=0,"",IF(D13="",ABS(D5)+D6+ABS(D7)+ABS(D8)+IF(D12="",-ABS(D10)-ABS(D11),-ABS(D12)),D13)+IF(D17="",-ABS(D14)-ABS(D15),-ABS(D17))+IF(D21="",-ABS(D18)-ABS(D20),-ABS(D21))-ABS(D22)+ABS(D24)+ABS(D26)+ABS(D27)+ABS(D29)-ABS(D32)-ABS(D34)-ABS(D35)-ABS(D38))</f>
        <v/>
      </c>
      <c r="I40" s="94">
        <f>IF(OR(D40="",H40=""),"",IF(ROUND(D40-(IF(D13="",D5+D6+D7+D8+IF(D12="",D10+D11,D12),D13)+IF(D17="",D14+D15,D17)+IF(D21="",D18+D20,D21)+D22+D24+D26+D27+D29+D32+D34+D35+D38),2)=0,0,D40-(H40)))</f>
        <v/>
      </c>
      <c r="J40" s="94">
        <f>IF(I40="","",IF(ROUND(I40,2)=0,"","Abweichung"))</f>
        <v/>
      </c>
      <c r="K40" s="94" t="n"/>
      <c r="L40" s="94" t="n"/>
      <c r="M40" s="95">
        <f>IF(OR(N(D40)=0,NOT(ISNUMBER(C40))),"",(C40-D40)/ABS(D40))</f>
        <v/>
      </c>
      <c r="N40" s="94" t="inlineStr">
        <is>
          <t>15.</t>
        </is>
      </c>
      <c r="O40" s="94" t="n"/>
      <c r="P40" s="94" t="n"/>
      <c r="Q40" s="94" t="n"/>
    </row>
    <row r="41">
      <c r="A41" s="50" t="inlineStr">
        <is>
          <t>16.</t>
        </is>
      </c>
      <c r="B41" s="63" t="inlineStr">
        <is>
          <t>sonstige Steuern</t>
        </is>
      </c>
      <c r="C41" s="84" t="n"/>
      <c r="D41" s="84" t="n"/>
      <c r="E41" s="84" t="n"/>
      <c r="F41" s="84" t="n"/>
      <c r="G41" s="84" t="n"/>
      <c r="H41" s="84" t="n"/>
      <c r="I41" s="84" t="n"/>
      <c r="J41" s="84" t="n"/>
      <c r="K41" s="84" t="n"/>
      <c r="L41" s="84" t="n"/>
      <c r="M41" s="91">
        <f>IF(OR(N(D41)=0,NOT(ISNUMBER(C41))),"",(C41-D41)/ABS(D41))</f>
        <v/>
      </c>
      <c r="N41" s="84" t="inlineStr">
        <is>
          <t>16.</t>
        </is>
      </c>
      <c r="O41" s="84" t="n"/>
      <c r="P41" s="84" t="n"/>
      <c r="Q41" s="84" t="n"/>
    </row>
    <row r="42">
      <c r="A42" s="50" t="n"/>
      <c r="B42" s="63" t="inlineStr">
        <is>
          <t>Erträge aus Verlustübernahme</t>
        </is>
      </c>
      <c r="C42" s="84" t="n"/>
      <c r="D42" s="84" t="n"/>
      <c r="E42" s="84" t="n"/>
      <c r="F42" s="84" t="n"/>
      <c r="G42" s="84" t="n"/>
      <c r="H42" s="84" t="n"/>
      <c r="I42" s="84" t="n"/>
      <c r="J42" s="84" t="n"/>
      <c r="K42" s="84" t="n"/>
      <c r="L42" s="84" t="n"/>
      <c r="M42" s="91">
        <f>IF(OR(N(D42)=0,NOT(ISNUMBER(C42))),"",(C42-D42)/ABS(D42))</f>
        <v/>
      </c>
      <c r="N42" s="84" t="n"/>
      <c r="O42" s="84" t="n"/>
      <c r="P42" s="84" t="n"/>
      <c r="Q42" s="84" t="n"/>
    </row>
    <row r="43">
      <c r="A43" s="50" t="n"/>
      <c r="B43" s="63" t="inlineStr">
        <is>
          <t>Auf Grund einer Gewinngemeinschaft, eines Gewinnabführungs- oder eines Teilgewinnabführungsvertrags abgeführte Gewinne</t>
        </is>
      </c>
      <c r="C43" s="84" t="n"/>
      <c r="D43" s="84" t="n"/>
      <c r="E43" s="84" t="n"/>
      <c r="F43" s="84" t="n"/>
      <c r="G43" s="84" t="n"/>
      <c r="H43" s="84" t="n"/>
      <c r="I43" s="84" t="n"/>
      <c r="J43" s="84" t="n"/>
      <c r="K43" s="84" t="n"/>
      <c r="L43" s="84" t="n"/>
      <c r="M43" s="91">
        <f>IF(OR(N(D43)=0,NOT(ISNUMBER(C43))),"",(C43-D43)/ABS(D43))</f>
        <v/>
      </c>
      <c r="N43" s="84" t="n"/>
      <c r="O43" s="84" t="n"/>
      <c r="P43" s="84" t="n"/>
      <c r="Q43" s="84" t="n"/>
    </row>
    <row r="44">
      <c r="A44" s="96" t="inlineStr">
        <is>
          <t>Summe Jahresüberschuss / Jahresfehlbetrag</t>
        </is>
      </c>
      <c r="B44" s="97" t="n"/>
      <c r="C44" s="98" t="n"/>
      <c r="D44" s="98" t="n"/>
      <c r="E44" s="98">
        <f>IF(COUNT(C5,C6,C7,C8,C12,C10,C11,C13,C17,C14,C15,C21,C18,C20,C22,C24,C26,C27,C29,C32,C34,C35,C38,C41,C42,C43)=0,"",IF(C13="",ABS(C5)+C6+ABS(C7)+ABS(C8)+IF(C12="",-ABS(C10)-ABS(C11),-ABS(C12)),C13)+IF(C17="",-ABS(C14)-ABS(C15),-ABS(C17))+IF(C21="",-ABS(C18)-ABS(C20),-ABS(C21))-ABS(C22)+ABS(C24)+ABS(C26)+ABS(C27)+ABS(C29)-ABS(C32)-ABS(C34)-ABS(C35)-ABS(C38)-ABS(C41)+ABS(C42)-ABS(C43))</f>
        <v/>
      </c>
      <c r="F44" s="98">
        <f>IF(OR(C44="",E44=""),"",IF(ROUND(C44-(IF(C13="",C5+C6+C7+C8+IF(C12="",C10+C11,C12),C13)+IF(C17="",C14+C15,C17)+IF(C21="",C18+C20,C21)+C22+C24+C26+C27+C29+C32+C34+C35+C38+C41+C42+C43),2)=0,0,C44-(E44)))</f>
        <v/>
      </c>
      <c r="G44" s="98">
        <f>IF(F44="","",IF(ROUND(F44,2)=0,"","Abweichung"))</f>
        <v/>
      </c>
      <c r="H44" s="98">
        <f>IF(COUNT(D5,D6,D7,D8,D12,D10,D11,D13,D17,D14,D15,D21,D18,D20,D22,D24,D26,D27,D29,D32,D34,D35,D38,D41,D42,D43)=0,"",IF(D13="",ABS(D5)+D6+ABS(D7)+ABS(D8)+IF(D12="",-ABS(D10)-ABS(D11),-ABS(D12)),D13)+IF(D17="",-ABS(D14)-ABS(D15),-ABS(D17))+IF(D21="",-ABS(D18)-ABS(D20),-ABS(D21))-ABS(D22)+ABS(D24)+ABS(D26)+ABS(D27)+ABS(D29)-ABS(D32)-ABS(D34)-ABS(D35)-ABS(D38)-ABS(D41)+ABS(D42)-ABS(D43))</f>
        <v/>
      </c>
      <c r="I44" s="98">
        <f>IF(OR(D44="",H44=""),"",IF(ROUND(D44-(IF(D13="",D5+D6+D7+D8+IF(D12="",D10+D11,D12),D13)+IF(D17="",D14+D15,D17)+IF(D21="",D18+D20,D21)+D22+D24+D26+D27+D29+D32+D34+D35+D38+D41+D42+D43),2)=0,0,D44-(H44)))</f>
        <v/>
      </c>
      <c r="J44" s="98">
        <f>IF(I44="","",IF(ROUND(I44,2)=0,"","Abweichung"))</f>
        <v/>
      </c>
      <c r="K44" s="98" t="n"/>
      <c r="L44" s="98" t="n"/>
      <c r="M44" s="99">
        <f>IF(OR(N(D44)=0,NOT(ISNUMBER(C44))),"",(C44-D44)/ABS(D44))</f>
        <v/>
      </c>
      <c r="N44" s="98" t="inlineStr">
        <is>
          <t>17.</t>
        </is>
      </c>
      <c r="O44" s="98" t="n"/>
      <c r="P44" s="98" t="n"/>
      <c r="Q44" s="98" t="n"/>
    </row>
    <row r="45">
      <c r="A45" s="50" t="n"/>
      <c r="B45" s="63" t="inlineStr">
        <is>
          <t>Gewinnvortrag/Verlustvortrag aus dem Vorjahr</t>
        </is>
      </c>
      <c r="C45" s="84" t="n"/>
      <c r="D45" s="84" t="n"/>
      <c r="E45" s="84" t="n"/>
      <c r="F45" s="84" t="n"/>
      <c r="G45" s="84" t="n"/>
      <c r="H45" s="84" t="n"/>
      <c r="I45" s="84" t="n"/>
      <c r="J45" s="84" t="n"/>
      <c r="K45" s="84" t="n"/>
      <c r="L45" s="84" t="n"/>
      <c r="M45" s="91">
        <f>IF(OR(N(D45)=0,NOT(ISNUMBER(C45))),"",(C45-D45)/ABS(D45))</f>
        <v/>
      </c>
      <c r="N45" s="84" t="n"/>
      <c r="O45" s="84" t="n"/>
      <c r="P45" s="84" t="n"/>
      <c r="Q45" s="84" t="n"/>
    </row>
    <row r="46">
      <c r="A46" s="68" t="n"/>
      <c r="B46" s="69" t="inlineStr">
        <is>
          <t>Bilanzgewinn/Bilanzverlust</t>
        </is>
      </c>
      <c r="C46" s="101" t="n"/>
      <c r="D46" s="101" t="n"/>
      <c r="E46" s="101" t="n"/>
      <c r="F46" s="101" t="n"/>
      <c r="G46" s="101" t="n"/>
      <c r="H46" s="101" t="n"/>
      <c r="I46" s="101" t="n"/>
      <c r="J46" s="101" t="n"/>
      <c r="K46" s="101" t="n"/>
      <c r="L46" s="101" t="n"/>
      <c r="M46" s="102">
        <f>IF(OR(N(D46)=0,NOT(ISNUMBER(C46))),"",(C46-D46)/ABS(D46))</f>
        <v/>
      </c>
      <c r="N46" s="101" t="n"/>
      <c r="O46" s="101" t="n"/>
      <c r="P46" s="101" t="n"/>
      <c r="Q46" s="101" t="n"/>
    </row>
  </sheetData>
  <mergeCells count="6">
    <mergeCell ref="A21:B21"/>
    <mergeCell ref="A13:B13"/>
    <mergeCell ref="A44:B44"/>
    <mergeCell ref="A17:B17"/>
    <mergeCell ref="A40:B40"/>
    <mergeCell ref="A12:B1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GuV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O2:P3"/>
  <sheetViews>
    <sheetView workbookViewId="0">
      <selection activeCell="A1" sqref="A1"/>
    </sheetView>
  </sheetViews>
  <sheetFormatPr baseColWidth="8" defaultRowHeight="15"/>
  <cols>
    <col width="34" customWidth="1" min="15" max="15"/>
  </cols>
  <sheetData>
    <row r="2">
      <c r="O2" s="51" t="inlineStr">
        <is>
          <t>Toleranz Σ Saldo (gerechnet) (EUR)</t>
        </is>
      </c>
      <c r="P2" s="32" t="n">
        <v>0.005</v>
      </c>
    </row>
    <row r="3">
      <c r="O3" s="51" t="inlineStr">
        <is>
          <t>Toleranz Σ JVZ Soll − Haben (EUR)</t>
        </is>
      </c>
      <c r="P3" s="32" t="n">
        <v>0.005</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53"/>
  <sheetViews>
    <sheetView workbookViewId="0">
      <selection activeCell="A1" sqref="A1"/>
    </sheetView>
  </sheetViews>
  <sheetFormatPr baseColWidth="8" defaultRowHeight="15"/>
  <sheetData>
    <row r="1">
      <c r="A1" t="inlineStr">
        <is>
          <t>Eingangsrechnung</t>
        </is>
      </c>
    </row>
    <row r="2">
      <c r="A2" t="inlineStr">
        <is>
          <t>Lieferschein</t>
        </is>
      </c>
    </row>
    <row r="3">
      <c r="A3" t="inlineStr">
        <is>
          <t>Bestellung</t>
        </is>
      </c>
    </row>
    <row r="4">
      <c r="A4" t="inlineStr">
        <is>
          <t>Genehmigung</t>
        </is>
      </c>
    </row>
    <row r="5">
      <c r="A5" t="inlineStr">
        <is>
          <t>Zahlungsnachweis</t>
        </is>
      </c>
    </row>
    <row r="6">
      <c r="A6" t="inlineStr">
        <is>
          <t>Abnahmeprotokoll</t>
        </is>
      </c>
    </row>
    <row r="7">
      <c r="A7" t="inlineStr">
        <is>
          <t>Kaufvertrag</t>
        </is>
      </c>
    </row>
    <row r="8">
      <c r="A8" t="inlineStr">
        <is>
          <t>Notarvertrag</t>
        </is>
      </c>
    </row>
    <row r="9">
      <c r="A9" t="inlineStr">
        <is>
          <t>Grundbuchauszug</t>
        </is>
      </c>
    </row>
    <row r="10">
      <c r="A10" t="inlineStr">
        <is>
          <t>Belege zu Anschaffungsnebenkosten</t>
        </is>
      </c>
    </row>
    <row r="11">
      <c r="A11" t="inlineStr">
        <is>
          <t>Kostenträgerrechnung</t>
        </is>
      </c>
    </row>
    <row r="12">
      <c r="A12" t="inlineStr">
        <is>
          <t>Projektkostenliste</t>
        </is>
      </c>
    </row>
    <row r="13">
      <c r="A13" t="inlineStr">
        <is>
          <t>Leasingvertrag</t>
        </is>
      </c>
    </row>
    <row r="14">
      <c r="A14" t="inlineStr">
        <is>
          <t>Gutschrift</t>
        </is>
      </c>
    </row>
    <row r="15">
      <c r="A15" t="inlineStr">
        <is>
          <t>Frachtbrief</t>
        </is>
      </c>
    </row>
    <row r="16">
      <c r="A16" t="inlineStr">
        <is>
          <t>Grunderwerbsteuerbescheid</t>
        </is>
      </c>
    </row>
    <row r="17">
      <c r="A17" t="inlineStr">
        <is>
          <t>Notar-/Gerichtskostenrechnung</t>
        </is>
      </c>
    </row>
    <row r="18">
      <c r="A18" t="inlineStr">
        <is>
          <t>Zuwendungsbescheid</t>
        </is>
      </c>
    </row>
    <row r="19">
      <c r="A19" t="inlineStr">
        <is>
          <t>Marktwertnachweis</t>
        </is>
      </c>
    </row>
    <row r="20">
      <c r="A20" t="inlineStr">
        <is>
          <t>Übergabeprotokoll</t>
        </is>
      </c>
    </row>
    <row r="21">
      <c r="A21" t="inlineStr">
        <is>
          <t>Übernahmebestätigung</t>
        </is>
      </c>
    </row>
    <row r="22">
      <c r="A22" t="inlineStr">
        <is>
          <t>Werkvertrag</t>
        </is>
      </c>
    </row>
    <row r="23">
      <c r="A23" t="inlineStr">
        <is>
          <t>Stundennachweis</t>
        </is>
      </c>
    </row>
    <row r="24">
      <c r="A24" t="inlineStr">
        <is>
          <t>Lizenzvertrag</t>
        </is>
      </c>
    </row>
    <row r="25">
      <c r="A25" t="inlineStr">
        <is>
          <t>Projektdokumentation</t>
        </is>
      </c>
    </row>
    <row r="26">
      <c r="A26" t="inlineStr">
        <is>
          <t>Tauschvertrag</t>
        </is>
      </c>
    </row>
    <row r="27">
      <c r="A27" t="inlineStr">
        <is>
          <t>Wertgutachten</t>
        </is>
      </c>
    </row>
    <row r="28">
      <c r="A28" t="inlineStr">
        <is>
          <t>Einbringungsvertrag</t>
        </is>
      </c>
    </row>
    <row r="29">
      <c r="A29" t="inlineStr">
        <is>
          <t>Schenkungsvertrag</t>
        </is>
      </c>
    </row>
    <row r="30">
      <c r="A30" t="inlineStr">
        <is>
          <t>Gesellschafterbeschluss</t>
        </is>
      </c>
    </row>
    <row r="31">
      <c r="A31" t="inlineStr">
        <is>
          <t>Handelsregisterauszug</t>
        </is>
      </c>
    </row>
    <row r="32">
      <c r="A32" t="inlineStr">
        <is>
          <t>Sachgründungsbericht</t>
        </is>
      </c>
    </row>
    <row r="33">
      <c r="A33" t="inlineStr">
        <is>
          <t>Umwandlungsvertrag</t>
        </is>
      </c>
    </row>
    <row r="34">
      <c r="A34" t="inlineStr">
        <is>
          <t>Kaufpreisaufteilung</t>
        </is>
      </c>
    </row>
    <row r="35">
      <c r="A35" t="inlineStr">
        <is>
          <t>Schlussbilanz des übertragenden Rechtsträgers</t>
        </is>
      </c>
    </row>
    <row r="36">
      <c r="A36" t="inlineStr">
        <is>
          <t>Mietvertrag</t>
        </is>
      </c>
    </row>
    <row r="37">
      <c r="A37" t="inlineStr">
        <is>
          <t>Maklerrechnung</t>
        </is>
      </c>
    </row>
    <row r="38">
      <c r="A38" t="inlineStr">
        <is>
          <t>Kursnachweis</t>
        </is>
      </c>
    </row>
    <row r="39">
      <c r="A39" t="inlineStr">
        <is>
          <t>Angebot</t>
        </is>
      </c>
    </row>
    <row r="40">
      <c r="A40" t="inlineStr">
        <is>
          <t>Unterschriftenregelung</t>
        </is>
      </c>
    </row>
    <row r="41">
      <c r="A41" t="inlineStr">
        <is>
          <t>Sonstiger Nachweis</t>
        </is>
      </c>
    </row>
    <row r="42">
      <c r="A42" t="inlineStr">
        <is>
          <t>Ausgangsrechnung</t>
        </is>
      </c>
    </row>
    <row r="43">
      <c r="A43" t="inlineStr">
        <is>
          <t>Verschrottungsprotokoll</t>
        </is>
      </c>
    </row>
    <row r="44">
      <c r="A44" t="inlineStr">
        <is>
          <t>Entsorgungsnachweis</t>
        </is>
      </c>
    </row>
    <row r="45">
      <c r="A45" t="inlineStr">
        <is>
          <t>Schadensmeldung</t>
        </is>
      </c>
    </row>
    <row r="46">
      <c r="A46" t="inlineStr">
        <is>
          <t>Korrespondenz mit der Versicherung</t>
        </is>
      </c>
    </row>
    <row r="47">
      <c r="A47" t="inlineStr">
        <is>
          <t>Polizeiprotokoll</t>
        </is>
      </c>
    </row>
    <row r="48">
      <c r="A48" t="inlineStr">
        <is>
          <t>Konzern-Übertragungsbeleg</t>
        </is>
      </c>
    </row>
    <row r="49">
      <c r="A49" t="inlineStr">
        <is>
          <t>Beleg über Abgangskosten</t>
        </is>
      </c>
    </row>
    <row r="50">
      <c r="A50" t="inlineStr">
        <is>
          <t>Abmeldebescheinigung</t>
        </is>
      </c>
    </row>
    <row r="51">
      <c r="A51" t="inlineStr">
        <is>
          <t>Angaben zur Vorsteuerberichtigung</t>
        </is>
      </c>
    </row>
    <row r="52">
      <c r="A52" t="inlineStr">
        <is>
          <t>Existenznachweis</t>
        </is>
      </c>
    </row>
    <row r="53">
      <c r="A53" t="inlineStr">
        <is>
          <t>Versicherungsliste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8" customWidth="1" min="1" max="1"/>
    <col width="22" customWidth="1" min="2" max="2"/>
    <col width="34" customWidth="1" min="3" max="3"/>
    <col width="12" customWidth="1" min="4" max="4"/>
    <col width="8" customWidth="1" min="5" max="5"/>
    <col width="10" customWidth="1" min="6" max="6"/>
    <col width="12" customWidth="1" min="7" max="7"/>
    <col width="96" customWidth="1" min="8" max="8"/>
  </cols>
  <sheetData>
    <row r="1">
      <c r="A1" s="1" t="inlineStr">
        <is>
          <t>Feldkatalog Gitter (nach Bilanzposition und nach Anlagenklasse)</t>
        </is>
      </c>
    </row>
    <row r="2">
      <c r="A2" s="2" t="inlineStr">
        <is>
          <t>Die Feld-ID ist der maschinenlesbare Schlüssel und steht bewusst nicht in der Tabellenüberschrift; Feld-IDs gelten je Blatt; beide Gitter-Blätter führen dieselben Spalten A–W (Spalte W nur im Blatt 'Gitter nach Anlagenklasse'), dahinter die Zeilen-ID und danach je Blatt die Spalten des Mandanten. Eine Zeile je Zeile des übergebenen Anlagengitters, Beträge in EUR.</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gliederung</t>
        </is>
      </c>
      <c r="C5" s="24" t="inlineStr">
        <is>
          <t>Gliederung</t>
        </is>
      </c>
      <c r="D5" s="25" t="inlineStr">
        <is>
          <t>Stamm</t>
        </is>
      </c>
      <c r="E5" s="24" t="inlineStr">
        <is>
          <t>Nein</t>
        </is>
      </c>
      <c r="F5" s="24" t="inlineStr">
        <is>
          <t>Text</t>
        </is>
      </c>
      <c r="G5" s="24" t="inlineStr">
        <is>
          <t>System</t>
        </is>
      </c>
      <c r="H5" s="26" t="inlineStr">
        <is>
          <t>Gliederung der Zeile nach § 266 Abs. 2 HGB (z. B. 'A.II.1'), vom Programm aus ihrer Bezeichnung bestimmt; leer, wenn die Bezeichnung keiner Position eindeutig entspricht.</t>
        </is>
      </c>
    </row>
    <row r="6">
      <c r="A6" s="24" t="inlineStr">
        <is>
          <t>B</t>
        </is>
      </c>
      <c r="B6" s="24" t="inlineStr">
        <is>
          <t>anlagenklasse_nr</t>
        </is>
      </c>
      <c r="C6" s="24" t="inlineStr">
        <is>
          <t>Nr.</t>
        </is>
      </c>
      <c r="D6" s="25" t="inlineStr">
        <is>
          <t>Stamm</t>
        </is>
      </c>
      <c r="E6" s="24" t="inlineStr">
        <is>
          <t>Nein</t>
        </is>
      </c>
      <c r="F6" s="24" t="inlineStr">
        <is>
          <t>Text</t>
        </is>
      </c>
      <c r="G6" s="24" t="inlineStr">
        <is>
          <t>Mandant</t>
        </is>
      </c>
      <c r="H6" s="26" t="inlineStr">
        <is>
          <t>Nummer der Anlagenklasse, wie der Mandant sie druckt (z. B. '440'); im Blatt 'Gitter nach Bilanzposition' die Nummer der Bilanzposition, wie gedruckt. Leer, wenn die Datei keine druckt — nie eine laufende Nummer.</t>
        </is>
      </c>
    </row>
    <row r="7">
      <c r="A7" s="24" t="inlineStr">
        <is>
          <t>C</t>
        </is>
      </c>
      <c r="B7" s="24" t="inlineStr">
        <is>
          <t>bezeichnung</t>
        </is>
      </c>
      <c r="C7" s="24" t="inlineStr">
        <is>
          <t>Bilanzposition / Anlagenklasse laut Mandant</t>
        </is>
      </c>
      <c r="D7" s="25" t="inlineStr">
        <is>
          <t>Stamm</t>
        </is>
      </c>
      <c r="E7" s="24" t="inlineStr">
        <is>
          <t>Ja</t>
        </is>
      </c>
      <c r="F7" s="24" t="inlineStr">
        <is>
          <t>Text</t>
        </is>
      </c>
      <c r="G7" s="24" t="inlineStr">
        <is>
          <t>Mandant</t>
        </is>
      </c>
      <c r="H7" s="26" t="inlineStr">
        <is>
          <t>Die Zeile des übergebenen Anlagengitters in seiner Reihenfolge: der Text der Anlagenklasse ohne die Teile, die eine eigene Spalte zeigt, im Blatt 'Gitter nach Bilanzposition' die Bezeichnung der Bilanzposition, sonst ihre Nummer. Eine Summe des Mandanten steht als 'Summe …' über Nr. und Bezeichnung.</t>
        </is>
      </c>
    </row>
    <row r="8">
      <c r="A8" s="24" t="inlineStr">
        <is>
          <t>D</t>
        </is>
      </c>
      <c r="B8" s="24" t="inlineStr">
        <is>
          <t>ahk_01_01</t>
        </is>
      </c>
      <c r="C8" s="24" t="inlineStr">
        <is>
          <t>Beginn GJ</t>
        </is>
      </c>
      <c r="D8" s="27" t="inlineStr">
        <is>
          <t>AHK</t>
        </is>
      </c>
      <c r="E8" s="24" t="inlineStr">
        <is>
          <t>Ja</t>
        </is>
      </c>
      <c r="F8" s="24" t="inlineStr">
        <is>
          <t>Betrag</t>
        </is>
      </c>
      <c r="G8" s="24" t="inlineStr">
        <is>
          <t>Mandant</t>
        </is>
      </c>
      <c r="H8" s="26" t="inlineStr">
        <is>
          <t>Betrag des Mandanten für diese Zeile, als Wert mit Verweis auf seine Zelle.</t>
        </is>
      </c>
    </row>
    <row r="9">
      <c r="A9" s="24" t="inlineStr">
        <is>
          <t>E</t>
        </is>
      </c>
      <c r="B9" s="24" t="inlineStr">
        <is>
          <t>ahk_zugang</t>
        </is>
      </c>
      <c r="C9" s="24" t="inlineStr">
        <is>
          <t>Zugang</t>
        </is>
      </c>
      <c r="D9" s="27" t="inlineStr">
        <is>
          <t>AHK</t>
        </is>
      </c>
      <c r="E9" s="24" t="inlineStr">
        <is>
          <t>Ja</t>
        </is>
      </c>
      <c r="F9" s="24" t="inlineStr">
        <is>
          <t>Betrag</t>
        </is>
      </c>
      <c r="G9" s="24" t="inlineStr">
        <is>
          <t>Mandant</t>
        </is>
      </c>
      <c r="H9" s="26" t="inlineStr">
        <is>
          <t>Betrag des Mandanten für diese Zeile, als Wert mit Verweis auf seine Zelle.</t>
        </is>
      </c>
    </row>
    <row r="10">
      <c r="A10" s="24" t="inlineStr">
        <is>
          <t>F</t>
        </is>
      </c>
      <c r="B10" s="24" t="inlineStr">
        <is>
          <t>ahk_abgang</t>
        </is>
      </c>
      <c r="C10" s="24" t="inlineStr">
        <is>
          <t>Abgang</t>
        </is>
      </c>
      <c r="D10" s="27" t="inlineStr">
        <is>
          <t>AHK</t>
        </is>
      </c>
      <c r="E10" s="24" t="inlineStr">
        <is>
          <t>Ja</t>
        </is>
      </c>
      <c r="F10" s="24" t="inlineStr">
        <is>
          <t>Betrag</t>
        </is>
      </c>
      <c r="G10" s="24" t="inlineStr">
        <is>
          <t>Mandant</t>
        </is>
      </c>
      <c r="H10" s="26" t="inlineStr">
        <is>
          <t>Betrag des Mandanten für diese Zeile, als Wert mit Verweis auf seine Zelle.</t>
        </is>
      </c>
    </row>
    <row r="11">
      <c r="A11" s="24" t="inlineStr">
        <is>
          <t>G</t>
        </is>
      </c>
      <c r="B11" s="24" t="inlineStr">
        <is>
          <t>ahk_umbuchung</t>
        </is>
      </c>
      <c r="C11" s="24" t="inlineStr">
        <is>
          <t>Umbuchung (±)</t>
        </is>
      </c>
      <c r="D11" s="27" t="inlineStr">
        <is>
          <t>AHK</t>
        </is>
      </c>
      <c r="E11" s="24" t="inlineStr">
        <is>
          <t>Nein</t>
        </is>
      </c>
      <c r="F11" s="24" t="inlineStr">
        <is>
          <t>Betrag</t>
        </is>
      </c>
      <c r="G11" s="24" t="inlineStr">
        <is>
          <t>Mandant</t>
        </is>
      </c>
      <c r="H11" s="26" t="inlineStr">
        <is>
          <t>Betrag des Mandanten für diese Zeile, als Wert mit Verweis auf seine Zelle. Vorzeichenbehaftet.</t>
        </is>
      </c>
    </row>
    <row r="12">
      <c r="A12" s="24" t="inlineStr">
        <is>
          <t>H</t>
        </is>
      </c>
      <c r="B12" s="24" t="inlineStr">
        <is>
          <t>ahk_bewegung_netto</t>
        </is>
      </c>
      <c r="C12" s="24" t="inlineStr">
        <is>
          <t>Bewegung netto</t>
        </is>
      </c>
      <c r="D12" s="27" t="inlineStr">
        <is>
          <t>AHK</t>
        </is>
      </c>
      <c r="E12" s="24" t="inlineStr">
        <is>
          <t>Nein</t>
        </is>
      </c>
      <c r="F12" s="24" t="inlineStr">
        <is>
          <t>Betrag</t>
        </is>
      </c>
      <c r="G12" s="24" t="inlineStr">
        <is>
          <t>Mandant</t>
        </is>
      </c>
      <c r="H12" s="26" t="inlineStr">
        <is>
          <t>Bewegung der Anschaffungskosten im Geschäftsjahr, vom Mandanten als eine Zahl gedruckt (z. B. 'Bew AnschWert'). Vorzeichenbehaftet. Keine Aufgliederung nach § 284 Abs. 3 HGB. Was der Mandant getrennt druckt (z. B. Umbuchung, Abschreibungen des Geschäftsjahres), steht in seiner eigenen Spalte und ist in der Nettobewegung nicht enthalten.</t>
        </is>
      </c>
    </row>
    <row r="13">
      <c r="A13" s="24" t="inlineStr">
        <is>
          <t>I</t>
        </is>
      </c>
      <c r="B13" s="24" t="inlineStr">
        <is>
          <t>ahk_31_12</t>
        </is>
      </c>
      <c r="C13" s="24" t="inlineStr">
        <is>
          <t>Ende GJ</t>
        </is>
      </c>
      <c r="D13" s="27" t="inlineStr">
        <is>
          <t>AHK</t>
        </is>
      </c>
      <c r="E13" s="24" t="inlineStr">
        <is>
          <t>Ja</t>
        </is>
      </c>
      <c r="F13" s="24" t="inlineStr">
        <is>
          <t>Betrag</t>
        </is>
      </c>
      <c r="G13" s="24" t="inlineStr">
        <is>
          <t>Mandant, sonst Formel</t>
        </is>
      </c>
      <c r="H13" s="26" t="inlineStr">
        <is>
          <t>Betrag des Mandanten; druckt er keinen, steht hier eine Formel über die Zellen dieser Zeile.</t>
        </is>
      </c>
    </row>
    <row r="14">
      <c r="A14" s="24" t="inlineStr">
        <is>
          <t>J</t>
        </is>
      </c>
      <c r="B14" s="24" t="inlineStr">
        <is>
          <t>afa_01_01</t>
        </is>
      </c>
      <c r="C14" s="24" t="inlineStr">
        <is>
          <t>Beginn GJ</t>
        </is>
      </c>
      <c r="D14" s="29" t="inlineStr">
        <is>
          <t>AfA</t>
        </is>
      </c>
      <c r="E14" s="24" t="inlineStr">
        <is>
          <t>Ja</t>
        </is>
      </c>
      <c r="F14" s="24" t="inlineStr">
        <is>
          <t>Betrag</t>
        </is>
      </c>
      <c r="G14" s="24" t="inlineStr">
        <is>
          <t>Mandant</t>
        </is>
      </c>
      <c r="H14" s="26" t="inlineStr">
        <is>
          <t>Betrag des Mandanten für diese Zeile, als Wert mit Verweis auf seine Zelle.</t>
        </is>
      </c>
    </row>
    <row r="15">
      <c r="A15" s="24" t="inlineStr">
        <is>
          <t>K</t>
        </is>
      </c>
      <c r="B15" s="24" t="inlineStr">
        <is>
          <t>afa_gj_plan</t>
        </is>
      </c>
      <c r="C15" s="24" t="inlineStr">
        <is>
          <t>AfA des GJ planmäßig</t>
        </is>
      </c>
      <c r="D15" s="29" t="inlineStr">
        <is>
          <t>AfA</t>
        </is>
      </c>
      <c r="E15" s="24" t="inlineStr">
        <is>
          <t>Nein</t>
        </is>
      </c>
      <c r="F15" s="24" t="inlineStr">
        <is>
          <t>Betrag</t>
        </is>
      </c>
      <c r="G15" s="24" t="inlineStr">
        <is>
          <t>Mandant</t>
        </is>
      </c>
      <c r="H15" s="26" t="inlineStr">
        <is>
          <t>Planmäßige Abschreibungen des Geschäftsjahres, wo der Mandant sie getrennt von den außerplanmäßigen druckt; leer, wo er nur die Summe druckt.</t>
        </is>
      </c>
    </row>
    <row r="16">
      <c r="A16" s="24" t="inlineStr">
        <is>
          <t>L</t>
        </is>
      </c>
      <c r="B16" s="24" t="inlineStr">
        <is>
          <t>afa_gj</t>
        </is>
      </c>
      <c r="C16" s="24" t="inlineStr">
        <is>
          <t>Abschreibungen des Geschäftsjahres</t>
        </is>
      </c>
      <c r="D16" s="29" t="inlineStr">
        <is>
          <t>AfA</t>
        </is>
      </c>
      <c r="E16" s="24" t="inlineStr">
        <is>
          <t>Ja</t>
        </is>
      </c>
      <c r="F16" s="24" t="inlineStr">
        <is>
          <t>Betrag</t>
        </is>
      </c>
      <c r="G16" s="24" t="inlineStr">
        <is>
          <t>Mandant, sonst Formel</t>
        </is>
      </c>
      <c r="H16" s="26" t="inlineStr">
        <is>
          <t>Abschreibungen des Geschäftsjahres, planmäßig und außerplanmäßig zusammen, wie der Mandant sie druckt; druckt er sie getrennt, steht hier eine Formel: planmäßig + außerplanmäßig.</t>
        </is>
      </c>
    </row>
    <row r="17">
      <c r="A17" s="24" t="inlineStr">
        <is>
          <t>M</t>
        </is>
      </c>
      <c r="B17" s="24" t="inlineStr">
        <is>
          <t>afa_gj_ausserplan</t>
        </is>
      </c>
      <c r="C17" s="24" t="inlineStr">
        <is>
          <t>davon außerplanmäßig</t>
        </is>
      </c>
      <c r="D17" s="29" t="inlineStr">
        <is>
          <t>AfA</t>
        </is>
      </c>
      <c r="E17" s="24" t="inlineStr">
        <is>
          <t>Nein</t>
        </is>
      </c>
      <c r="F17" s="24" t="inlineStr">
        <is>
          <t>Betrag</t>
        </is>
      </c>
      <c r="G17" s="24" t="inlineStr">
        <is>
          <t>Mandant</t>
        </is>
      </c>
      <c r="H17" s="26" t="inlineStr">
        <is>
          <t>Vermerk: in 'Abschreibungen des Geschäftsjahres' enthalten, nicht addieren.</t>
        </is>
      </c>
    </row>
    <row r="18">
      <c r="A18" s="24" t="inlineStr">
        <is>
          <t>N</t>
        </is>
      </c>
      <c r="B18" s="24" t="inlineStr">
        <is>
          <t>afa_abgang</t>
        </is>
      </c>
      <c r="C18" s="24" t="inlineStr">
        <is>
          <t>Abgang</t>
        </is>
      </c>
      <c r="D18" s="29" t="inlineStr">
        <is>
          <t>AfA</t>
        </is>
      </c>
      <c r="E18" s="24" t="inlineStr">
        <is>
          <t>Nein</t>
        </is>
      </c>
      <c r="F18" s="24" t="inlineStr">
        <is>
          <t>Betrag</t>
        </is>
      </c>
      <c r="G18" s="24" t="inlineStr">
        <is>
          <t>Mandant</t>
        </is>
      </c>
      <c r="H18" s="26" t="inlineStr">
        <is>
          <t>Betrag des Mandanten für diese Zeile, als Wert mit Verweis auf seine Zelle.</t>
        </is>
      </c>
    </row>
    <row r="19">
      <c r="A19" s="24" t="inlineStr">
        <is>
          <t>O</t>
        </is>
      </c>
      <c r="B19" s="24" t="inlineStr">
        <is>
          <t>zuschreibung</t>
        </is>
      </c>
      <c r="C19" s="24" t="inlineStr">
        <is>
          <t>Zuschreibung</t>
        </is>
      </c>
      <c r="D19" s="29" t="inlineStr">
        <is>
          <t>AfA</t>
        </is>
      </c>
      <c r="E19" s="24" t="inlineStr">
        <is>
          <t>Nein</t>
        </is>
      </c>
      <c r="F19" s="24" t="inlineStr">
        <is>
          <t>Betrag</t>
        </is>
      </c>
      <c r="G19" s="24" t="inlineStr">
        <is>
          <t>Mandant</t>
        </is>
      </c>
      <c r="H19" s="26" t="inlineStr">
        <is>
          <t>Betrag des Mandanten für diese Zeile, als Wert mit Verweis auf seine Zelle.</t>
        </is>
      </c>
    </row>
    <row r="20">
      <c r="A20" s="24" t="inlineStr">
        <is>
          <t>P</t>
        </is>
      </c>
      <c r="B20" s="24" t="inlineStr">
        <is>
          <t>afa_umbuchung</t>
        </is>
      </c>
      <c r="C20" s="24" t="inlineStr">
        <is>
          <t>Umbuchung (±)</t>
        </is>
      </c>
      <c r="D20" s="29" t="inlineStr">
        <is>
          <t>AfA</t>
        </is>
      </c>
      <c r="E20" s="24" t="inlineStr">
        <is>
          <t>Nein</t>
        </is>
      </c>
      <c r="F20" s="24" t="inlineStr">
        <is>
          <t>Betrag</t>
        </is>
      </c>
      <c r="G20" s="24" t="inlineStr">
        <is>
          <t>Mandant</t>
        </is>
      </c>
      <c r="H20" s="26" t="inlineStr">
        <is>
          <t>Betrag des Mandanten für diese Zeile, als Wert mit Verweis auf seine Zelle. Vorzeichenbehaftet.</t>
        </is>
      </c>
    </row>
    <row r="21">
      <c r="A21" s="24" t="inlineStr">
        <is>
          <t>Q</t>
        </is>
      </c>
      <c r="B21" s="24" t="inlineStr">
        <is>
          <t>afa_bewegung_netto</t>
        </is>
      </c>
      <c r="C21" s="24" t="inlineStr">
        <is>
          <t>Bewegung netto</t>
        </is>
      </c>
      <c r="D21" s="29" t="inlineStr">
        <is>
          <t>AfA</t>
        </is>
      </c>
      <c r="E21" s="24" t="inlineStr">
        <is>
          <t>Nein</t>
        </is>
      </c>
      <c r="F21" s="24" t="inlineStr">
        <is>
          <t>Betrag</t>
        </is>
      </c>
      <c r="G21" s="24" t="inlineStr">
        <is>
          <t>Mandant</t>
        </is>
      </c>
      <c r="H21" s="26" t="inlineStr">
        <is>
          <t>Bewegung der kumulierten Abschreibungen im Geschäftsjahr, vom Mandanten als eine Zahl gedruckt (z. B. 'Bew Wertber', 'Bew AfA'); enthält die Abschreibungen des Geschäftsjahres nur, wenn die Datei sie nicht getrennt druckt. Vorzeichenbehaftet. Keine Aufgliederung nach § 284 Abs. 3 HGB. Was der Mandant getrennt druckt (z. B. Umbuchung, Abschreibungen des Geschäftsjahres), steht in seiner eigenen Spalte und ist in der Nettobewegung nicht enthalten.</t>
        </is>
      </c>
    </row>
    <row r="22">
      <c r="A22" s="24" t="inlineStr">
        <is>
          <t>R</t>
        </is>
      </c>
      <c r="B22" s="24" t="inlineStr">
        <is>
          <t>afa_31_12</t>
        </is>
      </c>
      <c r="C22" s="24" t="inlineStr">
        <is>
          <t>Ende GJ</t>
        </is>
      </c>
      <c r="D22" s="29" t="inlineStr">
        <is>
          <t>AfA</t>
        </is>
      </c>
      <c r="E22" s="24" t="inlineStr">
        <is>
          <t>Ja</t>
        </is>
      </c>
      <c r="F22" s="24" t="inlineStr">
        <is>
          <t>Betrag</t>
        </is>
      </c>
      <c r="G22" s="24" t="inlineStr">
        <is>
          <t>Mandant, sonst Formel</t>
        </is>
      </c>
      <c r="H22" s="26" t="inlineStr">
        <is>
          <t>Betrag des Mandanten; druckt er keinen, steht hier eine Formel über die Zellen dieser Zeile.</t>
        </is>
      </c>
    </row>
    <row r="23">
      <c r="A23" s="24" t="inlineStr">
        <is>
          <t>S</t>
        </is>
      </c>
      <c r="B23" s="24" t="inlineStr">
        <is>
          <t>bw_31_12_gj</t>
        </is>
      </c>
      <c r="C23" s="24" t="inlineStr">
        <is>
          <t>Ende GJ</t>
        </is>
      </c>
      <c r="D23" s="30" t="inlineStr">
        <is>
          <t>Buchwert</t>
        </is>
      </c>
      <c r="E23" s="24" t="inlineStr">
        <is>
          <t>Ja</t>
        </is>
      </c>
      <c r="F23" s="24" t="inlineStr">
        <is>
          <t>Betrag</t>
        </is>
      </c>
      <c r="G23" s="24" t="inlineStr">
        <is>
          <t>Mandant, sonst Formel</t>
        </is>
      </c>
      <c r="H23" s="26" t="inlineStr">
        <is>
          <t>Betrag des Mandanten; druckt er keinen, steht hier eine Formel über die Zellen dieser Zeile.</t>
        </is>
      </c>
    </row>
    <row r="24">
      <c r="A24" s="24" t="inlineStr">
        <is>
          <t>T</t>
        </is>
      </c>
      <c r="B24" s="24" t="inlineStr">
        <is>
          <t>bw_31_12_vj</t>
        </is>
      </c>
      <c r="C24" s="24" t="inlineStr">
        <is>
          <t>Ende VJ</t>
        </is>
      </c>
      <c r="D24" s="30" t="inlineStr">
        <is>
          <t>Buchwert</t>
        </is>
      </c>
      <c r="E24" s="24" t="inlineStr">
        <is>
          <t>Nein</t>
        </is>
      </c>
      <c r="F24" s="24" t="inlineStr">
        <is>
          <t>Betrag</t>
        </is>
      </c>
      <c r="G24" s="24" t="inlineStr">
        <is>
          <t>Mandant, sonst Formel</t>
        </is>
      </c>
      <c r="H24" s="26" t="inlineStr">
        <is>
          <t>Betrag des Mandanten; druckt er keinen, steht hier eine Formel über die Zellen dieser Zeile.</t>
        </is>
      </c>
    </row>
    <row r="25">
      <c r="A25" s="24" t="inlineStr">
        <is>
          <t>U</t>
        </is>
      </c>
      <c r="B25" s="24" t="inlineStr">
        <is>
          <t>fk_zinsen</t>
        </is>
      </c>
      <c r="C25" s="24" t="inlineStr">
        <is>
          <t>davon aktivierte FK-Zinsen</t>
        </is>
      </c>
      <c r="D25" s="31" t="inlineStr">
        <is>
          <t>Vermerk</t>
        </is>
      </c>
      <c r="E25" s="24" t="inlineStr">
        <is>
          <t>Nein</t>
        </is>
      </c>
      <c r="F25" s="24" t="inlineStr">
        <is>
          <t>Betrag</t>
        </is>
      </c>
      <c r="G25" s="24" t="inlineStr">
        <is>
          <t>Mandant</t>
        </is>
      </c>
      <c r="H25" s="26" t="inlineStr">
        <is>
          <t>§ 284 Abs. 3 S. 4 HGB – im Geschäftsjahr aktivierte Zinsen.</t>
        </is>
      </c>
    </row>
    <row r="26">
      <c r="A26" s="24" t="inlineStr">
        <is>
          <t>V</t>
        </is>
      </c>
      <c r="B26" s="24" t="inlineStr">
        <is>
          <t>zeilenart</t>
        </is>
      </c>
      <c r="C26" s="24" t="inlineStr">
        <is>
          <t>Zeilenart</t>
        </is>
      </c>
      <c r="D26" s="25" t="inlineStr">
        <is>
          <t>Stamm</t>
        </is>
      </c>
      <c r="E26" s="24" t="inlineStr">
        <is>
          <t>-</t>
        </is>
      </c>
      <c r="F26" s="24" t="inlineStr">
        <is>
          <t>Text</t>
        </is>
      </c>
      <c r="G26" s="24" t="inlineStr">
        <is>
          <t>Eingabe</t>
        </is>
      </c>
      <c r="H26" s="26" t="inlineStr">
        <is>
          <t>Anlagenklasse · Bilanzposition · Zwischensumme Bilanzposition · Gesamtsumme, wie die Übergabe die Zeile gelesen hat; eine Änderung gilt als Korrektur des Prüfers.</t>
        </is>
      </c>
    </row>
    <row r="27">
      <c r="A27" s="24" t="inlineStr">
        <is>
          <t>W</t>
        </is>
      </c>
      <c r="B27" s="24" t="inlineStr">
        <is>
          <t>bilanzposition</t>
        </is>
      </c>
      <c r="C27" s="24" t="inlineStr">
        <is>
          <t>Bilanzposition laut Mandant</t>
        </is>
      </c>
      <c r="D27" s="25" t="inlineStr">
        <is>
          <t>Stamm</t>
        </is>
      </c>
      <c r="E27" s="24" t="inlineStr">
        <is>
          <t>Nein</t>
        </is>
      </c>
      <c r="F27" s="24" t="inlineStr">
        <is>
          <t>Text</t>
        </is>
      </c>
      <c r="G27" s="24" t="inlineStr">
        <is>
          <t>Mandant</t>
        </is>
      </c>
      <c r="H27" s="26" t="inlineStr">
        <is>
          <t>Bilanzposition laut Mandant, wo die Datei sie neben der Anlagenklasse druckt; nur im Blatt 'Gitter nach Anlagenklasse'.</t>
        </is>
      </c>
    </row>
    <row r="28">
      <c r="A28" s="24" t="inlineStr">
        <is>
          <t>X</t>
        </is>
      </c>
      <c r="B28" s="24" t="inlineStr">
        <is>
          <t>zeilen_id</t>
        </is>
      </c>
      <c r="C28" s="24" t="inlineStr">
        <is>
          <t>Zeilen-ID</t>
        </is>
      </c>
      <c r="D28" s="25" t="inlineStr">
        <is>
          <t>System</t>
        </is>
      </c>
      <c r="E28" s="24" t="inlineStr">
        <is>
          <t>-</t>
        </is>
      </c>
      <c r="F28" s="24" t="inlineStr">
        <is>
          <t>Text</t>
        </is>
      </c>
      <c r="G28" s="24" t="inlineStr">
        <is>
          <t>System</t>
        </is>
      </c>
      <c r="H28"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8" customWidth="1" min="1" max="1"/>
    <col width="22" customWidth="1" min="2" max="2"/>
    <col width="30" customWidth="1" min="3" max="3"/>
    <col width="9" customWidth="1" min="4" max="4"/>
    <col width="8" customWidth="1" min="5" max="5"/>
    <col width="10" customWidth="1" min="6" max="6"/>
    <col width="12" customWidth="1" min="7" max="7"/>
    <col width="96" customWidth="1" min="8" max="8"/>
  </cols>
  <sheetData>
    <row r="1">
      <c r="A1" s="1" t="inlineStr">
        <is>
          <t>Feldkatalog Anlagenverzeichnis</t>
        </is>
      </c>
    </row>
    <row r="2">
      <c r="A2" s="2" t="inlineStr">
        <is>
          <t>Die Feld-ID ist der maschinenlesbare Schlüssel und steht bewusst nicht in der Tabellenüberschrift; Feld-IDs gelten je Blatt. Eine Kopfzeile, keine verbundenen Zellen, keine Leerzeilen, keine Zwischensummen im Datenbereich, Datumsangaben als echte Datumswerte, Beträge in EUR, eine Zeile je Vermögensgegenstand.</t>
        </is>
      </c>
    </row>
    <row r="4">
      <c r="A4" s="23" t="inlineStr">
        <is>
          <t>Spalte</t>
        </is>
      </c>
      <c r="B4" s="23" t="inlineStr">
        <is>
          <t>Feld-ID</t>
        </is>
      </c>
      <c r="C4" s="23" t="inlineStr">
        <is>
          <t>Überschrift im Blatt</t>
        </is>
      </c>
      <c r="D4" s="23" t="inlineStr">
        <is>
          <t>Block</t>
        </is>
      </c>
      <c r="E4" s="23" t="inlineStr">
        <is>
          <t>Pflicht</t>
        </is>
      </c>
      <c r="F4" s="23" t="inlineStr">
        <is>
          <t>Typ</t>
        </is>
      </c>
      <c r="G4" s="23" t="inlineStr">
        <is>
          <t>Herkunft</t>
        </is>
      </c>
      <c r="H4" s="23" t="inlineStr">
        <is>
          <t>Regel / Definition</t>
        </is>
      </c>
    </row>
    <row r="5">
      <c r="A5" s="24" t="inlineStr">
        <is>
          <t>A</t>
        </is>
      </c>
      <c r="B5" s="24" t="inlineStr">
        <is>
          <t>anlagen_nr</t>
        </is>
      </c>
      <c r="C5" s="24" t="inlineStr">
        <is>
          <t>Anlagen-Nr.</t>
        </is>
      </c>
      <c r="D5" s="25" t="inlineStr">
        <is>
          <t>Stamm</t>
        </is>
      </c>
      <c r="E5" s="24" t="inlineStr">
        <is>
          <t>Ja</t>
        </is>
      </c>
      <c r="F5" s="24" t="inlineStr">
        <is>
          <t>Text</t>
        </is>
      </c>
      <c r="G5" s="24" t="inlineStr">
        <is>
          <t>Mandant</t>
        </is>
      </c>
      <c r="H5" s="26" t="inlineStr">
        <is>
          <t>Eindeutiger Schlüssel je Vermögensgegenstand. Leer = Zeile inaktiv, alle Formeln bleiben leer.</t>
        </is>
      </c>
    </row>
    <row r="6">
      <c r="A6" s="24" t="inlineStr">
        <is>
          <t>B</t>
        </is>
      </c>
      <c r="B6" s="24" t="inlineStr">
        <is>
          <t>bezeichnung</t>
        </is>
      </c>
      <c r="C6" s="24" t="inlineStr">
        <is>
          <t>Bezeichnung</t>
        </is>
      </c>
      <c r="D6" s="25" t="inlineStr">
        <is>
          <t>Stamm</t>
        </is>
      </c>
      <c r="E6" s="24" t="inlineStr">
        <is>
          <t>Ja</t>
        </is>
      </c>
      <c r="F6" s="24" t="inlineStr">
        <is>
          <t>Text</t>
        </is>
      </c>
      <c r="G6" s="24" t="inlineStr">
        <is>
          <t>Mandant</t>
        </is>
      </c>
      <c r="H6" s="26" t="inlineStr">
        <is>
          <t>Klartext. Achtung bei Quelldateien: Bezeichnungen laufen dort oft über zwei Zeilen.</t>
        </is>
      </c>
    </row>
    <row r="7">
      <c r="A7" s="24" t="inlineStr">
        <is>
          <t>C</t>
        </is>
      </c>
      <c r="B7" s="24" t="inlineStr">
        <is>
          <t>anlagenklasse</t>
        </is>
      </c>
      <c r="C7" s="24" t="inlineStr">
        <is>
          <t>Anlagenklasse (lt. Mandant)</t>
        </is>
      </c>
      <c r="D7" s="25" t="inlineStr">
        <is>
          <t>Stamm</t>
        </is>
      </c>
      <c r="E7" s="24" t="inlineStr">
        <is>
          <t>Soll</t>
        </is>
      </c>
      <c r="F7" s="24" t="inlineStr">
        <is>
          <t>Text</t>
        </is>
      </c>
      <c r="G7" s="24" t="inlineStr">
        <is>
          <t>Mandant</t>
        </is>
      </c>
      <c r="H7" s="26" t="inlineStr">
        <is>
          <t>Anlagenklasse laut Mandant, wortgetreu von der Klassenzeile übernommen, unter der die Anlage steht. Gliederungsebene des Anlagengitters – nicht der Bilanzposten.</t>
        </is>
      </c>
    </row>
    <row r="8">
      <c r="A8" s="24" t="inlineStr">
        <is>
          <t>D</t>
        </is>
      </c>
      <c r="B8" s="24" t="inlineStr">
        <is>
          <t>anlagenklasse_nr</t>
        </is>
      </c>
      <c r="C8" s="24" t="inlineStr">
        <is>
          <t>Anlagenklasse-Nr. (lt. Mandant)</t>
        </is>
      </c>
      <c r="D8" s="25" t="inlineStr">
        <is>
          <t>Stamm</t>
        </is>
      </c>
      <c r="E8" s="24" t="inlineStr">
        <is>
          <t>Nein</t>
        </is>
      </c>
      <c r="F8" s="24" t="inlineStr">
        <is>
          <t>Text</t>
        </is>
      </c>
      <c r="G8" s="24" t="inlineStr">
        <is>
          <t>Mandant</t>
        </is>
      </c>
      <c r="H8" s="26" t="inlineStr">
        <is>
          <t>Nummer der Anlagenklasse, wie der Mandant sie je Anlage druckt (SAP z. B. '1100'); leer, wenn er keine druckt. Verbindet die Anlage mit ihrer Zeile im Gitter (dort Spalte „Nr.“).</t>
        </is>
      </c>
    </row>
    <row r="9">
      <c r="A9" s="24" t="inlineStr">
        <is>
          <t>E</t>
        </is>
      </c>
      <c r="B9" s="24" t="inlineStr">
        <is>
          <t>bilanzposten_gliederung</t>
        </is>
      </c>
      <c r="C9" s="24" t="inlineStr">
        <is>
          <t>Gliederung</t>
        </is>
      </c>
      <c r="D9" s="25" t="inlineStr">
        <is>
          <t>Stamm</t>
        </is>
      </c>
      <c r="E9" s="24" t="inlineStr">
        <is>
          <t>Nein</t>
        </is>
      </c>
      <c r="F9" s="24" t="inlineStr">
        <is>
          <t>Text</t>
        </is>
      </c>
      <c r="G9" s="24" t="inlineStr">
        <is>
          <t>System</t>
        </is>
      </c>
      <c r="H9" s="26" t="inlineStr">
        <is>
          <t>§ 266-Schlüssel des Bilanzpostens (z. B. 'A.II.2'), vom Programm aus dem gedruckten Namen des Postens gelesen oder aus der Gliederung, die der Mandant selbst druckt. Leer, wenn keiner passt. Nie aus dem Sachkonto abgeleitet.</t>
        </is>
      </c>
    </row>
    <row r="10">
      <c r="A10" s="24" t="inlineStr">
        <is>
          <t>F</t>
        </is>
      </c>
      <c r="B10" s="24" t="inlineStr">
        <is>
          <t>bilanzposten_nr</t>
        </is>
      </c>
      <c r="C10" s="24" t="inlineStr">
        <is>
          <t>Bilanzposten-Nr. (lt. Mandant)</t>
        </is>
      </c>
      <c r="D10" s="25" t="inlineStr">
        <is>
          <t>Stamm</t>
        </is>
      </c>
      <c r="E10" s="24" t="inlineStr">
        <is>
          <t>Nein</t>
        </is>
      </c>
      <c r="F10" s="24" t="inlineStr">
        <is>
          <t>Text</t>
        </is>
      </c>
      <c r="G10" s="24" t="inlineStr">
        <is>
          <t>Mandant</t>
        </is>
      </c>
      <c r="H10" s="26" t="inlineStr">
        <is>
          <t>Nummer des Bilanzpostens, wie der Mandant sie je Anlage druckt (SAP z. B. '1032020'); nur eine Nummer, nie ein Name, nie eine Gliederungsziffer. Leer, wenn er keine druckt. Der Prüfer darf sie korrigieren.</t>
        </is>
      </c>
    </row>
    <row r="11">
      <c r="A11" s="24" t="inlineStr">
        <is>
          <t>G</t>
        </is>
      </c>
      <c r="B11" s="24" t="inlineStr">
        <is>
          <t>bilanzposten_pos</t>
        </is>
      </c>
      <c r="C11" s="24" t="inlineStr">
        <is>
          <t>Bilanzposten (lt. Mandant)</t>
        </is>
      </c>
      <c r="D11" s="25" t="inlineStr">
        <is>
          <t>Stamm</t>
        </is>
      </c>
      <c r="E11" s="24" t="inlineStr">
        <is>
          <t>Soll</t>
        </is>
      </c>
      <c r="F11" s="24" t="inlineStr">
        <is>
          <t>Text</t>
        </is>
      </c>
      <c r="G11" s="24" t="inlineStr">
        <is>
          <t>Mandant</t>
        </is>
      </c>
      <c r="H11" s="26" t="inlineStr">
        <is>
          <t>Name des Bilanzpostens, wie der Mandant ihn je Anlage druckt (z. B. 'Technische Anlagen und Maschinen'); nur der Name, ohne Nummer und Gliederungsziffer. Leer, wenn er keinen druckt. Der Prüfer darf ihn ergänzen oder korrigieren. Nie aus dem Sachkonto abgeleitet.</t>
        </is>
      </c>
    </row>
    <row r="12">
      <c r="A12" s="24" t="inlineStr">
        <is>
          <t>H</t>
        </is>
      </c>
      <c r="B12" s="24" t="inlineStr">
        <is>
          <t>sachkonto</t>
        </is>
      </c>
      <c r="C12" s="24" t="inlineStr">
        <is>
          <t>Sachkonto</t>
        </is>
      </c>
      <c r="D12" s="25" t="inlineStr">
        <is>
          <t>Stamm</t>
        </is>
      </c>
      <c r="E12" s="24" t="inlineStr">
        <is>
          <t>Ja</t>
        </is>
      </c>
      <c r="F12" s="24" t="inlineStr">
        <is>
          <t>Text</t>
        </is>
      </c>
      <c r="G12" s="24" t="inlineStr">
        <is>
          <t>Mandant</t>
        </is>
      </c>
      <c r="H12" s="26" t="inlineStr">
        <is>
          <t>Hauptbuchkonto. Brücke zur Summen- und Saldenliste und Grundlage der Bilanzposten-Zuordnung.</t>
        </is>
      </c>
    </row>
    <row r="13">
      <c r="A13" s="24" t="inlineStr">
        <is>
          <t>I</t>
        </is>
      </c>
      <c r="B13" s="24" t="inlineStr">
        <is>
          <t>kostenstelle</t>
        </is>
      </c>
      <c r="C13" s="24" t="inlineStr">
        <is>
          <t>Kostenstelle</t>
        </is>
      </c>
      <c r="D13" s="25" t="inlineStr">
        <is>
          <t>Stamm</t>
        </is>
      </c>
      <c r="E13" s="24" t="inlineStr">
        <is>
          <t>Nein</t>
        </is>
      </c>
      <c r="F13" s="24" t="inlineStr">
        <is>
          <t>Text</t>
        </is>
      </c>
      <c r="G13" s="24" t="inlineStr">
        <is>
          <t>Mandant</t>
        </is>
      </c>
      <c r="H13" s="26" t="inlineStr">
        <is>
          <t>Optional.</t>
        </is>
      </c>
    </row>
    <row r="14">
      <c r="A14" s="24" t="inlineStr">
        <is>
          <t>J</t>
        </is>
      </c>
      <c r="B14" s="24" t="inlineStr">
        <is>
          <t>standort</t>
        </is>
      </c>
      <c r="C14" s="24" t="inlineStr">
        <is>
          <t>Standort</t>
        </is>
      </c>
      <c r="D14" s="25" t="inlineStr">
        <is>
          <t>Stamm</t>
        </is>
      </c>
      <c r="E14" s="24" t="inlineStr">
        <is>
          <t>Nein</t>
        </is>
      </c>
      <c r="F14" s="24" t="inlineStr">
        <is>
          <t>Text</t>
        </is>
      </c>
      <c r="G14" s="24" t="inlineStr">
        <is>
          <t>Mandant</t>
        </is>
      </c>
      <c r="H14" s="26" t="inlineStr">
        <is>
          <t>Grundlage für die körperliche Bestandsaufnahme.</t>
        </is>
      </c>
    </row>
    <row r="15">
      <c r="A15" s="24" t="inlineStr">
        <is>
          <t>K</t>
        </is>
      </c>
      <c r="B15" s="24" t="inlineStr">
        <is>
          <t>anschaffungsdatum</t>
        </is>
      </c>
      <c r="C15" s="24" t="inlineStr">
        <is>
          <t>Anschaffungsdatum</t>
        </is>
      </c>
      <c r="D15" s="25" t="inlineStr">
        <is>
          <t>Stamm</t>
        </is>
      </c>
      <c r="E15" s="24" t="inlineStr">
        <is>
          <t>Ja</t>
        </is>
      </c>
      <c r="F15" s="24" t="inlineStr">
        <is>
          <t>Datum</t>
        </is>
      </c>
      <c r="G15" s="24" t="inlineStr">
        <is>
          <t>Mandant</t>
        </is>
      </c>
      <c r="H15" s="26" t="inlineStr">
        <is>
          <t>Übergang von Nutzen und Lasten. Bestimmt das Jahr des Zugangs im Gitter.</t>
        </is>
      </c>
    </row>
    <row r="16">
      <c r="A16" s="24" t="inlineStr">
        <is>
          <t>L</t>
        </is>
      </c>
      <c r="B16" s="24" t="inlineStr">
        <is>
          <t>aktivierung_am</t>
        </is>
      </c>
      <c r="C16" s="24" t="inlineStr">
        <is>
          <t>Aktivierung am</t>
        </is>
      </c>
      <c r="D16" s="25" t="inlineStr">
        <is>
          <t>Stamm</t>
        </is>
      </c>
      <c r="E16" s="24" t="inlineStr">
        <is>
          <t>Ja</t>
        </is>
      </c>
      <c r="F16" s="24" t="inlineStr">
        <is>
          <t>Datum</t>
        </is>
      </c>
      <c r="G16" s="24" t="inlineStr">
        <is>
          <t>Mandant</t>
        </is>
      </c>
      <c r="H16" s="26" t="inlineStr">
        <is>
          <t>Betriebsbereitschaft. In SAP-Exporten als 'Aktivierung am' enthalten.</t>
        </is>
      </c>
    </row>
    <row r="17">
      <c r="A17" s="24" t="inlineStr">
        <is>
          <t>M</t>
        </is>
      </c>
      <c r="B17" s="24" t="inlineStr">
        <is>
          <t>buchungsdatum</t>
        </is>
      </c>
      <c r="C17" s="24" t="inlineStr">
        <is>
          <t>Buchungsdatum</t>
        </is>
      </c>
      <c r="D17" s="25" t="inlineStr">
        <is>
          <t>Stamm</t>
        </is>
      </c>
      <c r="E17" s="24" t="inlineStr">
        <is>
          <t>Nein</t>
        </is>
      </c>
      <c r="F17" s="24" t="inlineStr">
        <is>
          <t>Datum</t>
        </is>
      </c>
      <c r="G17" s="24" t="inlineStr">
        <is>
          <t>Mandant</t>
        </is>
      </c>
      <c r="H17" s="26" t="inlineStr">
        <is>
          <t>Buchung des Zugangs; gilt in der Zugangsliste, wo keine Rechnung ein Buchungsdatum nennt.</t>
        </is>
      </c>
    </row>
    <row r="18">
      <c r="A18" s="24" t="inlineStr">
        <is>
          <t>N</t>
        </is>
      </c>
      <c r="B18" s="24" t="inlineStr">
        <is>
          <t>nd_jahre</t>
        </is>
      </c>
      <c r="C18" s="24" t="inlineStr">
        <is>
          <t>Nutzungsdauer (Jahre)</t>
        </is>
      </c>
      <c r="D18" s="25" t="inlineStr">
        <is>
          <t>Stamm</t>
        </is>
      </c>
      <c r="E18" s="24" t="inlineStr">
        <is>
          <t>Ja</t>
        </is>
      </c>
      <c r="F18" s="24" t="inlineStr">
        <is>
          <t>Zahl</t>
        </is>
      </c>
      <c r="G18" s="24" t="inlineStr">
        <is>
          <t>Mandant</t>
        </is>
      </c>
      <c r="H18" s="26" t="inlineStr">
        <is>
          <t>Systeme liefern Jahre. Wird für die Nachrechnung in Monate umgerechnet.</t>
        </is>
      </c>
    </row>
    <row r="19">
      <c r="A19" s="24" t="inlineStr">
        <is>
          <t>O</t>
        </is>
      </c>
      <c r="B19" s="24" t="inlineStr">
        <is>
          <t>nd_monate</t>
        </is>
      </c>
      <c r="C19" s="24" t="inlineStr">
        <is>
          <t>Nutzungsdauer (Monate)</t>
        </is>
      </c>
      <c r="D19" s="25" t="inlineStr">
        <is>
          <t>Stamm</t>
        </is>
      </c>
      <c r="E19" s="24" t="inlineStr">
        <is>
          <t>Soll</t>
        </is>
      </c>
      <c r="F19" s="24" t="inlineStr">
        <is>
          <t>Ganzzahl</t>
        </is>
      </c>
      <c r="G19" s="24" t="inlineStr">
        <is>
          <t>Mandant</t>
        </is>
      </c>
      <c r="H19" s="26" t="inlineStr">
        <is>
          <t>Falls im Quellsystem vorhanden, hier führen – nur monatsgenaue ND macht die zeitanteilige AfA nachrechenbar.</t>
        </is>
      </c>
    </row>
    <row r="20">
      <c r="A20" s="24" t="inlineStr">
        <is>
          <t>P</t>
        </is>
      </c>
      <c r="B20" s="24" t="inlineStr">
        <is>
          <t>afa_methode</t>
        </is>
      </c>
      <c r="C20" s="24" t="inlineStr">
        <is>
          <t>AfA-Methode</t>
        </is>
      </c>
      <c r="D20" s="25" t="inlineStr">
        <is>
          <t>Stamm</t>
        </is>
      </c>
      <c r="E20" s="24" t="inlineStr">
        <is>
          <t>Ja</t>
        </is>
      </c>
      <c r="F20" s="24" t="inlineStr">
        <is>
          <t>Liste</t>
        </is>
      </c>
      <c r="G20" s="24" t="inlineStr">
        <is>
          <t>System</t>
        </is>
      </c>
      <c r="H20" s="26" t="inlineStr">
        <is>
          <t>Aus dem AfA-Schlüssel des Mandanten abgeleitet (z. B. SAP 'LINI' → linear). Nur Anzeige: eine Änderung wird beim Hochladen abgelehnt.</t>
        </is>
      </c>
    </row>
    <row r="21">
      <c r="A21" s="24" t="inlineStr">
        <is>
          <t>Q</t>
        </is>
      </c>
      <c r="B21" s="24" t="inlineStr">
        <is>
          <t>afa_beginn</t>
        </is>
      </c>
      <c r="C21" s="24" t="inlineStr">
        <is>
          <t>AfA-Beginn</t>
        </is>
      </c>
      <c r="D21" s="25" t="inlineStr">
        <is>
          <t>Stamm</t>
        </is>
      </c>
      <c r="E21" s="24" t="inlineStr">
        <is>
          <t>Ja</t>
        </is>
      </c>
      <c r="F21" s="24" t="inlineStr">
        <is>
          <t>Datum</t>
        </is>
      </c>
      <c r="G21" s="24" t="inlineStr">
        <is>
          <t>Mandant</t>
        </is>
      </c>
      <c r="H21" s="26" t="inlineStr">
        <is>
          <t>Kann von 'Aktivierung am' abweichen.</t>
        </is>
      </c>
    </row>
    <row r="22">
      <c r="A22" s="24" t="inlineStr">
        <is>
          <t>R</t>
        </is>
      </c>
      <c r="B22" s="24" t="inlineStr">
        <is>
          <t>restwert</t>
        </is>
      </c>
      <c r="C22" s="24" t="inlineStr">
        <is>
          <t>Restwert</t>
        </is>
      </c>
      <c r="D22" s="25" t="inlineStr">
        <is>
          <t>Stamm</t>
        </is>
      </c>
      <c r="E22" s="24" t="inlineStr">
        <is>
          <t>Nein</t>
        </is>
      </c>
      <c r="F22" s="24" t="inlineStr">
        <is>
          <t>Betrag</t>
        </is>
      </c>
      <c r="G22" s="24" t="inlineStr">
        <is>
          <t>Mandant</t>
        </is>
      </c>
      <c r="H22" s="26" t="inlineStr">
        <is>
          <t>Erinnerungswert (häufig 1,00 EUR) oder Schrottwert.</t>
        </is>
      </c>
    </row>
    <row r="23">
      <c r="A23" s="24" t="inlineStr">
        <is>
          <t>S</t>
        </is>
      </c>
      <c r="B23" s="24" t="inlineStr">
        <is>
          <t>abgangsdatum</t>
        </is>
      </c>
      <c r="C23" s="24" t="inlineStr">
        <is>
          <t>Abgangsdatum</t>
        </is>
      </c>
      <c r="D23" s="25" t="inlineStr">
        <is>
          <t>Stamm</t>
        </is>
      </c>
      <c r="E23" s="24" t="inlineStr">
        <is>
          <t>Nein</t>
        </is>
      </c>
      <c r="F23" s="24" t="inlineStr">
        <is>
          <t>Datum</t>
        </is>
      </c>
      <c r="G23" s="24" t="inlineStr">
        <is>
          <t>Mandant</t>
        </is>
      </c>
      <c r="H23" s="26" t="inlineStr">
        <is>
          <t>Nur bei Abgang.</t>
        </is>
      </c>
    </row>
    <row r="24">
      <c r="A24" s="24" t="inlineStr">
        <is>
          <t>T</t>
        </is>
      </c>
      <c r="B24" s="24" t="inlineStr">
        <is>
          <t>abgangsart</t>
        </is>
      </c>
      <c r="C24" s="24" t="inlineStr">
        <is>
          <t>Abgangsart</t>
        </is>
      </c>
      <c r="D24" s="25" t="inlineStr">
        <is>
          <t>Stamm</t>
        </is>
      </c>
      <c r="E24" s="24" t="inlineStr">
        <is>
          <t>Nein</t>
        </is>
      </c>
      <c r="F24" s="24" t="inlineStr">
        <is>
          <t>Liste</t>
        </is>
      </c>
      <c r="G24" s="24" t="inlineStr">
        <is>
          <t>Mandant</t>
        </is>
      </c>
      <c r="H24" s="26" t="inlineStr">
        <is>
          <t>Nur bei Abgang.</t>
        </is>
      </c>
    </row>
    <row r="25">
      <c r="A25" s="24" t="inlineStr">
        <is>
          <t>U</t>
        </is>
      </c>
      <c r="B25" s="24" t="inlineStr">
        <is>
          <t>erloes</t>
        </is>
      </c>
      <c r="C25" s="24" t="inlineStr">
        <is>
          <t>Verkaufserlös</t>
        </is>
      </c>
      <c r="D25" s="25" t="inlineStr">
        <is>
          <t>Stamm</t>
        </is>
      </c>
      <c r="E25" s="24" t="inlineStr">
        <is>
          <t>Nein</t>
        </is>
      </c>
      <c r="F25" s="24" t="inlineStr">
        <is>
          <t>Betrag</t>
        </is>
      </c>
      <c r="G25" s="24" t="inlineStr">
        <is>
          <t>Mandant</t>
        </is>
      </c>
      <c r="H25" s="26" t="inlineStr">
        <is>
          <t>Steht bewusst nicht im Gitter.</t>
        </is>
      </c>
    </row>
    <row r="26">
      <c r="A26" s="24" t="inlineStr">
        <is>
          <t>V</t>
        </is>
      </c>
      <c r="B26" s="24" t="inlineStr">
        <is>
          <t>beleg</t>
        </is>
      </c>
      <c r="C26" s="24" t="inlineStr">
        <is>
          <t>Belegreferenz</t>
        </is>
      </c>
      <c r="D26" s="25" t="inlineStr">
        <is>
          <t>Stamm</t>
        </is>
      </c>
      <c r="E26" s="24" t="inlineStr">
        <is>
          <t>Ja</t>
        </is>
      </c>
      <c r="F26" s="24" t="inlineStr">
        <is>
          <t>Text</t>
        </is>
      </c>
      <c r="G26" s="24" t="inlineStr">
        <is>
          <t>Mandant</t>
        </is>
      </c>
      <c r="H26" s="26" t="inlineStr">
        <is>
          <t>Einstieg in die Belegprüfung.</t>
        </is>
      </c>
    </row>
    <row r="27">
      <c r="A27" s="24" t="inlineStr">
        <is>
          <t>W</t>
        </is>
      </c>
      <c r="B27" s="24" t="inlineStr">
        <is>
          <t>ahk_01_01</t>
        </is>
      </c>
      <c r="C27" s="24" t="inlineStr">
        <is>
          <t>AHK 01.01.</t>
        </is>
      </c>
      <c r="D27" s="27" t="inlineStr">
        <is>
          <t>AHK</t>
        </is>
      </c>
      <c r="E27" s="24" t="inlineStr">
        <is>
          <t>Ja</t>
        </is>
      </c>
      <c r="F27" s="24" t="inlineStr">
        <is>
          <t>Betrag</t>
        </is>
      </c>
      <c r="G27" s="24" t="inlineStr">
        <is>
          <t>Mandant</t>
        </is>
      </c>
      <c r="H27" s="26" t="inlineStr">
        <is>
          <t>Historische AHK der zu Beginn vorhandenen Gegenstände (direkte Bruttomethode), nicht der Buchwert.</t>
        </is>
      </c>
    </row>
    <row r="28">
      <c r="A28" s="24" t="inlineStr">
        <is>
          <t>X</t>
        </is>
      </c>
      <c r="B28" s="24" t="inlineStr">
        <is>
          <t>ahk_zugang</t>
        </is>
      </c>
      <c r="C28" s="24" t="inlineStr">
        <is>
          <t>Zugang</t>
        </is>
      </c>
      <c r="D28" s="27" t="inlineStr">
        <is>
          <t>AHK</t>
        </is>
      </c>
      <c r="E28" s="24" t="inlineStr">
        <is>
          <t>Ja</t>
        </is>
      </c>
      <c r="F28" s="24" t="inlineStr">
        <is>
          <t>Betrag</t>
        </is>
      </c>
      <c r="G28" s="24" t="inlineStr">
        <is>
          <t>Mandant</t>
        </is>
      </c>
      <c r="H28" s="26" t="inlineStr">
        <is>
          <t>Mengenmäßiger Zugang zu AHK sowie nachträgliche AHK.</t>
        </is>
      </c>
    </row>
    <row r="29">
      <c r="A29" s="24" t="inlineStr">
        <is>
          <t>Y</t>
        </is>
      </c>
      <c r="B29" s="24" t="inlineStr">
        <is>
          <t>ahk_abgang</t>
        </is>
      </c>
      <c r="C29" s="24" t="inlineStr">
        <is>
          <t>Abgang</t>
        </is>
      </c>
      <c r="D29" s="27" t="inlineStr">
        <is>
          <t>AHK</t>
        </is>
      </c>
      <c r="E29" s="24" t="inlineStr">
        <is>
          <t>Ja</t>
        </is>
      </c>
      <c r="F29" s="24" t="inlineStr">
        <is>
          <t>Betrag</t>
        </is>
      </c>
      <c r="G29" s="24" t="inlineStr">
        <is>
          <t>Mandant</t>
        </is>
      </c>
      <c r="H29" s="26" t="inlineStr">
        <is>
          <t>Zu historischen AHK, positiv erfasst. Nie zum Restbuchwert (das wäre Nettomethode).</t>
        </is>
      </c>
    </row>
    <row r="30">
      <c r="A30" s="24" t="inlineStr">
        <is>
          <t>Z</t>
        </is>
      </c>
      <c r="B30" s="24" t="inlineStr">
        <is>
          <t>ahk_umbuchung</t>
        </is>
      </c>
      <c r="C30" s="24" t="inlineStr">
        <is>
          <t>Umbuchung (±)</t>
        </is>
      </c>
      <c r="D30" s="27" t="inlineStr">
        <is>
          <t>AHK</t>
        </is>
      </c>
      <c r="E30" s="24" t="inlineStr">
        <is>
          <t>Ja</t>
        </is>
      </c>
      <c r="F30" s="24" t="inlineStr">
        <is>
          <t>Betrag</t>
        </is>
      </c>
      <c r="G30" s="24" t="inlineStr">
        <is>
          <t>Mandant</t>
        </is>
      </c>
      <c r="H30" s="26" t="inlineStr">
        <is>
          <t>Vorzeichenbehaftet. Summe über alle Zeilen = 0.</t>
        </is>
      </c>
    </row>
    <row r="31">
      <c r="A31" s="24" t="inlineStr">
        <is>
          <t>AA</t>
        </is>
      </c>
      <c r="B31" s="24" t="inlineStr">
        <is>
          <t>ahk_31_12</t>
        </is>
      </c>
      <c r="C31" s="24" t="inlineStr">
        <is>
          <t>AHK 31.12.</t>
        </is>
      </c>
      <c r="D31" s="27" t="inlineStr">
        <is>
          <t>AHK</t>
        </is>
      </c>
      <c r="E31" s="24" t="inlineStr">
        <is>
          <t>-</t>
        </is>
      </c>
      <c r="F31" s="24" t="inlineStr">
        <is>
          <t>Betrag</t>
        </is>
      </c>
      <c r="G31" s="24" t="inlineStr">
        <is>
          <t>Mandant, sonst Formel</t>
        </is>
      </c>
      <c r="H31" s="26" t="inlineStr">
        <is>
          <t>Wie der Mandant ihn druckt; druckt er keinen: AHK 01.01. + Zugang − Abgang + Umbuchung.</t>
        </is>
      </c>
    </row>
    <row r="32">
      <c r="A32" s="24" t="inlineStr">
        <is>
          <t>AB</t>
        </is>
      </c>
      <c r="B32" s="24" t="inlineStr">
        <is>
          <t>afa_01_01</t>
        </is>
      </c>
      <c r="C32" s="24" t="inlineStr">
        <is>
          <t>Kum. AfA 01.01.</t>
        </is>
      </c>
      <c r="D32" s="29" t="inlineStr">
        <is>
          <t>AfA</t>
        </is>
      </c>
      <c r="E32" s="24" t="inlineStr">
        <is>
          <t>Ja</t>
        </is>
      </c>
      <c r="F32" s="24" t="inlineStr">
        <is>
          <t>Betrag</t>
        </is>
      </c>
      <c r="G32" s="24" t="inlineStr">
        <is>
          <t>Mandant</t>
        </is>
      </c>
      <c r="H32" s="26" t="inlineStr">
        <is>
          <t>Positiv erfassen. SAP-Exporte liefern kumulierte AfA negativ – Vorzeichen beim Einlesen drehen.</t>
        </is>
      </c>
    </row>
    <row r="33">
      <c r="A33" s="24" t="inlineStr">
        <is>
          <t>AC</t>
        </is>
      </c>
      <c r="B33" s="24" t="inlineStr">
        <is>
          <t>afa_gj_plan</t>
        </is>
      </c>
      <c r="C33" s="24" t="inlineStr">
        <is>
          <t>AfA des GJ planmäßig</t>
        </is>
      </c>
      <c r="D33" s="29" t="inlineStr">
        <is>
          <t>AfA</t>
        </is>
      </c>
      <c r="E33" s="24" t="inlineStr">
        <is>
          <t>Ja</t>
        </is>
      </c>
      <c r="F33" s="24" t="inlineStr">
        <is>
          <t>Betrag</t>
        </is>
      </c>
      <c r="G33" s="24" t="inlineStr">
        <is>
          <t>Mandant</t>
        </is>
      </c>
      <c r="H33" s="26" t="inlineStr">
        <is>
          <t>§ 253 Abs. 3 S. 1–2 HGB.</t>
        </is>
      </c>
    </row>
    <row r="34">
      <c r="A34" s="24" t="inlineStr">
        <is>
          <t>AD</t>
        </is>
      </c>
      <c r="B34" s="24" t="inlineStr">
        <is>
          <t>afa_gj_ausserplan</t>
        </is>
      </c>
      <c r="C34" s="24" t="inlineStr">
        <is>
          <t>AfA des GJ außerplanmäßig</t>
        </is>
      </c>
      <c r="D34" s="29" t="inlineStr">
        <is>
          <t>AfA</t>
        </is>
      </c>
      <c r="E34" s="24" t="inlineStr">
        <is>
          <t>Ja</t>
        </is>
      </c>
      <c r="F34" s="24" t="inlineStr">
        <is>
          <t>Betrag</t>
        </is>
      </c>
      <c r="G34" s="24" t="inlineStr">
        <is>
          <t>Mandant</t>
        </is>
      </c>
      <c r="H34" s="26" t="inlineStr">
        <is>
          <t>§ 253 Abs. 3 S. 5–6 HGB. Getrennt zu erfassen; erscheint im Gitter als 'davon'-Vermerk.</t>
        </is>
      </c>
    </row>
    <row r="35">
      <c r="A35" s="24" t="inlineStr">
        <is>
          <t>AE</t>
        </is>
      </c>
      <c r="B35" s="24" t="inlineStr">
        <is>
          <t>afa_abgang</t>
        </is>
      </c>
      <c r="C35" s="24" t="inlineStr">
        <is>
          <t>AfA auf Abgang</t>
        </is>
      </c>
      <c r="D35" s="29" t="inlineStr">
        <is>
          <t>AfA</t>
        </is>
      </c>
      <c r="E35" s="24" t="inlineStr">
        <is>
          <t>Ja</t>
        </is>
      </c>
      <c r="F35" s="24" t="inlineStr">
        <is>
          <t>Betrag</t>
        </is>
      </c>
      <c r="G35" s="24" t="inlineStr">
        <is>
          <t>Mandant</t>
        </is>
      </c>
      <c r="H35" s="26" t="inlineStr">
        <is>
          <t>Ausbuchung der bis zum Abgang aufgelaufenen AfA, positiv erfasst.</t>
        </is>
      </c>
    </row>
    <row r="36">
      <c r="A36" s="24" t="inlineStr">
        <is>
          <t>AF</t>
        </is>
      </c>
      <c r="B36" s="24" t="inlineStr">
        <is>
          <t>zuschreibung</t>
        </is>
      </c>
      <c r="C36" s="24" t="inlineStr">
        <is>
          <t>Zuschreibung</t>
        </is>
      </c>
      <c r="D36" s="29" t="inlineStr">
        <is>
          <t>AfA</t>
        </is>
      </c>
      <c r="E36" s="24" t="inlineStr">
        <is>
          <t>Ja</t>
        </is>
      </c>
      <c r="F36" s="24" t="inlineStr">
        <is>
          <t>Betrag</t>
        </is>
      </c>
      <c r="G36" s="24" t="inlineStr">
        <is>
          <t>Mandant</t>
        </is>
      </c>
      <c r="H36" s="26" t="inlineStr">
        <is>
          <t>§ 253 Abs. 5 S. 1 HGB. Mindert die kumulierte AfA, erhöht nie die historischen AHK. Obergrenze: fortgeführte AHK.</t>
        </is>
      </c>
    </row>
    <row r="37">
      <c r="A37" s="24" t="inlineStr">
        <is>
          <t>AG</t>
        </is>
      </c>
      <c r="B37" s="24" t="inlineStr">
        <is>
          <t>afa_umbuchung</t>
        </is>
      </c>
      <c r="C37" s="24" t="inlineStr">
        <is>
          <t>Umbuchung kum. AfA (±)</t>
        </is>
      </c>
      <c r="D37" s="29" t="inlineStr">
        <is>
          <t>AfA</t>
        </is>
      </c>
      <c r="E37" s="24" t="inlineStr">
        <is>
          <t>Ja</t>
        </is>
      </c>
      <c r="F37" s="24" t="inlineStr">
        <is>
          <t>Betrag</t>
        </is>
      </c>
      <c r="G37" s="24" t="inlineStr">
        <is>
          <t>Mandant</t>
        </is>
      </c>
      <c r="H37" s="26" t="inlineStr">
        <is>
          <t>Vorzeichenbehaftet. Bewegt die kumulierte AfA bei Umgliederung mit. Summe = 0.</t>
        </is>
      </c>
    </row>
    <row r="38">
      <c r="A38" s="24" t="inlineStr">
        <is>
          <t>AH</t>
        </is>
      </c>
      <c r="B38" s="24" t="inlineStr">
        <is>
          <t>afa_31_12</t>
        </is>
      </c>
      <c r="C38" s="24" t="inlineStr">
        <is>
          <t>Kum. AfA 31.12.</t>
        </is>
      </c>
      <c r="D38" s="29" t="inlineStr">
        <is>
          <t>AfA</t>
        </is>
      </c>
      <c r="E38" s="24" t="inlineStr">
        <is>
          <t>-</t>
        </is>
      </c>
      <c r="F38" s="24" t="inlineStr">
        <is>
          <t>Betrag</t>
        </is>
      </c>
      <c r="G38" s="24" t="inlineStr">
        <is>
          <t>Mandant, sonst Formel</t>
        </is>
      </c>
      <c r="H38" s="26" t="inlineStr">
        <is>
          <t>Wie der Mandant ihn druckt; druckt er keinen: Kum. AfA 01.01. + AfA GJ (plan + außerplan) − AfA auf Abgang − Zuschreibung + Umbuchung.</t>
        </is>
      </c>
    </row>
    <row r="39">
      <c r="A39" s="24" t="inlineStr">
        <is>
          <t>AI</t>
        </is>
      </c>
      <c r="B39" s="24" t="inlineStr">
        <is>
          <t>bw_31_12_gj</t>
        </is>
      </c>
      <c r="C39" s="24" t="inlineStr">
        <is>
          <t>Buchwert 31.12. GJ</t>
        </is>
      </c>
      <c r="D39" s="30" t="inlineStr">
        <is>
          <t>Buchwert</t>
        </is>
      </c>
      <c r="E39" s="24" t="inlineStr">
        <is>
          <t>-</t>
        </is>
      </c>
      <c r="F39" s="24" t="inlineStr">
        <is>
          <t>Betrag</t>
        </is>
      </c>
      <c r="G39" s="24" t="inlineStr">
        <is>
          <t>Mandant, sonst Formel</t>
        </is>
      </c>
      <c r="H39" s="26" t="inlineStr">
        <is>
          <t>Wie der Mandant ihn druckt; druckt er keinen: AHK 31.12. − kum. AfA 31.12.</t>
        </is>
      </c>
    </row>
    <row r="40">
      <c r="A40" s="24" t="inlineStr">
        <is>
          <t>AJ</t>
        </is>
      </c>
      <c r="B40" s="24" t="inlineStr">
        <is>
          <t>bw_31_12_vj</t>
        </is>
      </c>
      <c r="C40" s="24" t="inlineStr">
        <is>
          <t>Buchwert 31.12. VJ</t>
        </is>
      </c>
      <c r="D40" s="30" t="inlineStr">
        <is>
          <t>Buchwert</t>
        </is>
      </c>
      <c r="E40" s="24" t="inlineStr">
        <is>
          <t>-</t>
        </is>
      </c>
      <c r="F40" s="24" t="inlineStr">
        <is>
          <t>Betrag</t>
        </is>
      </c>
      <c r="G40" s="24" t="inlineStr">
        <is>
          <t>Mandant, sonst Formel</t>
        </is>
      </c>
      <c r="H40" s="26" t="inlineStr">
        <is>
          <t>Wie der Mandant ihn druckt; druckt er keinen: AHK 01.01. − kum. AfA 01.01.</t>
        </is>
      </c>
    </row>
    <row r="41">
      <c r="A41" s="24" t="inlineStr">
        <is>
          <t>AK</t>
        </is>
      </c>
      <c r="B41" s="24" t="inlineStr">
        <is>
          <t>fk_zinsen</t>
        </is>
      </c>
      <c r="C41" s="24" t="inlineStr">
        <is>
          <t>davon aktivierte FK-Zinsen</t>
        </is>
      </c>
      <c r="D41" s="31" t="inlineStr">
        <is>
          <t>Vermerk</t>
        </is>
      </c>
      <c r="E41" s="24" t="inlineStr">
        <is>
          <t>Nein</t>
        </is>
      </c>
      <c r="F41" s="24" t="inlineStr">
        <is>
          <t>Betrag</t>
        </is>
      </c>
      <c r="G41" s="24" t="inlineStr">
        <is>
          <t>Mandant</t>
        </is>
      </c>
      <c r="H41" s="26" t="inlineStr">
        <is>
          <t>§ 284 Abs. 3 S. 4 HGB – im Geschäftsjahr aktivierte Zinsen, je Posten anzugeben.</t>
        </is>
      </c>
    </row>
    <row r="42">
      <c r="A42" s="24" t="inlineStr">
        <is>
          <t>AL</t>
        </is>
      </c>
      <c r="B42" s="24" t="inlineStr">
        <is>
          <t>gwg</t>
        </is>
      </c>
      <c r="C42" s="24" t="inlineStr">
        <is>
          <t>GWG</t>
        </is>
      </c>
      <c r="D42" s="31" t="inlineStr">
        <is>
          <t>Vermerk</t>
        </is>
      </c>
      <c r="E42" s="24" t="inlineStr">
        <is>
          <t>Nein</t>
        </is>
      </c>
      <c r="F42" s="24" t="inlineStr">
        <is>
          <t>Liste</t>
        </is>
      </c>
      <c r="G42" s="24" t="inlineStr">
        <is>
          <t>System</t>
        </is>
      </c>
      <c r="H42" s="26" t="inlineStr">
        <is>
          <t>Aus dem AfA-Schlüssel des Mandanten abgeleitet; erscheint nicht im Gitter. Nur Anzeige: eine Änderung wird beim Hochladen abgelehnt.</t>
        </is>
      </c>
    </row>
    <row r="43">
      <c r="A43" s="24" t="inlineStr">
        <is>
          <t>AM</t>
        </is>
      </c>
      <c r="B43" s="24" t="inlineStr">
        <is>
          <t>leasing</t>
        </is>
      </c>
      <c r="C43" s="24" t="inlineStr">
        <is>
          <t>Leasing aktiviert</t>
        </is>
      </c>
      <c r="D43" s="31" t="inlineStr">
        <is>
          <t>Vermerk</t>
        </is>
      </c>
      <c r="E43" s="24" t="inlineStr">
        <is>
          <t>Nein</t>
        </is>
      </c>
      <c r="F43" s="24" t="inlineStr">
        <is>
          <t>Liste</t>
        </is>
      </c>
      <c r="G43" s="24" t="inlineStr">
        <is>
          <t>Eingabe</t>
        </is>
      </c>
      <c r="H43" s="26" t="inlineStr">
        <is>
          <t>Kennzeichen; erscheint nicht im Gitter.</t>
        </is>
      </c>
    </row>
    <row r="44">
      <c r="A44" s="24" t="inlineStr">
        <is>
          <t>AN</t>
        </is>
      </c>
      <c r="B44" s="24" t="inlineStr">
        <is>
          <t>rundung_afa</t>
        </is>
      </c>
      <c r="C44" s="24" t="inlineStr">
        <is>
          <t>Rundung kum. AfA</t>
        </is>
      </c>
      <c r="D44" s="31" t="inlineStr">
        <is>
          <t>Vermerk</t>
        </is>
      </c>
      <c r="E44" s="24" t="inlineStr">
        <is>
          <t>Nein</t>
        </is>
      </c>
      <c r="F44" s="24" t="inlineStr">
        <is>
          <t>Betrag</t>
        </is>
      </c>
      <c r="G44" s="24" t="inlineStr">
        <is>
          <t>System</t>
        </is>
      </c>
      <c r="H44" s="26" t="inlineStr">
        <is>
          <t>Wie weit die kum. AfA 31.12. von ihrer Fortschreibung abweichen darf, weil die Zahlen der Zeile gerundet gedruckt sind: je gedruckter Zahl ein halber Schritt, auf ganze Cent abgerundet (wie in den Prüfregeln der Karte); 0 bei Zahlen, die als Zahl getippt sind. Die Kontrolle „kum. AfA 31.12. laut Mandant = Fortschreibung“ zählt nur Zeilen, die weiter abweichen.</t>
        </is>
      </c>
    </row>
    <row r="45">
      <c r="A45" s="24" t="inlineStr">
        <is>
          <t>AO</t>
        </is>
      </c>
      <c r="B45" s="24" t="inlineStr">
        <is>
          <t>selbst_erstellt</t>
        </is>
      </c>
      <c r="C45" s="24" t="inlineStr">
        <is>
          <t>Selbst erstellt</t>
        </is>
      </c>
      <c r="D45" s="31" t="inlineStr">
        <is>
          <t>Vermerk</t>
        </is>
      </c>
      <c r="E45" s="24" t="inlineStr">
        <is>
          <t>Nein</t>
        </is>
      </c>
      <c r="F45" s="24" t="inlineStr">
        <is>
          <t>Liste</t>
        </is>
      </c>
      <c r="G45" s="24" t="inlineStr">
        <is>
          <t>Mandant</t>
        </is>
      </c>
      <c r="H45" s="26" t="inlineStr">
        <is>
          <t>Ja bei einer selbst erstellten Anlage (§ 255 Abs. 2 HGB): bestimmt die Zugangsart.</t>
        </is>
      </c>
    </row>
    <row r="46">
      <c r="A46" s="24" t="inlineStr">
        <is>
          <t>AP</t>
        </is>
      </c>
      <c r="B46" s="24" t="inlineStr">
        <is>
          <t>vorgangsart</t>
        </is>
      </c>
      <c r="C46" s="24" t="inlineStr">
        <is>
          <t>Vorgangsart</t>
        </is>
      </c>
      <c r="D46" s="31" t="inlineStr">
        <is>
          <t>Vermerk</t>
        </is>
      </c>
      <c r="E46" s="24" t="inlineStr">
        <is>
          <t>Nein</t>
        </is>
      </c>
      <c r="F46" s="24" t="inlineStr">
        <is>
          <t>Liste</t>
        </is>
      </c>
      <c r="G46" s="24" t="inlineStr">
        <is>
          <t>Mandant</t>
        </is>
      </c>
      <c r="H46" s="26" t="inlineStr">
        <is>
          <t>Zugang, Umbuchung, Übertrag oder nachträgliche AK: eine Umbuchung ist kein Zugang, außer aus Anlagen im Bau.</t>
        </is>
      </c>
    </row>
    <row r="47">
      <c r="A47" s="24" t="inlineStr">
        <is>
          <t>AQ</t>
        </is>
      </c>
      <c r="B47" s="24" t="inlineStr">
        <is>
          <t>zeilen_id</t>
        </is>
      </c>
      <c r="C47" s="24" t="inlineStr">
        <is>
          <t>Zeilen-ID</t>
        </is>
      </c>
      <c r="D47" s="25" t="inlineStr">
        <is>
          <t>System</t>
        </is>
      </c>
      <c r="E47" s="24" t="inlineStr">
        <is>
          <t>-</t>
        </is>
      </c>
      <c r="F47" s="24" t="inlineStr">
        <is>
          <t>Text</t>
        </is>
      </c>
      <c r="G47" s="24" t="inlineStr">
        <is>
          <t>System</t>
        </is>
      </c>
      <c r="H47" s="26" t="inlineStr">
        <is>
          <t>Kennung der Zeile im bestätigten Stand, vom System geschrieben und ausgeblendet. Beim Hochladen wird die Zeile an ihr wiedererkannt; eine neue Zeile bleibt hier leer, und in einer kopierten Zeile ist sie zu leeren.</t>
        </is>
      </c>
    </row>
    <row r="50">
      <c r="A50" s="4" t="inlineStr">
        <is>
          <t>Rechenregeln – gelten je Zeile des Verzeichnisses und in jeder Zeile der Gitter-Blätter</t>
        </is>
      </c>
    </row>
    <row r="51">
      <c r="A51" s="32" t="inlineStr">
        <is>
          <t>1</t>
        </is>
      </c>
      <c r="B51" s="32" t="inlineStr">
        <is>
          <t>AHK 31.12. = AHK 01.01. + Zugang − Abgang + Umbuchung</t>
        </is>
      </c>
    </row>
    <row r="52">
      <c r="A52" s="32" t="inlineStr">
        <is>
          <t>2</t>
        </is>
      </c>
      <c r="B52" s="32" t="inlineStr">
        <is>
          <t>Kum. AfA 31.12. = kum. AfA 01.01. + AfA des GJ − AfA auf Abgang − Zuschreibung + Umbuchung kum. AfA</t>
        </is>
      </c>
    </row>
    <row r="53">
      <c r="A53" s="32" t="inlineStr">
        <is>
          <t>3</t>
        </is>
      </c>
      <c r="B53" s="32" t="inlineStr">
        <is>
          <t>Buchwert 31.12. GJ = AHK 31.12. − kum. AfA 31.12.</t>
        </is>
      </c>
    </row>
    <row r="54">
      <c r="A54" s="32" t="inlineStr">
        <is>
          <t>4</t>
        </is>
      </c>
      <c r="B54" s="32" t="inlineStr">
        <is>
          <t>Buchwert 31.12. VJ = AHK 01.01. − kum. AfA 01.01.</t>
        </is>
      </c>
    </row>
    <row r="55">
      <c r="A55" s="32" t="inlineStr">
        <is>
          <t>5</t>
        </is>
      </c>
      <c r="B55" s="32" t="inlineStr">
        <is>
          <t>Summe Umbuchung AHK = 0 und Summe Umbuchung kum. AfA = 0 über alle Zeilen</t>
        </is>
      </c>
    </row>
    <row r="56">
      <c r="A56" s="32" t="inlineStr">
        <is>
          <t>6</t>
        </is>
      </c>
      <c r="B56" s="32" t="inlineStr">
        <is>
          <t>'davon außerplanmäßig' ist ein Vermerk und in 'Abschreibungen des Geschäftsjahres' enthalten</t>
        </is>
      </c>
    </row>
    <row r="58">
      <c r="A58" s="4" t="inlineStr">
        <is>
          <t>Hinweise zur Übernahme aus Quellsystemen</t>
        </is>
      </c>
    </row>
    <row r="59">
      <c r="A59" s="32" t="inlineStr">
        <is>
          <t>1</t>
        </is>
      </c>
      <c r="B59" s="32" t="inlineStr">
        <is>
          <t>Kumulierte AfA wird von SAP negativ geliefert – Vorzeichen beim Einlesen drehen.</t>
        </is>
      </c>
    </row>
    <row r="60">
      <c r="A60" s="32" t="inlineStr">
        <is>
          <t>2</t>
        </is>
      </c>
      <c r="B60" s="32" t="inlineStr">
        <is>
          <t>Den Bilanzposten drucken nur manche Systemexporte (z. B. SAP Business One als 'Kontoname'); dann steht er wie gedruckt in der Spalte, sonst bleibt sie leer. Er wird nie aus dem Sachkonto abgeleitet.</t>
        </is>
      </c>
    </row>
    <row r="61">
      <c r="A61" s="32" t="inlineStr">
        <is>
          <t>3</t>
        </is>
      </c>
      <c r="B61" s="32" t="inlineStr">
        <is>
          <t>AfA-Schlüssel der Quellsysteme (z. B. 'LINI') übersetzt das System in die Spalte AfA-Methode.</t>
        </is>
      </c>
    </row>
    <row r="62">
      <c r="A62" s="32" t="inlineStr">
        <is>
          <t>4</t>
        </is>
      </c>
      <c r="B62" s="32" t="inlineStr">
        <is>
          <t>Nutzungsdauer wird meist in Jahren geliefert; für die Nachrechnung werden Monate benötigt.</t>
        </is>
      </c>
    </row>
    <row r="63">
      <c r="A63" s="32" t="inlineStr">
        <is>
          <t>5</t>
        </is>
      </c>
      <c r="B63" s="32" t="inlineStr">
        <is>
          <t>Quellen mit nur einer saldierten Bewegungsspalte (Zugang und Abgang zusammengefasst) erlauben keine</t>
        </is>
      </c>
    </row>
    <row r="64">
      <c r="A64" s="32" t="n"/>
      <c r="B64" s="32" t="inlineStr">
        <is>
          <t>Bruttodarstellung nach § 284 Abs. 3 HGB – in diesem Fall ist die Aufgliederung nachzufordern.</t>
        </is>
      </c>
    </row>
    <row r="65">
      <c r="A65" s="32" t="n"/>
      <c r="B65" s="32" t="inlineStr">
        <is>
          <t>In Berichtsdateien laufen Postenbezeichnungen häufig über zwei Zeilen und es stehen Leerzeilen dazwischen.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50"/>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Zugänge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Grundlage für die Abgrenzung Aktivierung gegen Aufwand (§ 255 HGB).</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Zugangsdatum: eines von beiden ist anzugeben.</t>
        </is>
      </c>
    </row>
    <row r="12">
      <c r="A12" s="24" t="inlineStr">
        <is>
          <t>H</t>
        </is>
      </c>
      <c r="B12" s="24" t="inlineStr">
        <is>
          <t>zugangsdatum</t>
        </is>
      </c>
      <c r="C12" s="24" t="inlineStr">
        <is>
          <t>Zugangsdatum</t>
        </is>
      </c>
      <c r="D12" s="24" t="inlineStr">
        <is>
          <t>Bewegung</t>
        </is>
      </c>
      <c r="E12" s="24" t="inlineStr">
        <is>
          <t>Soll</t>
        </is>
      </c>
      <c r="F12" s="24" t="inlineStr">
        <is>
          <t>Datum</t>
        </is>
      </c>
      <c r="G12" s="24" t="inlineStr">
        <is>
          <t>Mandant</t>
        </is>
      </c>
      <c r="H12" s="26" t="inlineStr">
        <is>
          <t>SAP: Bezugsdatum. Aktivierungs- oder Zugangsdatum: eines von beiden ist anzugeben.</t>
        </is>
      </c>
    </row>
    <row r="13">
      <c r="A13" s="24" t="inlineStr">
        <is>
          <t>I</t>
        </is>
      </c>
      <c r="B13" s="24" t="inlineStr">
        <is>
          <t>zugang_ahk</t>
        </is>
      </c>
      <c r="C13" s="24" t="inlineStr">
        <is>
          <t>Zugang AHK</t>
        </is>
      </c>
      <c r="D13" s="24" t="inlineStr">
        <is>
          <t>Bewegung</t>
        </is>
      </c>
      <c r="E13" s="24" t="inlineStr">
        <is>
          <t>Ja</t>
        </is>
      </c>
      <c r="F13" s="24" t="inlineStr">
        <is>
          <t>Betrag</t>
        </is>
      </c>
      <c r="G13" s="24" t="inlineStr">
        <is>
          <t>Mandant</t>
        </is>
      </c>
      <c r="H13" s="26" t="inlineStr">
        <is>
          <t>Zugang zu Anschaffungs- oder Herstellungskosten laut Liste, mit ihrem Vorzeichen; ohne abziehbare Umsatzsteuer.</t>
        </is>
      </c>
    </row>
    <row r="14">
      <c r="A14" s="24" t="inlineStr">
        <is>
          <t>J</t>
        </is>
      </c>
      <c r="B14" s="24" t="inlineStr">
        <is>
          <t>lieferant</t>
        </is>
      </c>
      <c r="C14" s="24" t="inlineStr">
        <is>
          <t>Lieferant</t>
        </is>
      </c>
      <c r="D14" s="24" t="inlineStr">
        <is>
          <t>Beleg</t>
        </is>
      </c>
      <c r="E14" s="24" t="inlineStr">
        <is>
          <t>Soll</t>
        </is>
      </c>
      <c r="F14" s="24" t="inlineStr">
        <is>
          <t>Text</t>
        </is>
      </c>
      <c r="G14" s="24" t="inlineStr">
        <is>
          <t>Mandant</t>
        </is>
      </c>
      <c r="H14" s="26" t="inlineStr">
        <is>
          <t>Klartext.</t>
        </is>
      </c>
    </row>
    <row r="15">
      <c r="A15" s="24" t="inlineStr">
        <is>
          <t>K</t>
        </is>
      </c>
      <c r="B15" s="24" t="inlineStr">
        <is>
          <t>lieferanten_nr</t>
        </is>
      </c>
      <c r="C15" s="24" t="inlineStr">
        <is>
          <t>Lieferanten-Nr.</t>
        </is>
      </c>
      <c r="D15" s="24" t="inlineStr">
        <is>
          <t>Beleg</t>
        </is>
      </c>
      <c r="E15" s="24" t="inlineStr">
        <is>
          <t>Nein</t>
        </is>
      </c>
      <c r="F15" s="24" t="inlineStr">
        <is>
          <t>Text</t>
        </is>
      </c>
      <c r="G15" s="24" t="inlineStr">
        <is>
          <t>Mandant</t>
        </is>
      </c>
      <c r="H15" s="26" t="inlineStr">
        <is>
          <t>Kreditorenkonto. Brücke zur Kreditorenbuchhaltung.</t>
        </is>
      </c>
    </row>
    <row r="16">
      <c r="A16" s="24" t="inlineStr">
        <is>
          <t>L</t>
        </is>
      </c>
      <c r="B16" s="24" t="inlineStr">
        <is>
          <t>belegnummer</t>
        </is>
      </c>
      <c r="C16" s="24" t="inlineStr">
        <is>
          <t>Belegnummer</t>
        </is>
      </c>
      <c r="D16" s="24" t="inlineStr">
        <is>
          <t>Beleg</t>
        </is>
      </c>
      <c r="E16" s="24" t="inlineStr">
        <is>
          <t>Nein</t>
        </is>
      </c>
      <c r="F16" s="24" t="inlineStr">
        <is>
          <t>Text</t>
        </is>
      </c>
      <c r="G16" s="24" t="inlineStr">
        <is>
          <t>Mandant</t>
        </is>
      </c>
      <c r="H16" s="26" t="inlineStr">
        <is>
          <t>Beleg- oder Rechnungsnummer laut Liste. Einstieg in die Belegprüfung.</t>
        </is>
      </c>
    </row>
    <row r="17">
      <c r="A17" s="24" t="inlineStr">
        <is>
          <t>M</t>
        </is>
      </c>
      <c r="B17" s="24" t="inlineStr">
        <is>
          <t>belegdatum</t>
        </is>
      </c>
      <c r="C17" s="24" t="inlineStr">
        <is>
          <t>Belegdatum</t>
        </is>
      </c>
      <c r="D17" s="24" t="inlineStr">
        <is>
          <t>Beleg</t>
        </is>
      </c>
      <c r="E17" s="24" t="inlineStr">
        <is>
          <t>Nein</t>
        </is>
      </c>
      <c r="F17" s="24" t="inlineStr">
        <is>
          <t>Datum</t>
        </is>
      </c>
      <c r="G17" s="24" t="inlineStr">
        <is>
          <t>Mandant</t>
        </is>
      </c>
      <c r="H17" s="26" t="inlineStr">
        <is>
          <t>Nicht der Aktivierungszeitpunkt.</t>
        </is>
      </c>
    </row>
    <row r="18">
      <c r="A18" s="24" t="inlineStr">
        <is>
          <t>N</t>
        </is>
      </c>
      <c r="B18" s="24" t="inlineStr">
        <is>
          <t>buchungstext</t>
        </is>
      </c>
      <c r="C18" s="24" t="inlineStr">
        <is>
          <t>Buchungstext</t>
        </is>
      </c>
      <c r="D18" s="24" t="inlineStr">
        <is>
          <t>Beleg</t>
        </is>
      </c>
      <c r="E18" s="24" t="inlineStr">
        <is>
          <t>Soll</t>
        </is>
      </c>
      <c r="F18" s="24" t="inlineStr">
        <is>
          <t>Text</t>
        </is>
      </c>
      <c r="G18" s="24" t="inlineStr">
        <is>
          <t>Mandant</t>
        </is>
      </c>
      <c r="H18" s="26" t="inlineStr">
        <is>
          <t>Wortgetreu.</t>
        </is>
      </c>
    </row>
    <row r="19">
      <c r="A19" s="24" t="inlineStr">
        <is>
          <t>O</t>
        </is>
      </c>
      <c r="B19" s="24" t="inlineStr">
        <is>
          <t>nd_jahre</t>
        </is>
      </c>
      <c r="C19" s="24" t="inlineStr">
        <is>
          <t>Nutzungsdauer (Jahre)</t>
        </is>
      </c>
      <c r="D19" s="24" t="inlineStr">
        <is>
          <t>Weitere</t>
        </is>
      </c>
      <c r="E19" s="24" t="inlineStr">
        <is>
          <t>Nein</t>
        </is>
      </c>
      <c r="F19" s="24" t="inlineStr">
        <is>
          <t>Ganzzahl</t>
        </is>
      </c>
      <c r="G19" s="24" t="inlineStr">
        <is>
          <t>Mandant</t>
        </is>
      </c>
      <c r="H19" s="26" t="inlineStr">
        <is>
          <t>Wie die Liste sie in Jahren druckt.</t>
        </is>
      </c>
    </row>
    <row r="20">
      <c r="A20" s="24" t="inlineStr">
        <is>
          <t>P</t>
        </is>
      </c>
      <c r="B20" s="24" t="inlineStr">
        <is>
          <t>bestell_nr</t>
        </is>
      </c>
      <c r="C20" s="24" t="inlineStr">
        <is>
          <t>Bestellnummer</t>
        </is>
      </c>
      <c r="D20" s="24" t="inlineStr">
        <is>
          <t>Weitere</t>
        </is>
      </c>
      <c r="E20" s="24" t="inlineStr">
        <is>
          <t>Nein</t>
        </is>
      </c>
      <c r="F20" s="24" t="inlineStr">
        <is>
          <t>Text</t>
        </is>
      </c>
      <c r="G20" s="24" t="inlineStr">
        <is>
          <t>Mandant</t>
        </is>
      </c>
      <c r="H20" s="26" t="inlineStr">
        <is>
          <t>Fehlt sie, ist der Genehmigungsweg gesondert nachzuweisen.</t>
        </is>
      </c>
    </row>
    <row r="21">
      <c r="A21" s="24" t="inlineStr">
        <is>
          <t>Q</t>
        </is>
      </c>
      <c r="B21" s="24" t="inlineStr">
        <is>
          <t>buchungsdatum</t>
        </is>
      </c>
      <c r="C21" s="24" t="inlineStr">
        <is>
          <t>Buchungsdatum</t>
        </is>
      </c>
      <c r="D21" s="24" t="inlineStr">
        <is>
          <t>Weitere</t>
        </is>
      </c>
      <c r="E21" s="24" t="inlineStr">
        <is>
          <t>Nein</t>
        </is>
      </c>
      <c r="F21" s="24" t="inlineStr">
        <is>
          <t>Datum</t>
        </is>
      </c>
      <c r="G21" s="24" t="inlineStr">
        <is>
          <t>Mandant</t>
        </is>
      </c>
      <c r="H21" s="26" t="inlineStr">
        <is>
          <t>Periodenabgrenzung.</t>
        </is>
      </c>
    </row>
    <row r="22">
      <c r="A22" s="24" t="inlineStr">
        <is>
          <t>R</t>
        </is>
      </c>
      <c r="B22" s="24" t="inlineStr">
        <is>
          <t>betrag_brutto</t>
        </is>
      </c>
      <c r="C22" s="24" t="inlineStr">
        <is>
          <t>Rechnungsbetrag (brutto)</t>
        </is>
      </c>
      <c r="D22" s="24" t="inlineStr">
        <is>
          <t>Weitere</t>
        </is>
      </c>
      <c r="E22" s="24" t="inlineStr">
        <is>
          <t>Nein</t>
        </is>
      </c>
      <c r="F22" s="24" t="inlineStr">
        <is>
          <t>Betrag</t>
        </is>
      </c>
      <c r="G22" s="24" t="inlineStr">
        <is>
          <t>Mandant</t>
        </is>
      </c>
      <c r="H22" s="26" t="inlineStr">
        <is>
          <t>Wie auf dem Beleg, in Belegwährung.</t>
        </is>
      </c>
    </row>
    <row r="23">
      <c r="A23" s="24" t="inlineStr">
        <is>
          <t>S</t>
        </is>
      </c>
      <c r="B23" s="24" t="inlineStr">
        <is>
          <t>ust</t>
        </is>
      </c>
      <c r="C23" s="24" t="inlineStr">
        <is>
          <t>Umsatzsteuer</t>
        </is>
      </c>
      <c r="D23" s="24" t="inlineStr">
        <is>
          <t>Weitere</t>
        </is>
      </c>
      <c r="E23" s="24" t="inlineStr">
        <is>
          <t>Nein</t>
        </is>
      </c>
      <c r="F23" s="24" t="inlineStr">
        <is>
          <t>Betrag</t>
        </is>
      </c>
      <c r="G23" s="24" t="inlineStr">
        <is>
          <t>Mandant</t>
        </is>
      </c>
      <c r="H23" s="26" t="inlineStr">
        <is>
          <t>Nicht abziehbare Umsatzsteuer gehört in die AHK, nicht in diese Spalte.</t>
        </is>
      </c>
    </row>
    <row r="24">
      <c r="A24" s="24" t="inlineStr">
        <is>
          <t>T</t>
        </is>
      </c>
      <c r="B24" s="24" t="inlineStr">
        <is>
          <t>nebenkosten</t>
        </is>
      </c>
      <c r="C24" s="24" t="inlineStr">
        <is>
          <t>Anschaffungsnebenkosten</t>
        </is>
      </c>
      <c r="D24" s="24" t="inlineStr">
        <is>
          <t>Weitere</t>
        </is>
      </c>
      <c r="E24" s="24" t="inlineStr">
        <is>
          <t>Nein</t>
        </is>
      </c>
      <c r="F24" s="24" t="inlineStr">
        <is>
          <t>Betrag</t>
        </is>
      </c>
      <c r="G24" s="24" t="inlineStr">
        <is>
          <t>Mandant</t>
        </is>
      </c>
      <c r="H24" s="26" t="inlineStr">
        <is>
          <t>Laut Mandant als ein Betrag (Fracht, Zoll, Montage, Fundament, § 255 Abs. 1 S. 2 HGB).</t>
        </is>
      </c>
    </row>
    <row r="25">
      <c r="A25" s="24" t="inlineStr">
        <is>
          <t>U</t>
        </is>
      </c>
      <c r="B25" s="24" t="inlineStr">
        <is>
          <t>aktiviert_laut_liste</t>
        </is>
      </c>
      <c r="C25" s="24" t="inlineStr">
        <is>
          <t>Aktivierter Betrag</t>
        </is>
      </c>
      <c r="D25" s="24" t="inlineStr">
        <is>
          <t>Weitere</t>
        </is>
      </c>
      <c r="E25" s="24" t="inlineStr">
        <is>
          <t>Nein</t>
        </is>
      </c>
      <c r="F25" s="24" t="inlineStr">
        <is>
          <t>Betrag</t>
        </is>
      </c>
      <c r="G25" s="24" t="inlineStr">
        <is>
          <t>Mandant</t>
        </is>
      </c>
      <c r="H25" s="26" t="inlineStr">
        <is>
          <t>Wie die Liste ihn druckt.</t>
        </is>
      </c>
    </row>
    <row r="26">
      <c r="A26" s="24" t="inlineStr">
        <is>
          <t>V</t>
        </is>
      </c>
      <c r="B26" s="24" t="inlineStr">
        <is>
          <t>grund_anteil</t>
        </is>
      </c>
      <c r="C26" s="24" t="inlineStr">
        <is>
          <t>davon Grund (EUR)</t>
        </is>
      </c>
      <c r="D26" s="24" t="inlineStr">
        <is>
          <t>Weitere</t>
        </is>
      </c>
      <c r="E26" s="24" t="inlineStr">
        <is>
          <t>Nein</t>
        </is>
      </c>
      <c r="F26" s="24" t="inlineStr">
        <is>
          <t>Betrag</t>
        </is>
      </c>
      <c r="G26" s="24" t="inlineStr">
        <is>
          <t>Mandant</t>
        </is>
      </c>
      <c r="H26" s="26" t="inlineStr">
        <is>
          <t>Grundstücksanteil laut Mandant bei Grundstück/Gebäude (A.II.1); leer = nicht angegeben.</t>
        </is>
      </c>
    </row>
    <row r="27">
      <c r="A27" s="24" t="inlineStr">
        <is>
          <t>W</t>
        </is>
      </c>
      <c r="B27" s="24" t="inlineStr">
        <is>
          <t>skonto_bp</t>
        </is>
      </c>
      <c r="C27" s="24" t="inlineStr">
        <is>
          <t>Angebotenes Skonto (Basispunkte)</t>
        </is>
      </c>
      <c r="D27" s="24" t="inlineStr">
        <is>
          <t>Weitere</t>
        </is>
      </c>
      <c r="E27" s="24" t="inlineStr">
        <is>
          <t>Nein</t>
        </is>
      </c>
      <c r="F27" s="24" t="inlineStr">
        <is>
          <t>Ganzzahl</t>
        </is>
      </c>
      <c r="G27" s="24" t="inlineStr">
        <is>
          <t>Mandant</t>
        </is>
      </c>
      <c r="H27" s="26" t="inlineStr">
        <is>
          <t>2 % = 200. Nie als Prozenttext erfassen.</t>
        </is>
      </c>
    </row>
    <row r="28">
      <c r="A28" s="24" t="inlineStr">
        <is>
          <t>X</t>
        </is>
      </c>
      <c r="B28" s="24" t="inlineStr">
        <is>
          <t>skonto_gezogen</t>
        </is>
      </c>
      <c r="C28" s="24" t="inlineStr">
        <is>
          <t>Skonto gezogen</t>
        </is>
      </c>
      <c r="D28" s="24" t="inlineStr">
        <is>
          <t>Weitere</t>
        </is>
      </c>
      <c r="E28" s="24" t="inlineStr">
        <is>
          <t>Nein</t>
        </is>
      </c>
      <c r="F28" s="24" t="inlineStr">
        <is>
          <t>Liste</t>
        </is>
      </c>
      <c r="G28" s="24" t="inlineStr">
        <is>
          <t>Mandant</t>
        </is>
      </c>
      <c r="H28" s="26" t="inlineStr">
        <is>
          <t>Gezogenes Skonto mindert die AHK (§ 255 Abs. 1 S. 3 HGB).</t>
        </is>
      </c>
    </row>
    <row r="29">
      <c r="A29" s="24" t="inlineStr">
        <is>
          <t>Y</t>
        </is>
      </c>
      <c r="B29" s="24" t="inlineStr">
        <is>
          <t>waehrung</t>
        </is>
      </c>
      <c r="C29" s="24" t="inlineStr">
        <is>
          <t>Währung</t>
        </is>
      </c>
      <c r="D29" s="24" t="inlineStr">
        <is>
          <t>Bewegung</t>
        </is>
      </c>
      <c r="E29" s="24" t="inlineStr">
        <is>
          <t>Nein</t>
        </is>
      </c>
      <c r="F29" s="24" t="inlineStr">
        <is>
          <t>Liste</t>
        </is>
      </c>
      <c r="G29" s="24" t="inlineStr">
        <is>
          <t>Mandant</t>
        </is>
      </c>
      <c r="H29" s="26" t="inlineStr">
        <is>
          <t>Auswahlliste.</t>
        </is>
      </c>
    </row>
    <row r="30">
      <c r="A30" s="24" t="inlineStr">
        <is>
          <t>Z</t>
        </is>
      </c>
      <c r="B30" s="24" t="inlineStr">
        <is>
          <t>bewegungsart</t>
        </is>
      </c>
      <c r="C30" s="24" t="inlineStr">
        <is>
          <t>Bewegungsart</t>
        </is>
      </c>
      <c r="D30" s="24" t="inlineStr">
        <is>
          <t>Bewegung</t>
        </is>
      </c>
      <c r="E30" s="24" t="inlineStr">
        <is>
          <t>Nein</t>
        </is>
      </c>
      <c r="F30" s="24" t="inlineStr">
        <is>
          <t>Text</t>
        </is>
      </c>
      <c r="G30" s="24" t="inlineStr">
        <is>
          <t>Mandant</t>
        </is>
      </c>
      <c r="H30" s="26" t="inlineStr">
        <is>
          <t>Bewegungsart laut Liste, als Code oder Text.</t>
        </is>
      </c>
    </row>
    <row r="31">
      <c r="A31" s="24" t="inlineStr">
        <is>
          <t>AA</t>
        </is>
      </c>
      <c r="B31" s="24" t="inlineStr">
        <is>
          <t>ahk_01_01</t>
        </is>
      </c>
      <c r="C31" s="24" t="inlineStr">
        <is>
          <t>AHK zu GJ-Beginn</t>
        </is>
      </c>
      <c r="D31" s="24" t="inlineStr">
        <is>
          <t>Bewegung</t>
        </is>
      </c>
      <c r="E31" s="24" t="inlineStr">
        <is>
          <t>Nein</t>
        </is>
      </c>
      <c r="F31" s="24" t="inlineStr">
        <is>
          <t>Betrag</t>
        </is>
      </c>
      <c r="G31" s="24" t="inlineStr">
        <is>
          <t>Mandant</t>
        </is>
      </c>
      <c r="H31" s="26" t="inlineStr">
        <is>
          <t>AHK der Anlage zu Beginn des Geschäftsjahres laut Liste.</t>
        </is>
      </c>
    </row>
    <row r="32">
      <c r="A32" s="24" t="inlineStr">
        <is>
          <t>AB</t>
        </is>
      </c>
      <c r="B32" s="24" t="inlineStr">
        <is>
          <t>afa_beginn</t>
        </is>
      </c>
      <c r="C32" s="24" t="inlineStr">
        <is>
          <t>AfA-Beginn</t>
        </is>
      </c>
      <c r="D32" s="24" t="inlineStr">
        <is>
          <t>AfA</t>
        </is>
      </c>
      <c r="E32" s="24" t="inlineStr">
        <is>
          <t>Nein</t>
        </is>
      </c>
      <c r="F32" s="24" t="inlineStr">
        <is>
          <t>Datum</t>
        </is>
      </c>
      <c r="G32" s="24" t="inlineStr">
        <is>
          <t>Mandant</t>
        </is>
      </c>
      <c r="H32" s="26" t="inlineStr">
        <is>
          <t>Beginn der planmäßigen Abschreibung laut Liste.</t>
        </is>
      </c>
    </row>
    <row r="33">
      <c r="A33" s="24" t="inlineStr">
        <is>
          <t>AC</t>
        </is>
      </c>
      <c r="B33" s="24" t="inlineStr">
        <is>
          <t>nd_monate</t>
        </is>
      </c>
      <c r="C33" s="24" t="inlineStr">
        <is>
          <t>Nutzungsdauer (Monate)</t>
        </is>
      </c>
      <c r="D33" s="24" t="inlineStr">
        <is>
          <t>AfA</t>
        </is>
      </c>
      <c r="E33" s="24" t="inlineStr">
        <is>
          <t>Soll</t>
        </is>
      </c>
      <c r="F33" s="24" t="inlineStr">
        <is>
          <t>Ganzzahl</t>
        </is>
      </c>
      <c r="G33" s="24" t="inlineStr">
        <is>
          <t>Mandant</t>
        </is>
      </c>
      <c r="H33" s="26" t="inlineStr">
        <is>
          <t>In Monaten. Jahre (und Monate) der Liste werden umgerechnet; eine Spalte ohne Einheit wird am AfA-Satz geprüft oder erfragt.</t>
        </is>
      </c>
    </row>
    <row r="34">
      <c r="A34" s="24" t="inlineStr">
        <is>
          <t>AD</t>
        </is>
      </c>
      <c r="B34" s="24" t="inlineStr">
        <is>
          <t>afa_methode</t>
        </is>
      </c>
      <c r="C34" s="24" t="inlineStr">
        <is>
          <t>AfA-Methode</t>
        </is>
      </c>
      <c r="D34" s="24" t="inlineStr">
        <is>
          <t>AfA</t>
        </is>
      </c>
      <c r="E34" s="24" t="inlineStr">
        <is>
          <t>Nein</t>
        </is>
      </c>
      <c r="F34" s="24" t="inlineStr">
        <is>
          <t>Text</t>
        </is>
      </c>
      <c r="G34" s="24" t="inlineStr">
        <is>
          <t>Mandant</t>
        </is>
      </c>
      <c r="H34" s="26" t="inlineStr">
        <is>
          <t>Abschreibungsmethode oder -schlüssel laut Liste.</t>
        </is>
      </c>
    </row>
    <row r="35">
      <c r="A35" s="24" t="inlineStr">
        <is>
          <t>AE</t>
        </is>
      </c>
      <c r="B35" s="24" t="inlineStr">
        <is>
          <t>afa_satz</t>
        </is>
      </c>
      <c r="C35" s="24" t="inlineStr">
        <is>
          <t>AfA-Satz %</t>
        </is>
      </c>
      <c r="D35" s="24" t="inlineStr">
        <is>
          <t>AfA</t>
        </is>
      </c>
      <c r="E35" s="24" t="inlineStr">
        <is>
          <t>Nein</t>
        </is>
      </c>
      <c r="F35" s="24" t="inlineStr">
        <is>
          <t>Zahl</t>
        </is>
      </c>
      <c r="G35" s="24" t="inlineStr">
        <is>
          <t>Mandant</t>
        </is>
      </c>
      <c r="H35" s="26" t="inlineStr">
        <is>
          <t>Jährlicher AfA-Satz in Prozent laut Liste.</t>
        </is>
      </c>
    </row>
    <row r="36">
      <c r="A36" s="24" t="inlineStr">
        <is>
          <t>AF</t>
        </is>
      </c>
      <c r="B36" s="24" t="inlineStr">
        <is>
          <t>kostenstelle</t>
        </is>
      </c>
      <c r="C36" s="24" t="inlineStr">
        <is>
          <t>Kostenstelle</t>
        </is>
      </c>
      <c r="D36" s="24" t="inlineStr">
        <is>
          <t>Zuordnung</t>
        </is>
      </c>
      <c r="E36" s="24" t="inlineStr">
        <is>
          <t>Nein</t>
        </is>
      </c>
      <c r="F36" s="24" t="inlineStr">
        <is>
          <t>Text</t>
        </is>
      </c>
      <c r="G36" s="24" t="inlineStr">
        <is>
          <t>Mandant</t>
        </is>
      </c>
      <c r="H36" s="26" t="inlineStr">
        <is>
          <t>Kostenstelle laut Liste.</t>
        </is>
      </c>
    </row>
    <row r="37">
      <c r="A37" s="24" t="inlineStr">
        <is>
          <t>AG</t>
        </is>
      </c>
      <c r="B37" s="24" t="inlineStr">
        <is>
          <t>standort</t>
        </is>
      </c>
      <c r="C37" s="24" t="inlineStr">
        <is>
          <t>Standort</t>
        </is>
      </c>
      <c r="D37" s="24" t="inlineStr">
        <is>
          <t>Zuordnung</t>
        </is>
      </c>
      <c r="E37" s="24" t="inlineStr">
        <is>
          <t>Nein</t>
        </is>
      </c>
      <c r="F37" s="24" t="inlineStr">
        <is>
          <t>Text</t>
        </is>
      </c>
      <c r="G37" s="24" t="inlineStr">
        <is>
          <t>Mandant</t>
        </is>
      </c>
      <c r="H37" s="26" t="inlineStr">
        <is>
          <t>Standort laut Liste.</t>
        </is>
      </c>
    </row>
    <row r="38">
      <c r="A38" s="24" t="inlineStr">
        <is>
          <t>AH</t>
        </is>
      </c>
      <c r="B38" s="24" t="inlineStr">
        <is>
          <t>kurs_zu_eur</t>
        </is>
      </c>
      <c r="C38" s="24" t="inlineStr">
        <is>
          <t>Kurs zu EUR</t>
        </is>
      </c>
      <c r="D38" s="24" t="inlineStr">
        <is>
          <t>Weitere</t>
        </is>
      </c>
      <c r="E38" s="24" t="inlineStr">
        <is>
          <t>Nein</t>
        </is>
      </c>
      <c r="F38" s="24" t="inlineStr">
        <is>
          <t>Zahl</t>
        </is>
      </c>
      <c r="G38" s="24" t="inlineStr">
        <is>
          <t>Mandant</t>
        </is>
      </c>
      <c r="H38" s="26" t="inlineStr">
        <is>
          <t>Nur bei Währung ungleich EUR. Zahl, kein Text.</t>
        </is>
      </c>
    </row>
    <row r="39">
      <c r="A39" s="24" t="inlineStr">
        <is>
          <t>AI</t>
        </is>
      </c>
      <c r="B39" s="24" t="inlineStr">
        <is>
          <t>incoterm</t>
        </is>
      </c>
      <c r="C39" s="24" t="inlineStr">
        <is>
          <t>Lieferbedingung (Incoterm)</t>
        </is>
      </c>
      <c r="D39" s="24" t="inlineStr">
        <is>
          <t>Weitere</t>
        </is>
      </c>
      <c r="E39" s="24" t="inlineStr">
        <is>
          <t>Nein</t>
        </is>
      </c>
      <c r="F39" s="24" t="inlineStr">
        <is>
          <t>Text</t>
        </is>
      </c>
      <c r="G39" s="24" t="inlineStr">
        <is>
          <t>Mandant</t>
        </is>
      </c>
      <c r="H39" s="26" t="inlineStr">
        <is>
          <t>Bestimmt den Gefahrenübergang und damit das wirtschaftliche Eigentum.</t>
        </is>
      </c>
    </row>
    <row r="40">
      <c r="A40" s="24" t="inlineStr">
        <is>
          <t>AJ</t>
        </is>
      </c>
      <c r="B40" s="24" t="inlineStr">
        <is>
          <t>risikouebergang</t>
        </is>
      </c>
      <c r="C40" s="24" t="inlineStr">
        <is>
          <t>Datum des Risikoübergangs</t>
        </is>
      </c>
      <c r="D40" s="24" t="inlineStr">
        <is>
          <t>Weitere</t>
        </is>
      </c>
      <c r="E40" s="24" t="inlineStr">
        <is>
          <t>Nein</t>
        </is>
      </c>
      <c r="F40" s="24" t="inlineStr">
        <is>
          <t>Datum</t>
        </is>
      </c>
      <c r="G40" s="24" t="inlineStr">
        <is>
          <t>Mandant</t>
        </is>
      </c>
      <c r="H40" s="26" t="inlineStr">
        <is>
          <t>Aus Incoterm und Lieferschein herzuleiten, wenn nicht angegeben.</t>
        </is>
      </c>
    </row>
    <row r="41">
      <c r="A41" s="24" t="inlineStr">
        <is>
          <t>AK</t>
        </is>
      </c>
      <c r="B41" s="24" t="inlineStr">
        <is>
          <t>lieferschein_datum</t>
        </is>
      </c>
      <c r="C41" s="24" t="inlineStr">
        <is>
          <t>Lieferscheindatum</t>
        </is>
      </c>
      <c r="D41" s="24" t="inlineStr">
        <is>
          <t>Weitere</t>
        </is>
      </c>
      <c r="E41" s="24" t="inlineStr">
        <is>
          <t>Nein</t>
        </is>
      </c>
      <c r="F41" s="24" t="inlineStr">
        <is>
          <t>Datum</t>
        </is>
      </c>
      <c r="G41" s="24" t="inlineStr">
        <is>
          <t>Mandant</t>
        </is>
      </c>
      <c r="H41" s="26" t="inlineStr">
        <is>
          <t>Nachweis des Zeitpunkts.</t>
        </is>
      </c>
    </row>
    <row r="42">
      <c r="A42" s="24" t="inlineStr">
        <is>
          <t>AL</t>
        </is>
      </c>
      <c r="B42" s="24" t="inlineStr">
        <is>
          <t>abnahme_datum</t>
        </is>
      </c>
      <c r="C42" s="24" t="inlineStr">
        <is>
          <t>Datum des Abnahmeprotokolls</t>
        </is>
      </c>
      <c r="D42" s="24" t="inlineStr">
        <is>
          <t>Weitere</t>
        </is>
      </c>
      <c r="E42" s="24" t="inlineStr">
        <is>
          <t>Nein</t>
        </is>
      </c>
      <c r="F42" s="24" t="inlineStr">
        <is>
          <t>Datum</t>
        </is>
      </c>
      <c r="G42" s="24" t="inlineStr">
        <is>
          <t>Mandant</t>
        </is>
      </c>
      <c r="H42" s="26" t="inlineStr">
        <is>
          <t>Betriebsbereitschaft bei Anlagen mit Abnahme.</t>
        </is>
      </c>
    </row>
    <row r="43">
      <c r="A43" s="24" t="inlineStr">
        <is>
          <t>AM</t>
        </is>
      </c>
      <c r="B43" s="24" t="inlineStr">
        <is>
          <t>wareneingang</t>
        </is>
      </c>
      <c r="C43" s="24" t="inlineStr">
        <is>
          <t>Wareneingang vorhanden</t>
        </is>
      </c>
      <c r="D43" s="24" t="inlineStr">
        <is>
          <t>Weitere</t>
        </is>
      </c>
      <c r="E43" s="24" t="inlineStr">
        <is>
          <t>Nein</t>
        </is>
      </c>
      <c r="F43" s="24" t="inlineStr">
        <is>
          <t>Liste</t>
        </is>
      </c>
      <c r="G43" s="24" t="inlineStr">
        <is>
          <t>Mandant</t>
        </is>
      </c>
      <c r="H43" s="26" t="inlineStr">
        <is>
          <t>Ja oder Nein.</t>
        </is>
      </c>
    </row>
    <row r="44">
      <c r="A44" s="24" t="inlineStr">
        <is>
          <t>AN</t>
        </is>
      </c>
      <c r="B44" s="24" t="inlineStr">
        <is>
          <t>genehmigt_am</t>
        </is>
      </c>
      <c r="C44" s="24" t="inlineStr">
        <is>
          <t>Datum der Genehmigung</t>
        </is>
      </c>
      <c r="D44" s="24" t="inlineStr">
        <is>
          <t>Weitere</t>
        </is>
      </c>
      <c r="E44" s="24" t="inlineStr">
        <is>
          <t>Nein</t>
        </is>
      </c>
      <c r="F44" s="24" t="inlineStr">
        <is>
          <t>Datum</t>
        </is>
      </c>
      <c r="G44" s="24" t="inlineStr">
        <is>
          <t>Mandant</t>
        </is>
      </c>
      <c r="H44" s="26" t="inlineStr">
        <is>
          <t>Investitionsfreigabe.</t>
        </is>
      </c>
    </row>
    <row r="45">
      <c r="A45" s="24" t="inlineStr">
        <is>
          <t>AO</t>
        </is>
      </c>
      <c r="B45" s="24" t="inlineStr">
        <is>
          <t>genehmigt_durch</t>
        </is>
      </c>
      <c r="C45" s="24" t="inlineStr">
        <is>
          <t>Genehmigt durch</t>
        </is>
      </c>
      <c r="D45" s="24" t="inlineStr">
        <is>
          <t>Weitere</t>
        </is>
      </c>
      <c r="E45" s="24" t="inlineStr">
        <is>
          <t>Nein</t>
        </is>
      </c>
      <c r="F45" s="24" t="inlineStr">
        <is>
          <t>Text</t>
        </is>
      </c>
      <c r="G45" s="24" t="inlineStr">
        <is>
          <t>Mandant</t>
        </is>
      </c>
      <c r="H45" s="26" t="inlineStr">
        <is>
          <t>Name und Funktion. Gegen die Kompetenzordnung zu prüfen.</t>
        </is>
      </c>
    </row>
    <row r="46">
      <c r="A46" s="24" t="inlineStr">
        <is>
          <t>AP</t>
        </is>
      </c>
      <c r="B46" s="24" t="inlineStr">
        <is>
          <t>nahestehend</t>
        </is>
      </c>
      <c r="C46" s="24" t="inlineStr">
        <is>
          <t>Nahestehende Person</t>
        </is>
      </c>
      <c r="D46" s="24" t="inlineStr">
        <is>
          <t>Weitere</t>
        </is>
      </c>
      <c r="E46" s="24" t="inlineStr">
        <is>
          <t>Nein</t>
        </is>
      </c>
      <c r="F46" s="24" t="inlineStr">
        <is>
          <t>Liste</t>
        </is>
      </c>
      <c r="G46" s="24" t="inlineStr">
        <is>
          <t>Mandant</t>
        </is>
      </c>
      <c r="H46" s="26" t="inlineStr">
        <is>
          <t>§ 285 Nr. 21 HGB.</t>
        </is>
      </c>
    </row>
    <row r="47">
      <c r="A47" s="24" t="inlineStr">
        <is>
          <t>AQ</t>
        </is>
      </c>
      <c r="B47" s="24" t="inlineStr">
        <is>
          <t>zahlungsart</t>
        </is>
      </c>
      <c r="C47" s="24" t="inlineStr">
        <is>
          <t>Zahlungsart</t>
        </is>
      </c>
      <c r="D47" s="24" t="inlineStr">
        <is>
          <t>Weitere</t>
        </is>
      </c>
      <c r="E47" s="24" t="inlineStr">
        <is>
          <t>Nein</t>
        </is>
      </c>
      <c r="F47" s="24" t="inlineStr">
        <is>
          <t>Liste</t>
        </is>
      </c>
      <c r="G47" s="24" t="inlineStr">
        <is>
          <t>Mandant</t>
        </is>
      </c>
      <c r="H47" s="26" t="inlineStr">
        <is>
          <t>Bank · Bar. Barzahlung ist ein Warnsignal.</t>
        </is>
      </c>
    </row>
    <row r="48">
      <c r="A48" s="24" t="inlineStr">
        <is>
          <t>AR</t>
        </is>
      </c>
      <c r="B48" s="24" t="inlineStr">
        <is>
          <t>storno_nach_stichtag</t>
        </is>
      </c>
      <c r="C48" s="24" t="inlineStr">
        <is>
          <t>Storno nach Stichtag</t>
        </is>
      </c>
      <c r="D48" s="24" t="inlineStr">
        <is>
          <t>Weitere</t>
        </is>
      </c>
      <c r="E48" s="24" t="inlineStr">
        <is>
          <t>Nein</t>
        </is>
      </c>
      <c r="F48" s="24" t="inlineStr">
        <is>
          <t>Liste</t>
        </is>
      </c>
      <c r="G48" s="24" t="inlineStr">
        <is>
          <t>Mandant</t>
        </is>
      </c>
      <c r="H48" s="26" t="inlineStr">
        <is>
          <t>Ja, wenn der Zugang nach dem Stichtag storniert oder gutgeschrieben wurde.</t>
        </is>
      </c>
    </row>
    <row r="49">
      <c r="A49" s="24" t="inlineStr">
        <is>
          <t>AS</t>
        </is>
      </c>
      <c r="B49" s="24" t="inlineStr">
        <is>
          <t>manuelle_buchung</t>
        </is>
      </c>
      <c r="C49" s="24" t="inlineStr">
        <is>
          <t>Manuelle Buchung</t>
        </is>
      </c>
      <c r="D49" s="24" t="inlineStr">
        <is>
          <t>Weitere</t>
        </is>
      </c>
      <c r="E49" s="24" t="inlineStr">
        <is>
          <t>Nein</t>
        </is>
      </c>
      <c r="F49" s="24" t="inlineStr">
        <is>
          <t>Liste</t>
        </is>
      </c>
      <c r="G49" s="24" t="inlineStr">
        <is>
          <t>Mandant</t>
        </is>
      </c>
      <c r="H49" s="26" t="inlineStr">
        <is>
          <t>Ja bei Handbuchung; im Jahresendfenster ein Risikohinweis.</t>
        </is>
      </c>
    </row>
    <row r="50">
      <c r="A50" s="24" t="inlineStr">
        <is>
          <t>AT</t>
        </is>
      </c>
      <c r="B50" s="24" t="inlineStr">
        <is>
          <t>zeilen_id</t>
        </is>
      </c>
      <c r="C50" s="24" t="inlineStr">
        <is>
          <t>Zeilen-ID</t>
        </is>
      </c>
      <c r="D50" s="24" t="inlineStr">
        <is>
          <t>System</t>
        </is>
      </c>
      <c r="E50" s="24" t="inlineStr">
        <is>
          <t>-</t>
        </is>
      </c>
      <c r="F50" s="24" t="inlineStr">
        <is>
          <t>Text</t>
        </is>
      </c>
      <c r="G50" s="24" t="inlineStr">
        <is>
          <t>System</t>
        </is>
      </c>
      <c r="H50"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39"/>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Abgänge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Bezeichnung der abgehenden Anlage laut Liste.</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Anschaffungsdatum der abgehenden Anlage laut Liste.</t>
        </is>
      </c>
    </row>
    <row r="12">
      <c r="A12" s="24" t="inlineStr">
        <is>
          <t>H</t>
        </is>
      </c>
      <c r="B12" s="24" t="inlineStr">
        <is>
          <t>abgang_nr</t>
        </is>
      </c>
      <c r="C12" s="24" t="inlineStr">
        <is>
          <t>Abgangsnummer</t>
        </is>
      </c>
      <c r="D12" s="24" t="inlineStr">
        <is>
          <t>Weitere</t>
        </is>
      </c>
      <c r="E12" s="24" t="inlineStr">
        <is>
          <t>Nein</t>
        </is>
      </c>
      <c r="F12" s="24" t="inlineStr">
        <is>
          <t>Text</t>
        </is>
      </c>
      <c r="G12" s="24" t="inlineStr">
        <is>
          <t>Mandant</t>
        </is>
      </c>
      <c r="H12" s="26" t="inlineStr">
        <is>
          <t>Beleg- oder Vorgangsnummer des Abgangs.</t>
        </is>
      </c>
    </row>
    <row r="13">
      <c r="A13" s="24" t="inlineStr">
        <is>
          <t>I</t>
        </is>
      </c>
      <c r="B13" s="24" t="inlineStr">
        <is>
          <t>abgangsdatum</t>
        </is>
      </c>
      <c r="C13" s="24" t="inlineStr">
        <is>
          <t>Abgangsdatum</t>
        </is>
      </c>
      <c r="D13" s="24" t="inlineStr">
        <is>
          <t>Bewegung</t>
        </is>
      </c>
      <c r="E13" s="24" t="inlineStr">
        <is>
          <t>Soll</t>
        </is>
      </c>
      <c r="F13" s="24" t="inlineStr">
        <is>
          <t>Datum</t>
        </is>
      </c>
      <c r="G13" s="24" t="inlineStr">
        <is>
          <t>Mandant</t>
        </is>
      </c>
      <c r="H13" s="26" t="inlineStr">
        <is>
          <t>Datum des Abgangs laut Liste.</t>
        </is>
      </c>
    </row>
    <row r="14">
      <c r="A14" s="24" t="inlineStr">
        <is>
          <t>J</t>
        </is>
      </c>
      <c r="B14" s="24" t="inlineStr">
        <is>
          <t>waehrung</t>
        </is>
      </c>
      <c r="C14" s="24" t="inlineStr">
        <is>
          <t>Währung</t>
        </is>
      </c>
      <c r="D14" s="24" t="inlineStr">
        <is>
          <t>Bewegung</t>
        </is>
      </c>
      <c r="E14" s="24" t="inlineStr">
        <is>
          <t>Nein</t>
        </is>
      </c>
      <c r="F14" s="24" t="inlineStr">
        <is>
          <t>Liste</t>
        </is>
      </c>
      <c r="G14" s="24" t="inlineStr">
        <is>
          <t>Mandant</t>
        </is>
      </c>
      <c r="H14" s="26" t="inlineStr">
        <is>
          <t>Auswahlliste.</t>
        </is>
      </c>
    </row>
    <row r="15">
      <c r="A15" s="24" t="inlineStr">
        <is>
          <t>K</t>
        </is>
      </c>
      <c r="B15" s="24" t="inlineStr">
        <is>
          <t>ahk_01_01</t>
        </is>
      </c>
      <c r="C15" s="24" t="inlineStr">
        <is>
          <t>AHK zu GJ-Beginn</t>
        </is>
      </c>
      <c r="D15" s="24" t="inlineStr">
        <is>
          <t>Bewegung</t>
        </is>
      </c>
      <c r="E15" s="24" t="inlineStr">
        <is>
          <t>Nein</t>
        </is>
      </c>
      <c r="F15" s="24" t="inlineStr">
        <is>
          <t>Betrag</t>
        </is>
      </c>
      <c r="G15" s="24" t="inlineStr">
        <is>
          <t>Mandant</t>
        </is>
      </c>
      <c r="H15" s="26" t="inlineStr">
        <is>
          <t>AHK der Anlage zu Beginn des Geschäftsjahres laut Liste.</t>
        </is>
      </c>
    </row>
    <row r="16">
      <c r="A16" s="24" t="inlineStr">
        <is>
          <t>L</t>
        </is>
      </c>
      <c r="B16" s="24" t="inlineStr">
        <is>
          <t>ahk_zugang</t>
        </is>
      </c>
      <c r="C16" s="24" t="inlineStr">
        <is>
          <t>Zugang im Geschäftsjahr</t>
        </is>
      </c>
      <c r="D16" s="24" t="inlineStr">
        <is>
          <t>Bewegung</t>
        </is>
      </c>
      <c r="E16" s="24" t="inlineStr">
        <is>
          <t>Nein</t>
        </is>
      </c>
      <c r="F16" s="24" t="inlineStr">
        <is>
          <t>Betrag</t>
        </is>
      </c>
      <c r="G16" s="24" t="inlineStr">
        <is>
          <t>Mandant</t>
        </is>
      </c>
      <c r="H16" s="26" t="inlineStr">
        <is>
          <t>Zugang zu AHK der Anlage im Geschäftsjahr laut Liste.</t>
        </is>
      </c>
    </row>
    <row r="17">
      <c r="A17" s="24" t="inlineStr">
        <is>
          <t>M</t>
        </is>
      </c>
      <c r="B17" s="24" t="inlineStr">
        <is>
          <t>ahk_abgang</t>
        </is>
      </c>
      <c r="C17" s="24" t="inlineStr">
        <is>
          <t>Abgang AHK</t>
        </is>
      </c>
      <c r="D17" s="24" t="inlineStr">
        <is>
          <t>Bewegung</t>
        </is>
      </c>
      <c r="E17" s="24" t="inlineStr">
        <is>
          <t>Soll</t>
        </is>
      </c>
      <c r="F17" s="24" t="inlineStr">
        <is>
          <t>Betrag</t>
        </is>
      </c>
      <c r="G17" s="24" t="inlineStr">
        <is>
          <t>Mandant</t>
        </is>
      </c>
      <c r="H17" s="26" t="inlineStr">
        <is>
          <t>Abgang zu historischen AHK laut Liste, positiv; bei einem Teilabgang nur der abgehende Anteil. Abgang AHK oder Buchwert des Abgangs: eines von beiden ist anzugeben.</t>
        </is>
      </c>
    </row>
    <row r="18">
      <c r="A18" s="24" t="inlineStr">
        <is>
          <t>N</t>
        </is>
      </c>
      <c r="B18" s="24" t="inlineStr">
        <is>
          <t>ahk_aktuell</t>
        </is>
      </c>
      <c r="C18" s="24" t="inlineStr">
        <is>
          <t>Aktuelle AHK</t>
        </is>
      </c>
      <c r="D18" s="24" t="inlineStr">
        <is>
          <t>Bewegung</t>
        </is>
      </c>
      <c r="E18" s="24" t="inlineStr">
        <is>
          <t>Nein</t>
        </is>
      </c>
      <c r="F18" s="24" t="inlineStr">
        <is>
          <t>Betrag</t>
        </is>
      </c>
      <c r="G18" s="24" t="inlineStr">
        <is>
          <t>Mandant</t>
        </is>
      </c>
      <c r="H18" s="26" t="inlineStr">
        <is>
          <t>AHK der Anlage nach dem Abgang laut Liste; muss AHK zu GJ-Beginn + Zugang im Geschäftsjahr − Abgang AHK ergeben.</t>
        </is>
      </c>
    </row>
    <row r="19">
      <c r="A19" s="24" t="inlineStr">
        <is>
          <t>O</t>
        </is>
      </c>
      <c r="B19" s="24" t="inlineStr">
        <is>
          <t>afa_01_01</t>
        </is>
      </c>
      <c r="C19" s="24" t="inlineStr">
        <is>
          <t>AfA zu GJ-Beginn</t>
        </is>
      </c>
      <c r="D19" s="24" t="inlineStr">
        <is>
          <t>Bewegung</t>
        </is>
      </c>
      <c r="E19" s="24" t="inlineStr">
        <is>
          <t>Nein</t>
        </is>
      </c>
      <c r="F19" s="24" t="inlineStr">
        <is>
          <t>Betrag</t>
        </is>
      </c>
      <c r="G19" s="24" t="inlineStr">
        <is>
          <t>Mandant</t>
        </is>
      </c>
      <c r="H19" s="26" t="inlineStr">
        <is>
          <t>Kumulierte AfA der Anlage zu Beginn des Geschäftsjahres laut Liste.</t>
        </is>
      </c>
    </row>
    <row r="20">
      <c r="A20" s="24" t="inlineStr">
        <is>
          <t>P</t>
        </is>
      </c>
      <c r="B20" s="24" t="inlineStr">
        <is>
          <t>afa_gj</t>
        </is>
      </c>
      <c r="C20" s="24" t="inlineStr">
        <is>
          <t>AfA des Jahres</t>
        </is>
      </c>
      <c r="D20" s="24" t="inlineStr">
        <is>
          <t>Bewegung</t>
        </is>
      </c>
      <c r="E20" s="24" t="inlineStr">
        <is>
          <t>Nein</t>
        </is>
      </c>
      <c r="F20" s="24" t="inlineStr">
        <is>
          <t>Betrag</t>
        </is>
      </c>
      <c r="G20" s="24" t="inlineStr">
        <is>
          <t>Mandant</t>
        </is>
      </c>
      <c r="H20" s="26" t="inlineStr">
        <is>
          <t>AfA des Geschäftsjahres bis zum Abgang laut Liste.</t>
        </is>
      </c>
    </row>
    <row r="21">
      <c r="A21" s="24" t="inlineStr">
        <is>
          <t>Q</t>
        </is>
      </c>
      <c r="B21" s="24" t="inlineStr">
        <is>
          <t>afa_abgang</t>
        </is>
      </c>
      <c r="C21" s="24" t="inlineStr">
        <is>
          <t>AfA des Abgangs</t>
        </is>
      </c>
      <c r="D21" s="24" t="inlineStr">
        <is>
          <t>Bewegung</t>
        </is>
      </c>
      <c r="E21" s="24" t="inlineStr">
        <is>
          <t>Soll</t>
        </is>
      </c>
      <c r="F21" s="24" t="inlineStr">
        <is>
          <t>Betrag</t>
        </is>
      </c>
      <c r="G21" s="24" t="inlineStr">
        <is>
          <t>Mandant</t>
        </is>
      </c>
      <c r="H21" s="26" t="inlineStr">
        <is>
          <t>Bis zum Abgang aufgelaufene kumulierte AfA des abgehenden Anteils laut Liste, positiv.</t>
        </is>
      </c>
    </row>
    <row r="22">
      <c r="A22" s="24" t="inlineStr">
        <is>
          <t>R</t>
        </is>
      </c>
      <c r="B22" s="24" t="inlineStr">
        <is>
          <t>bw_01_01</t>
        </is>
      </c>
      <c r="C22" s="24" t="inlineStr">
        <is>
          <t>Buchwert zu GJ-Beginn</t>
        </is>
      </c>
      <c r="D22" s="24" t="inlineStr">
        <is>
          <t>Bewegung</t>
        </is>
      </c>
      <c r="E22" s="24" t="inlineStr">
        <is>
          <t>Nein</t>
        </is>
      </c>
      <c r="F22" s="24" t="inlineStr">
        <is>
          <t>Betrag</t>
        </is>
      </c>
      <c r="G22" s="24" t="inlineStr">
        <is>
          <t>Mandant</t>
        </is>
      </c>
      <c r="H22" s="26" t="inlineStr">
        <is>
          <t>Buchwert der Anlage zu Beginn des Geschäftsjahres laut Liste; muss AHK zu GJ-Beginn − AfA zu GJ-Beginn ergeben.</t>
        </is>
      </c>
    </row>
    <row r="23">
      <c r="A23" s="24" t="inlineStr">
        <is>
          <t>S</t>
        </is>
      </c>
      <c r="B23" s="24" t="inlineStr">
        <is>
          <t>restbuchwert</t>
        </is>
      </c>
      <c r="C23" s="24" t="inlineStr">
        <is>
          <t>Buchwert des Abgangs</t>
        </is>
      </c>
      <c r="D23" s="24" t="inlineStr">
        <is>
          <t>Bewegung</t>
        </is>
      </c>
      <c r="E23" s="24" t="inlineStr">
        <is>
          <t>Soll</t>
        </is>
      </c>
      <c r="F23" s="24" t="inlineStr">
        <is>
          <t>Betrag</t>
        </is>
      </c>
      <c r="G23" s="24" t="inlineStr">
        <is>
          <t>Mandant</t>
        </is>
      </c>
      <c r="H23" s="26" t="inlineStr">
        <is>
          <t>Buchwert des Abgangs laut Liste; muss Abgang AHK − AfA des Abgangs ergeben. Abgang AHK oder Buchwert des Abgangs: eines von beiden ist anzugeben.</t>
        </is>
      </c>
    </row>
    <row r="24">
      <c r="A24" s="24" t="inlineStr">
        <is>
          <t>T</t>
        </is>
      </c>
      <c r="B24" s="24" t="inlineStr">
        <is>
          <t>bw_aktuell</t>
        </is>
      </c>
      <c r="C24" s="24" t="inlineStr">
        <is>
          <t>Laufender Buchwert</t>
        </is>
      </c>
      <c r="D24" s="24" t="inlineStr">
        <is>
          <t>Bewegung</t>
        </is>
      </c>
      <c r="E24" s="24" t="inlineStr">
        <is>
          <t>Nein</t>
        </is>
      </c>
      <c r="F24" s="24" t="inlineStr">
        <is>
          <t>Betrag</t>
        </is>
      </c>
      <c r="G24" s="24" t="inlineStr">
        <is>
          <t>Mandant</t>
        </is>
      </c>
      <c r="H24" s="26" t="inlineStr">
        <is>
          <t>Buchwert der Anlage nach dem Abgang laut Liste; muss Aktuelle AHK − (AfA zu GJ-Beginn + AfA des Jahres − AfA des Abgangs) ergeben.</t>
        </is>
      </c>
    </row>
    <row r="25">
      <c r="A25" s="24" t="inlineStr">
        <is>
          <t>U</t>
        </is>
      </c>
      <c r="B25" s="24" t="inlineStr">
        <is>
          <t>erloes_brutto</t>
        </is>
      </c>
      <c r="C25" s="24" t="inlineStr">
        <is>
          <t>Verkaufserlös</t>
        </is>
      </c>
      <c r="D25" s="24" t="inlineStr">
        <is>
          <t>Bewegung</t>
        </is>
      </c>
      <c r="E25" s="24" t="inlineStr">
        <is>
          <t>Soll</t>
        </is>
      </c>
      <c r="F25" s="24" t="inlineStr">
        <is>
          <t>Betrag</t>
        </is>
      </c>
      <c r="G25" s="24" t="inlineStr">
        <is>
          <t>Mandant</t>
        </is>
      </c>
      <c r="H25" s="26" t="inlineStr">
        <is>
          <t>0,00 bei Verschrottung.</t>
        </is>
      </c>
    </row>
    <row r="26">
      <c r="A26" s="24" t="inlineStr">
        <is>
          <t>V</t>
        </is>
      </c>
      <c r="B26" s="24" t="inlineStr">
        <is>
          <t>buchungstext</t>
        </is>
      </c>
      <c r="C26" s="24" t="inlineStr">
        <is>
          <t>Buchungstext</t>
        </is>
      </c>
      <c r="D26" s="24" t="inlineStr">
        <is>
          <t>Beleg</t>
        </is>
      </c>
      <c r="E26" s="24" t="inlineStr">
        <is>
          <t>Soll</t>
        </is>
      </c>
      <c r="F26" s="24" t="inlineStr">
        <is>
          <t>Text</t>
        </is>
      </c>
      <c r="G26" s="24" t="inlineStr">
        <is>
          <t>Mandant</t>
        </is>
      </c>
      <c r="H26" s="26" t="inlineStr">
        <is>
          <t>Wortgetreu.</t>
        </is>
      </c>
    </row>
    <row r="27">
      <c r="A27" s="24" t="inlineStr">
        <is>
          <t>W</t>
        </is>
      </c>
      <c r="B27" s="24" t="inlineStr">
        <is>
          <t>kontrolle_restbuchwert</t>
        </is>
      </c>
      <c r="C27" s="24" t="inlineStr">
        <is>
          <t>Kontrolle Buchwert des Abgangs</t>
        </is>
      </c>
      <c r="D27" s="24" t="inlineStr">
        <is>
          <t>Kontrolle</t>
        </is>
      </c>
      <c r="E27" s="24" t="inlineStr">
        <is>
          <t>-</t>
        </is>
      </c>
      <c r="F27" s="24" t="inlineStr">
        <is>
          <t>Text</t>
        </is>
      </c>
      <c r="G27" s="24" t="inlineStr">
        <is>
          <t>Formel</t>
        </is>
      </c>
      <c r="H27" s="26" t="inlineStr">
        <is>
          <t>OK, wenn Buchwert des Abgangs = Abgang AHK − AfA des Abgangs (Rundung 0,01); sonst ABWEICHUNG; leer, wenn eine der drei Zahlen fehlt — leer ist nicht 0.</t>
        </is>
      </c>
    </row>
    <row r="28">
      <c r="A28" s="24" t="inlineStr">
        <is>
          <t>X</t>
        </is>
      </c>
      <c r="B28" s="24" t="inlineStr">
        <is>
          <t>kontrolle_ahk_aktuell</t>
        </is>
      </c>
      <c r="C28" s="24" t="inlineStr">
        <is>
          <t>Kontrolle aktuelle AHK</t>
        </is>
      </c>
      <c r="D28" s="24" t="inlineStr">
        <is>
          <t>Kontrolle</t>
        </is>
      </c>
      <c r="E28" s="24" t="inlineStr">
        <is>
          <t>-</t>
        </is>
      </c>
      <c r="F28" s="24" t="inlineStr">
        <is>
          <t>Text</t>
        </is>
      </c>
      <c r="G28" s="24" t="inlineStr">
        <is>
          <t>Formel</t>
        </is>
      </c>
      <c r="H28" s="26" t="inlineStr">
        <is>
          <t>OK, wenn Aktuelle AHK = AHK zu GJ-Beginn + Zugang im Geschäftsjahr − Abgang AHK (Rundung 0,01); sonst ABWEICHUNG, UNVOLLSTÄNDIG bei leerem Zugang; leer, wenn AHK zu GJ-Beginn, Abgang AHK oder Aktuelle AHK fehlt — leer ist nicht 0.</t>
        </is>
      </c>
    </row>
    <row r="29">
      <c r="A29" s="24" t="inlineStr">
        <is>
          <t>Y</t>
        </is>
      </c>
      <c r="B29" s="24" t="inlineStr">
        <is>
          <t>kontrolle_bw_01_01</t>
        </is>
      </c>
      <c r="C29" s="24" t="inlineStr">
        <is>
          <t>Kontrolle Buchwert GJ-Beginn</t>
        </is>
      </c>
      <c r="D29" s="24" t="inlineStr">
        <is>
          <t>Kontrolle</t>
        </is>
      </c>
      <c r="E29" s="24" t="inlineStr">
        <is>
          <t>-</t>
        </is>
      </c>
      <c r="F29" s="24" t="inlineStr">
        <is>
          <t>Text</t>
        </is>
      </c>
      <c r="G29" s="24" t="inlineStr">
        <is>
          <t>Formel</t>
        </is>
      </c>
      <c r="H29" s="26" t="inlineStr">
        <is>
          <t>OK, wenn Buchwert zu GJ-Beginn = AHK zu GJ-Beginn − AfA zu GJ-Beginn (Rundung 0,01); sonst ABWEICHUNG; leer, wenn eine der drei Zahlen fehlt — leer ist nicht 0.</t>
        </is>
      </c>
    </row>
    <row r="30">
      <c r="A30" s="24" t="inlineStr">
        <is>
          <t>Z</t>
        </is>
      </c>
      <c r="B30" s="24" t="inlineStr">
        <is>
          <t>kontrolle_bw_aktuell</t>
        </is>
      </c>
      <c r="C30" s="24" t="inlineStr">
        <is>
          <t>Kontrolle laufender Buchwert</t>
        </is>
      </c>
      <c r="D30" s="24" t="inlineStr">
        <is>
          <t>Kontrolle</t>
        </is>
      </c>
      <c r="E30" s="24" t="inlineStr">
        <is>
          <t>-</t>
        </is>
      </c>
      <c r="F30" s="24" t="inlineStr">
        <is>
          <t>Text</t>
        </is>
      </c>
      <c r="G30" s="24" t="inlineStr">
        <is>
          <t>Formel</t>
        </is>
      </c>
      <c r="H30" s="26" t="inlineStr">
        <is>
          <t>OK, wenn Laufender Buchwert = Aktuelle AHK − (AfA zu GJ-Beginn + AfA des Jahres − AfA des Abgangs) (Rundung 0,01); sonst ABWEICHUNG; leer, wenn eine der fünf Zahlen fehlt — leer ist nicht 0.</t>
        </is>
      </c>
    </row>
    <row r="31">
      <c r="A31" s="24" t="inlineStr">
        <is>
          <t>AA</t>
        </is>
      </c>
      <c r="B31" s="24" t="inlineStr">
        <is>
          <t>abgangsart</t>
        </is>
      </c>
      <c r="C31" s="24" t="inlineStr">
        <is>
          <t>Abgangsart</t>
        </is>
      </c>
      <c r="D31" s="24" t="inlineStr">
        <is>
          <t>Weitere</t>
        </is>
      </c>
      <c r="E31" s="24" t="inlineStr">
        <is>
          <t>Nein</t>
        </is>
      </c>
      <c r="F31" s="24" t="inlineStr">
        <is>
          <t>Liste</t>
        </is>
      </c>
      <c r="G31" s="24" t="inlineStr">
        <is>
          <t>Mandant</t>
        </is>
      </c>
      <c r="H31" s="26" t="inlineStr">
        <is>
          <t>Auswahlliste.</t>
        </is>
      </c>
    </row>
    <row r="32">
      <c r="A32" s="24" t="inlineStr">
        <is>
          <t>AB</t>
        </is>
      </c>
      <c r="B32" s="24" t="inlineStr">
        <is>
          <t>erwerber</t>
        </is>
      </c>
      <c r="C32" s="24" t="inlineStr">
        <is>
          <t>Erwerber</t>
        </is>
      </c>
      <c r="D32" s="24" t="inlineStr">
        <is>
          <t>Weitere</t>
        </is>
      </c>
      <c r="E32" s="24" t="inlineStr">
        <is>
          <t>Nein</t>
        </is>
      </c>
      <c r="F32" s="24" t="inlineStr">
        <is>
          <t>Text</t>
        </is>
      </c>
      <c r="G32" s="24" t="inlineStr">
        <is>
          <t>Mandant</t>
        </is>
      </c>
      <c r="H32" s="26" t="inlineStr">
        <is>
          <t>Bei Abgangsart 'Verkauf' anzugeben.</t>
        </is>
      </c>
    </row>
    <row r="33">
      <c r="A33" s="24" t="inlineStr">
        <is>
          <t>AC</t>
        </is>
      </c>
      <c r="B33" s="24" t="inlineStr">
        <is>
          <t>erwerber_nr</t>
        </is>
      </c>
      <c r="C33" s="24" t="inlineStr">
        <is>
          <t>Erwerbernummer</t>
        </is>
      </c>
      <c r="D33" s="24" t="inlineStr">
        <is>
          <t>Weitere</t>
        </is>
      </c>
      <c r="E33" s="24" t="inlineStr">
        <is>
          <t>Nein</t>
        </is>
      </c>
      <c r="F33" s="24" t="inlineStr">
        <is>
          <t>Text</t>
        </is>
      </c>
      <c r="G33" s="24" t="inlineStr">
        <is>
          <t>Mandant</t>
        </is>
      </c>
      <c r="H33" s="26" t="inlineStr">
        <is>
          <t>Debitorenkonto.</t>
        </is>
      </c>
    </row>
    <row r="34">
      <c r="A34" s="24" t="inlineStr">
        <is>
          <t>AD</t>
        </is>
      </c>
      <c r="B34" s="24" t="inlineStr">
        <is>
          <t>nahestehend</t>
        </is>
      </c>
      <c r="C34" s="24" t="inlineStr">
        <is>
          <t>Nahestehende Person</t>
        </is>
      </c>
      <c r="D34" s="24" t="inlineStr">
        <is>
          <t>Weitere</t>
        </is>
      </c>
      <c r="E34" s="24" t="inlineStr">
        <is>
          <t>Nein</t>
        </is>
      </c>
      <c r="F34" s="24" t="inlineStr">
        <is>
          <t>Liste</t>
        </is>
      </c>
      <c r="G34" s="24" t="inlineStr">
        <is>
          <t>Mandant</t>
        </is>
      </c>
      <c r="H34" s="26" t="inlineStr">
        <is>
          <t>'Ja' macht den Marktvergleichswert zur Pflicht.</t>
        </is>
      </c>
    </row>
    <row r="35">
      <c r="A35" s="24" t="inlineStr">
        <is>
          <t>AE</t>
        </is>
      </c>
      <c r="B35" s="24" t="inlineStr">
        <is>
          <t>ust</t>
        </is>
      </c>
      <c r="C35" s="24" t="inlineStr">
        <is>
          <t>Umsatzsteuer</t>
        </is>
      </c>
      <c r="D35" s="24" t="inlineStr">
        <is>
          <t>Weitere</t>
        </is>
      </c>
      <c r="E35" s="24" t="inlineStr">
        <is>
          <t>Nein</t>
        </is>
      </c>
      <c r="F35" s="24" t="inlineStr">
        <is>
          <t>Betrag</t>
        </is>
      </c>
      <c r="G35" s="24" t="inlineStr">
        <is>
          <t>Mandant</t>
        </is>
      </c>
      <c r="H35" s="26" t="inlineStr">
        <is>
          <t>Auf den Erlös.</t>
        </is>
      </c>
    </row>
    <row r="36">
      <c r="A36" s="24" t="inlineStr">
        <is>
          <t>AF</t>
        </is>
      </c>
      <c r="B36" s="24" t="inlineStr">
        <is>
          <t>marktvergleich</t>
        </is>
      </c>
      <c r="C36" s="24" t="inlineStr">
        <is>
          <t>Marktvergleichswert</t>
        </is>
      </c>
      <c r="D36" s="24" t="inlineStr">
        <is>
          <t>Weitere</t>
        </is>
      </c>
      <c r="E36" s="24" t="inlineStr">
        <is>
          <t>Nein</t>
        </is>
      </c>
      <c r="F36" s="24" t="inlineStr">
        <is>
          <t>Betrag</t>
        </is>
      </c>
      <c r="G36" s="24" t="inlineStr">
        <is>
          <t>Mandant</t>
        </is>
      </c>
      <c r="H36" s="26" t="inlineStr">
        <is>
          <t>Bei nahestehenden Personen anzugeben.</t>
        </is>
      </c>
    </row>
    <row r="37">
      <c r="A37" s="24" t="inlineStr">
        <is>
          <t>AG</t>
        </is>
      </c>
      <c r="B37" s="24" t="inlineStr">
        <is>
          <t>zahlungsnachweis</t>
        </is>
      </c>
      <c r="C37" s="24" t="inlineStr">
        <is>
          <t>Zahlungsnachweis</t>
        </is>
      </c>
      <c r="D37" s="24" t="inlineStr">
        <is>
          <t>Weitere</t>
        </is>
      </c>
      <c r="E37" s="24" t="inlineStr">
        <is>
          <t>Nein</t>
        </is>
      </c>
      <c r="F37" s="24" t="inlineStr">
        <is>
          <t>Text</t>
        </is>
      </c>
      <c r="G37" s="24" t="inlineStr">
        <is>
          <t>Mandant</t>
        </is>
      </c>
      <c r="H37" s="26" t="inlineStr">
        <is>
          <t>Kontoauszug oder Belegreferenz; bei einem Erlös über 0,00 anzugeben.</t>
        </is>
      </c>
    </row>
    <row r="38">
      <c r="A38" s="24" t="inlineStr">
        <is>
          <t>AH</t>
        </is>
      </c>
      <c r="B38" s="24" t="inlineStr">
        <is>
          <t>genehmigt_durch</t>
        </is>
      </c>
      <c r="C38" s="24" t="inlineStr">
        <is>
          <t>Genehmigt durch</t>
        </is>
      </c>
      <c r="D38" s="24" t="inlineStr">
        <is>
          <t>Weitere</t>
        </is>
      </c>
      <c r="E38" s="24" t="inlineStr">
        <is>
          <t>Nein</t>
        </is>
      </c>
      <c r="F38" s="24" t="inlineStr">
        <is>
          <t>Text</t>
        </is>
      </c>
      <c r="G38" s="24" t="inlineStr">
        <is>
          <t>Mandant</t>
        </is>
      </c>
      <c r="H38" s="26" t="inlineStr">
        <is>
          <t>Gegen die Kompetenzordnung zu prüfen.</t>
        </is>
      </c>
    </row>
    <row r="39">
      <c r="A39" s="24" t="inlineStr">
        <is>
          <t>AI</t>
        </is>
      </c>
      <c r="B39" s="24" t="inlineStr">
        <is>
          <t>zeilen_id</t>
        </is>
      </c>
      <c r="C39" s="24" t="inlineStr">
        <is>
          <t>Zeilen-ID</t>
        </is>
      </c>
      <c r="D39" s="24" t="inlineStr">
        <is>
          <t>System</t>
        </is>
      </c>
      <c r="E39" s="24" t="inlineStr">
        <is>
          <t>-</t>
        </is>
      </c>
      <c r="F39" s="24" t="inlineStr">
        <is>
          <t>Text</t>
        </is>
      </c>
      <c r="G39" s="24" t="inlineStr">
        <is>
          <t>System</t>
        </is>
      </c>
      <c r="H39"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77"/>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Belege zu den Zugängen</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beleg</t>
        </is>
      </c>
      <c r="C5" s="24" t="inlineStr">
        <is>
          <t>Beleg (Anlagen-Nr. · Belegart · Belegnummer)</t>
        </is>
      </c>
      <c r="D5" s="24" t="inlineStr">
        <is>
          <t>Zuordnung</t>
        </is>
      </c>
      <c r="E5" s="24" t="inlineStr">
        <is>
          <t>Ja</t>
        </is>
      </c>
      <c r="F5" s="24" t="inlineStr">
        <is>
          <t>Text</t>
        </is>
      </c>
      <c r="G5" s="24" t="inlineStr">
        <is>
          <t>System</t>
        </is>
      </c>
      <c r="H5" s="26" t="inlineStr">
        <is>
          <t>Schlüssel der Zeile, von A3 gebildet: Anlagen-Nr., Belegart und Belegnummer, durch » · « getrennt — so passen Anzahlung und Schlussrechnung derselben Anlage nebeneinander.</t>
        </is>
      </c>
    </row>
    <row r="6">
      <c r="A6" s="24" t="inlineStr">
        <is>
          <t>B</t>
        </is>
      </c>
      <c r="B6" s="24" t="inlineStr">
        <is>
          <t>anlagen_nr</t>
        </is>
      </c>
      <c r="C6" s="24" t="inlineStr">
        <is>
          <t>Anlagen-Nr.</t>
        </is>
      </c>
      <c r="D6" s="24" t="inlineStr">
        <is>
          <t>Zuordnung</t>
        </is>
      </c>
      <c r="E6" s="24" t="inlineStr">
        <is>
          <t>Ja</t>
        </is>
      </c>
      <c r="F6" s="24" t="inlineStr">
        <is>
          <t>Text</t>
        </is>
      </c>
      <c r="G6" s="24" t="inlineStr">
        <is>
          <t>Mandant</t>
        </is>
      </c>
      <c r="H6" s="26" t="inlineStr">
        <is>
          <t>Anlagen-Nr. laut Mandant.</t>
        </is>
      </c>
    </row>
    <row r="7">
      <c r="A7" s="24" t="inlineStr">
        <is>
          <t>C</t>
        </is>
      </c>
      <c r="B7" s="24" t="inlineStr">
        <is>
          <t>belegart</t>
        </is>
      </c>
      <c r="C7" s="24" t="inlineStr">
        <is>
          <t>Belegart</t>
        </is>
      </c>
      <c r="D7" s="24" t="inlineStr">
        <is>
          <t>Zuordnung</t>
        </is>
      </c>
      <c r="E7" s="24" t="inlineStr">
        <is>
          <t>Ja</t>
        </is>
      </c>
      <c r="F7" s="24" t="inlineStr">
        <is>
          <t>Liste</t>
        </is>
      </c>
      <c r="G7" s="24" t="inlineStr">
        <is>
          <t>Mandant</t>
        </is>
      </c>
      <c r="H7" s="26" t="inlineStr">
        <is>
          <t>Belegart aus der Liste: Eingangsrechnung · Lieferschein · Bestellung · Genehmigung · Zahlungsnachweis · Abnahmeprotokoll · Kaufvertrag · Notarvertrag · Grundbuchauszug · Belege zu Anschaffungsnebenkosten · Kostenträgerrechnung · Projektkostenliste · Leasingvertrag · Gutschrift · Frachtbrief · Grunderwerbsteuerbescheid · Notar-/Gerichtskostenrechnung · Zuwendungsbescheid · Marktwertnachweis · Übergabeprotokoll · Übernahmebestätigung · Werkvertrag · Stundennachweis · Lizenzvertrag · Projektdokumentation · Tauschvertrag · Wertgutachten · Einbringungsvertrag · Schenkungsvertrag · Gesellschafterbeschluss · Handelsregisterauszug · Sachgründungsbericht · Umwandlungsvertrag · Kaufpreisaufteilung · Schlussbilanz des übertragenden Rechtsträgers · Mietvertrag · Maklerrechnung · Kursnachweis · Angebot · Unterschriftenregelung · Sonstiger Nachweis · Ausgangsrechnung · Verschrottungsprotokoll · Entsorgungsnachweis · Schadensmeldung · Korrespondenz mit der Versicherung · Polizeiprotokoll · Konzern-Übertragungsbeleg · Beleg über Abgangskosten · Abmeldebescheinigung · Angaben zur Vorsteuerberichtigung · Existenznachweis · Versicherungsliste.</t>
        </is>
      </c>
    </row>
    <row r="8">
      <c r="A8" s="24" t="inlineStr">
        <is>
          <t>D</t>
        </is>
      </c>
      <c r="B8" s="24" t="inlineStr">
        <is>
          <t>status</t>
        </is>
      </c>
      <c r="C8" s="24" t="inlineStr">
        <is>
          <t>Status</t>
        </is>
      </c>
      <c r="D8" s="24" t="inlineStr">
        <is>
          <t>Zuordnung</t>
        </is>
      </c>
      <c r="E8" s="24" t="inlineStr">
        <is>
          <t>Nein</t>
        </is>
      </c>
      <c r="F8" s="24" t="inlineStr">
        <is>
          <t>Liste</t>
        </is>
      </c>
      <c r="G8" s="24" t="inlineStr">
        <is>
          <t>Eingabe</t>
        </is>
      </c>
      <c r="H8" s="26" t="inlineStr">
        <is>
          <t>vorhanden · nachgereicht · existiert nicht.</t>
        </is>
      </c>
    </row>
    <row r="9">
      <c r="A9" s="24" t="inlineStr">
        <is>
          <t>E</t>
        </is>
      </c>
      <c r="B9" s="24" t="inlineStr">
        <is>
          <t>aussteller</t>
        </is>
      </c>
      <c r="C9" s="24" t="inlineStr">
        <is>
          <t>Aussteller</t>
        </is>
      </c>
      <c r="D9" s="24" t="inlineStr">
        <is>
          <t>Beleg</t>
        </is>
      </c>
      <c r="E9" s="24" t="inlineStr">
        <is>
          <t>Nein</t>
        </is>
      </c>
      <c r="F9" s="24" t="inlineStr">
        <is>
          <t>Text</t>
        </is>
      </c>
      <c r="G9" s="24" t="inlineStr">
        <is>
          <t>Mandant</t>
        </is>
      </c>
      <c r="H9" s="26" t="inlineStr">
        <is>
          <t>Von A3 aus dem Beleg gelesen, vom Prüfer bestätigt; leer = im Beleg nicht angegeben.</t>
        </is>
      </c>
    </row>
    <row r="10">
      <c r="A10" s="24" t="inlineStr">
        <is>
          <t>F</t>
        </is>
      </c>
      <c r="B10" s="24" t="inlineStr">
        <is>
          <t>empfaenger</t>
        </is>
      </c>
      <c r="C10" s="24" t="inlineStr">
        <is>
          <t>Empfänger / Adressat</t>
        </is>
      </c>
      <c r="D10" s="24" t="inlineStr">
        <is>
          <t>Beleg</t>
        </is>
      </c>
      <c r="E10" s="24" t="inlineStr">
        <is>
          <t>Nein</t>
        </is>
      </c>
      <c r="F10" s="24" t="inlineStr">
        <is>
          <t>Text</t>
        </is>
      </c>
      <c r="G10" s="24" t="inlineStr">
        <is>
          <t>Mandant</t>
        </is>
      </c>
      <c r="H10" s="26" t="inlineStr">
        <is>
          <t>Von A3 aus dem Beleg gelesen, vom Prüfer bestätigt; leer = im Beleg nicht angegeben.</t>
        </is>
      </c>
    </row>
    <row r="11">
      <c r="A11" s="24" t="inlineStr">
        <is>
          <t>G</t>
        </is>
      </c>
      <c r="B11" s="24" t="inlineStr">
        <is>
          <t>belegnummer</t>
        </is>
      </c>
      <c r="C11" s="24" t="inlineStr">
        <is>
          <t>Belegnummer</t>
        </is>
      </c>
      <c r="D11" s="24" t="inlineStr">
        <is>
          <t>Beleg</t>
        </is>
      </c>
      <c r="E11" s="24" t="inlineStr">
        <is>
          <t>Nein</t>
        </is>
      </c>
      <c r="F11" s="24" t="inlineStr">
        <is>
          <t>Text</t>
        </is>
      </c>
      <c r="G11" s="24" t="inlineStr">
        <is>
          <t>Mandant</t>
        </is>
      </c>
      <c r="H11" s="26" t="inlineStr">
        <is>
          <t>Von A3 aus dem Beleg gelesen, vom Prüfer bestätigt; leer = im Beleg nicht angegeben.</t>
        </is>
      </c>
    </row>
    <row r="12">
      <c r="A12" s="24" t="inlineStr">
        <is>
          <t>H</t>
        </is>
      </c>
      <c r="B12" s="24" t="inlineStr">
        <is>
          <t>bezug_belegnummer</t>
        </is>
      </c>
      <c r="C12" s="24" t="inlineStr">
        <is>
          <t>Bezug: Rechnungs-Nr. laut Gutschrift</t>
        </is>
      </c>
      <c r="D12" s="24" t="inlineStr">
        <is>
          <t>Beleg</t>
        </is>
      </c>
      <c r="E12" s="24" t="inlineStr">
        <is>
          <t>Nein</t>
        </is>
      </c>
      <c r="F12" s="24" t="inlineStr">
        <is>
          <t>Text</t>
        </is>
      </c>
      <c r="G12" s="24" t="inlineStr">
        <is>
          <t>Mandant</t>
        </is>
      </c>
      <c r="H12" s="26" t="inlineStr">
        <is>
          <t>Die Rechnung, die eine Gutschrift mindert, wie die Gutschrift sie nennt.</t>
        </is>
      </c>
    </row>
    <row r="13">
      <c r="A13" s="24" t="inlineStr">
        <is>
          <t>I</t>
        </is>
      </c>
      <c r="B13" s="24" t="inlineStr">
        <is>
          <t>belegdatum</t>
        </is>
      </c>
      <c r="C13" s="24" t="inlineStr">
        <is>
          <t>Belegdatum</t>
        </is>
      </c>
      <c r="D13" s="24" t="inlineStr">
        <is>
          <t>Beleg</t>
        </is>
      </c>
      <c r="E13" s="24" t="inlineStr">
        <is>
          <t>Nein</t>
        </is>
      </c>
      <c r="F13" s="24" t="inlineStr">
        <is>
          <t>Datum</t>
        </is>
      </c>
      <c r="G13" s="24" t="inlineStr">
        <is>
          <t>Mandant</t>
        </is>
      </c>
      <c r="H13" s="26" t="inlineStr">
        <is>
          <t>Von A3 aus dem Beleg gelesen, vom Prüfer bestätigt; leer = im Beleg nicht angegeben.</t>
        </is>
      </c>
    </row>
    <row r="14">
      <c r="A14" s="24" t="inlineStr">
        <is>
          <t>J</t>
        </is>
      </c>
      <c r="B14" s="24" t="inlineStr">
        <is>
          <t>leistungsdatum</t>
        </is>
      </c>
      <c r="C14" s="24" t="inlineStr">
        <is>
          <t>Liefer-/Leistungsdatum laut Beleg</t>
        </is>
      </c>
      <c r="D14" s="24" t="inlineStr">
        <is>
          <t>Beleg</t>
        </is>
      </c>
      <c r="E14" s="24" t="inlineStr">
        <is>
          <t>Nein</t>
        </is>
      </c>
      <c r="F14" s="24" t="inlineStr">
        <is>
          <t>Datum</t>
        </is>
      </c>
      <c r="G14" s="24" t="inlineStr">
        <is>
          <t>Mandant</t>
        </is>
      </c>
      <c r="H14" s="26" t="inlineStr">
        <is>
          <t>Von A3 aus dem Beleg gelesen, vom Prüfer bestätigt; leer = im Beleg nicht angegeben.</t>
        </is>
      </c>
    </row>
    <row r="15">
      <c r="A15" s="24" t="inlineStr">
        <is>
          <t>K</t>
        </is>
      </c>
      <c r="B15" s="24" t="inlineStr">
        <is>
          <t>netto</t>
        </is>
      </c>
      <c r="C15" s="24" t="inlineStr">
        <is>
          <t>Netto laut Beleg</t>
        </is>
      </c>
      <c r="D15" s="24" t="inlineStr">
        <is>
          <t>Betrag</t>
        </is>
      </c>
      <c r="E15" s="24" t="inlineStr">
        <is>
          <t>Nein</t>
        </is>
      </c>
      <c r="F15" s="24" t="inlineStr">
        <is>
          <t>Betrag</t>
        </is>
      </c>
      <c r="G15" s="24" t="inlineStr">
        <is>
          <t>Mandant</t>
        </is>
      </c>
      <c r="H15" s="26" t="inlineStr">
        <is>
          <t>Von A3 aus dem Beleg gelesen, vom Prüfer bestätigt; leer = im Beleg nicht angegeben.</t>
        </is>
      </c>
    </row>
    <row r="16">
      <c r="A16" s="24" t="inlineStr">
        <is>
          <t>L</t>
        </is>
      </c>
      <c r="B16" s="24" t="inlineStr">
        <is>
          <t>brutto</t>
        </is>
      </c>
      <c r="C16" s="24" t="inlineStr">
        <is>
          <t>Brutto laut Beleg</t>
        </is>
      </c>
      <c r="D16" s="24" t="inlineStr">
        <is>
          <t>Betrag</t>
        </is>
      </c>
      <c r="E16" s="24" t="inlineStr">
        <is>
          <t>Nein</t>
        </is>
      </c>
      <c r="F16" s="24" t="inlineStr">
        <is>
          <t>Betrag</t>
        </is>
      </c>
      <c r="G16" s="24" t="inlineStr">
        <is>
          <t>Mandant</t>
        </is>
      </c>
      <c r="H16" s="26" t="inlineStr">
        <is>
          <t>Von A3 aus dem Beleg gelesen, vom Prüfer bestätigt; leer = im Beleg nicht angegeben.</t>
        </is>
      </c>
    </row>
    <row r="17">
      <c r="A17" s="24" t="inlineStr">
        <is>
          <t>M</t>
        </is>
      </c>
      <c r="B17" s="24" t="inlineStr">
        <is>
          <t>ust_satz</t>
        </is>
      </c>
      <c r="C17" s="24" t="inlineStr">
        <is>
          <t>USt-Satz laut Beleg in %</t>
        </is>
      </c>
      <c r="D17" s="24" t="inlineStr">
        <is>
          <t>Betrag</t>
        </is>
      </c>
      <c r="E17" s="24" t="inlineStr">
        <is>
          <t>Nein</t>
        </is>
      </c>
      <c r="F17" s="24" t="inlineStr">
        <is>
          <t>Prozent</t>
        </is>
      </c>
      <c r="G17" s="24" t="inlineStr">
        <is>
          <t>Mandant</t>
        </is>
      </c>
      <c r="H17" s="26" t="inlineStr">
        <is>
          <t>In Prozent (19 = 19 %).</t>
        </is>
      </c>
    </row>
    <row r="18">
      <c r="A18" s="24" t="inlineStr">
        <is>
          <t>N</t>
        </is>
      </c>
      <c r="B18" s="24" t="inlineStr">
        <is>
          <t>skonto</t>
        </is>
      </c>
      <c r="C18" s="24" t="inlineStr">
        <is>
          <t>Skonto laut Beleg in %</t>
        </is>
      </c>
      <c r="D18" s="24" t="inlineStr">
        <is>
          <t>Betrag</t>
        </is>
      </c>
      <c r="E18" s="24" t="inlineStr">
        <is>
          <t>Nein</t>
        </is>
      </c>
      <c r="F18" s="24" t="inlineStr">
        <is>
          <t>Prozent</t>
        </is>
      </c>
      <c r="G18" s="24" t="inlineStr">
        <is>
          <t>Mandant</t>
        </is>
      </c>
      <c r="H18" s="26" t="inlineStr">
        <is>
          <t>In Prozent (2 = 2 %).</t>
        </is>
      </c>
    </row>
    <row r="19">
      <c r="A19" s="24" t="inlineStr">
        <is>
          <t>O</t>
        </is>
      </c>
      <c r="B19" s="24" t="inlineStr">
        <is>
          <t>bestellnummer</t>
        </is>
      </c>
      <c r="C19" s="24" t="inlineStr">
        <is>
          <t>Bestell-Nr. laut Beleg</t>
        </is>
      </c>
      <c r="D19" s="24" t="inlineStr">
        <is>
          <t>Beleg</t>
        </is>
      </c>
      <c r="E19" s="24" t="inlineStr">
        <is>
          <t>Nein</t>
        </is>
      </c>
      <c r="F19" s="24" t="inlineStr">
        <is>
          <t>Text</t>
        </is>
      </c>
      <c r="G19" s="24" t="inlineStr">
        <is>
          <t>Mandant</t>
        </is>
      </c>
      <c r="H19" s="26" t="inlineStr">
        <is>
          <t>Von A3 aus dem Beleg gelesen, vom Prüfer bestätigt; leer = im Beleg nicht angegeben.</t>
        </is>
      </c>
    </row>
    <row r="20">
      <c r="A20" s="24" t="inlineStr">
        <is>
          <t>P</t>
        </is>
      </c>
      <c r="B20" s="24" t="inlineStr">
        <is>
          <t>lieferdatum</t>
        </is>
      </c>
      <c r="C20" s="24" t="inlineStr">
        <is>
          <t>Lieferdatum laut Lieferschein</t>
        </is>
      </c>
      <c r="D20" s="24" t="inlineStr">
        <is>
          <t>Übergang</t>
        </is>
      </c>
      <c r="E20" s="24" t="inlineStr">
        <is>
          <t>Nein</t>
        </is>
      </c>
      <c r="F20" s="24" t="inlineStr">
        <is>
          <t>Datum</t>
        </is>
      </c>
      <c r="G20" s="24" t="inlineStr">
        <is>
          <t>Mandant</t>
        </is>
      </c>
      <c r="H20" s="26" t="inlineStr">
        <is>
          <t>Von A3 aus dem Beleg gelesen, vom Prüfer bestätigt; leer = im Beleg nicht angegeben.</t>
        </is>
      </c>
    </row>
    <row r="21">
      <c r="A21" s="24" t="inlineStr">
        <is>
          <t>Q</t>
        </is>
      </c>
      <c r="B21" s="24" t="inlineStr">
        <is>
          <t>gefahruebergang</t>
        </is>
      </c>
      <c r="C21" s="24" t="inlineStr">
        <is>
          <t>Gefahrübergang</t>
        </is>
      </c>
      <c r="D21" s="24" t="inlineStr">
        <is>
          <t>Übergang</t>
        </is>
      </c>
      <c r="E21" s="24" t="inlineStr">
        <is>
          <t>Nein</t>
        </is>
      </c>
      <c r="F21" s="24" t="inlineStr">
        <is>
          <t>Datum</t>
        </is>
      </c>
      <c r="G21" s="24" t="inlineStr">
        <is>
          <t>Mandant</t>
        </is>
      </c>
      <c r="H21" s="26" t="inlineStr">
        <is>
          <t>Beim Frachtbrief: die Übergabe an den Frachtführer (§ 447 BGB).</t>
        </is>
      </c>
    </row>
    <row r="22">
      <c r="A22" s="24" t="inlineStr">
        <is>
          <t>R</t>
        </is>
      </c>
      <c r="B22" s="24" t="inlineStr">
        <is>
          <t>grundlage_gefahruebergang</t>
        </is>
      </c>
      <c r="C22" s="24" t="inlineStr">
        <is>
          <t>Grundlage Gefahrübergang</t>
        </is>
      </c>
      <c r="D22" s="24" t="inlineStr">
        <is>
          <t>Übergang</t>
        </is>
      </c>
      <c r="E22" s="24" t="inlineStr">
        <is>
          <t>Nein</t>
        </is>
      </c>
      <c r="F22" s="24" t="inlineStr">
        <is>
          <t>Text</t>
        </is>
      </c>
      <c r="G22" s="24" t="inlineStr">
        <is>
          <t>Mandant</t>
        </is>
      </c>
      <c r="H22" s="26" t="inlineStr">
        <is>
          <t>Vertragsklausel, Incoterm mit Fassung, §§ 446/447 BGB, Abnahme oder Urkunde.</t>
        </is>
      </c>
    </row>
    <row r="23">
      <c r="A23" s="24" t="inlineStr">
        <is>
          <t>S</t>
        </is>
      </c>
      <c r="B23" s="24" t="inlineStr">
        <is>
          <t>betriebsbereit_am</t>
        </is>
      </c>
      <c r="C23" s="24" t="inlineStr">
        <is>
          <t>Abnahme / betriebsbereit</t>
        </is>
      </c>
      <c r="D23" s="24" t="inlineStr">
        <is>
          <t>Übergang</t>
        </is>
      </c>
      <c r="E23" s="24" t="inlineStr">
        <is>
          <t>Nein</t>
        </is>
      </c>
      <c r="F23" s="24" t="inlineStr">
        <is>
          <t>Datum</t>
        </is>
      </c>
      <c r="G23" s="24" t="inlineStr">
        <is>
          <t>Mandant</t>
        </is>
      </c>
      <c r="H23" s="26" t="inlineStr">
        <is>
          <t>Betriebsbereitschaft laut Abnahme, Inbetriebnahme- oder Übergabeprotokoll; nie das Lieferdatum.</t>
        </is>
      </c>
    </row>
    <row r="24">
      <c r="A24" s="24" t="inlineStr">
        <is>
          <t>T</t>
        </is>
      </c>
      <c r="B24" s="24" t="inlineStr">
        <is>
          <t>inbetriebnahme_am</t>
        </is>
      </c>
      <c r="C24" s="24" t="inlineStr">
        <is>
          <t>Inbetriebnahme</t>
        </is>
      </c>
      <c r="D24" s="24" t="inlineStr">
        <is>
          <t>Übergang</t>
        </is>
      </c>
      <c r="E24" s="24" t="inlineStr">
        <is>
          <t>Nein</t>
        </is>
      </c>
      <c r="F24" s="24" t="inlineStr">
        <is>
          <t>Datum</t>
        </is>
      </c>
      <c r="G24" s="24" t="inlineStr">
        <is>
          <t>Mandant</t>
        </is>
      </c>
      <c r="H24" s="26" t="inlineStr">
        <is>
          <t>Von A3 aus dem Beleg gelesen, vom Prüfer bestätigt; leer = im Beleg nicht angegeben.</t>
        </is>
      </c>
    </row>
    <row r="25">
      <c r="A25" s="24" t="inlineStr">
        <is>
          <t>U</t>
        </is>
      </c>
      <c r="B25" s="24" t="inlineStr">
        <is>
          <t>gezahlt</t>
        </is>
      </c>
      <c r="C25" s="24" t="inlineStr">
        <is>
          <t>Gezahlter Betrag</t>
        </is>
      </c>
      <c r="D25" s="24" t="inlineStr">
        <is>
          <t>Betrag</t>
        </is>
      </c>
      <c r="E25" s="24" t="inlineStr">
        <is>
          <t>Nein</t>
        </is>
      </c>
      <c r="F25" s="24" t="inlineStr">
        <is>
          <t>Betrag</t>
        </is>
      </c>
      <c r="G25" s="24" t="inlineStr">
        <is>
          <t>Mandant</t>
        </is>
      </c>
      <c r="H25" s="26" t="inlineStr">
        <is>
          <t>Von A3 aus dem Beleg gelesen, vom Prüfer bestätigt; leer = im Beleg nicht angegeben.</t>
        </is>
      </c>
    </row>
    <row r="26">
      <c r="A26" s="24" t="inlineStr">
        <is>
          <t>V</t>
        </is>
      </c>
      <c r="B26" s="24" t="inlineStr">
        <is>
          <t>zahlungsempfaenger</t>
        </is>
      </c>
      <c r="C26" s="24" t="inlineStr">
        <is>
          <t>Zahlungsempfänger</t>
        </is>
      </c>
      <c r="D26" s="24" t="inlineStr">
        <is>
          <t>Kontrolle</t>
        </is>
      </c>
      <c r="E26" s="24" t="inlineStr">
        <is>
          <t>Nein</t>
        </is>
      </c>
      <c r="F26" s="24" t="inlineStr">
        <is>
          <t>Text</t>
        </is>
      </c>
      <c r="G26" s="24" t="inlineStr">
        <is>
          <t>Mandant</t>
        </is>
      </c>
      <c r="H26" s="26" t="inlineStr">
        <is>
          <t>Von A3 aus dem Beleg gelesen, vom Prüfer bestätigt; leer = im Beleg nicht angegeben.</t>
        </is>
      </c>
    </row>
    <row r="27">
      <c r="A27" s="24" t="inlineStr">
        <is>
          <t>W</t>
        </is>
      </c>
      <c r="B27" s="24" t="inlineStr">
        <is>
          <t>zahlungsdatum</t>
        </is>
      </c>
      <c r="C27" s="24" t="inlineStr">
        <is>
          <t>Zahlungsdatum</t>
        </is>
      </c>
      <c r="D27" s="24" t="inlineStr">
        <is>
          <t>Kontrolle</t>
        </is>
      </c>
      <c r="E27" s="24" t="inlineStr">
        <is>
          <t>Nein</t>
        </is>
      </c>
      <c r="F27" s="24" t="inlineStr">
        <is>
          <t>Datum</t>
        </is>
      </c>
      <c r="G27" s="24" t="inlineStr">
        <is>
          <t>Mandant</t>
        </is>
      </c>
      <c r="H27" s="26" t="inlineStr">
        <is>
          <t>Von A3 aus dem Beleg gelesen, vom Prüfer bestätigt; leer = im Beleg nicht angegeben.</t>
        </is>
      </c>
    </row>
    <row r="28">
      <c r="A28" s="24" t="inlineStr">
        <is>
          <t>X</t>
        </is>
      </c>
      <c r="B28" s="24" t="inlineStr">
        <is>
          <t>genehmigt_am</t>
        </is>
      </c>
      <c r="C28" s="24" t="inlineStr">
        <is>
          <t>Genehmigt am</t>
        </is>
      </c>
      <c r="D28" s="24" t="inlineStr">
        <is>
          <t>Kontrolle</t>
        </is>
      </c>
      <c r="E28" s="24" t="inlineStr">
        <is>
          <t>Nein</t>
        </is>
      </c>
      <c r="F28" s="24" t="inlineStr">
        <is>
          <t>Datum</t>
        </is>
      </c>
      <c r="G28" s="24" t="inlineStr">
        <is>
          <t>Mandant</t>
        </is>
      </c>
      <c r="H28" s="26" t="inlineStr">
        <is>
          <t>Von A3 aus dem Beleg gelesen, vom Prüfer bestätigt; leer = im Beleg nicht angegeben.</t>
        </is>
      </c>
    </row>
    <row r="29">
      <c r="A29" s="24" t="inlineStr">
        <is>
          <t>Y</t>
        </is>
      </c>
      <c r="B29" s="24" t="inlineStr">
        <is>
          <t>genehmigt_durch</t>
        </is>
      </c>
      <c r="C29" s="24" t="inlineStr">
        <is>
          <t>Genehmigt durch</t>
        </is>
      </c>
      <c r="D29" s="24" t="inlineStr">
        <is>
          <t>Kontrolle</t>
        </is>
      </c>
      <c r="E29" s="24" t="inlineStr">
        <is>
          <t>Nein</t>
        </is>
      </c>
      <c r="F29" s="24" t="inlineStr">
        <is>
          <t>Text</t>
        </is>
      </c>
      <c r="G29" s="24" t="inlineStr">
        <is>
          <t>Mandant</t>
        </is>
      </c>
      <c r="H29" s="26" t="inlineStr">
        <is>
          <t>Von A3 aus dem Beleg gelesen, vom Prüfer bestätigt; leer = im Beleg nicht angegeben.</t>
        </is>
      </c>
    </row>
    <row r="30">
      <c r="A30" s="24" t="inlineStr">
        <is>
          <t>Z</t>
        </is>
      </c>
      <c r="B30" s="24" t="inlineStr">
        <is>
          <t>genehmigter_betrag</t>
        </is>
      </c>
      <c r="C30" s="24" t="inlineStr">
        <is>
          <t>Genehmigter Betrag</t>
        </is>
      </c>
      <c r="D30" s="24" t="inlineStr">
        <is>
          <t>Betrag</t>
        </is>
      </c>
      <c r="E30" s="24" t="inlineStr">
        <is>
          <t>Nein</t>
        </is>
      </c>
      <c r="F30" s="24" t="inlineStr">
        <is>
          <t>Betrag</t>
        </is>
      </c>
      <c r="G30" s="24" t="inlineStr">
        <is>
          <t>Mandant</t>
        </is>
      </c>
      <c r="H30" s="26" t="inlineStr">
        <is>
          <t>Von A3 aus dem Beleg gelesen, vom Prüfer bestätigt; leer = im Beleg nicht angegeben.</t>
        </is>
      </c>
    </row>
    <row r="31">
      <c r="A31" s="24" t="inlineStr">
        <is>
          <t>AA</t>
        </is>
      </c>
      <c r="B31" s="24" t="inlineStr">
        <is>
          <t>ustid</t>
        </is>
      </c>
      <c r="C31" s="24" t="inlineStr">
        <is>
          <t>USt-IdNr./St.-Nr. Aussteller</t>
        </is>
      </c>
      <c r="D31" s="24" t="inlineStr">
        <is>
          <t>Kontrolle</t>
        </is>
      </c>
      <c r="E31" s="24" t="inlineStr">
        <is>
          <t>Nein</t>
        </is>
      </c>
      <c r="F31" s="24" t="inlineStr">
        <is>
          <t>Liste</t>
        </is>
      </c>
      <c r="G31" s="24" t="inlineStr">
        <is>
          <t>Mandant</t>
        </is>
      </c>
      <c r="H31" s="26" t="inlineStr">
        <is>
          <t>Ja · Nein (§ 14 Abs. 4 UStG).</t>
        </is>
      </c>
    </row>
    <row r="32">
      <c r="A32" s="24" t="inlineStr">
        <is>
          <t>AB</t>
        </is>
      </c>
      <c r="B32" s="24" t="inlineStr">
        <is>
          <t>pflichtangaben_14_ustg</t>
        </is>
      </c>
      <c r="C32" s="24" t="inlineStr">
        <is>
          <t>Übrige Pflichtangaben § 14 UStG</t>
        </is>
      </c>
      <c r="D32" s="24" t="inlineStr">
        <is>
          <t>Kontrolle</t>
        </is>
      </c>
      <c r="E32" s="24" t="inlineStr">
        <is>
          <t>Nein</t>
        </is>
      </c>
      <c r="F32" s="24" t="inlineStr">
        <is>
          <t>Liste</t>
        </is>
      </c>
      <c r="G32" s="24" t="inlineStr">
        <is>
          <t>Mandant</t>
        </is>
      </c>
      <c r="H32" s="26" t="inlineStr">
        <is>
          <t>Ja · Nein.</t>
        </is>
      </c>
    </row>
    <row r="33">
      <c r="A33" s="24" t="inlineStr">
        <is>
          <t>AC</t>
        </is>
      </c>
      <c r="B33" s="24" t="inlineStr">
        <is>
          <t>original_kopie</t>
        </is>
      </c>
      <c r="C33" s="24" t="inlineStr">
        <is>
          <t>Original / Kopie</t>
        </is>
      </c>
      <c r="D33" s="24" t="inlineStr">
        <is>
          <t>Kontrolle</t>
        </is>
      </c>
      <c r="E33" s="24" t="inlineStr">
        <is>
          <t>Nein</t>
        </is>
      </c>
      <c r="F33" s="24" t="inlineStr">
        <is>
          <t>Liste</t>
        </is>
      </c>
      <c r="G33" s="24" t="inlineStr">
        <is>
          <t>Eingabe</t>
        </is>
      </c>
      <c r="H33" s="26" t="inlineStr">
        <is>
          <t>Original · Kopie; eine Kopie ist ein Warnsignal.</t>
        </is>
      </c>
    </row>
    <row r="34">
      <c r="A34" s="24" t="inlineStr">
        <is>
          <t>AD</t>
        </is>
      </c>
      <c r="B34" s="24" t="inlineStr">
        <is>
          <t>kaeufer</t>
        </is>
      </c>
      <c r="C34" s="24" t="inlineStr">
        <is>
          <t>Käufer laut Notarvertrag</t>
        </is>
      </c>
      <c r="D34" s="24" t="inlineStr">
        <is>
          <t>Beleg</t>
        </is>
      </c>
      <c r="E34" s="24" t="inlineStr">
        <is>
          <t>Nein</t>
        </is>
      </c>
      <c r="F34" s="24" t="inlineStr">
        <is>
          <t>Text</t>
        </is>
      </c>
      <c r="G34" s="24" t="inlineStr">
        <is>
          <t>Mandant</t>
        </is>
      </c>
      <c r="H34" s="26" t="inlineStr">
        <is>
          <t>Von A3 aus dem Beleg gelesen, vom Prüfer bestätigt; leer = im Beleg nicht angegeben.</t>
        </is>
      </c>
    </row>
    <row r="35">
      <c r="A35" s="24" t="inlineStr">
        <is>
          <t>AE</t>
        </is>
      </c>
      <c r="B35" s="24" t="inlineStr">
        <is>
          <t>eigentuemer</t>
        </is>
      </c>
      <c r="C35" s="24" t="inlineStr">
        <is>
          <t>Eigentümer laut Grundbuch</t>
        </is>
      </c>
      <c r="D35" s="24" t="inlineStr">
        <is>
          <t>Beleg</t>
        </is>
      </c>
      <c r="E35" s="24" t="inlineStr">
        <is>
          <t>Nein</t>
        </is>
      </c>
      <c r="F35" s="24" t="inlineStr">
        <is>
          <t>Text</t>
        </is>
      </c>
      <c r="G35" s="24" t="inlineStr">
        <is>
          <t>Mandant</t>
        </is>
      </c>
      <c r="H35" s="26" t="inlineStr">
        <is>
          <t>Von A3 aus dem Beleg gelesen, vom Prüfer bestätigt; leer = im Beleg nicht angegeben.</t>
        </is>
      </c>
    </row>
    <row r="36">
      <c r="A36" s="24" t="inlineStr">
        <is>
          <t>AF</t>
        </is>
      </c>
      <c r="B36" s="24" t="inlineStr">
        <is>
          <t>anteil_grund</t>
        </is>
      </c>
      <c r="C36" s="24" t="inlineStr">
        <is>
          <t>Anteil Grund laut Notarvertrag in %</t>
        </is>
      </c>
      <c r="D36" s="24" t="inlineStr">
        <is>
          <t>Betrag</t>
        </is>
      </c>
      <c r="E36" s="24" t="inlineStr">
        <is>
          <t>Nein</t>
        </is>
      </c>
      <c r="F36" s="24" t="inlineStr">
        <is>
          <t>Prozent</t>
        </is>
      </c>
      <c r="G36" s="24" t="inlineStr">
        <is>
          <t>Mandant</t>
        </is>
      </c>
      <c r="H36" s="26" t="inlineStr">
        <is>
          <t>In Prozent (25 = 25 %).</t>
        </is>
      </c>
    </row>
    <row r="37">
      <c r="A37" s="24" t="inlineStr">
        <is>
          <t>AG</t>
        </is>
      </c>
      <c r="B37" s="24" t="inlineStr">
        <is>
          <t>kaufpreis</t>
        </is>
      </c>
      <c r="C37" s="24" t="inlineStr">
        <is>
          <t>Kaufpreis laut Notarvertrag</t>
        </is>
      </c>
      <c r="D37" s="24" t="inlineStr">
        <is>
          <t>Betrag</t>
        </is>
      </c>
      <c r="E37" s="24" t="inlineStr">
        <is>
          <t>Nein</t>
        </is>
      </c>
      <c r="F37" s="24" t="inlineStr">
        <is>
          <t>Betrag</t>
        </is>
      </c>
      <c r="G37" s="24" t="inlineStr">
        <is>
          <t>Mandant</t>
        </is>
      </c>
      <c r="H37" s="26" t="inlineStr">
        <is>
          <t>Von A3 aus dem Beleg gelesen, vom Prüfer bestätigt; leer = im Beleg nicht angegeben.</t>
        </is>
      </c>
    </row>
    <row r="38">
      <c r="A38" s="24" t="inlineStr">
        <is>
          <t>AH</t>
        </is>
      </c>
      <c r="B38" s="24" t="inlineStr">
        <is>
          <t>summe_hk_kalkulation</t>
        </is>
      </c>
      <c r="C38" s="24" t="inlineStr">
        <is>
          <t>Summe HK-Kalkulation</t>
        </is>
      </c>
      <c r="D38" s="24" t="inlineStr">
        <is>
          <t>Betrag</t>
        </is>
      </c>
      <c r="E38" s="24" t="inlineStr">
        <is>
          <t>Nein</t>
        </is>
      </c>
      <c r="F38" s="24" t="inlineStr">
        <is>
          <t>Betrag</t>
        </is>
      </c>
      <c r="G38" s="24" t="inlineStr">
        <is>
          <t>Mandant</t>
        </is>
      </c>
      <c r="H38" s="26" t="inlineStr">
        <is>
          <t>Von A3 aus dem Beleg gelesen, vom Prüfer bestätigt; leer = im Beleg nicht angegeben.</t>
        </is>
      </c>
    </row>
    <row r="39">
      <c r="A39" s="24" t="inlineStr">
        <is>
          <t>AI</t>
        </is>
      </c>
      <c r="B39" s="24" t="inlineStr">
        <is>
          <t>hk_materialeinzelkosten</t>
        </is>
      </c>
      <c r="C39" s="24" t="inlineStr">
        <is>
          <t>Materialeinzelkosten laut Kalkulation</t>
        </is>
      </c>
      <c r="D39" s="24" t="inlineStr">
        <is>
          <t>Betrag</t>
        </is>
      </c>
      <c r="E39" s="24" t="inlineStr">
        <is>
          <t>Nein</t>
        </is>
      </c>
      <c r="F39" s="24" t="inlineStr">
        <is>
          <t>Betrag</t>
        </is>
      </c>
      <c r="G39" s="24" t="inlineStr">
        <is>
          <t>Mandant</t>
        </is>
      </c>
      <c r="H39" s="26" t="inlineStr">
        <is>
          <t>Von A3 aus dem Beleg gelesen, vom Prüfer bestätigt; leer = im Beleg nicht angegeben.</t>
        </is>
      </c>
    </row>
    <row r="40">
      <c r="A40" s="24" t="inlineStr">
        <is>
          <t>AJ</t>
        </is>
      </c>
      <c r="B40" s="24" t="inlineStr">
        <is>
          <t>hk_fertigungseinzelkosten</t>
        </is>
      </c>
      <c r="C40" s="24" t="inlineStr">
        <is>
          <t>Fertigungseinzelkosten laut Kalkulation</t>
        </is>
      </c>
      <c r="D40" s="24" t="inlineStr">
        <is>
          <t>Betrag</t>
        </is>
      </c>
      <c r="E40" s="24" t="inlineStr">
        <is>
          <t>Nein</t>
        </is>
      </c>
      <c r="F40" s="24" t="inlineStr">
        <is>
          <t>Betrag</t>
        </is>
      </c>
      <c r="G40" s="24" t="inlineStr">
        <is>
          <t>Mandant</t>
        </is>
      </c>
      <c r="H40" s="26" t="inlineStr">
        <is>
          <t>Von A3 aus dem Beleg gelesen, vom Prüfer bestätigt; leer = im Beleg nicht angegeben.</t>
        </is>
      </c>
    </row>
    <row r="41">
      <c r="A41" s="24" t="inlineStr">
        <is>
          <t>AK</t>
        </is>
      </c>
      <c r="B41" s="24" t="inlineStr">
        <is>
          <t>hk_sondereinzelkosten</t>
        </is>
      </c>
      <c r="C41" s="24" t="inlineStr">
        <is>
          <t>Sondereinzelkosten der Fertigung laut Kalkulation</t>
        </is>
      </c>
      <c r="D41" s="24" t="inlineStr">
        <is>
          <t>Betrag</t>
        </is>
      </c>
      <c r="E41" s="24" t="inlineStr">
        <is>
          <t>Nein</t>
        </is>
      </c>
      <c r="F41" s="24" t="inlineStr">
        <is>
          <t>Betrag</t>
        </is>
      </c>
      <c r="G41" s="24" t="inlineStr">
        <is>
          <t>Mandant</t>
        </is>
      </c>
      <c r="H41" s="26" t="inlineStr">
        <is>
          <t>Von A3 aus dem Beleg gelesen, vom Prüfer bestätigt; leer = im Beleg nicht angegeben.</t>
        </is>
      </c>
    </row>
    <row r="42">
      <c r="A42" s="24" t="inlineStr">
        <is>
          <t>AL</t>
        </is>
      </c>
      <c r="B42" s="24" t="inlineStr">
        <is>
          <t>hk_materialgemeinkosten</t>
        </is>
      </c>
      <c r="C42" s="24" t="inlineStr">
        <is>
          <t>Materialgemeinkosten laut Kalkulation</t>
        </is>
      </c>
      <c r="D42" s="24" t="inlineStr">
        <is>
          <t>Betrag</t>
        </is>
      </c>
      <c r="E42" s="24" t="inlineStr">
        <is>
          <t>Nein</t>
        </is>
      </c>
      <c r="F42" s="24" t="inlineStr">
        <is>
          <t>Betrag</t>
        </is>
      </c>
      <c r="G42" s="24" t="inlineStr">
        <is>
          <t>Mandant</t>
        </is>
      </c>
      <c r="H42" s="26" t="inlineStr">
        <is>
          <t>Von A3 aus dem Beleg gelesen, vom Prüfer bestätigt; leer = im Beleg nicht angegeben.</t>
        </is>
      </c>
    </row>
    <row r="43">
      <c r="A43" s="24" t="inlineStr">
        <is>
          <t>AM</t>
        </is>
      </c>
      <c r="B43" s="24" t="inlineStr">
        <is>
          <t>hk_fertigungsgemeinkosten</t>
        </is>
      </c>
      <c r="C43" s="24" t="inlineStr">
        <is>
          <t>Fertigungsgemeinkosten laut Kalkulation</t>
        </is>
      </c>
      <c r="D43" s="24" t="inlineStr">
        <is>
          <t>Betrag</t>
        </is>
      </c>
      <c r="E43" s="24" t="inlineStr">
        <is>
          <t>Nein</t>
        </is>
      </c>
      <c r="F43" s="24" t="inlineStr">
        <is>
          <t>Betrag</t>
        </is>
      </c>
      <c r="G43" s="24" t="inlineStr">
        <is>
          <t>Mandant</t>
        </is>
      </c>
      <c r="H43" s="26" t="inlineStr">
        <is>
          <t>Von A3 aus dem Beleg gelesen, vom Prüfer bestätigt; leer = im Beleg nicht angegeben.</t>
        </is>
      </c>
    </row>
    <row r="44">
      <c r="A44" s="24" t="inlineStr">
        <is>
          <t>AN</t>
        </is>
      </c>
      <c r="B44" s="24" t="inlineStr">
        <is>
          <t>hk_werteverzehr</t>
        </is>
      </c>
      <c r="C44" s="24" t="inlineStr">
        <is>
          <t>Werteverzehr des Anlagevermögens laut Kalkulation</t>
        </is>
      </c>
      <c r="D44" s="24" t="inlineStr">
        <is>
          <t>Betrag</t>
        </is>
      </c>
      <c r="E44" s="24" t="inlineStr">
        <is>
          <t>Nein</t>
        </is>
      </c>
      <c r="F44" s="24" t="inlineStr">
        <is>
          <t>Betrag</t>
        </is>
      </c>
      <c r="G44" s="24" t="inlineStr">
        <is>
          <t>Mandant</t>
        </is>
      </c>
      <c r="H44" s="26" t="inlineStr">
        <is>
          <t>Von A3 aus dem Beleg gelesen, vom Prüfer bestätigt; leer = im Beleg nicht angegeben.</t>
        </is>
      </c>
    </row>
    <row r="45">
      <c r="A45" s="24" t="inlineStr">
        <is>
          <t>AO</t>
        </is>
      </c>
      <c r="B45" s="24" t="inlineStr">
        <is>
          <t>hk_verwaltung</t>
        </is>
      </c>
      <c r="C45" s="24" t="inlineStr">
        <is>
          <t>Allgemeine Verwaltungskosten laut Kalkulation</t>
        </is>
      </c>
      <c r="D45" s="24" t="inlineStr">
        <is>
          <t>Betrag</t>
        </is>
      </c>
      <c r="E45" s="24" t="inlineStr">
        <is>
          <t>Nein</t>
        </is>
      </c>
      <c r="F45" s="24" t="inlineStr">
        <is>
          <t>Betrag</t>
        </is>
      </c>
      <c r="G45" s="24" t="inlineStr">
        <is>
          <t>Mandant</t>
        </is>
      </c>
      <c r="H45" s="26" t="inlineStr">
        <is>
          <t>Von A3 aus dem Beleg gelesen, vom Prüfer bestätigt; leer = im Beleg nicht angegeben.</t>
        </is>
      </c>
    </row>
    <row r="46">
      <c r="A46" s="24" t="inlineStr">
        <is>
          <t>AP</t>
        </is>
      </c>
      <c r="B46" s="24" t="inlineStr">
        <is>
          <t>hk_soziales</t>
        </is>
      </c>
      <c r="C46" s="24" t="inlineStr">
        <is>
          <t>Soziale Aufwendungen laut Kalkulation</t>
        </is>
      </c>
      <c r="D46" s="24" t="inlineStr">
        <is>
          <t>Betrag</t>
        </is>
      </c>
      <c r="E46" s="24" t="inlineStr">
        <is>
          <t>Nein</t>
        </is>
      </c>
      <c r="F46" s="24" t="inlineStr">
        <is>
          <t>Betrag</t>
        </is>
      </c>
      <c r="G46" s="24" t="inlineStr">
        <is>
          <t>Mandant</t>
        </is>
      </c>
      <c r="H46" s="26" t="inlineStr">
        <is>
          <t>Von A3 aus dem Beleg gelesen, vom Prüfer bestätigt; leer = im Beleg nicht angegeben.</t>
        </is>
      </c>
    </row>
    <row r="47">
      <c r="A47" s="24" t="inlineStr">
        <is>
          <t>AQ</t>
        </is>
      </c>
      <c r="B47" s="24" t="inlineStr">
        <is>
          <t>hk_fk_zinsen</t>
        </is>
      </c>
      <c r="C47" s="24" t="inlineStr">
        <is>
          <t>Fremdkapitalzinsen der Herstellung laut Kalkulation</t>
        </is>
      </c>
      <c r="D47" s="24" t="inlineStr">
        <is>
          <t>Betrag</t>
        </is>
      </c>
      <c r="E47" s="24" t="inlineStr">
        <is>
          <t>Nein</t>
        </is>
      </c>
      <c r="F47" s="24" t="inlineStr">
        <is>
          <t>Betrag</t>
        </is>
      </c>
      <c r="G47" s="24" t="inlineStr">
        <is>
          <t>Mandant</t>
        </is>
      </c>
      <c r="H47" s="26" t="inlineStr">
        <is>
          <t>Von A3 aus dem Beleg gelesen, vom Prüfer bestätigt; leer = im Beleg nicht angegeben.</t>
        </is>
      </c>
    </row>
    <row r="48">
      <c r="A48" s="24" t="inlineStr">
        <is>
          <t>AR</t>
        </is>
      </c>
      <c r="B48" s="24" t="inlineStr">
        <is>
          <t>hk_forschung</t>
        </is>
      </c>
      <c r="C48" s="24" t="inlineStr">
        <is>
          <t>Forschungskosten laut Kalkulation</t>
        </is>
      </c>
      <c r="D48" s="24" t="inlineStr">
        <is>
          <t>Betrag</t>
        </is>
      </c>
      <c r="E48" s="24" t="inlineStr">
        <is>
          <t>Nein</t>
        </is>
      </c>
      <c r="F48" s="24" t="inlineStr">
        <is>
          <t>Betrag</t>
        </is>
      </c>
      <c r="G48" s="24" t="inlineStr">
        <is>
          <t>Mandant</t>
        </is>
      </c>
      <c r="H48" s="26" t="inlineStr">
        <is>
          <t>Von A3 aus dem Beleg gelesen, vom Prüfer bestätigt; leer = im Beleg nicht angegeben.</t>
        </is>
      </c>
    </row>
    <row r="49">
      <c r="A49" s="24" t="inlineStr">
        <is>
          <t>AS</t>
        </is>
      </c>
      <c r="B49" s="24" t="inlineStr">
        <is>
          <t>hk_vertrieb</t>
        </is>
      </c>
      <c r="C49" s="24" t="inlineStr">
        <is>
          <t>Vertriebskosten laut Kalkulation</t>
        </is>
      </c>
      <c r="D49" s="24" t="inlineStr">
        <is>
          <t>Betrag</t>
        </is>
      </c>
      <c r="E49" s="24" t="inlineStr">
        <is>
          <t>Nein</t>
        </is>
      </c>
      <c r="F49" s="24" t="inlineStr">
        <is>
          <t>Betrag</t>
        </is>
      </c>
      <c r="G49" s="24" t="inlineStr">
        <is>
          <t>Mandant</t>
        </is>
      </c>
      <c r="H49" s="26" t="inlineStr">
        <is>
          <t>Von A3 aus dem Beleg gelesen, vom Prüfer bestätigt; leer = im Beleg nicht angegeben.</t>
        </is>
      </c>
    </row>
    <row r="50">
      <c r="A50" s="24" t="inlineStr">
        <is>
          <t>AT</t>
        </is>
      </c>
      <c r="B50" s="24" t="inlineStr">
        <is>
          <t>zuschuss</t>
        </is>
      </c>
      <c r="C50" s="24" t="inlineStr">
        <is>
          <t>Zuschuss laut Zuwendungsbescheid</t>
        </is>
      </c>
      <c r="D50" s="24" t="inlineStr">
        <is>
          <t>Betrag</t>
        </is>
      </c>
      <c r="E50" s="24" t="inlineStr">
        <is>
          <t>Nein</t>
        </is>
      </c>
      <c r="F50" s="24" t="inlineStr">
        <is>
          <t>Betrag</t>
        </is>
      </c>
      <c r="G50" s="24" t="inlineStr">
        <is>
          <t>Mandant</t>
        </is>
      </c>
      <c r="H50" s="26" t="inlineStr">
        <is>
          <t>Von A3 aus dem Beleg gelesen, vom Prüfer bestätigt; leer = im Beleg nicht angegeben.</t>
        </is>
      </c>
    </row>
    <row r="51">
      <c r="A51" s="24" t="inlineStr">
        <is>
          <t>AU</t>
        </is>
      </c>
      <c r="B51" s="24" t="inlineStr">
        <is>
          <t>summe_projektkostenliste</t>
        </is>
      </c>
      <c r="C51" s="24" t="inlineStr">
        <is>
          <t>Summe Projektkostenliste</t>
        </is>
      </c>
      <c r="D51" s="24" t="inlineStr">
        <is>
          <t>Betrag</t>
        </is>
      </c>
      <c r="E51" s="24" t="inlineStr">
        <is>
          <t>Nein</t>
        </is>
      </c>
      <c r="F51" s="24" t="inlineStr">
        <is>
          <t>Betrag</t>
        </is>
      </c>
      <c r="G51" s="24" t="inlineStr">
        <is>
          <t>Mandant</t>
        </is>
      </c>
      <c r="H51" s="26" t="inlineStr">
        <is>
          <t>Von A3 aus dem Beleg gelesen, vom Prüfer bestätigt; leer = im Beleg nicht angegeben.</t>
        </is>
      </c>
    </row>
    <row r="52">
      <c r="A52" s="24" t="inlineStr">
        <is>
          <t>AV</t>
        </is>
      </c>
      <c r="B52" s="24" t="inlineStr">
        <is>
          <t>ahk_leasinggeber</t>
        </is>
      </c>
      <c r="C52" s="24" t="inlineStr">
        <is>
          <t>AHK des Leasinggebers</t>
        </is>
      </c>
      <c r="D52" s="24" t="inlineStr">
        <is>
          <t>Betrag</t>
        </is>
      </c>
      <c r="E52" s="24" t="inlineStr">
        <is>
          <t>Nein</t>
        </is>
      </c>
      <c r="F52" s="24" t="inlineStr">
        <is>
          <t>Betrag</t>
        </is>
      </c>
      <c r="G52" s="24" t="inlineStr">
        <is>
          <t>Mandant</t>
        </is>
      </c>
      <c r="H52" s="26" t="inlineStr">
        <is>
          <t>Von A3 aus dem Beleg gelesen, vom Prüfer bestätigt; leer = im Beleg nicht angegeben.</t>
        </is>
      </c>
    </row>
    <row r="53">
      <c r="A53" s="24" t="inlineStr">
        <is>
          <t>AW</t>
        </is>
      </c>
      <c r="B53" s="24" t="inlineStr">
        <is>
          <t>leasinggeber</t>
        </is>
      </c>
      <c r="C53" s="24" t="inlineStr">
        <is>
          <t>Leasinggeber laut Vertrag</t>
        </is>
      </c>
      <c r="D53" s="24" t="inlineStr">
        <is>
          <t>Beleg</t>
        </is>
      </c>
      <c r="E53" s="24" t="inlineStr">
        <is>
          <t>Nein</t>
        </is>
      </c>
      <c r="F53" s="24" t="inlineStr">
        <is>
          <t>Text</t>
        </is>
      </c>
      <c r="G53" s="24" t="inlineStr">
        <is>
          <t>Mandant</t>
        </is>
      </c>
      <c r="H53" s="26" t="inlineStr">
        <is>
          <t>Von A3 aus dem Beleg gelesen, vom Prüfer bestätigt; leer = im Beleg nicht angegeben.</t>
        </is>
      </c>
    </row>
    <row r="54">
      <c r="A54" s="24" t="inlineStr">
        <is>
          <t>AX</t>
        </is>
      </c>
      <c r="B54" s="24" t="inlineStr">
        <is>
          <t>leasingrate</t>
        </is>
      </c>
      <c r="C54" s="24" t="inlineStr">
        <is>
          <t>Leasingrate laut Vertrag</t>
        </is>
      </c>
      <c r="D54" s="24" t="inlineStr">
        <is>
          <t>Betrag</t>
        </is>
      </c>
      <c r="E54" s="24" t="inlineStr">
        <is>
          <t>Nein</t>
        </is>
      </c>
      <c r="F54" s="24" t="inlineStr">
        <is>
          <t>Betrag</t>
        </is>
      </c>
      <c r="G54" s="24" t="inlineStr">
        <is>
          <t>Mandant</t>
        </is>
      </c>
      <c r="H54" s="26" t="inlineStr">
        <is>
          <t>Von A3 aus dem Beleg gelesen, vom Prüfer bestätigt; leer = im Beleg nicht angegeben.</t>
        </is>
      </c>
    </row>
    <row r="55">
      <c r="A55" s="24" t="inlineStr">
        <is>
          <t>AY</t>
        </is>
      </c>
      <c r="B55" s="24" t="inlineStr">
        <is>
          <t>vertragszins</t>
        </is>
      </c>
      <c r="C55" s="24" t="inlineStr">
        <is>
          <t>Zins laut Leasingvertrag in %</t>
        </is>
      </c>
      <c r="D55" s="24" t="inlineStr">
        <is>
          <t>Betrag</t>
        </is>
      </c>
      <c r="E55" s="24" t="inlineStr">
        <is>
          <t>Nein</t>
        </is>
      </c>
      <c r="F55" s="24" t="inlineStr">
        <is>
          <t>Prozent</t>
        </is>
      </c>
      <c r="G55" s="24" t="inlineStr">
        <is>
          <t>Mandant</t>
        </is>
      </c>
      <c r="H55" s="26" t="inlineStr">
        <is>
          <t>In Prozent p. a. (4,5 = 4,5 %); leer = Vertrag nennt keinen.</t>
        </is>
      </c>
    </row>
    <row r="56">
      <c r="A56" s="24" t="inlineStr">
        <is>
          <t>AZ</t>
        </is>
      </c>
      <c r="B56" s="24" t="inlineStr">
        <is>
          <t>raten_im_gj</t>
        </is>
      </c>
      <c r="C56" s="24" t="inlineStr">
        <is>
          <t>Raten im Geschäftsjahr laut Ratenplan</t>
        </is>
      </c>
      <c r="D56" s="24" t="inlineStr">
        <is>
          <t>Betrag</t>
        </is>
      </c>
      <c r="E56" s="24" t="inlineStr">
        <is>
          <t>Nein</t>
        </is>
      </c>
      <c r="F56" s="24" t="inlineStr">
        <is>
          <t>Ganzzahl</t>
        </is>
      </c>
      <c r="G56" s="24" t="inlineStr">
        <is>
          <t>Mandant</t>
        </is>
      </c>
      <c r="H56" s="26" t="inlineStr">
        <is>
          <t>Anzahl der Raten des Geschäftsjahres.</t>
        </is>
      </c>
    </row>
    <row r="57">
      <c r="A57" s="24" t="inlineStr">
        <is>
          <t>BA</t>
        </is>
      </c>
      <c r="B57" s="24" t="inlineStr">
        <is>
          <t>zahlungsweise</t>
        </is>
      </c>
      <c r="C57" s="24" t="inlineStr">
        <is>
          <t>Zahlungsweise der Raten</t>
        </is>
      </c>
      <c r="D57" s="24" t="inlineStr">
        <is>
          <t>Beleg</t>
        </is>
      </c>
      <c r="E57" s="24" t="inlineStr">
        <is>
          <t>Nein</t>
        </is>
      </c>
      <c r="F57" s="24" t="inlineStr">
        <is>
          <t>Liste</t>
        </is>
      </c>
      <c r="G57" s="24" t="inlineStr">
        <is>
          <t>Mandant</t>
        </is>
      </c>
      <c r="H57" s="26" t="inlineStr">
        <is>
          <t>vorschüssig · nachschüssig.</t>
        </is>
      </c>
    </row>
    <row r="58">
      <c r="A58" s="24" t="inlineStr">
        <is>
          <t>BB</t>
        </is>
      </c>
      <c r="B58" s="24" t="inlineStr">
        <is>
          <t>waehrung</t>
        </is>
      </c>
      <c r="C58" s="24" t="inlineStr">
        <is>
          <t>Währung laut Beleg</t>
        </is>
      </c>
      <c r="D58" s="24" t="inlineStr">
        <is>
          <t>Betrag</t>
        </is>
      </c>
      <c r="E58" s="24" t="inlineStr">
        <is>
          <t>Nein</t>
        </is>
      </c>
      <c r="F58" s="24" t="inlineStr">
        <is>
          <t>Liste</t>
        </is>
      </c>
      <c r="G58" s="24" t="inlineStr">
        <is>
          <t>Mandant</t>
        </is>
      </c>
      <c r="H58" s="26" t="inlineStr">
        <is>
          <t>Währung, in der der Beleg seine Beträge druckt; leer = Beleg nennt keine.</t>
        </is>
      </c>
    </row>
    <row r="59">
      <c r="A59" s="24" t="inlineStr">
        <is>
          <t>BC</t>
        </is>
      </c>
      <c r="B59" s="24" t="inlineStr">
        <is>
          <t>kurs</t>
        </is>
      </c>
      <c r="C59" s="24" t="inlineStr">
        <is>
          <t>Umrechnungskurs laut Beleg</t>
        </is>
      </c>
      <c r="D59" s="24" t="inlineStr">
        <is>
          <t>Betrag</t>
        </is>
      </c>
      <c r="E59" s="24" t="inlineStr">
        <is>
          <t>Nein</t>
        </is>
      </c>
      <c r="F59" s="24" t="inlineStr">
        <is>
          <t>Zahl</t>
        </is>
      </c>
      <c r="G59" s="24" t="inlineStr">
        <is>
          <t>Mandant</t>
        </is>
      </c>
      <c r="H59" s="26" t="inlineStr">
        <is>
          <t>Wie gedruckt; leer = Beleg nennt keinen.</t>
        </is>
      </c>
    </row>
    <row r="60">
      <c r="A60" s="24" t="inlineStr">
        <is>
          <t>BD</t>
        </is>
      </c>
      <c r="B60" s="24" t="inlineStr">
        <is>
          <t>leistungsbeschreibung</t>
        </is>
      </c>
      <c r="C60" s="24" t="inlineStr">
        <is>
          <t>Leistungsbeschreibung laut Beleg</t>
        </is>
      </c>
      <c r="D60" s="24" t="inlineStr">
        <is>
          <t>Beleg</t>
        </is>
      </c>
      <c r="E60" s="24" t="inlineStr">
        <is>
          <t>Nein</t>
        </is>
      </c>
      <c r="F60" s="24" t="inlineStr">
        <is>
          <t>Text</t>
        </is>
      </c>
      <c r="G60" s="24" t="inlineStr">
        <is>
          <t>Mandant</t>
        </is>
      </c>
      <c r="H60" s="26" t="inlineStr">
        <is>
          <t>Von A3 aus dem Beleg gelesen, vom Prüfer bestätigt; leer = im Beleg nicht angegeben.</t>
        </is>
      </c>
    </row>
    <row r="61">
      <c r="A61" s="24" t="inlineStr">
        <is>
          <t>BE</t>
        </is>
      </c>
      <c r="B61" s="24" t="inlineStr">
        <is>
          <t>menge</t>
        </is>
      </c>
      <c r="C61" s="24" t="inlineStr">
        <is>
          <t>Menge laut Beleg</t>
        </is>
      </c>
      <c r="D61" s="24" t="inlineStr">
        <is>
          <t>Betrag</t>
        </is>
      </c>
      <c r="E61" s="24" t="inlineStr">
        <is>
          <t>Nein</t>
        </is>
      </c>
      <c r="F61" s="24" t="inlineStr">
        <is>
          <t>Zahl</t>
        </is>
      </c>
      <c r="G61" s="24" t="inlineStr">
        <is>
          <t>Mandant</t>
        </is>
      </c>
      <c r="H61" s="26" t="inlineStr">
        <is>
          <t>Von A3 aus dem Beleg gelesen, vom Prüfer bestätigt; leer = im Beleg nicht angegeben.</t>
        </is>
      </c>
    </row>
    <row r="62">
      <c r="A62" s="24" t="inlineStr">
        <is>
          <t>BF</t>
        </is>
      </c>
      <c r="B62" s="24" t="inlineStr">
        <is>
          <t>einzelpreis</t>
        </is>
      </c>
      <c r="C62" s="24" t="inlineStr">
        <is>
          <t>Einzelpreis laut Beleg</t>
        </is>
      </c>
      <c r="D62" s="24" t="inlineStr">
        <is>
          <t>Betrag</t>
        </is>
      </c>
      <c r="E62" s="24" t="inlineStr">
        <is>
          <t>Nein</t>
        </is>
      </c>
      <c r="F62" s="24" t="inlineStr">
        <is>
          <t>Betrag</t>
        </is>
      </c>
      <c r="G62" s="24" t="inlineStr">
        <is>
          <t>Mandant</t>
        </is>
      </c>
      <c r="H62" s="26" t="inlineStr">
        <is>
          <t>Von A3 aus dem Beleg gelesen, vom Prüfer bestätigt; leer = im Beleg nicht angegeben.</t>
        </is>
      </c>
    </row>
    <row r="63">
      <c r="A63" s="24" t="inlineStr">
        <is>
          <t>BG</t>
        </is>
      </c>
      <c r="B63" s="24" t="inlineStr">
        <is>
          <t>verwendungszweck</t>
        </is>
      </c>
      <c r="C63" s="24" t="inlineStr">
        <is>
          <t>Verwendungszweck</t>
        </is>
      </c>
      <c r="D63" s="24" t="inlineStr">
        <is>
          <t>Kontrolle</t>
        </is>
      </c>
      <c r="E63" s="24" t="inlineStr">
        <is>
          <t>Nein</t>
        </is>
      </c>
      <c r="F63" s="24" t="inlineStr">
        <is>
          <t>Text</t>
        </is>
      </c>
      <c r="G63" s="24" t="inlineStr">
        <is>
          <t>Mandant</t>
        </is>
      </c>
      <c r="H63" s="26" t="inlineStr">
        <is>
          <t>Von A3 aus dem Beleg gelesen, vom Prüfer bestätigt; leer = im Beleg nicht angegeben.</t>
        </is>
      </c>
    </row>
    <row r="64">
      <c r="A64" s="24" t="inlineStr">
        <is>
          <t>BH</t>
        </is>
      </c>
      <c r="B64" s="24" t="inlineStr">
        <is>
          <t>iban</t>
        </is>
      </c>
      <c r="C64" s="24" t="inlineStr">
        <is>
          <t>IBAN</t>
        </is>
      </c>
      <c r="D64" s="24" t="inlineStr">
        <is>
          <t>Kontrolle</t>
        </is>
      </c>
      <c r="E64" s="24" t="inlineStr">
        <is>
          <t>Nein</t>
        </is>
      </c>
      <c r="F64" s="24" t="inlineStr">
        <is>
          <t>Text</t>
        </is>
      </c>
      <c r="G64" s="24" t="inlineStr">
        <is>
          <t>Mandant</t>
        </is>
      </c>
      <c r="H64" s="26" t="inlineStr">
        <is>
          <t>Rechnung: des Ausstellers; Zahlung: des Zahlungsempfängers.</t>
        </is>
      </c>
    </row>
    <row r="65">
      <c r="A65" s="24" t="inlineStr">
        <is>
          <t>BI</t>
        </is>
      </c>
      <c r="B65" s="24" t="inlineStr">
        <is>
          <t>marktwert</t>
        </is>
      </c>
      <c r="C65" s="24" t="inlineStr">
        <is>
          <t>Marktwert laut Nachweis</t>
        </is>
      </c>
      <c r="D65" s="24" t="inlineStr">
        <is>
          <t>Betrag</t>
        </is>
      </c>
      <c r="E65" s="24" t="inlineStr">
        <is>
          <t>Nein</t>
        </is>
      </c>
      <c r="F65" s="24" t="inlineStr">
        <is>
          <t>Betrag</t>
        </is>
      </c>
      <c r="G65" s="24" t="inlineStr">
        <is>
          <t>Mandant</t>
        </is>
      </c>
      <c r="H65" s="26" t="inlineStr">
        <is>
          <t>Von A3 aus dem Beleg gelesen, vom Prüfer bestätigt; leer = im Beleg nicht angegeben.</t>
        </is>
      </c>
    </row>
    <row r="66">
      <c r="A66" s="24" t="inlineStr">
        <is>
          <t>BJ</t>
        </is>
      </c>
      <c r="B66" s="24" t="inlineStr">
        <is>
          <t>bankkonto_mandant</t>
        </is>
      </c>
      <c r="C66" s="24" t="inlineStr">
        <is>
          <t>Bankkonto des Mandanten</t>
        </is>
      </c>
      <c r="D66" s="24" t="inlineStr">
        <is>
          <t>Kontrolle</t>
        </is>
      </c>
      <c r="E66" s="24" t="inlineStr">
        <is>
          <t>Nein</t>
        </is>
      </c>
      <c r="F66" s="24" t="inlineStr">
        <is>
          <t>Text</t>
        </is>
      </c>
      <c r="G66" s="24" t="inlineStr">
        <is>
          <t>Mandant</t>
        </is>
      </c>
      <c r="H66" s="26" t="inlineStr">
        <is>
          <t>Konto, von dem die Zahlung abging.</t>
        </is>
      </c>
    </row>
    <row r="67">
      <c r="A67" s="24" t="inlineStr">
        <is>
          <t>BK</t>
        </is>
      </c>
      <c r="B67" s="24" t="inlineStr">
        <is>
          <t>umbuchungsdatum</t>
        </is>
      </c>
      <c r="C67" s="24" t="inlineStr">
        <is>
          <t>Umbuchungsdatum</t>
        </is>
      </c>
      <c r="D67" s="24" t="inlineStr">
        <is>
          <t>Übergang</t>
        </is>
      </c>
      <c r="E67" s="24" t="inlineStr">
        <is>
          <t>Nein</t>
        </is>
      </c>
      <c r="F67" s="24" t="inlineStr">
        <is>
          <t>Datum</t>
        </is>
      </c>
      <c r="G67" s="24" t="inlineStr">
        <is>
          <t>Mandant</t>
        </is>
      </c>
      <c r="H67" s="26" t="inlineStr">
        <is>
          <t>Umbuchung aus den Anlagen im Bau laut Projektliste.</t>
        </is>
      </c>
    </row>
    <row r="68">
      <c r="A68" s="24" t="inlineStr">
        <is>
          <t>BL</t>
        </is>
      </c>
      <c r="B68" s="24" t="inlineStr">
        <is>
          <t>bevollmaechtigter</t>
        </is>
      </c>
      <c r="C68" s="24" t="inlineStr">
        <is>
          <t>Bevollmächtigter</t>
        </is>
      </c>
      <c r="D68" s="24" t="inlineStr">
        <is>
          <t>Kontrolle</t>
        </is>
      </c>
      <c r="E68" s="24" t="inlineStr">
        <is>
          <t>Nein</t>
        </is>
      </c>
      <c r="F68" s="24" t="inlineStr">
        <is>
          <t>Text</t>
        </is>
      </c>
      <c r="G68" s="24" t="inlineStr">
        <is>
          <t>Mandant</t>
        </is>
      </c>
      <c r="H68" s="26" t="inlineStr">
        <is>
          <t>Wer laut Unterschriftenregelung zeichnet.</t>
        </is>
      </c>
    </row>
    <row r="69">
      <c r="A69" s="24" t="inlineStr">
        <is>
          <t>BM</t>
        </is>
      </c>
      <c r="B69" s="24" t="inlineStr">
        <is>
          <t>betragsgrenze</t>
        </is>
      </c>
      <c r="C69" s="24" t="inlineStr">
        <is>
          <t>Betragsgrenze laut Unterschriftenregelung</t>
        </is>
      </c>
      <c r="D69" s="24" t="inlineStr">
        <is>
          <t>Betrag</t>
        </is>
      </c>
      <c r="E69" s="24" t="inlineStr">
        <is>
          <t>Nein</t>
        </is>
      </c>
      <c r="F69" s="24" t="inlineStr">
        <is>
          <t>Betrag</t>
        </is>
      </c>
      <c r="G69" s="24" t="inlineStr">
        <is>
          <t>Mandant</t>
        </is>
      </c>
      <c r="H69" s="26" t="inlineStr">
        <is>
          <t>Von A3 aus dem Beleg gelesen, vom Prüfer bestätigt; leer = im Beleg nicht angegeben.</t>
        </is>
      </c>
    </row>
    <row r="70">
      <c r="A70" s="24" t="inlineStr">
        <is>
          <t>BN</t>
        </is>
      </c>
      <c r="B70" s="24" t="inlineStr">
        <is>
          <t>kaufoption</t>
        </is>
      </c>
      <c r="C70" s="24" t="inlineStr">
        <is>
          <t>Kaufoption laut Leasingvertrag</t>
        </is>
      </c>
      <c r="D70" s="24" t="inlineStr">
        <is>
          <t>Kontrolle</t>
        </is>
      </c>
      <c r="E70" s="24" t="inlineStr">
        <is>
          <t>Nein</t>
        </is>
      </c>
      <c r="F70" s="24" t="inlineStr">
        <is>
          <t>Liste</t>
        </is>
      </c>
      <c r="G70" s="24" t="inlineStr">
        <is>
          <t>Mandant</t>
        </is>
      </c>
      <c r="H70" s="26" t="inlineStr">
        <is>
          <t>Ja · Nein.</t>
        </is>
      </c>
    </row>
    <row r="71">
      <c r="A71" s="24" t="inlineStr">
        <is>
          <t>BO</t>
        </is>
      </c>
      <c r="B71" s="24" t="inlineStr">
        <is>
          <t>optionspreis</t>
        </is>
      </c>
      <c r="C71" s="24" t="inlineStr">
        <is>
          <t>Optionspreis laut Leasingvertrag</t>
        </is>
      </c>
      <c r="D71" s="24" t="inlineStr">
        <is>
          <t>Betrag</t>
        </is>
      </c>
      <c r="E71" s="24" t="inlineStr">
        <is>
          <t>Nein</t>
        </is>
      </c>
      <c r="F71" s="24" t="inlineStr">
        <is>
          <t>Betrag</t>
        </is>
      </c>
      <c r="G71" s="24" t="inlineStr">
        <is>
          <t>Mandant</t>
        </is>
      </c>
      <c r="H71" s="26" t="inlineStr">
        <is>
          <t>Von A3 aus dem Beleg gelesen, vom Prüfer bestätigt; leer = im Beleg nicht angegeben.</t>
        </is>
      </c>
    </row>
    <row r="72">
      <c r="A72" s="24" t="inlineStr">
        <is>
          <t>BP</t>
        </is>
      </c>
      <c r="B72" s="24" t="inlineStr">
        <is>
          <t>grundmietzeit</t>
        </is>
      </c>
      <c r="C72" s="24" t="inlineStr">
        <is>
          <t>Grundmietzeit in Monaten</t>
        </is>
      </c>
      <c r="D72" s="24" t="inlineStr">
        <is>
          <t>Betrag</t>
        </is>
      </c>
      <c r="E72" s="24" t="inlineStr">
        <is>
          <t>Nein</t>
        </is>
      </c>
      <c r="F72" s="24" t="inlineStr">
        <is>
          <t>Ganzzahl</t>
        </is>
      </c>
      <c r="G72" s="24" t="inlineStr">
        <is>
          <t>Mandant</t>
        </is>
      </c>
      <c r="H72" s="26" t="inlineStr">
        <is>
          <t>Grundmietzeit laut Leasingvertrag, in Monaten.</t>
        </is>
      </c>
    </row>
    <row r="73">
      <c r="A73" s="24" t="inlineStr">
        <is>
          <t>BQ</t>
        </is>
      </c>
      <c r="B73" s="24" t="inlineStr">
        <is>
          <t>zahlungsintervall</t>
        </is>
      </c>
      <c r="C73" s="24" t="inlineStr">
        <is>
          <t>Zahlungsintervall der Raten</t>
        </is>
      </c>
      <c r="D73" s="24" t="inlineStr">
        <is>
          <t>Beleg</t>
        </is>
      </c>
      <c r="E73" s="24" t="inlineStr">
        <is>
          <t>Nein</t>
        </is>
      </c>
      <c r="F73" s="24" t="inlineStr">
        <is>
          <t>Text</t>
        </is>
      </c>
      <c r="G73" s="24" t="inlineStr">
        <is>
          <t>Mandant</t>
        </is>
      </c>
      <c r="H73" s="26" t="inlineStr">
        <is>
          <t>Monatlich, vierteljährlich, … wie gedruckt.</t>
        </is>
      </c>
    </row>
    <row r="74">
      <c r="A74" s="24" t="inlineStr">
        <is>
          <t>BR</t>
        </is>
      </c>
      <c r="B74" s="24" t="inlineStr">
        <is>
          <t>fundstelle</t>
        </is>
      </c>
      <c r="C74" s="24" t="inlineStr">
        <is>
          <t>Fundstelle im Beleg</t>
        </is>
      </c>
      <c r="D74" s="24" t="inlineStr">
        <is>
          <t>Kontrolle</t>
        </is>
      </c>
      <c r="E74" s="24" t="inlineStr">
        <is>
          <t>Nein</t>
        </is>
      </c>
      <c r="F74" s="24" t="inlineStr">
        <is>
          <t>Text</t>
        </is>
      </c>
      <c r="G74" s="24" t="inlineStr">
        <is>
          <t>System</t>
        </is>
      </c>
      <c r="H74" s="26" t="inlineStr">
        <is>
          <t>Seiten, auf denen A3 die Werte gelesen hat.</t>
        </is>
      </c>
    </row>
    <row r="75">
      <c r="A75" s="24" t="inlineStr">
        <is>
          <t>BS</t>
        </is>
      </c>
      <c r="B75" s="24" t="inlineStr">
        <is>
          <t>lesesicherheit</t>
        </is>
      </c>
      <c r="C75" s="24" t="inlineStr">
        <is>
          <t>Lesesicherheit</t>
        </is>
      </c>
      <c r="D75" s="24" t="inlineStr">
        <is>
          <t>Kontrolle</t>
        </is>
      </c>
      <c r="E75" s="24" t="inlineStr">
        <is>
          <t>Nein</t>
        </is>
      </c>
      <c r="F75" s="24" t="inlineStr">
        <is>
          <t>Ganzzahl</t>
        </is>
      </c>
      <c r="G75" s="24" t="inlineStr">
        <is>
          <t>System</t>
        </is>
      </c>
      <c r="H75" s="26" t="inlineStr">
        <is>
          <t>Niedrigste Lesesicherheit der Werte, in Basispunkten (9000 = 90 %).</t>
        </is>
      </c>
    </row>
    <row r="76">
      <c r="A76" s="24" t="inlineStr">
        <is>
          <t>BT</t>
        </is>
      </c>
      <c r="B76" s="24" t="inlineStr">
        <is>
          <t>kontrolle</t>
        </is>
      </c>
      <c r="C76" s="24" t="inlineStr">
        <is>
          <t>Kontrolle</t>
        </is>
      </c>
      <c r="D76" s="24" t="inlineStr">
        <is>
          <t>Kontrolle</t>
        </is>
      </c>
      <c r="E76" s="24" t="inlineStr">
        <is>
          <t>-</t>
        </is>
      </c>
      <c r="F76" s="24" t="inlineStr">
        <is>
          <t>Text</t>
        </is>
      </c>
      <c r="G76" s="24" t="inlineStr">
        <is>
          <t>Formel</t>
        </is>
      </c>
      <c r="H76" s="26" t="inlineStr">
        <is>
          <t>OK, wenn Netto zum USt-Satz das Brutto ergibt (Rundung 0,01); sonst ABWEICHUNG; leer, solange einer der drei Werte fehlt — leer ist nicht 0.</t>
        </is>
      </c>
    </row>
    <row r="77">
      <c r="A77" s="24" t="inlineStr">
        <is>
          <t>BU</t>
        </is>
      </c>
      <c r="B77" s="24" t="inlineStr">
        <is>
          <t>zeilen_id</t>
        </is>
      </c>
      <c r="C77" s="24" t="inlineStr">
        <is>
          <t>Zeilen-ID</t>
        </is>
      </c>
      <c r="D77" s="24" t="inlineStr">
        <is>
          <t>System</t>
        </is>
      </c>
      <c r="E77" s="24" t="inlineStr">
        <is>
          <t>-</t>
        </is>
      </c>
      <c r="F77" s="24" t="inlineStr">
        <is>
          <t>Text</t>
        </is>
      </c>
      <c r="G77" s="24" t="inlineStr">
        <is>
          <t>System</t>
        </is>
      </c>
      <c r="H77"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Positionen der Belege</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Position (Beleg · Pos.)</t>
        </is>
      </c>
      <c r="D5" s="24" t="inlineStr">
        <is>
          <t>Zuordnung</t>
        </is>
      </c>
      <c r="E5" s="24" t="inlineStr">
        <is>
          <t>Ja</t>
        </is>
      </c>
      <c r="F5" s="24" t="inlineStr">
        <is>
          <t>Text</t>
        </is>
      </c>
      <c r="G5" s="24" t="inlineStr">
        <is>
          <t>System</t>
        </is>
      </c>
      <c r="H5" s="26" t="inlineStr">
        <is>
          <t>Schlüssel der Zeile, von A3 gebildet: der Beleg, wie er auf „Belege“ steht, und die Nummer der Position in gedruckter Reihenfolge, durch » · « getrennt. Eine neue Position nennt hier ihren Beleg.</t>
        </is>
      </c>
    </row>
    <row r="6">
      <c r="A6" s="24" t="inlineStr">
        <is>
          <t>B</t>
        </is>
      </c>
      <c r="B6" s="24" t="inlineStr">
        <is>
          <t>leistungsbeschreibung</t>
        </is>
      </c>
      <c r="C6" s="24" t="inlineStr">
        <is>
          <t>Leistungsbeschreibung</t>
        </is>
      </c>
      <c r="D6" s="24" t="inlineStr">
        <is>
          <t>Beleg</t>
        </is>
      </c>
      <c r="E6" s="24" t="inlineStr">
        <is>
          <t>Nein</t>
        </is>
      </c>
      <c r="F6" s="24" t="inlineStr">
        <is>
          <t>Text</t>
        </is>
      </c>
      <c r="G6" s="24" t="inlineStr">
        <is>
          <t>Mandant</t>
        </is>
      </c>
      <c r="H6" s="26" t="inlineStr">
        <is>
          <t>Von A3 aus dem Beleg gelesen, vom Prüfer bestätigt; leer = im Beleg nicht angegeben.</t>
        </is>
      </c>
    </row>
    <row r="7">
      <c r="A7" s="24" t="inlineStr">
        <is>
          <t>C</t>
        </is>
      </c>
      <c r="B7" s="24" t="inlineStr">
        <is>
          <t>menge</t>
        </is>
      </c>
      <c r="C7" s="24" t="inlineStr">
        <is>
          <t>Menge</t>
        </is>
      </c>
      <c r="D7" s="24" t="inlineStr">
        <is>
          <t>Betrag</t>
        </is>
      </c>
      <c r="E7" s="24" t="inlineStr">
        <is>
          <t>Nein</t>
        </is>
      </c>
      <c r="F7" s="24" t="inlineStr">
        <is>
          <t>Zahl</t>
        </is>
      </c>
      <c r="G7" s="24" t="inlineStr">
        <is>
          <t>Mandant</t>
        </is>
      </c>
      <c r="H7" s="26" t="inlineStr">
        <is>
          <t>Von A3 aus dem Beleg gelesen, vom Prüfer bestätigt; leer = im Beleg nicht angegeben.</t>
        </is>
      </c>
    </row>
    <row r="8">
      <c r="A8" s="24" t="inlineStr">
        <is>
          <t>D</t>
        </is>
      </c>
      <c r="B8" s="24" t="inlineStr">
        <is>
          <t>einzelpreis</t>
        </is>
      </c>
      <c r="C8" s="24" t="inlineStr">
        <is>
          <t>Einzelpreis</t>
        </is>
      </c>
      <c r="D8" s="24" t="inlineStr">
        <is>
          <t>Betrag</t>
        </is>
      </c>
      <c r="E8" s="24" t="inlineStr">
        <is>
          <t>Nein</t>
        </is>
      </c>
      <c r="F8" s="24" t="inlineStr">
        <is>
          <t>Betrag</t>
        </is>
      </c>
      <c r="G8" s="24" t="inlineStr">
        <is>
          <t>Mandant</t>
        </is>
      </c>
      <c r="H8" s="26" t="inlineStr">
        <is>
          <t>Von A3 aus dem Beleg gelesen, vom Prüfer bestätigt; leer = im Beleg nicht angegeben.</t>
        </is>
      </c>
    </row>
    <row r="9">
      <c r="A9" s="24" t="inlineStr">
        <is>
          <t>E</t>
        </is>
      </c>
      <c r="B9" s="24" t="inlineStr">
        <is>
          <t>betrag</t>
        </is>
      </c>
      <c r="C9" s="24" t="inlineStr">
        <is>
          <t>Betrag</t>
        </is>
      </c>
      <c r="D9" s="24" t="inlineStr">
        <is>
          <t>Betrag</t>
        </is>
      </c>
      <c r="E9" s="24" t="inlineStr">
        <is>
          <t>Nein</t>
        </is>
      </c>
      <c r="F9" s="24" t="inlineStr">
        <is>
          <t>Betrag</t>
        </is>
      </c>
      <c r="G9" s="24" t="inlineStr">
        <is>
          <t>Mandant</t>
        </is>
      </c>
      <c r="H9" s="26" t="inlineStr">
        <is>
          <t>Von A3 aus dem Beleg gelesen, vom Prüfer bestätigt; leer = im Beleg nicht angegeben.</t>
        </is>
      </c>
    </row>
    <row r="10">
      <c r="A10" s="24" t="inlineStr">
        <is>
          <t>F</t>
        </is>
      </c>
      <c r="B10" s="24" t="inlineStr">
        <is>
          <t>anlagen_nr</t>
        </is>
      </c>
      <c r="C10" s="24" t="inlineStr">
        <is>
          <t>Anlagen-Nr. laut Position</t>
        </is>
      </c>
      <c r="D10" s="24" t="inlineStr">
        <is>
          <t>Zuordnung</t>
        </is>
      </c>
      <c r="E10" s="24" t="inlineStr">
        <is>
          <t>Nein</t>
        </is>
      </c>
      <c r="F10" s="24" t="inlineStr">
        <is>
          <t>Text</t>
        </is>
      </c>
      <c r="G10" s="24" t="inlineStr">
        <is>
          <t>Mandant</t>
        </is>
      </c>
      <c r="H10" s="26" t="inlineStr">
        <is>
          <t>Nur, wenn die Zeile der Position sie druckt.</t>
        </is>
      </c>
    </row>
    <row r="11">
      <c r="A11" s="24" t="inlineStr">
        <is>
          <t>G</t>
        </is>
      </c>
      <c r="B11" s="24" t="inlineStr">
        <is>
          <t>zeilen_id</t>
        </is>
      </c>
      <c r="C11" s="24" t="inlineStr">
        <is>
          <t>Zeilen-ID</t>
        </is>
      </c>
      <c r="D11" s="24" t="inlineStr">
        <is>
          <t>System</t>
        </is>
      </c>
      <c r="E11" s="24" t="inlineStr">
        <is>
          <t>-</t>
        </is>
      </c>
      <c r="F11" s="24" t="inlineStr">
        <is>
          <t>Text</t>
        </is>
      </c>
      <c r="G11" s="24" t="inlineStr">
        <is>
          <t>System</t>
        </is>
      </c>
      <c r="H11"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Aufwandskonten (Kontenblatt)</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buchung</t>
        </is>
      </c>
      <c r="C5" s="24" t="inlineStr">
        <is>
          <t>Buchung (Konto · Buchungsdatum · Beleg)</t>
        </is>
      </c>
      <c r="D5" s="24" t="inlineStr">
        <is>
          <t>Zuordnung</t>
        </is>
      </c>
      <c r="E5" s="24" t="inlineStr">
        <is>
          <t>Ja</t>
        </is>
      </c>
      <c r="F5" s="24" t="inlineStr">
        <is>
          <t>Text</t>
        </is>
      </c>
      <c r="G5" s="24" t="inlineStr">
        <is>
          <t>System</t>
        </is>
      </c>
      <c r="H5" s="26" t="inlineStr">
        <is>
          <t>Schlüssel der Zeile, von A3 gebildet: Konto, Buchungsdatum und Beleg, durch » · « getrennt; ohne Beleg die laufende Nummer laut Kontenblatt, sonst die Stelle der Buchung im Konto.</t>
        </is>
      </c>
    </row>
    <row r="6">
      <c r="A6" s="24" t="inlineStr">
        <is>
          <t>B</t>
        </is>
      </c>
      <c r="B6" s="24" t="inlineStr">
        <is>
          <t>konto</t>
        </is>
      </c>
      <c r="C6" s="24" t="inlineStr">
        <is>
          <t>Konto</t>
        </is>
      </c>
      <c r="D6" s="24" t="inlineStr">
        <is>
          <t>Zuordnung</t>
        </is>
      </c>
      <c r="E6" s="24" t="inlineStr">
        <is>
          <t>Ja</t>
        </is>
      </c>
      <c r="F6" s="24" t="inlineStr">
        <is>
          <t>Text</t>
        </is>
      </c>
      <c r="G6" s="24" t="inlineStr">
        <is>
          <t>Mandant</t>
        </is>
      </c>
      <c r="H6" s="26" t="inlineStr">
        <is>
          <t>Aufwandskonto laut Kontenblatt des Mandanten.</t>
        </is>
      </c>
    </row>
    <row r="7">
      <c r="A7" s="24" t="inlineStr">
        <is>
          <t>C</t>
        </is>
      </c>
      <c r="B7" s="24" t="inlineStr">
        <is>
          <t>kontobezeichnung</t>
        </is>
      </c>
      <c r="C7" s="24" t="inlineStr">
        <is>
          <t>Kontobezeichnung</t>
        </is>
      </c>
      <c r="D7" s="24" t="inlineStr">
        <is>
          <t>Zuordnung</t>
        </is>
      </c>
      <c r="E7" s="24" t="inlineStr">
        <is>
          <t>Soll</t>
        </is>
      </c>
      <c r="F7" s="24" t="inlineStr">
        <is>
          <t>Text</t>
        </is>
      </c>
      <c r="G7" s="24" t="inlineStr">
        <is>
          <t>Mandant</t>
        </is>
      </c>
      <c r="H7" s="26" t="inlineStr">
        <is>
          <t>Bezeichnung des Kontos, wie im Kontenblatt gedruckt.</t>
        </is>
      </c>
    </row>
    <row r="8">
      <c r="A8" s="24" t="inlineStr">
        <is>
          <t>D</t>
        </is>
      </c>
      <c r="B8" s="24" t="inlineStr">
        <is>
          <t>buchungsdatum</t>
        </is>
      </c>
      <c r="C8" s="24" t="inlineStr">
        <is>
          <t>Buchungsdatum</t>
        </is>
      </c>
      <c r="D8" s="24" t="inlineStr">
        <is>
          <t>Beleg</t>
        </is>
      </c>
      <c r="E8" s="24" t="inlineStr">
        <is>
          <t>Ja</t>
        </is>
      </c>
      <c r="F8" s="24" t="inlineStr">
        <is>
          <t>Datum</t>
        </is>
      </c>
      <c r="G8" s="24" t="inlineStr">
        <is>
          <t>Mandant</t>
        </is>
      </c>
      <c r="H8" s="26" t="inlineStr">
        <is>
          <t>Datum der Buchung laut Kontenblatt.</t>
        </is>
      </c>
    </row>
    <row r="9">
      <c r="A9" s="24" t="inlineStr">
        <is>
          <t>E</t>
        </is>
      </c>
      <c r="B9" s="24" t="inlineStr">
        <is>
          <t>buchungstext</t>
        </is>
      </c>
      <c r="C9" s="24" t="inlineStr">
        <is>
          <t>Buchungstext</t>
        </is>
      </c>
      <c r="D9" s="24" t="inlineStr">
        <is>
          <t>Beleg</t>
        </is>
      </c>
      <c r="E9" s="24" t="inlineStr">
        <is>
          <t>Soll</t>
        </is>
      </c>
      <c r="F9" s="24" t="inlineStr">
        <is>
          <t>Text</t>
        </is>
      </c>
      <c r="G9" s="24" t="inlineStr">
        <is>
          <t>Mandant</t>
        </is>
      </c>
      <c r="H9" s="26" t="inlineStr">
        <is>
          <t>Buchungstext wortgetreu.</t>
        </is>
      </c>
    </row>
    <row r="10">
      <c r="A10" s="24" t="inlineStr">
        <is>
          <t>F</t>
        </is>
      </c>
      <c r="B10" s="24" t="inlineStr">
        <is>
          <t>beleg</t>
        </is>
      </c>
      <c r="C10" s="24" t="inlineStr">
        <is>
          <t>Beleg</t>
        </is>
      </c>
      <c r="D10" s="24" t="inlineStr">
        <is>
          <t>Beleg</t>
        </is>
      </c>
      <c r="E10" s="24" t="inlineStr">
        <is>
          <t>Soll</t>
        </is>
      </c>
      <c r="F10" s="24" t="inlineStr">
        <is>
          <t>Text</t>
        </is>
      </c>
      <c r="G10" s="24" t="inlineStr">
        <is>
          <t>Mandant</t>
        </is>
      </c>
      <c r="H10" s="26" t="inlineStr">
        <is>
          <t>Belegnummer laut Kontenblatt.</t>
        </is>
      </c>
    </row>
    <row r="11">
      <c r="A11" s="24" t="inlineStr">
        <is>
          <t>G</t>
        </is>
      </c>
      <c r="B11" s="24" t="inlineStr">
        <is>
          <t>gegenkonto</t>
        </is>
      </c>
      <c r="C11" s="24" t="inlineStr">
        <is>
          <t>Gegenkonto / Partner</t>
        </is>
      </c>
      <c r="D11" s="24" t="inlineStr">
        <is>
          <t>Beleg</t>
        </is>
      </c>
      <c r="E11" s="24" t="inlineStr">
        <is>
          <t>Nein</t>
        </is>
      </c>
      <c r="F11" s="24" t="inlineStr">
        <is>
          <t>Text</t>
        </is>
      </c>
      <c r="G11" s="24" t="inlineStr">
        <is>
          <t>Mandant</t>
        </is>
      </c>
      <c r="H11" s="26" t="inlineStr">
        <is>
          <t>Gegenkonto oder Geschäftspartner laut Kontenblatt.</t>
        </is>
      </c>
    </row>
    <row r="12">
      <c r="A12" s="24" t="inlineStr">
        <is>
          <t>H</t>
        </is>
      </c>
      <c r="B12" s="24" t="inlineStr">
        <is>
          <t>soll</t>
        </is>
      </c>
      <c r="C12" s="24" t="inlineStr">
        <is>
          <t>Soll</t>
        </is>
      </c>
      <c r="D12" s="24" t="inlineStr">
        <is>
          <t>Betrag</t>
        </is>
      </c>
      <c r="E12" s="24" t="inlineStr">
        <is>
          <t>Nein</t>
        </is>
      </c>
      <c r="F12" s="24" t="inlineStr">
        <is>
          <t>Betrag</t>
        </is>
      </c>
      <c r="G12" s="24" t="inlineStr">
        <is>
          <t>Mandant</t>
        </is>
      </c>
      <c r="H12" s="26" t="inlineStr">
        <is>
          <t>Betrag im Soll; leer, wenn die Buchung im Haben steht. Ein einziger vorzeichenbehafteter Betrag des Mandanten wird nach seinem Vorzeichen auf Soll oder Haben gelegt.</t>
        </is>
      </c>
    </row>
    <row r="13">
      <c r="A13" s="24" t="inlineStr">
        <is>
          <t>I</t>
        </is>
      </c>
      <c r="B13" s="24" t="inlineStr">
        <is>
          <t>haben</t>
        </is>
      </c>
      <c r="C13" s="24" t="inlineStr">
        <is>
          <t>Haben</t>
        </is>
      </c>
      <c r="D13" s="24" t="inlineStr">
        <is>
          <t>Betrag</t>
        </is>
      </c>
      <c r="E13" s="24" t="inlineStr">
        <is>
          <t>Nein</t>
        </is>
      </c>
      <c r="F13" s="24" t="inlineStr">
        <is>
          <t>Betrag</t>
        </is>
      </c>
      <c r="G13" s="24" t="inlineStr">
        <is>
          <t>Mandant</t>
        </is>
      </c>
      <c r="H13" s="26" t="inlineStr">
        <is>
          <t>Betrag im Haben; leer, wenn die Buchung im Soll steht.</t>
        </is>
      </c>
    </row>
    <row r="14">
      <c r="A14" s="24" t="inlineStr">
        <is>
          <t>J</t>
        </is>
      </c>
      <c r="B14" s="24" t="inlineStr">
        <is>
          <t>zeilen_id</t>
        </is>
      </c>
      <c r="C14" s="24" t="inlineStr">
        <is>
          <t>Zeilen-ID</t>
        </is>
      </c>
      <c r="D14" s="24" t="inlineStr">
        <is>
          <t>System</t>
        </is>
      </c>
      <c r="E14" s="24" t="inlineStr">
        <is>
          <t>-</t>
        </is>
      </c>
      <c r="F14" s="24" t="inlineStr">
        <is>
          <t>Text</t>
        </is>
      </c>
      <c r="G14" s="24" t="inlineStr">
        <is>
          <t>System</t>
        </is>
      </c>
      <c r="H14"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8" customWidth="1" min="1" max="1"/>
    <col width="22" customWidth="1" min="2" max="2"/>
    <col width="30" customWidth="1" min="3" max="3"/>
    <col width="12" customWidth="1" min="4" max="4"/>
    <col width="8" customWidth="1" min="5" max="5"/>
    <col width="10" customWidth="1" min="6" max="6"/>
    <col width="13" customWidth="1" min="7" max="7"/>
    <col width="104" customWidth="1" min="8" max="8"/>
  </cols>
  <sheetData>
    <row r="1">
      <c r="A1" s="1" t="inlineStr">
        <is>
          <t>Feldkatalog Summen- und Saldenliste</t>
        </is>
      </c>
    </row>
    <row r="2">
      <c r="A2" s="2" t="inlineStr">
        <is>
          <t>Die Feld-ID ist der maschinenlesbare Schlüssel und steht bewusst nicht in der Tabellenüberschrift; Feld-IDs gelten je Blatt. Eine Kopfzeile, eine Zeile je Sachkonto; verbunden sind nur die Konto-Zellen einer Summenzeile des Mandanten. Soll und Haben stehen immer getrennt; das Vorzeichen ist abgeleitet, nie eingegeben.</t>
        </is>
      </c>
    </row>
    <row r="4">
      <c r="A4" s="72" t="inlineStr">
        <is>
          <t>Spalte</t>
        </is>
      </c>
      <c r="B4" s="72" t="inlineStr">
        <is>
          <t>Feld-ID</t>
        </is>
      </c>
      <c r="C4" s="72" t="inlineStr">
        <is>
          <t>Überschrift im Blatt</t>
        </is>
      </c>
      <c r="D4" s="72" t="inlineStr">
        <is>
          <t>Block</t>
        </is>
      </c>
      <c r="E4" s="72" t="inlineStr">
        <is>
          <t>Pflicht</t>
        </is>
      </c>
      <c r="F4" s="72" t="inlineStr">
        <is>
          <t>Typ</t>
        </is>
      </c>
      <c r="G4" s="72" t="inlineStr">
        <is>
          <t>Herkunft</t>
        </is>
      </c>
      <c r="H4" s="72" t="inlineStr">
        <is>
          <t>Regel / Definition</t>
        </is>
      </c>
    </row>
    <row r="5">
      <c r="A5" s="24" t="inlineStr">
        <is>
          <t>A</t>
        </is>
      </c>
      <c r="B5" s="24" t="inlineStr">
        <is>
          <t>konto_roh</t>
        </is>
      </c>
      <c r="C5" s="24" t="inlineStr">
        <is>
          <t>Konto (wie geliefert)</t>
        </is>
      </c>
      <c r="D5" s="25" t="inlineStr">
        <is>
          <t>Stamm</t>
        </is>
      </c>
      <c r="E5" s="24" t="inlineStr">
        <is>
          <t>Ja</t>
        </is>
      </c>
      <c r="F5" s="24" t="inlineStr">
        <is>
          <t>Text</t>
        </is>
      </c>
      <c r="G5" s="24" t="inlineStr">
        <is>
          <t>Mandant</t>
        </is>
      </c>
      <c r="H5" s="26" t="inlineStr">
        <is>
          <t>Der Kontoschlüssel exakt wie im Quellsystem gedruckt — 13500, 440, S01350, 002000, 01000000. Wird nie normalisiert. Leer = Zeile inaktiv, alle Formeln bleiben leer.</t>
        </is>
      </c>
    </row>
    <row r="6">
      <c r="A6" s="24" t="inlineStr">
        <is>
          <t>B</t>
        </is>
      </c>
      <c r="B6" s="24" t="inlineStr">
        <is>
          <t>kontobezeichnung</t>
        </is>
      </c>
      <c r="C6" s="24" t="inlineStr">
        <is>
          <t>Kontobezeichnung</t>
        </is>
      </c>
      <c r="D6" s="25" t="inlineStr">
        <is>
          <t>Stamm</t>
        </is>
      </c>
      <c r="E6" s="24" t="inlineStr">
        <is>
          <t>Ja</t>
        </is>
      </c>
      <c r="F6" s="24" t="inlineStr">
        <is>
          <t>Text</t>
        </is>
      </c>
      <c r="G6" s="24" t="inlineStr">
        <is>
          <t>Mandant</t>
        </is>
      </c>
      <c r="H6" s="26" t="inlineStr">
        <is>
          <t>Aus der Spalte, die den Namen ENTHÄLT — nicht zwingend aus der Spalte, die 'Bezeichnung' überschrieben ist (gemessen: eine Datei überschreibt die Gruppenspalte so und führt den Namen eine Spalte weiter rechts).</t>
        </is>
      </c>
    </row>
    <row r="7">
      <c r="A7" s="24" t="inlineStr">
        <is>
          <t>C</t>
        </is>
      </c>
      <c r="B7" s="24" t="inlineStr">
        <is>
          <t>kostenstelle</t>
        </is>
      </c>
      <c r="C7" s="24" t="inlineStr">
        <is>
          <t>Kostenstelle</t>
        </is>
      </c>
      <c r="D7" s="25" t="inlineStr">
        <is>
          <t>Stamm</t>
        </is>
      </c>
      <c r="E7" s="24" t="inlineStr">
        <is>
          <t>-</t>
        </is>
      </c>
      <c r="F7" s="24" t="inlineStr">
        <is>
          <t>Text</t>
        </is>
      </c>
      <c r="G7" s="24" t="inlineStr">
        <is>
          <t>Mandant</t>
        </is>
      </c>
      <c r="H7" s="26" t="inlineStr">
        <is>
          <t>SAP- und Wilken-Exporte führen sie mit. Wird nicht ausgewertet, geht aber nicht verloren.</t>
        </is>
      </c>
    </row>
    <row r="8">
      <c r="A8" s="24" t="inlineStr">
        <is>
          <t>D</t>
        </is>
      </c>
      <c r="B8" s="24" t="inlineStr">
        <is>
          <t>eb_soll</t>
        </is>
      </c>
      <c r="C8" s="24" t="inlineStr">
        <is>
          <t>EB-Wert Soll</t>
        </is>
      </c>
      <c r="D8" s="27" t="inlineStr">
        <is>
          <t>Mandant</t>
        </is>
      </c>
      <c r="E8" s="24" t="inlineStr">
        <is>
          <t>Ja</t>
        </is>
      </c>
      <c r="F8" s="24" t="inlineStr">
        <is>
          <t>Betrag</t>
        </is>
      </c>
      <c r="G8" s="24" t="inlineStr">
        <is>
          <t>Mandant, sonst Formel</t>
        </is>
      </c>
      <c r="H8" s="26" t="inlineStr">
        <is>
          <t>Eröffnungsbilanzwert, Sollseite. Soll und Haben getrennt — nie eine vorzeichenbehaftete Spalte: drei Vorzeichenkonventionen kommen vor, und eine davon druckt gar kein Vorzeichen.</t>
        </is>
      </c>
    </row>
    <row r="9">
      <c r="A9" s="24" t="inlineStr">
        <is>
          <t>E</t>
        </is>
      </c>
      <c r="B9" s="24" t="inlineStr">
        <is>
          <t>eb_haben</t>
        </is>
      </c>
      <c r="C9" s="24" t="inlineStr">
        <is>
          <t>EB-Wert Haben</t>
        </is>
      </c>
      <c r="D9" s="27" t="inlineStr">
        <is>
          <t>Mandant</t>
        </is>
      </c>
      <c r="E9" s="24" t="inlineStr">
        <is>
          <t>Ja</t>
        </is>
      </c>
      <c r="F9" s="24" t="inlineStr">
        <is>
          <t>Betrag</t>
        </is>
      </c>
      <c r="G9" s="24" t="inlineStr">
        <is>
          <t>Mandant, sonst Formel</t>
        </is>
      </c>
      <c r="H9" s="26" t="inlineStr">
        <is>
          <t>Eröffnungsbilanzwert, Habenseite.</t>
        </is>
      </c>
    </row>
    <row r="10">
      <c r="A10" s="24" t="inlineStr">
        <is>
          <t>F</t>
        </is>
      </c>
      <c r="B10" s="24" t="inlineStr">
        <is>
          <t>eb_vorzeichen</t>
        </is>
      </c>
      <c r="C10" s="24" t="inlineStr">
        <is>
          <t>EB-Wert (vorzeichenbehaftet)</t>
        </is>
      </c>
      <c r="D10" s="27" t="inlineStr">
        <is>
          <t>Mandant</t>
        </is>
      </c>
      <c r="E10" s="24" t="inlineStr">
        <is>
          <t>-</t>
        </is>
      </c>
      <c r="F10" s="24" t="inlineStr">
        <is>
          <t>Betrag</t>
        </is>
      </c>
      <c r="G10" s="24" t="inlineStr">
        <is>
          <t>Mandant</t>
        </is>
      </c>
      <c r="H10" s="26" t="inlineStr">
        <is>
          <t>Der Eröffnungsbilanzwert als EINE vorzeichenbehaftete Spalte ('Saldovortrag'). Wie beim Schlusssaldo: der Betrag wird mit seinem Vorzeichen geschrieben, bei einem Betrag mit S/H-Buchstaben das Vorzeichen des Buchstabens (Haben negativ); 'EB-Wert Soll' und 'EB-Wert Haben' werden daraus abgeleitet, und ein ausdrückliches Paar des Mandanten hat Vorrang.</t>
        </is>
      </c>
    </row>
    <row r="11">
      <c r="A11" s="24" t="inlineStr">
        <is>
          <t>G</t>
        </is>
      </c>
      <c r="B11" s="24" t="inlineStr">
        <is>
          <t>eb_sh</t>
        </is>
      </c>
      <c r="C11" s="24" t="inlineStr">
        <is>
          <t>EB S/H</t>
        </is>
      </c>
      <c r="D11" s="29" t="inlineStr">
        <is>
          <t>Vorzeichen</t>
        </is>
      </c>
      <c r="E11" s="24" t="inlineStr">
        <is>
          <t>-</t>
        </is>
      </c>
      <c r="F11" s="24" t="inlineStr">
        <is>
          <t>Text</t>
        </is>
      </c>
      <c r="G11" s="24" t="inlineStr">
        <is>
          <t>Mandant</t>
        </is>
      </c>
      <c r="H11" s="26" t="inlineStr">
        <is>
          <t>Der Buchstabe, wenn die Datei einen druckt. Leer, wenn die Datei stattdessen den Betrag vorzeichnet.</t>
        </is>
      </c>
    </row>
    <row r="12">
      <c r="A12" s="24" t="inlineStr">
        <is>
          <t>H</t>
        </is>
      </c>
      <c r="B12" s="24" t="inlineStr">
        <is>
          <t>pvz_soll</t>
        </is>
      </c>
      <c r="C12" s="24" t="inlineStr">
        <is>
          <t>PVZ Soll</t>
        </is>
      </c>
      <c r="D12" s="27" t="inlineStr">
        <is>
          <t>Mandant</t>
        </is>
      </c>
      <c r="E12" s="24" t="inlineStr">
        <is>
          <t>-</t>
        </is>
      </c>
      <c r="F12" s="24" t="inlineStr">
        <is>
          <t>Betrag</t>
        </is>
      </c>
      <c r="G12" s="24" t="inlineStr">
        <is>
          <t>Mandant</t>
        </is>
      </c>
      <c r="H12" s="26" t="inlineStr">
        <is>
          <t>Periodenverkehrszahlen — nur der Berichtsmonat. Getrennt von JVZ zu führen: 12 von 20 Testdateien und 6 von 7 echten Mandantendateien drucken beides.</t>
        </is>
      </c>
    </row>
    <row r="13">
      <c r="A13" s="24" t="inlineStr">
        <is>
          <t>I</t>
        </is>
      </c>
      <c r="B13" s="24" t="inlineStr">
        <is>
          <t>pvz_haben</t>
        </is>
      </c>
      <c r="C13" s="24" t="inlineStr">
        <is>
          <t>PVZ Haben</t>
        </is>
      </c>
      <c r="D13" s="27" t="inlineStr">
        <is>
          <t>Mandant</t>
        </is>
      </c>
      <c r="E13" s="24" t="inlineStr">
        <is>
          <t>-</t>
        </is>
      </c>
      <c r="F13" s="24" t="inlineStr">
        <is>
          <t>Betrag</t>
        </is>
      </c>
      <c r="G13" s="24" t="inlineStr">
        <is>
          <t>Mandant</t>
        </is>
      </c>
      <c r="H13" s="26" t="inlineStr">
        <is>
          <t>Periodenverkehrszahlen, Habenseite.</t>
        </is>
      </c>
    </row>
    <row r="14">
      <c r="A14" s="24" t="inlineStr">
        <is>
          <t>J</t>
        </is>
      </c>
      <c r="B14" s="24" t="inlineStr">
        <is>
          <t>jvz_soll</t>
        </is>
      </c>
      <c r="C14" s="24" t="inlineStr">
        <is>
          <t>JVZ Soll</t>
        </is>
      </c>
      <c r="D14" s="27" t="inlineStr">
        <is>
          <t>Mandant</t>
        </is>
      </c>
      <c r="E14" s="24" t="inlineStr">
        <is>
          <t>Ja</t>
        </is>
      </c>
      <c r="F14" s="24" t="inlineStr">
        <is>
          <t>Betrag</t>
        </is>
      </c>
      <c r="G14" s="24" t="inlineStr">
        <is>
          <t>Mandant</t>
        </is>
      </c>
      <c r="H14" s="26" t="inlineStr">
        <is>
          <t>Jahresverkehrszahlen, kumuliert. Dies ist die Bewegungsspalte, die in die Zeilenidentität eingeht.</t>
        </is>
      </c>
    </row>
    <row r="15">
      <c r="A15" s="24" t="inlineStr">
        <is>
          <t>K</t>
        </is>
      </c>
      <c r="B15" s="24" t="inlineStr">
        <is>
          <t>jvz_haben</t>
        </is>
      </c>
      <c r="C15" s="24" t="inlineStr">
        <is>
          <t>JVZ Haben</t>
        </is>
      </c>
      <c r="D15" s="27" t="inlineStr">
        <is>
          <t>Mandant</t>
        </is>
      </c>
      <c r="E15" s="24" t="inlineStr">
        <is>
          <t>Ja</t>
        </is>
      </c>
      <c r="F15" s="24" t="inlineStr">
        <is>
          <t>Betrag</t>
        </is>
      </c>
      <c r="G15" s="24" t="inlineStr">
        <is>
          <t>Mandant</t>
        </is>
      </c>
      <c r="H15" s="26" t="inlineStr">
        <is>
          <t>Jahresverkehrszahlen, Habenseite.</t>
        </is>
      </c>
    </row>
    <row r="16">
      <c r="A16" s="24" t="inlineStr">
        <is>
          <t>L</t>
        </is>
      </c>
      <c r="B16" s="24" t="inlineStr">
        <is>
          <t>saldo_soll</t>
        </is>
      </c>
      <c r="C16" s="24" t="inlineStr">
        <is>
          <t>Saldo Soll</t>
        </is>
      </c>
      <c r="D16" s="27" t="inlineStr">
        <is>
          <t>Mandant</t>
        </is>
      </c>
      <c r="E16" s="24" t="inlineStr">
        <is>
          <t>-</t>
        </is>
      </c>
      <c r="F16" s="24" t="inlineStr">
        <is>
          <t>Betrag</t>
        </is>
      </c>
      <c r="G16" s="24" t="inlineStr">
        <is>
          <t>Mandant, sonst Formel</t>
        </is>
      </c>
      <c r="H16" s="26" t="inlineStr">
        <is>
          <t>Schlusssaldo laut Mandant. Nicht Pflicht: eine echte Mandantendatei druckt überhaupt keinen Schlusssaldo — dann ist 'Saldo (gerechnet)' der Saldo und die Differenz bleibt offen.</t>
        </is>
      </c>
    </row>
    <row r="17">
      <c r="A17" s="24" t="inlineStr">
        <is>
          <t>M</t>
        </is>
      </c>
      <c r="B17" s="24" t="inlineStr">
        <is>
          <t>saldo_haben</t>
        </is>
      </c>
      <c r="C17" s="24" t="inlineStr">
        <is>
          <t>Saldo Haben</t>
        </is>
      </c>
      <c r="D17" s="27" t="inlineStr">
        <is>
          <t>Mandant</t>
        </is>
      </c>
      <c r="E17" s="24" t="inlineStr">
        <is>
          <t>-</t>
        </is>
      </c>
      <c r="F17" s="24" t="inlineStr">
        <is>
          <t>Betrag</t>
        </is>
      </c>
      <c r="G17" s="24" t="inlineStr">
        <is>
          <t>Mandant, sonst Formel</t>
        </is>
      </c>
      <c r="H17" s="26" t="inlineStr">
        <is>
          <t>Schlusssaldo laut Mandant, Habenseite.</t>
        </is>
      </c>
    </row>
    <row r="18">
      <c r="A18" s="24" t="inlineStr">
        <is>
          <t>N</t>
        </is>
      </c>
      <c r="B18" s="24" t="inlineStr">
        <is>
          <t>saldo_sh</t>
        </is>
      </c>
      <c r="C18" s="24" t="inlineStr">
        <is>
          <t>Saldo S/H</t>
        </is>
      </c>
      <c r="D18" s="29" t="inlineStr">
        <is>
          <t>Vorzeichen</t>
        </is>
      </c>
      <c r="E18" s="24" t="inlineStr">
        <is>
          <t>-</t>
        </is>
      </c>
      <c r="F18" s="24" t="inlineStr">
        <is>
          <t>Text</t>
        </is>
      </c>
      <c r="G18" s="24" t="inlineStr">
        <is>
          <t>Mandant</t>
        </is>
      </c>
      <c r="H18" s="26" t="inlineStr">
        <is>
          <t>Wie EB S/H, für den Schlusssaldo.</t>
        </is>
      </c>
    </row>
    <row r="19">
      <c r="A19" s="24" t="inlineStr">
        <is>
          <t>O</t>
        </is>
      </c>
      <c r="B19" s="24" t="inlineStr">
        <is>
          <t>saldo_vorzeichen</t>
        </is>
      </c>
      <c r="C19" s="24" t="inlineStr">
        <is>
          <t>Saldo (vorzeichenbehaftet)</t>
        </is>
      </c>
      <c r="D19" s="27" t="inlineStr">
        <is>
          <t>Mandant</t>
        </is>
      </c>
      <c r="E19" s="24" t="inlineStr">
        <is>
          <t>-</t>
        </is>
      </c>
      <c r="F19" s="24" t="inlineStr">
        <is>
          <t>Betrag</t>
        </is>
      </c>
      <c r="G19" s="24" t="inlineStr">
        <is>
          <t>Mandant</t>
        </is>
      </c>
      <c r="H19" s="26" t="inlineStr">
        <is>
          <t>Der Schlusssaldo als EINE vorzeichenbehaftete Spalte — so drucken ihn 18 der 28 Testlayouts. Der Betrag wird mit seinem Vorzeichen geschrieben, bei einem Betrag mit S/H-Buchstaben das Vorzeichen des Buchstabens (Haben negativ); 'Saldo Soll' und 'Saldo Haben' werden daraus nach dem Vorzeichen abgeleitet. Druckt die Datei beides, gilt das ausdrückliche Paar des Mandanten.</t>
        </is>
      </c>
    </row>
    <row r="20">
      <c r="A20" s="24" t="inlineStr">
        <is>
          <t>P</t>
        </is>
      </c>
      <c r="B20" s="24" t="inlineStr">
        <is>
          <t>saldo_berechnet</t>
        </is>
      </c>
      <c r="C20" s="24" t="inlineStr">
        <is>
          <t>Saldo (gerechnet)</t>
        </is>
      </c>
      <c r="D20" s="30" t="inlineStr">
        <is>
          <t>Ableitung</t>
        </is>
      </c>
      <c r="E20" s="24" t="inlineStr">
        <is>
          <t>-</t>
        </is>
      </c>
      <c r="F20" s="24" t="inlineStr">
        <is>
          <t>Betrag</t>
        </is>
      </c>
      <c r="G20" s="24" t="inlineStr">
        <is>
          <t>Formel</t>
        </is>
      </c>
      <c r="H20" s="26" t="inlineStr">
        <is>
          <t>EB Soll − EB Haben + JVZ Soll − JVZ Haben. Gemessen auf 1.434 Zeilen aus 7 echten Dateien und 2.814 Zeilen aus 20 Testdateien: hält ausnahmslos, außer bei TEUR-Rundung.</t>
        </is>
      </c>
    </row>
    <row r="21">
      <c r="A21" s="24" t="inlineStr">
        <is>
          <t>Q</t>
        </is>
      </c>
      <c r="B21" s="24" t="inlineStr">
        <is>
          <t>differenz</t>
        </is>
      </c>
      <c r="C21" s="24" t="inlineStr">
        <is>
          <t>Differenz</t>
        </is>
      </c>
      <c r="D21" s="30" t="inlineStr">
        <is>
          <t>Ableitung</t>
        </is>
      </c>
      <c r="E21" s="24" t="inlineStr">
        <is>
          <t>-</t>
        </is>
      </c>
      <c r="F21" s="24" t="inlineStr">
        <is>
          <t>Betrag</t>
        </is>
      </c>
      <c r="G21" s="24" t="inlineStr">
        <is>
          <t>Formel</t>
        </is>
      </c>
      <c r="H21" s="26" t="inlineStr">
        <is>
          <t>Saldo (gerechnet) − Saldo laut Mandant. Bleibt leer, wenn der Mandant keinen Saldo gedruckt hat.</t>
        </is>
      </c>
    </row>
    <row r="22">
      <c r="A22" s="24" t="inlineStr">
        <is>
          <t>R</t>
        </is>
      </c>
      <c r="B22" s="24" t="inlineStr">
        <is>
          <t>kontrolle</t>
        </is>
      </c>
      <c r="C22" s="24" t="inlineStr">
        <is>
          <t>Kontrolle</t>
        </is>
      </c>
      <c r="D22" s="73" t="inlineStr">
        <is>
          <t>Kontrolle</t>
        </is>
      </c>
      <c r="E22" s="24" t="inlineStr">
        <is>
          <t>-</t>
        </is>
      </c>
      <c r="F22" s="24" t="inlineStr">
        <is>
          <t>Text</t>
        </is>
      </c>
      <c r="G22" s="24" t="inlineStr">
        <is>
          <t>Formel</t>
        </is>
      </c>
      <c r="H22" s="26" t="inlineStr">
        <is>
          <t>OK · ABWEICHUNG · 'kein Mandanten-Saldo' · 'nicht prüfbar'. Die beiden letzten Zustände sind kein OK: eine Zeile ohne Vergleichswert ist nicht geprüft, sondern ungeprüft. 'nicht prüfbar' steht auf jeder Zeile einer Datei, die keine EB-Spalte oder keine Verkehrszahlen-Spalten druckt.</t>
        </is>
      </c>
    </row>
    <row r="23">
      <c r="A23" s="24" t="inlineStr">
        <is>
          <t>S</t>
        </is>
      </c>
      <c r="B23" s="24" t="inlineStr">
        <is>
          <t>saldo_vj</t>
        </is>
      </c>
      <c r="C23" s="24" t="inlineStr">
        <is>
          <t>Saldo Vorjahr (vorzeichenbehaftet)</t>
        </is>
      </c>
      <c r="D23" s="27" t="inlineStr">
        <is>
          <t>Mandant</t>
        </is>
      </c>
      <c r="E23" s="24" t="inlineStr">
        <is>
          <t>-</t>
        </is>
      </c>
      <c r="F23" s="24" t="inlineStr">
        <is>
          <t>Betrag</t>
        </is>
      </c>
      <c r="G23" s="24" t="inlineStr">
        <is>
          <t>Mandant</t>
        </is>
      </c>
      <c r="H23" s="26" t="inlineStr">
        <is>
          <t>Der Schlusssaldo des Vorjahrs, wie ihn etwa ein Kontennachweis neben jedem Konto druckt, mit seinem Vorzeichen (Haben negativ). Nicht der EB-Wert: ein Erfolgskonto beginnt bei null und schloss das Vorjahr mit seinem Ergebnis. Geht in keine Kontrolle ein.</t>
        </is>
      </c>
    </row>
    <row r="24">
      <c r="A24" s="24" t="inlineStr">
        <is>
          <t>T</t>
        </is>
      </c>
      <c r="B24" s="24" t="inlineStr">
        <is>
          <t>position</t>
        </is>
      </c>
      <c r="C24" s="24" t="inlineStr">
        <is>
          <t>Position laut Mandant</t>
        </is>
      </c>
      <c r="D24" s="25" t="inlineStr">
        <is>
          <t>Stamm</t>
        </is>
      </c>
      <c r="E24" s="24" t="inlineStr">
        <is>
          <t>-</t>
        </is>
      </c>
      <c r="F24" s="24" t="inlineStr">
        <is>
          <t>Text</t>
        </is>
      </c>
      <c r="G24" s="24" t="inlineStr">
        <is>
          <t>Mandant</t>
        </is>
      </c>
      <c r="H24" s="26" t="inlineStr">
        <is>
          <t>Die Position, wie der Mandant sie in seiner Liste führt — wortgetreu übernommen. A3 schlägt keine Position vor und leitet keine aus Kontonummer oder Kontobezeichnung ab. Leer, wenn der Mandant keine führt.</t>
        </is>
      </c>
    </row>
    <row r="25">
      <c r="A25" s="24" t="inlineStr">
        <is>
          <t>U</t>
        </is>
      </c>
      <c r="B25" s="24" t="inlineStr">
        <is>
          <t>quelle_datei</t>
        </is>
      </c>
      <c r="C25" s="24" t="inlineStr">
        <is>
          <t>Quelle: Datei</t>
        </is>
      </c>
      <c r="D25" s="74" t="inlineStr">
        <is>
          <t>Herkunft</t>
        </is>
      </c>
      <c r="E25" s="24" t="inlineStr">
        <is>
          <t>-</t>
        </is>
      </c>
      <c r="F25" s="24" t="inlineStr">
        <is>
          <t>Text</t>
        </is>
      </c>
      <c r="G25" s="24" t="inlineStr">
        <is>
          <t>System</t>
        </is>
      </c>
      <c r="H25" s="26" t="inlineStr">
        <is>
          <t>Die Mandantendatei, aus der die Zeile stammt.</t>
        </is>
      </c>
    </row>
    <row r="26">
      <c r="A26" s="24" t="inlineStr">
        <is>
          <t>V</t>
        </is>
      </c>
      <c r="B26" s="24" t="inlineStr">
        <is>
          <t>quelle_blatt</t>
        </is>
      </c>
      <c r="C26" s="24" t="inlineStr">
        <is>
          <t>Quelle: Blatt</t>
        </is>
      </c>
      <c r="D26" s="74" t="inlineStr">
        <is>
          <t>Herkunft</t>
        </is>
      </c>
      <c r="E26" s="24" t="inlineStr">
        <is>
          <t>-</t>
        </is>
      </c>
      <c r="F26" s="24" t="inlineStr">
        <is>
          <t>Text</t>
        </is>
      </c>
      <c r="G26" s="24" t="inlineStr">
        <is>
          <t>System</t>
        </is>
      </c>
      <c r="H26" s="26" t="inlineStr">
        <is>
          <t>Blattname bzw. Seite.</t>
        </is>
      </c>
    </row>
    <row r="27">
      <c r="A27" s="24" t="inlineStr">
        <is>
          <t>W</t>
        </is>
      </c>
      <c r="B27" s="24" t="inlineStr">
        <is>
          <t>quelle_zelle</t>
        </is>
      </c>
      <c r="C27" s="24" t="inlineStr">
        <is>
          <t>Quelle: Zelle</t>
        </is>
      </c>
      <c r="D27" s="74" t="inlineStr">
        <is>
          <t>Herkunft</t>
        </is>
      </c>
      <c r="E27" s="24" t="inlineStr">
        <is>
          <t>-</t>
        </is>
      </c>
      <c r="F27" s="24" t="inlineStr">
        <is>
          <t>Text</t>
        </is>
      </c>
      <c r="G27" s="24" t="inlineStr">
        <is>
          <t>System</t>
        </is>
      </c>
      <c r="H27" s="26" t="inlineStr">
        <is>
          <t>Zelladresse des Kontoschlüssels, als Hyperlink auf die Quelldatei.</t>
        </is>
      </c>
    </row>
    <row r="28">
      <c r="A28" s="24" t="inlineStr">
        <is>
          <t>X</t>
        </is>
      </c>
      <c r="B28" s="24" t="inlineStr">
        <is>
          <t>zeilenart</t>
        </is>
      </c>
      <c r="C28" s="24" t="inlineStr">
        <is>
          <t>Zeilenart</t>
        </is>
      </c>
      <c r="D28" s="25" t="inlineStr">
        <is>
          <t>System</t>
        </is>
      </c>
      <c r="E28" s="24" t="inlineStr">
        <is>
          <t>-</t>
        </is>
      </c>
      <c r="F28" s="24" t="inlineStr">
        <is>
          <t>Text</t>
        </is>
      </c>
      <c r="G28" s="24" t="inlineStr">
        <is>
          <t>System</t>
        </is>
      </c>
      <c r="H28" s="26" t="inlineStr">
        <is>
          <t>Konto · Summe. 'Summe' ist eine Summenzeile, die der Mandant selbst gedruckt hat: Sie steht an ihrer Stelle, ihr 'Saldo (gerechnet)' addiert die Konten seit der vorigen Summenzeile, und sie geht in keine Σ des Blatts ein. Steht sie direkt unter einer anderen Summenzeile, addiert sie den einen Lauf von Konten, den ihr gedruckter Saldo belegt; eine gedruckte 0 belegt nur die ganze Liste. Belegt er keinen oder mehrere, bleibt sie 'offen'. Vom System geschrieben und beim Hochladen nicht gelesen; eine Änderung wird abgelehnt.</t>
        </is>
      </c>
    </row>
    <row r="29">
      <c r="A29" s="24" t="inlineStr">
        <is>
          <t>Y</t>
        </is>
      </c>
      <c r="B29" s="24" t="inlineStr">
        <is>
          <t>gruppe</t>
        </is>
      </c>
      <c r="C29" s="24" t="inlineStr">
        <is>
          <t>Gruppe laut Mandant</t>
        </is>
      </c>
      <c r="D29" s="25" t="inlineStr">
        <is>
          <t>Stamm</t>
        </is>
      </c>
      <c r="E29" s="24" t="inlineStr">
        <is>
          <t>-</t>
        </is>
      </c>
      <c r="F29" s="24" t="inlineStr">
        <is>
          <t>Text</t>
        </is>
      </c>
      <c r="G29" s="24" t="inlineStr">
        <is>
          <t>Mandant</t>
        </is>
      </c>
      <c r="H29" s="26" t="inlineStr">
        <is>
          <t>Die Überschrift, unter der die Liste des Mandanten die Zeile führt („Sachanlagen“, „Klasse 0“) — wortgetreu, aus der letzten Gruppenzeile über ihr, wie die Anlagenklasse in einer Zugangsliste. A3 leitet keine Gruppe ab. Leer, wenn die Liste keine druckt.</t>
        </is>
      </c>
    </row>
    <row r="30">
      <c r="A30" s="24" t="inlineStr">
        <is>
          <t>Z</t>
        </is>
      </c>
      <c r="B30" s="24" t="inlineStr">
        <is>
          <t>zeilen_id</t>
        </is>
      </c>
      <c r="C30" s="24" t="inlineStr">
        <is>
          <t>Zeilen-ID</t>
        </is>
      </c>
      <c r="D30" s="25" t="inlineStr">
        <is>
          <t>System</t>
        </is>
      </c>
      <c r="E30" s="24" t="inlineStr">
        <is>
          <t>-</t>
        </is>
      </c>
      <c r="F30" s="24" t="inlineStr">
        <is>
          <t>Text</t>
        </is>
      </c>
      <c r="G30" s="24" t="inlineStr">
        <is>
          <t>System</t>
        </is>
      </c>
      <c r="H30" s="26" t="inlineStr">
        <is>
          <t>Kennung der Zeile im bestätigten Stand, vom System geschrieben und ausgeblendet. Beim Hochladen wird die Zeile an ihr wiedererkannt; eine neue Zeile bleibt hier leer, und in einer kopierten Zeile ist sie zu leeren.</t>
        </is>
      </c>
    </row>
    <row r="33">
      <c r="A33" s="4" t="inlineStr">
        <is>
          <t>Rechenregeln — gelten je Zeile der Summen- und Saldenliste</t>
        </is>
      </c>
    </row>
    <row r="34">
      <c r="A34" s="32" t="inlineStr">
        <is>
          <t>1</t>
        </is>
      </c>
      <c r="B34" s="32" t="inlineStr">
        <is>
          <t>Saldo = EB-Wert Soll − EB-Wert Haben + JVZ Soll − JVZ Haben</t>
        </is>
      </c>
    </row>
    <row r="35">
      <c r="A35" s="32" t="inlineStr">
        <is>
          <t>2</t>
        </is>
      </c>
      <c r="B35" s="32" t="inlineStr">
        <is>
          <t>Σ Saldo über alle Konten = 0</t>
        </is>
      </c>
    </row>
    <row r="36">
      <c r="A36" s="32" t="inlineStr">
        <is>
          <t>3</t>
        </is>
      </c>
      <c r="B36" s="32" t="inlineStr">
        <is>
          <t>Σ JVZ Soll = Σ JVZ Haben</t>
        </is>
      </c>
    </row>
    <row r="37">
      <c r="A37" s="32" t="inlineStr">
        <is>
          <t>4</t>
        </is>
      </c>
      <c r="B37" s="32" t="inlineStr">
        <is>
          <t>Toleranz skaliert mit der Einheit der Datei: bei TEUR ist 0,01 TEUR keine Abweichung, bei EUR ist 1 Cent eine.</t>
        </is>
      </c>
    </row>
    <row r="38">
      <c r="A38" s="32" t="inlineStr">
        <is>
          <t>5</t>
        </is>
      </c>
      <c r="B38" s="32" t="inlineStr">
        <is>
          <t>PVZ ist in JVZ enthalten und geht in keine Identität ein — sie wird geführt, nicht gerechnet.</t>
        </is>
      </c>
    </row>
    <row r="39">
      <c r="A39" s="32" t="inlineStr">
        <is>
          <t>6</t>
        </is>
      </c>
      <c r="B39" s="32" t="inlineStr">
        <is>
          <t>Summenzeilen des Mandanten stehen an ihrer Stelle, werden geprüft, nie mitsummiert.</t>
        </is>
      </c>
    </row>
    <row r="40">
      <c r="A40" s="4" t="inlineStr">
        <is>
          <t>Hinweise zur Übernahme aus Quellsystemen — jeder Punkt an echten Mandantendateien gemessen</t>
        </is>
      </c>
    </row>
    <row r="41">
      <c r="A41" s="32" t="inlineStr">
        <is>
          <t>1</t>
        </is>
      </c>
      <c r="B41" s="75" t="inlineStr">
        <is>
          <t>Drei Vorzeichenkonventionen kommen vor: vorzeichenbehafteter Betrag · S/H-Buchstabe in eigener Spalte · Betrag immer positiv und die Seite ergibt sich daraus, in welcher von zwei Flag-Spalten der Buchstabe steht.</t>
        </is>
      </c>
    </row>
    <row r="42">
      <c r="A42" s="32" t="inlineStr">
        <is>
          <t>2</t>
        </is>
      </c>
      <c r="B42" s="75" t="inlineStr">
        <is>
          <t>Die Dateiendung lügt: eine .xls-Datei war UTF-16-Text, eine andere echtes BIFF8. Nach Magic Bytes erkennen, nicht nach Endung.</t>
        </is>
      </c>
    </row>
    <row r="43">
      <c r="A43" s="32" t="inlineStr">
        <is>
          <t>3</t>
        </is>
      </c>
      <c r="B43" s="75" t="inlineStr">
        <is>
          <t>Zwischensummen sind nicht immer beschriftet — eine Datei markiert sie mit '****' in der Kontospalte.</t>
        </is>
      </c>
    </row>
    <row r="44">
      <c r="A44" s="32" t="inlineStr">
        <is>
          <t>4</t>
        </is>
      </c>
      <c r="B44" s="75" t="inlineStr">
        <is>
          <t>Eine Überschrift kann die falsche Spalte benennen: 'Bezeichnung Konto' enthielt die Gruppe, der Name stand eine Spalte weiter unter 'Sachkonto'.</t>
        </is>
      </c>
    </row>
    <row r="45">
      <c r="A45" s="32" t="inlineStr">
        <is>
          <t>5</t>
        </is>
      </c>
      <c r="B45" s="75" t="inlineStr">
        <is>
          <t>Eine Datei druckt überhaupt keinen Schlusssaldo. Dann ist 'Saldo (gerechnet)' der Saldo — und die Zeile gilt als ungeprüft, nicht als in Ordnung.</t>
        </is>
      </c>
    </row>
    <row r="46">
      <c r="A46" s="32" t="inlineStr">
        <is>
          <t>6</t>
        </is>
      </c>
      <c r="B46" s="75" t="inlineStr">
        <is>
          <t>Ein Fremdwährungs-Spiegelblock (FW EB Saldo, FW Periode Soll/Haben) wird als Extraspalte geführt und geht in keine Formel ein.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nach HGB (Teil A)</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t>
        </is>
      </c>
      <c r="D5" s="24" t="inlineStr">
        <is>
          <t>Gliederung</t>
        </is>
      </c>
      <c r="E5" s="24" t="inlineStr">
        <is>
          <t>Ja</t>
        </is>
      </c>
      <c r="F5" s="24" t="inlineStr">
        <is>
          <t>Text</t>
        </is>
      </c>
      <c r="G5" s="24" t="inlineStr">
        <is>
          <t>System</t>
        </is>
      </c>
      <c r="H5" s="26" t="inlineStr">
        <is>
          <t>Schlüssel der gesetzlichen Zeile.</t>
        </is>
      </c>
    </row>
    <row r="6">
      <c r="A6" s="24" t="inlineStr">
        <is>
          <t>B</t>
        </is>
      </c>
      <c r="B6" s="24" t="inlineStr">
        <is>
          <t>bezeichnung</t>
        </is>
      </c>
      <c r="C6" s="24" t="inlineStr">
        <is>
          <t>Bezeichnung</t>
        </is>
      </c>
      <c r="D6" s="24" t="inlineStr">
        <is>
          <t>Gliederung</t>
        </is>
      </c>
      <c r="E6" s="24" t="inlineStr">
        <is>
          <t>Ja</t>
        </is>
      </c>
      <c r="F6" s="24" t="inlineStr">
        <is>
          <t>Text</t>
        </is>
      </c>
      <c r="G6" s="24" t="inlineStr">
        <is>
          <t>System</t>
        </is>
      </c>
      <c r="H6" s="26" t="inlineStr">
        <is>
          <t>Bezeichnung nach § 266 HGB, § 275 Abs. 2, 3 oder 5 HGB oder § 158 Abs. 1 AktG; der Titel nennt die Liste.</t>
        </is>
      </c>
    </row>
    <row r="7">
      <c r="A7" s="24" t="inlineStr">
        <is>
          <t>C</t>
        </is>
      </c>
      <c r="B7" s="24" t="inlineStr">
        <is>
          <t>betrag_gj</t>
        </is>
      </c>
      <c r="C7" s="24" t="inlineStr">
        <is>
          <t>Betrag GJ</t>
        </is>
      </c>
      <c r="D7" s="24" t="inlineStr">
        <is>
          <t>Mandant</t>
        </is>
      </c>
      <c r="E7" s="24" t="inlineStr">
        <is>
          <t>Nein</t>
        </is>
      </c>
      <c r="F7" s="24" t="inlineStr">
        <is>
          <t>Betrag</t>
        </is>
      </c>
      <c r="G7" s="24" t="inlineStr">
        <is>
          <t>Mandant, sonst Formel</t>
        </is>
      </c>
      <c r="H7" s="26" t="inlineStr">
        <is>
          <t>Zahl des Mandanten auf dieser Zeile; stehen mehrere Zeilen des Mandanten auf ihr, die Summe ihrer Zellen in Teil B als Formel.</t>
        </is>
      </c>
    </row>
    <row r="8">
      <c r="A8" s="24" t="inlineStr">
        <is>
          <t>D</t>
        </is>
      </c>
      <c r="B8" s="24" t="inlineStr">
        <is>
          <t>betrag_vj</t>
        </is>
      </c>
      <c r="C8" s="24" t="inlineStr">
        <is>
          <t>Betrag VJ</t>
        </is>
      </c>
      <c r="D8" s="24" t="inlineStr">
        <is>
          <t>Mandant</t>
        </is>
      </c>
      <c r="E8" s="24" t="inlineStr">
        <is>
          <t>Nein</t>
        </is>
      </c>
      <c r="F8" s="24" t="inlineStr">
        <is>
          <t>Betrag</t>
        </is>
      </c>
      <c r="G8" s="24" t="inlineStr">
        <is>
          <t>Mandant, sonst Formel</t>
        </is>
      </c>
      <c r="H8" s="26" t="inlineStr">
        <is>
          <t>Vorjahreszahl des Mandanten; stehen mehrere Zeilen des Mandanten auf ihr, die Summe ihrer Zellen in Teil B als Formel.</t>
        </is>
      </c>
    </row>
    <row r="9">
      <c r="A9" s="24" t="inlineStr">
        <is>
          <t>E</t>
        </is>
      </c>
      <c r="B9" s="24" t="inlineStr">
        <is>
          <t>summe_posten_gj</t>
        </is>
      </c>
      <c r="C9" s="24" t="inlineStr">
        <is>
          <t>Summe der Posten GJ</t>
        </is>
      </c>
      <c r="D9" s="24" t="inlineStr">
        <is>
          <t>Kontrolle</t>
        </is>
      </c>
      <c r="E9" s="24" t="inlineStr">
        <is>
          <t>Nein</t>
        </is>
      </c>
      <c r="F9" s="24" t="inlineStr">
        <is>
          <t>Betrag</t>
        </is>
      </c>
      <c r="G9" s="24" t="inlineStr">
        <is>
          <t>Formel</t>
        </is>
      </c>
      <c r="H9" s="26" t="inlineStr">
        <is>
          <t>Summe der Zeilen darunter.</t>
        </is>
      </c>
    </row>
    <row r="10">
      <c r="A10" s="24" t="inlineStr">
        <is>
          <t>F</t>
        </is>
      </c>
      <c r="B10" s="24" t="inlineStr">
        <is>
          <t>differenz_gj</t>
        </is>
      </c>
      <c r="C10" s="24" t="inlineStr">
        <is>
          <t>Differenz GJ</t>
        </is>
      </c>
      <c r="D10" s="24" t="inlineStr">
        <is>
          <t>Kontrolle</t>
        </is>
      </c>
      <c r="E10" s="24" t="inlineStr">
        <is>
          <t>Nein</t>
        </is>
      </c>
      <c r="F10" s="24" t="inlineStr">
        <is>
          <t>Betrag</t>
        </is>
      </c>
      <c r="G10" s="24" t="inlineStr">
        <is>
          <t>Formel</t>
        </is>
      </c>
      <c r="H10" s="26" t="inlineStr">
        <is>
          <t>Betrag GJ − Summe der Posten GJ.</t>
        </is>
      </c>
    </row>
    <row r="11">
      <c r="A11" s="24" t="inlineStr">
        <is>
          <t>G</t>
        </is>
      </c>
      <c r="B11" s="24" t="inlineStr">
        <is>
          <t>rundung_gj</t>
        </is>
      </c>
      <c r="C11" s="24" t="inlineStr">
        <is>
          <t>Rundung GJ</t>
        </is>
      </c>
      <c r="D11" s="24" t="inlineStr">
        <is>
          <t>Kontrolle</t>
        </is>
      </c>
      <c r="E11" s="24" t="inlineStr">
        <is>
          <t>Nein</t>
        </is>
      </c>
      <c r="F11" s="24" t="inlineStr">
        <is>
          <t>Text</t>
        </is>
      </c>
      <c r="G11" s="24" t="inlineStr">
        <is>
          <t>Formel</t>
        </is>
      </c>
      <c r="H11" s="26" t="inlineStr">
        <is>
          <t>„Rundung (bis …)“, wenn die Differenz nicht größer ist, als die Rundung ihrer gedruckten Zahlen erklärt: je Zahl ein halber Schritt, wie gedruckt (ganze Euro: 0,50), auf ganze Cent abgerundet; bei getippten Zahlen nichts. Sonst „Abweichung“.</t>
        </is>
      </c>
    </row>
    <row r="12">
      <c r="A12" s="24" t="inlineStr">
        <is>
          <t>H</t>
        </is>
      </c>
      <c r="B12" s="24" t="inlineStr">
        <is>
          <t>summe_posten_vj</t>
        </is>
      </c>
      <c r="C12" s="24" t="inlineStr">
        <is>
          <t>Summe der Posten VJ</t>
        </is>
      </c>
      <c r="D12" s="24" t="inlineStr">
        <is>
          <t>Kontrolle</t>
        </is>
      </c>
      <c r="E12" s="24" t="inlineStr">
        <is>
          <t>Nein</t>
        </is>
      </c>
      <c r="F12" s="24" t="inlineStr">
        <is>
          <t>Betrag</t>
        </is>
      </c>
      <c r="G12" s="24" t="inlineStr">
        <is>
          <t>Formel</t>
        </is>
      </c>
      <c r="H12" s="26" t="inlineStr">
        <is>
          <t>Summe der Zeilen darunter.</t>
        </is>
      </c>
    </row>
    <row r="13">
      <c r="A13" s="24" t="inlineStr">
        <is>
          <t>I</t>
        </is>
      </c>
      <c r="B13" s="24" t="inlineStr">
        <is>
          <t>differenz_vj</t>
        </is>
      </c>
      <c r="C13" s="24" t="inlineStr">
        <is>
          <t>Differenz VJ</t>
        </is>
      </c>
      <c r="D13" s="24" t="inlineStr">
        <is>
          <t>Kontrolle</t>
        </is>
      </c>
      <c r="E13" s="24" t="inlineStr">
        <is>
          <t>Nein</t>
        </is>
      </c>
      <c r="F13" s="24" t="inlineStr">
        <is>
          <t>Betrag</t>
        </is>
      </c>
      <c r="G13" s="24" t="inlineStr">
        <is>
          <t>Formel</t>
        </is>
      </c>
      <c r="H13" s="26" t="inlineStr">
        <is>
          <t>Betrag VJ − Summe der Posten VJ.</t>
        </is>
      </c>
    </row>
    <row r="14">
      <c r="A14" s="24" t="inlineStr">
        <is>
          <t>J</t>
        </is>
      </c>
      <c r="B14" s="24" t="inlineStr">
        <is>
          <t>rundung_vj</t>
        </is>
      </c>
      <c r="C14" s="24" t="inlineStr">
        <is>
          <t>Rundung VJ</t>
        </is>
      </c>
      <c r="D14" s="24" t="inlineStr">
        <is>
          <t>Kontrolle</t>
        </is>
      </c>
      <c r="E14" s="24" t="inlineStr">
        <is>
          <t>Nein</t>
        </is>
      </c>
      <c r="F14" s="24" t="inlineStr">
        <is>
          <t>Text</t>
        </is>
      </c>
      <c r="G14" s="24" t="inlineStr">
        <is>
          <t>Formel</t>
        </is>
      </c>
      <c r="H14" s="26" t="inlineStr">
        <is>
          <t>„Rundung (bis …)“, wenn die Differenz nicht größer ist, als die Rundung ihrer gedruckten Zahlen erklärt: je Zahl ein halber Schritt, wie gedruckt (ganze Euro: 0,50), auf ganze Cent abgerundet; bei getippten Zahlen nichts. Sonst „Abweichung“.</t>
        </is>
      </c>
    </row>
    <row r="15">
      <c r="A15" s="24" t="inlineStr">
        <is>
          <t>K</t>
        </is>
      </c>
      <c r="B15" s="24" t="inlineStr">
        <is>
          <t>zeile_laut_mandant</t>
        </is>
      </c>
      <c r="C15" s="24" t="inlineStr">
        <is>
          <t>Zeile laut Mandant</t>
        </is>
      </c>
      <c r="D15" s="24" t="inlineStr">
        <is>
          <t>Verweis</t>
        </is>
      </c>
      <c r="E15" s="24" t="inlineStr">
        <is>
          <t>Nein</t>
        </is>
      </c>
      <c r="F15" s="24" t="inlineStr">
        <is>
          <t>Text</t>
        </is>
      </c>
      <c r="G15" s="24" t="inlineStr">
        <is>
          <t>System</t>
        </is>
      </c>
      <c r="H15" s="26" t="inlineStr">
        <is>
          <t>Verweis auf Teil B.</t>
        </is>
      </c>
    </row>
    <row r="16">
      <c r="A16" s="24" t="inlineStr">
        <is>
          <t>L</t>
        </is>
      </c>
      <c r="B16" s="24" t="inlineStr">
        <is>
          <t>nr_laut_mandant</t>
        </is>
      </c>
      <c r="C16" s="24" t="inlineStr">
        <is>
          <t>Nr. laut Mandant</t>
        </is>
      </c>
      <c r="D16" s="24" t="inlineStr">
        <is>
          <t>Mandant</t>
        </is>
      </c>
      <c r="E16" s="24" t="inlineStr">
        <is>
          <t>Nein</t>
        </is>
      </c>
      <c r="F16" s="24" t="inlineStr">
        <is>
          <t>Text</t>
        </is>
      </c>
      <c r="G16" s="24" t="inlineStr">
        <is>
          <t>System</t>
        </is>
      </c>
      <c r="H16" s="26" t="inlineStr">
        <is>
          <t>Gliederungsnummer wie gedruckt (Teil B).</t>
        </is>
      </c>
    </row>
    <row r="17">
      <c r="A17" s="24" t="inlineStr">
        <is>
          <t>M</t>
        </is>
      </c>
      <c r="B17" s="24" t="inlineStr">
        <is>
          <t>veraenderung</t>
        </is>
      </c>
      <c r="C17" s="24" t="inlineStr">
        <is>
          <t>Veränderung %</t>
        </is>
      </c>
      <c r="D17" s="24" t="inlineStr">
        <is>
          <t>Kontrolle</t>
        </is>
      </c>
      <c r="E17" s="24" t="inlineStr">
        <is>
          <t>Nein</t>
        </is>
      </c>
      <c r="F17" s="24" t="inlineStr">
        <is>
          <t>Zahl</t>
        </is>
      </c>
      <c r="G17" s="24" t="inlineStr">
        <is>
          <t>Formel</t>
        </is>
      </c>
      <c r="H17" s="26" t="inlineStr">
        <is>
          <t>(Betrag GJ − Betrag VJ) / |Betrag VJ|; leer ohne Vorjahreszahl.</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laut Mandant (Teil B)</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ebene</t>
        </is>
      </c>
      <c r="C5" s="24" t="inlineStr">
        <is>
          <t>Ebene</t>
        </is>
      </c>
      <c r="D5" s="24" t="inlineStr">
        <is>
          <t>Mandant</t>
        </is>
      </c>
      <c r="E5" s="24" t="inlineStr">
        <is>
          <t>Ja</t>
        </is>
      </c>
      <c r="F5" s="24" t="inlineStr">
        <is>
          <t>Zahl</t>
        </is>
      </c>
      <c r="G5" s="24" t="inlineStr">
        <is>
          <t>System</t>
        </is>
      </c>
      <c r="H5" s="26" t="inlineStr">
        <is>
          <t>Gliederungsebene 1–4.</t>
        </is>
      </c>
    </row>
    <row r="6">
      <c r="A6" s="24" t="inlineStr">
        <is>
          <t>B</t>
        </is>
      </c>
      <c r="B6" s="24" t="inlineStr">
        <is>
          <t>position_number</t>
        </is>
      </c>
      <c r="C6" s="24" t="inlineStr">
        <is>
          <t>Nr.</t>
        </is>
      </c>
      <c r="D6" s="24" t="inlineStr">
        <is>
          <t>Mandant</t>
        </is>
      </c>
      <c r="E6" s="24" t="inlineStr">
        <is>
          <t>Nein</t>
        </is>
      </c>
      <c r="F6" s="24" t="inlineStr">
        <is>
          <t>Text</t>
        </is>
      </c>
      <c r="G6" s="24" t="inlineStr">
        <is>
          <t>System</t>
        </is>
      </c>
      <c r="H6" s="26" t="inlineStr">
        <is>
          <t>Gliederungsnummer wie gedruckt.</t>
        </is>
      </c>
    </row>
    <row r="7">
      <c r="A7" s="24" t="inlineStr">
        <is>
          <t>C</t>
        </is>
      </c>
      <c r="B7" s="24" t="inlineStr">
        <is>
          <t>position_label</t>
        </is>
      </c>
      <c r="C7" s="24" t="inlineStr">
        <is>
          <t>Bezeichnung laut Mandant</t>
        </is>
      </c>
      <c r="D7" s="24" t="inlineStr">
        <is>
          <t>Mandant</t>
        </is>
      </c>
      <c r="E7" s="24" t="inlineStr">
        <is>
          <t>Ja</t>
        </is>
      </c>
      <c r="F7" s="24" t="inlineStr">
        <is>
          <t>Text</t>
        </is>
      </c>
      <c r="G7" s="24" t="inlineStr">
        <is>
          <t>System</t>
        </is>
      </c>
      <c r="H7" s="26" t="inlineStr">
        <is>
          <t>Wortlaut wie gedruckt.</t>
        </is>
      </c>
    </row>
    <row r="8">
      <c r="A8" s="24" t="inlineStr">
        <is>
          <t>D</t>
        </is>
      </c>
      <c r="B8" s="24" t="inlineStr">
        <is>
          <t>zeilenart</t>
        </is>
      </c>
      <c r="C8" s="24" t="inlineStr">
        <is>
          <t>Zeilenart</t>
        </is>
      </c>
      <c r="D8" s="24" t="inlineStr">
        <is>
          <t>Mandant</t>
        </is>
      </c>
      <c r="E8" s="24" t="inlineStr">
        <is>
          <t>Ja</t>
        </is>
      </c>
      <c r="F8" s="24" t="inlineStr">
        <is>
          <t>Text</t>
        </is>
      </c>
      <c r="G8" s="24" t="inlineStr">
        <is>
          <t>System</t>
        </is>
      </c>
      <c r="H8" s="26" t="inlineStr">
        <is>
          <t>Überschrift, Posten, Überschrift und Posten, Summe, Ergebnis, davon, Text oder offen.</t>
        </is>
      </c>
    </row>
    <row r="9">
      <c r="A9" s="24" t="inlineStr">
        <is>
          <t>E</t>
        </is>
      </c>
      <c r="B9" s="24" t="inlineStr">
        <is>
          <t>amount_vorspalte</t>
        </is>
      </c>
      <c r="C9" s="24" t="inlineStr">
        <is>
          <t>Betrag GJ (Vorspalte)</t>
        </is>
      </c>
      <c r="D9" s="24" t="inlineStr">
        <is>
          <t>Mandant</t>
        </is>
      </c>
      <c r="E9" s="24" t="inlineStr">
        <is>
          <t>Nein</t>
        </is>
      </c>
      <c r="F9" s="24" t="inlineStr">
        <is>
          <t>Betrag</t>
        </is>
      </c>
      <c r="G9" s="24" t="inlineStr">
        <is>
          <t>System</t>
        </is>
      </c>
      <c r="H9" s="26" t="inlineStr">
        <is>
          <t>Wie gedruckt.</t>
        </is>
      </c>
    </row>
    <row r="10">
      <c r="A10" s="24" t="inlineStr">
        <is>
          <t>F</t>
        </is>
      </c>
      <c r="B10" s="24" t="inlineStr">
        <is>
          <t>amount</t>
        </is>
      </c>
      <c r="C10" s="24" t="inlineStr">
        <is>
          <t>Betrag GJ</t>
        </is>
      </c>
      <c r="D10" s="24" t="inlineStr">
        <is>
          <t>Mandant</t>
        </is>
      </c>
      <c r="E10" s="24" t="inlineStr">
        <is>
          <t>Nein</t>
        </is>
      </c>
      <c r="F10" s="24" t="inlineStr">
        <is>
          <t>Betrag</t>
        </is>
      </c>
      <c r="G10" s="24" t="inlineStr">
        <is>
          <t>System</t>
        </is>
      </c>
      <c r="H10" s="26" t="inlineStr">
        <is>
          <t>Wie gedruckt.</t>
        </is>
      </c>
    </row>
    <row r="11">
      <c r="A11" s="24" t="inlineStr">
        <is>
          <t>G</t>
        </is>
      </c>
      <c r="B11" s="24" t="inlineStr">
        <is>
          <t>amount_prior_year</t>
        </is>
      </c>
      <c r="C11" s="24" t="inlineStr">
        <is>
          <t>Betrag VJ</t>
        </is>
      </c>
      <c r="D11" s="24" t="inlineStr">
        <is>
          <t>Mandant</t>
        </is>
      </c>
      <c r="E11" s="24" t="inlineStr">
        <is>
          <t>Nein</t>
        </is>
      </c>
      <c r="F11" s="24" t="inlineStr">
        <is>
          <t>Betrag</t>
        </is>
      </c>
      <c r="G11" s="24" t="inlineStr">
        <is>
          <t>System</t>
        </is>
      </c>
      <c r="H11" s="26" t="inlineStr">
        <is>
          <t>Wie gedruckt.</t>
        </is>
      </c>
    </row>
    <row r="12">
      <c r="A12" s="24" t="inlineStr">
        <is>
          <t>H</t>
        </is>
      </c>
      <c r="B12" s="24" t="inlineStr">
        <is>
          <t>kontrolle_gj</t>
        </is>
      </c>
      <c r="C12" s="24" t="inlineStr">
        <is>
          <t>Kontrolle GJ</t>
        </is>
      </c>
      <c r="D12" s="24" t="inlineStr">
        <is>
          <t>Kontrolle</t>
        </is>
      </c>
      <c r="E12" s="24" t="inlineStr">
        <is>
          <t>Nein</t>
        </is>
      </c>
      <c r="F12" s="24" t="inlineStr">
        <is>
          <t>Betrag</t>
        </is>
      </c>
      <c r="G12" s="24" t="inlineStr">
        <is>
          <t>Formel</t>
        </is>
      </c>
      <c r="H12" s="26" t="inlineStr">
        <is>
          <t>Summe laut Mandant − Summe der Zeilen.</t>
        </is>
      </c>
    </row>
    <row r="13">
      <c r="A13" s="24" t="inlineStr">
        <is>
          <t>I</t>
        </is>
      </c>
      <c r="B13" s="24" t="inlineStr">
        <is>
          <t>rundung_gj</t>
        </is>
      </c>
      <c r="C13" s="24" t="inlineStr">
        <is>
          <t>Rundung GJ</t>
        </is>
      </c>
      <c r="D13" s="24" t="inlineStr">
        <is>
          <t>Kontrolle</t>
        </is>
      </c>
      <c r="E13" s="24" t="inlineStr">
        <is>
          <t>Nein</t>
        </is>
      </c>
      <c r="F13" s="24" t="inlineStr">
        <is>
          <t>Text</t>
        </is>
      </c>
      <c r="G13" s="24" t="inlineStr">
        <is>
          <t>Formel</t>
        </is>
      </c>
      <c r="H13" s="26" t="inlineStr">
        <is>
          <t>„Rundung (bis …)“, wenn die Differenz nicht größer ist, als die Rundung ihrer gedruckten Zahlen erklärt: je Zahl ein halber Schritt, wie gedruckt (ganze Euro: 0,50), auf ganze Cent abgerundet; bei getippten Zahlen nichts. Sonst „Abweichung“.</t>
        </is>
      </c>
    </row>
    <row r="14">
      <c r="A14" s="24" t="inlineStr">
        <is>
          <t>J</t>
        </is>
      </c>
      <c r="B14" s="24" t="inlineStr">
        <is>
          <t>kontrolle_vj</t>
        </is>
      </c>
      <c r="C14" s="24" t="inlineStr">
        <is>
          <t>Kontrolle VJ</t>
        </is>
      </c>
      <c r="D14" s="24" t="inlineStr">
        <is>
          <t>Kontrolle</t>
        </is>
      </c>
      <c r="E14" s="24" t="inlineStr">
        <is>
          <t>Nein</t>
        </is>
      </c>
      <c r="F14" s="24" t="inlineStr">
        <is>
          <t>Betrag</t>
        </is>
      </c>
      <c r="G14" s="24" t="inlineStr">
        <is>
          <t>Formel</t>
        </is>
      </c>
      <c r="H14" s="26" t="inlineStr">
        <is>
          <t>Summe laut Mandant − Summe der Zeilen.</t>
        </is>
      </c>
    </row>
    <row r="15">
      <c r="A15" s="24" t="inlineStr">
        <is>
          <t>K</t>
        </is>
      </c>
      <c r="B15" s="24" t="inlineStr">
        <is>
          <t>rundung_vj</t>
        </is>
      </c>
      <c r="C15" s="24" t="inlineStr">
        <is>
          <t>Rundung VJ</t>
        </is>
      </c>
      <c r="D15" s="24" t="inlineStr">
        <is>
          <t>Kontrolle</t>
        </is>
      </c>
      <c r="E15" s="24" t="inlineStr">
        <is>
          <t>Nein</t>
        </is>
      </c>
      <c r="F15" s="24" t="inlineStr">
        <is>
          <t>Text</t>
        </is>
      </c>
      <c r="G15" s="24" t="inlineStr">
        <is>
          <t>Formel</t>
        </is>
      </c>
      <c r="H15" s="26" t="inlineStr">
        <is>
          <t>„Rundung (bis …)“, wenn die Differenz nicht größer ist, als die Rundung ihrer gedruckten Zahlen erklärt: je Zahl ein halber Schritt, wie gedruckt (ganze Euro: 0,50), auf ganze Cent abgerundet; bei getippten Zahlen nichts. Sonst „Abweichung“.</t>
        </is>
      </c>
    </row>
    <row r="16">
      <c r="A16" s="24" t="inlineStr">
        <is>
          <t>L</t>
        </is>
      </c>
      <c r="B16" s="24" t="inlineStr">
        <is>
          <t>hgb_position</t>
        </is>
      </c>
      <c r="C16" s="24" t="inlineStr">
        <is>
          <t>Zeile in Teil A</t>
        </is>
      </c>
      <c r="D16" s="24" t="inlineStr">
        <is>
          <t>Zuordnung</t>
        </is>
      </c>
      <c r="E16" s="24" t="inlineStr">
        <is>
          <t>Nein</t>
        </is>
      </c>
      <c r="F16" s="24" t="inlineStr">
        <is>
          <t>Text</t>
        </is>
      </c>
      <c r="G16" s="24" t="inlineStr">
        <is>
          <t>System</t>
        </is>
      </c>
      <c r="H16" s="26" t="inlineStr">
        <is>
          <t>Gesetzliche Zeile, der die Zeile zugeordnet ist; „—“ solange offen.</t>
        </is>
      </c>
    </row>
    <row r="17">
      <c r="A17" s="24" t="inlineStr">
        <is>
          <t>M</t>
        </is>
      </c>
      <c r="B17" s="24" t="inlineStr">
        <is>
          <t>quelle</t>
        </is>
      </c>
      <c r="C17" s="24" t="inlineStr">
        <is>
          <t>Quelle</t>
        </is>
      </c>
      <c r="D17" s="24" t="inlineStr">
        <is>
          <t>Verweis</t>
        </is>
      </c>
      <c r="E17" s="24" t="inlineStr">
        <is>
          <t>Nein</t>
        </is>
      </c>
      <c r="F17" s="24" t="inlineStr">
        <is>
          <t>Text</t>
        </is>
      </c>
      <c r="G17" s="24" t="inlineStr">
        <is>
          <t>System</t>
        </is>
      </c>
      <c r="H17" s="26" t="inlineStr">
        <is>
          <t>Verweis auf die Zelle in der Datei des Mandanten.</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48"/>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30" customWidth="1" min="3" max="3"/>
    <col width="120" customWidth="1" min="4" max="4"/>
  </cols>
  <sheetData>
    <row r="1">
      <c r="A1" s="103" t="inlineStr">
        <is>
          <t>Tab</t>
        </is>
      </c>
      <c r="B1" s="103" t="inlineStr">
        <is>
          <t>Column / field</t>
        </is>
      </c>
      <c r="C1" s="103" t="inlineStr">
        <is>
          <t>Lines</t>
        </is>
      </c>
      <c r="D1" s="103" t="inlineStr">
        <is>
          <t>What the merge did</t>
        </is>
      </c>
    </row>
    <row r="2">
      <c r="A2" t="inlineStr">
        <is>
          <t>Anlagenverzeichnis</t>
        </is>
      </c>
      <c r="B2" t="inlineStr">
        <is>
          <t>Gliederung</t>
        </is>
      </c>
      <c r="C2" t="inlineStr">
        <is>
          <t>BRAK</t>
        </is>
      </c>
      <c r="D2" t="inlineStr">
        <is>
          <t>added</t>
        </is>
      </c>
    </row>
    <row r="3">
      <c r="A3" t="inlineStr">
        <is>
          <t>Anlagenverzeichnis</t>
        </is>
      </c>
      <c r="B3" t="inlineStr">
        <is>
          <t>Bilanzposten-Nr. (lt. Mandant)</t>
        </is>
      </c>
      <c r="C3" t="inlineStr">
        <is>
          <t>BRAK</t>
        </is>
      </c>
      <c r="D3" t="inlineStr">
        <is>
          <t>added</t>
        </is>
      </c>
    </row>
    <row r="4">
      <c r="A4" t="inlineStr">
        <is>
          <t>Anlagenverzeichnis</t>
        </is>
      </c>
      <c r="B4" t="inlineStr">
        <is>
          <t>Buchungsdatum</t>
        </is>
      </c>
      <c r="C4" t="inlineStr">
        <is>
          <t>BELEG</t>
        </is>
      </c>
      <c r="D4" t="inlineStr">
        <is>
          <t>added</t>
        </is>
      </c>
    </row>
    <row r="5">
      <c r="A5" t="inlineStr">
        <is>
          <t>Anlagenverzeichnis</t>
        </is>
      </c>
      <c r="B5" t="inlineStr">
        <is>
          <t>Selbst erstellt</t>
        </is>
      </c>
      <c r="C5" t="inlineStr">
        <is>
          <t>BELEG</t>
        </is>
      </c>
      <c r="D5" t="inlineStr">
        <is>
          <t>added</t>
        </is>
      </c>
    </row>
    <row r="6">
      <c r="A6" t="inlineStr">
        <is>
          <t>Anlagenverzeichnis</t>
        </is>
      </c>
      <c r="B6" t="inlineStr">
        <is>
          <t>Vorgangsart</t>
        </is>
      </c>
      <c r="C6" t="inlineStr">
        <is>
          <t>BELEG</t>
        </is>
      </c>
      <c r="D6" t="inlineStr">
        <is>
          <t>added</t>
        </is>
      </c>
    </row>
    <row r="7">
      <c r="A7" t="inlineStr">
        <is>
          <t>Zugänge</t>
        </is>
      </c>
      <c r="B7" t="inlineStr">
        <is>
          <t>Rechnungsnummer</t>
        </is>
      </c>
      <c r="C7" t="inlineStr">
        <is>
          <t>BRAK</t>
        </is>
      </c>
      <c r="D7" t="inlineStr">
        <is>
          <t>deleted by BRAK</t>
        </is>
      </c>
    </row>
    <row r="8">
      <c r="A8" t="inlineStr">
        <is>
          <t>Zugänge</t>
        </is>
      </c>
      <c r="B8" t="inlineStr">
        <is>
          <t>Lieferantennummer</t>
        </is>
      </c>
      <c r="C8" t="inlineStr">
        <is>
          <t>BRAK</t>
        </is>
      </c>
      <c r="D8" t="inlineStr">
        <is>
          <t>deleted by BRAK</t>
        </is>
      </c>
    </row>
    <row r="9">
      <c r="A9" t="inlineStr">
        <is>
          <t>Zugänge</t>
        </is>
      </c>
      <c r="B9" t="inlineStr">
        <is>
          <t>Rechnungsdatum</t>
        </is>
      </c>
      <c r="C9" t="inlineStr">
        <is>
          <t>BRAK</t>
        </is>
      </c>
      <c r="D9" t="inlineStr">
        <is>
          <t>deleted by BRAK</t>
        </is>
      </c>
    </row>
    <row r="10">
      <c r="A10" t="inlineStr">
        <is>
          <t>Zugänge</t>
        </is>
      </c>
      <c r="B10" t="inlineStr">
        <is>
          <t>Leistungsbeschreibung</t>
        </is>
      </c>
      <c r="C10" t="inlineStr">
        <is>
          <t>BRAK</t>
        </is>
      </c>
      <c r="D10" t="inlineStr">
        <is>
          <t>deleted by BRAK</t>
        </is>
      </c>
    </row>
    <row r="11">
      <c r="A11" t="inlineStr">
        <is>
          <t>Zugänge</t>
        </is>
      </c>
      <c r="B11" t="inlineStr">
        <is>
          <t>Rechnungsbetrag (netto)</t>
        </is>
      </c>
      <c r="C11" t="inlineStr">
        <is>
          <t>BRAK</t>
        </is>
      </c>
      <c r="D11" t="inlineStr">
        <is>
          <t>deleted by BRAK</t>
        </is>
      </c>
    </row>
    <row r="12">
      <c r="A12" t="inlineStr">
        <is>
          <t>Zugänge</t>
        </is>
      </c>
      <c r="B12" t="inlineStr">
        <is>
          <t>Aktivierter Betrag (EUR)</t>
        </is>
      </c>
      <c r="C12" t="inlineStr">
        <is>
          <t>BRAK</t>
        </is>
      </c>
      <c r="D12" t="inlineStr">
        <is>
          <t>deleted by BRAK; BELEG had changed it: carry that change into the engine that now writes the value</t>
        </is>
      </c>
    </row>
    <row r="13">
      <c r="A13" t="inlineStr">
        <is>
          <t>Zugänge</t>
        </is>
      </c>
      <c r="B13" t="inlineStr">
        <is>
          <t>Kontrolle</t>
        </is>
      </c>
      <c r="C13" t="inlineStr">
        <is>
          <t>BRAK</t>
        </is>
      </c>
      <c r="D13" t="inlineStr">
        <is>
          <t>deleted by BRAK</t>
        </is>
      </c>
    </row>
    <row r="14">
      <c r="A14" t="inlineStr">
        <is>
          <t>Zugänge</t>
        </is>
      </c>
      <c r="B14" t="inlineStr">
        <is>
          <t>Unternummer</t>
        </is>
      </c>
      <c r="C14" t="inlineStr">
        <is>
          <t>BRAK, ABG</t>
        </is>
      </c>
      <c r="D14" t="inlineStr">
        <is>
          <t>added</t>
        </is>
      </c>
    </row>
    <row r="15">
      <c r="A15" t="inlineStr">
        <is>
          <t>Zugänge</t>
        </is>
      </c>
      <c r="B15" t="inlineStr">
        <is>
          <t>Anlagenbezeichnung</t>
        </is>
      </c>
      <c r="C15" t="inlineStr">
        <is>
          <t>BRAK, ABG</t>
        </is>
      </c>
      <c r="D15" t="inlineStr">
        <is>
          <t>added</t>
        </is>
      </c>
    </row>
    <row r="16">
      <c r="A16" t="inlineStr">
        <is>
          <t>Zugänge</t>
        </is>
      </c>
      <c r="B16" t="inlineStr">
        <is>
          <t>Anlagenkonto</t>
        </is>
      </c>
      <c r="C16" t="inlineStr">
        <is>
          <t>BRAK, ABG</t>
        </is>
      </c>
      <c r="D16" t="inlineStr">
        <is>
          <t>added</t>
        </is>
      </c>
    </row>
    <row r="17">
      <c r="A17" t="inlineStr">
        <is>
          <t>Zugänge</t>
        </is>
      </c>
      <c r="B17" t="inlineStr">
        <is>
          <t>Kontobezeichnung</t>
        </is>
      </c>
      <c r="C17" t="inlineStr">
        <is>
          <t>BRAK, ABG</t>
        </is>
      </c>
      <c r="D17" t="inlineStr">
        <is>
          <t>added</t>
        </is>
      </c>
    </row>
    <row r="18">
      <c r="A18" t="inlineStr">
        <is>
          <t>Zugänge</t>
        </is>
      </c>
      <c r="B18" t="inlineStr">
        <is>
          <t>Bilanzposten</t>
        </is>
      </c>
      <c r="C18" t="inlineStr">
        <is>
          <t>BRAK, ABG</t>
        </is>
      </c>
      <c r="D18" t="inlineStr">
        <is>
          <t>added</t>
        </is>
      </c>
    </row>
    <row r="19">
      <c r="A19" t="inlineStr">
        <is>
          <t>Zugänge</t>
        </is>
      </c>
      <c r="B19" t="inlineStr">
        <is>
          <t>Aktivierungsdatum</t>
        </is>
      </c>
      <c r="C19" t="inlineStr">
        <is>
          <t>BRAK, ABG</t>
        </is>
      </c>
      <c r="D19" t="inlineStr">
        <is>
          <t>added</t>
        </is>
      </c>
    </row>
    <row r="20">
      <c r="A20" t="inlineStr">
        <is>
          <t>Zugänge</t>
        </is>
      </c>
      <c r="B20" t="inlineStr">
        <is>
          <t>Zugangsdatum</t>
        </is>
      </c>
      <c r="C20" t="inlineStr">
        <is>
          <t>BRAK, ABG</t>
        </is>
      </c>
      <c r="D20" t="inlineStr">
        <is>
          <t>added</t>
        </is>
      </c>
    </row>
    <row r="21">
      <c r="A21" t="inlineStr">
        <is>
          <t>Zugänge</t>
        </is>
      </c>
      <c r="B21" t="inlineStr">
        <is>
          <t>Zugang AHK</t>
        </is>
      </c>
      <c r="C21" t="inlineStr">
        <is>
          <t>BRAK, ABG</t>
        </is>
      </c>
      <c r="D21" t="inlineStr">
        <is>
          <t>added</t>
        </is>
      </c>
    </row>
    <row r="22">
      <c r="A22" t="inlineStr">
        <is>
          <t>Zugänge</t>
        </is>
      </c>
      <c r="B22" t="inlineStr">
        <is>
          <t>Lieferanten-Nr.</t>
        </is>
      </c>
      <c r="C22" t="inlineStr">
        <is>
          <t>BRAK, ABG</t>
        </is>
      </c>
      <c r="D22" t="inlineStr">
        <is>
          <t>added</t>
        </is>
      </c>
    </row>
    <row r="23">
      <c r="A23" t="inlineStr">
        <is>
          <t>Zugänge</t>
        </is>
      </c>
      <c r="B23" t="inlineStr">
        <is>
          <t>Belegnummer</t>
        </is>
      </c>
      <c r="C23" t="inlineStr">
        <is>
          <t>BRAK, ABG</t>
        </is>
      </c>
      <c r="D23" t="inlineStr">
        <is>
          <t>added</t>
        </is>
      </c>
    </row>
    <row r="24">
      <c r="A24" t="inlineStr">
        <is>
          <t>Zugänge</t>
        </is>
      </c>
      <c r="B24" t="inlineStr">
        <is>
          <t>Belegdatum</t>
        </is>
      </c>
      <c r="C24" t="inlineStr">
        <is>
          <t>BRAK, ABG</t>
        </is>
      </c>
      <c r="D24" t="inlineStr">
        <is>
          <t>added</t>
        </is>
      </c>
    </row>
    <row r="25">
      <c r="A25" t="inlineStr">
        <is>
          <t>Zugänge</t>
        </is>
      </c>
      <c r="B25" t="inlineStr">
        <is>
          <t>Buchungstext</t>
        </is>
      </c>
      <c r="C25" t="inlineStr">
        <is>
          <t>BRAK, ABG</t>
        </is>
      </c>
      <c r="D25" t="inlineStr">
        <is>
          <t>added</t>
        </is>
      </c>
    </row>
    <row r="26">
      <c r="A26" t="inlineStr">
        <is>
          <t>Zugänge</t>
        </is>
      </c>
      <c r="B26" t="inlineStr">
        <is>
          <t>Nutzungsdauer (Jahre)</t>
        </is>
      </c>
      <c r="C26" t="inlineStr">
        <is>
          <t>BRAK, ABG</t>
        </is>
      </c>
      <c r="D26" t="inlineStr">
        <is>
          <t>added</t>
        </is>
      </c>
    </row>
    <row r="27">
      <c r="A27" t="inlineStr">
        <is>
          <t>Zugänge</t>
        </is>
      </c>
      <c r="B27" t="inlineStr">
        <is>
          <t>Aktivierter Betrag</t>
        </is>
      </c>
      <c r="C27" t="inlineStr">
        <is>
          <t>BRAK, ABG</t>
        </is>
      </c>
      <c r="D27" t="inlineStr">
        <is>
          <t>added</t>
        </is>
      </c>
    </row>
    <row r="28">
      <c r="A28" t="inlineStr">
        <is>
          <t>Zugänge</t>
        </is>
      </c>
      <c r="B28" t="inlineStr">
        <is>
          <t>Bewegungsart</t>
        </is>
      </c>
      <c r="C28" t="inlineStr">
        <is>
          <t>BRAK, ABG</t>
        </is>
      </c>
      <c r="D28" t="inlineStr">
        <is>
          <t>added</t>
        </is>
      </c>
    </row>
    <row r="29">
      <c r="A29" t="inlineStr">
        <is>
          <t>Zugänge</t>
        </is>
      </c>
      <c r="B29" t="inlineStr">
        <is>
          <t>AHK zu GJ-Beginn</t>
        </is>
      </c>
      <c r="C29" t="inlineStr">
        <is>
          <t>BRAK, ABG</t>
        </is>
      </c>
      <c r="D29" t="inlineStr">
        <is>
          <t>added</t>
        </is>
      </c>
    </row>
    <row r="30">
      <c r="A30" t="inlineStr">
        <is>
          <t>Zugänge</t>
        </is>
      </c>
      <c r="B30" t="inlineStr">
        <is>
          <t>AfA-Beginn</t>
        </is>
      </c>
      <c r="C30" t="inlineStr">
        <is>
          <t>BRAK, ABG</t>
        </is>
      </c>
      <c r="D30" t="inlineStr">
        <is>
          <t>added</t>
        </is>
      </c>
    </row>
    <row r="31">
      <c r="A31" t="inlineStr">
        <is>
          <t>Zugänge</t>
        </is>
      </c>
      <c r="B31" t="inlineStr">
        <is>
          <t>Nutzungsdauer (Monate)</t>
        </is>
      </c>
      <c r="C31" t="inlineStr">
        <is>
          <t>BRAK, ABG</t>
        </is>
      </c>
      <c r="D31" t="inlineStr">
        <is>
          <t>added</t>
        </is>
      </c>
    </row>
    <row r="32">
      <c r="A32" t="inlineStr">
        <is>
          <t>Zugänge</t>
        </is>
      </c>
      <c r="B32" t="inlineStr">
        <is>
          <t>AfA-Methode</t>
        </is>
      </c>
      <c r="C32" t="inlineStr">
        <is>
          <t>BRAK, ABG</t>
        </is>
      </c>
      <c r="D32" t="inlineStr">
        <is>
          <t>added</t>
        </is>
      </c>
    </row>
    <row r="33">
      <c r="A33" t="inlineStr">
        <is>
          <t>Zugänge</t>
        </is>
      </c>
      <c r="B33" t="inlineStr">
        <is>
          <t>AfA-Satz %</t>
        </is>
      </c>
      <c r="C33" t="inlineStr">
        <is>
          <t>BRAK, ABG</t>
        </is>
      </c>
      <c r="D33" t="inlineStr">
        <is>
          <t>added</t>
        </is>
      </c>
    </row>
    <row r="34">
      <c r="A34" t="inlineStr">
        <is>
          <t>Zugänge</t>
        </is>
      </c>
      <c r="B34" t="inlineStr">
        <is>
          <t>Kostenstelle</t>
        </is>
      </c>
      <c r="C34" t="inlineStr">
        <is>
          <t>BRAK, ABG</t>
        </is>
      </c>
      <c r="D34" t="inlineStr">
        <is>
          <t>added</t>
        </is>
      </c>
    </row>
    <row r="35">
      <c r="A35" t="inlineStr">
        <is>
          <t>Zugänge</t>
        </is>
      </c>
      <c r="B35" t="inlineStr">
        <is>
          <t>Standort</t>
        </is>
      </c>
      <c r="C35" t="inlineStr">
        <is>
          <t>BRAK, ABG</t>
        </is>
      </c>
      <c r="D35" t="inlineStr">
        <is>
          <t>added</t>
        </is>
      </c>
    </row>
    <row r="36">
      <c r="A36" t="inlineStr">
        <is>
          <t>Abgänge</t>
        </is>
      </c>
      <c r="B36" t="inlineStr">
        <is>
          <t>Anschaffungsdatum</t>
        </is>
      </c>
      <c r="C36" t="inlineStr">
        <is>
          <t>BRAK</t>
        </is>
      </c>
      <c r="D36" t="inlineStr">
        <is>
          <t>deleted by BRAK</t>
        </is>
      </c>
    </row>
    <row r="37">
      <c r="A37" t="inlineStr">
        <is>
          <t>Abgänge</t>
        </is>
      </c>
      <c r="B37" t="inlineStr">
        <is>
          <t>Beschreibung des Abgangs</t>
        </is>
      </c>
      <c r="C37" t="inlineStr">
        <is>
          <t>BRAK</t>
        </is>
      </c>
      <c r="D37" t="inlineStr">
        <is>
          <t>deleted by BRAK</t>
        </is>
      </c>
    </row>
    <row r="38">
      <c r="A38" t="inlineStr">
        <is>
          <t>Abgänge</t>
        </is>
      </c>
      <c r="B38" t="inlineStr">
        <is>
          <t>AHK des Abgangs</t>
        </is>
      </c>
      <c r="C38" t="inlineStr">
        <is>
          <t>BRAK</t>
        </is>
      </c>
      <c r="D38" t="inlineStr">
        <is>
          <t>deleted by BRAK</t>
        </is>
      </c>
    </row>
    <row r="39">
      <c r="A39" t="inlineStr">
        <is>
          <t>Abgänge</t>
        </is>
      </c>
      <c r="B39" t="inlineStr">
        <is>
          <t>AfA auf den Abgang</t>
        </is>
      </c>
      <c r="C39" t="inlineStr">
        <is>
          <t>BRAK</t>
        </is>
      </c>
      <c r="D39" t="inlineStr">
        <is>
          <t>deleted by BRAK</t>
        </is>
      </c>
    </row>
    <row r="40">
      <c r="A40" t="inlineStr">
        <is>
          <t>Abgänge</t>
        </is>
      </c>
      <c r="B40" t="inlineStr">
        <is>
          <t>Restbuchwert</t>
        </is>
      </c>
      <c r="C40" t="inlineStr">
        <is>
          <t>BRAK</t>
        </is>
      </c>
      <c r="D40" t="inlineStr">
        <is>
          <t>deleted by BRAK</t>
        </is>
      </c>
    </row>
    <row r="41">
      <c r="A41" t="inlineStr">
        <is>
          <t>Abgänge</t>
        </is>
      </c>
      <c r="B41" t="inlineStr">
        <is>
          <t>Veräußerungserlös</t>
        </is>
      </c>
      <c r="C41" t="inlineStr">
        <is>
          <t>BRAK</t>
        </is>
      </c>
      <c r="D41" t="inlineStr">
        <is>
          <t>deleted by BRAK</t>
        </is>
      </c>
    </row>
    <row r="42">
      <c r="A42" t="inlineStr">
        <is>
          <t>Abgänge</t>
        </is>
      </c>
      <c r="B42" t="inlineStr">
        <is>
          <t>Kontrolle Restbuchwert</t>
        </is>
      </c>
      <c r="C42" t="inlineStr">
        <is>
          <t>BRAK</t>
        </is>
      </c>
      <c r="D42" t="inlineStr">
        <is>
          <t>deleted by BRAK</t>
        </is>
      </c>
    </row>
    <row r="43">
      <c r="A43" t="inlineStr">
        <is>
          <t>Abgänge</t>
        </is>
      </c>
      <c r="B43" t="inlineStr">
        <is>
          <t>Kontrolle</t>
        </is>
      </c>
      <c r="D43" t="inlineStr">
        <is>
          <t>drop: same check as BRAK 'Kontrolle Buchwert des Abgangs' (Abgang AHK − AfA des Abgangs = Buchwert des Abgangs)</t>
        </is>
      </c>
    </row>
    <row r="44">
      <c r="A44" t="inlineStr">
        <is>
          <t>Abgänge</t>
        </is>
      </c>
      <c r="B44" t="inlineStr">
        <is>
          <t>Unternummer</t>
        </is>
      </c>
      <c r="C44" t="inlineStr">
        <is>
          <t>BRAK, ABG</t>
        </is>
      </c>
      <c r="D44" t="inlineStr">
        <is>
          <t>added</t>
        </is>
      </c>
    </row>
    <row r="45">
      <c r="A45" t="inlineStr">
        <is>
          <t>Abgänge</t>
        </is>
      </c>
      <c r="B45" t="inlineStr">
        <is>
          <t>Anlagenbezeichnung</t>
        </is>
      </c>
      <c r="C45" t="inlineStr">
        <is>
          <t>BRAK, ABG</t>
        </is>
      </c>
      <c r="D45" t="inlineStr">
        <is>
          <t>added</t>
        </is>
      </c>
    </row>
    <row r="46">
      <c r="A46" t="inlineStr">
        <is>
          <t>Abgänge</t>
        </is>
      </c>
      <c r="B46" t="inlineStr">
        <is>
          <t>Anlagenkonto</t>
        </is>
      </c>
      <c r="C46" t="inlineStr">
        <is>
          <t>BRAK, ABG</t>
        </is>
      </c>
      <c r="D46" t="inlineStr">
        <is>
          <t>added</t>
        </is>
      </c>
    </row>
    <row r="47">
      <c r="A47" t="inlineStr">
        <is>
          <t>Abgänge</t>
        </is>
      </c>
      <c r="B47" t="inlineStr">
        <is>
          <t>Kontobezeichnung</t>
        </is>
      </c>
      <c r="C47" t="inlineStr">
        <is>
          <t>BRAK, ABG</t>
        </is>
      </c>
      <c r="D47" t="inlineStr">
        <is>
          <t>added</t>
        </is>
      </c>
    </row>
    <row r="48">
      <c r="A48" t="inlineStr">
        <is>
          <t>Abgänge</t>
        </is>
      </c>
      <c r="B48" t="inlineStr">
        <is>
          <t>Bilanzposten</t>
        </is>
      </c>
      <c r="C48" t="inlineStr">
        <is>
          <t>BRAK, ABG</t>
        </is>
      </c>
      <c r="D48" t="inlineStr">
        <is>
          <t>added</t>
        </is>
      </c>
    </row>
    <row r="49">
      <c r="A49" t="inlineStr">
        <is>
          <t>Abgänge</t>
        </is>
      </c>
      <c r="B49" t="inlineStr">
        <is>
          <t>Aktivierungsdatum</t>
        </is>
      </c>
      <c r="C49" t="inlineStr">
        <is>
          <t>BRAK, ABG</t>
        </is>
      </c>
      <c r="D49" t="inlineStr">
        <is>
          <t>added</t>
        </is>
      </c>
    </row>
    <row r="50">
      <c r="A50" t="inlineStr">
        <is>
          <t>Abgänge</t>
        </is>
      </c>
      <c r="B50" t="inlineStr">
        <is>
          <t>Währung</t>
        </is>
      </c>
      <c r="C50" t="inlineStr">
        <is>
          <t>BRAK, ABG</t>
        </is>
      </c>
      <c r="D50" t="inlineStr">
        <is>
          <t>added</t>
        </is>
      </c>
    </row>
    <row r="51">
      <c r="A51" t="inlineStr">
        <is>
          <t>Abgänge</t>
        </is>
      </c>
      <c r="B51" t="inlineStr">
        <is>
          <t>AHK zu GJ-Beginn</t>
        </is>
      </c>
      <c r="C51" t="inlineStr">
        <is>
          <t>BRAK, ABG</t>
        </is>
      </c>
      <c r="D51" t="inlineStr">
        <is>
          <t>added</t>
        </is>
      </c>
    </row>
    <row r="52">
      <c r="A52" t="inlineStr">
        <is>
          <t>Abgänge</t>
        </is>
      </c>
      <c r="B52" t="inlineStr">
        <is>
          <t>Zugang im Geschäftsjahr</t>
        </is>
      </c>
      <c r="C52" t="inlineStr">
        <is>
          <t>BRAK</t>
        </is>
      </c>
      <c r="D52" t="inlineStr">
        <is>
          <t>added</t>
        </is>
      </c>
    </row>
    <row r="53">
      <c r="A53" t="inlineStr">
        <is>
          <t>Abgänge</t>
        </is>
      </c>
      <c r="B53" t="inlineStr">
        <is>
          <t>Abgang AHK</t>
        </is>
      </c>
      <c r="C53" t="inlineStr">
        <is>
          <t>BRAK, ABG</t>
        </is>
      </c>
      <c r="D53" t="inlineStr">
        <is>
          <t>added</t>
        </is>
      </c>
    </row>
    <row r="54">
      <c r="A54" t="inlineStr">
        <is>
          <t>Abgänge</t>
        </is>
      </c>
      <c r="B54" t="inlineStr">
        <is>
          <t>Aktuelle AHK</t>
        </is>
      </c>
      <c r="C54" t="inlineStr">
        <is>
          <t>BRAK</t>
        </is>
      </c>
      <c r="D54" t="inlineStr">
        <is>
          <t>added</t>
        </is>
      </c>
    </row>
    <row r="55">
      <c r="A55" t="inlineStr">
        <is>
          <t>Abgänge</t>
        </is>
      </c>
      <c r="B55" t="inlineStr">
        <is>
          <t>AfA zu GJ-Beginn</t>
        </is>
      </c>
      <c r="C55" t="inlineStr">
        <is>
          <t>BRAK, ABG</t>
        </is>
      </c>
      <c r="D55" t="inlineStr">
        <is>
          <t>added</t>
        </is>
      </c>
    </row>
    <row r="56">
      <c r="A56" t="inlineStr">
        <is>
          <t>Abgänge</t>
        </is>
      </c>
      <c r="B56" t="inlineStr">
        <is>
          <t>AfA des Jahres</t>
        </is>
      </c>
      <c r="C56" t="inlineStr">
        <is>
          <t>BRAK, ABG</t>
        </is>
      </c>
      <c r="D56" t="inlineStr">
        <is>
          <t>added</t>
        </is>
      </c>
    </row>
    <row r="57">
      <c r="A57" t="inlineStr">
        <is>
          <t>Abgänge</t>
        </is>
      </c>
      <c r="B57" t="inlineStr">
        <is>
          <t>AfA des Abgangs</t>
        </is>
      </c>
      <c r="C57" t="inlineStr">
        <is>
          <t>BRAK, ABG</t>
        </is>
      </c>
      <c r="D57" t="inlineStr">
        <is>
          <t>added</t>
        </is>
      </c>
    </row>
    <row r="58">
      <c r="A58" t="inlineStr">
        <is>
          <t>Abgänge</t>
        </is>
      </c>
      <c r="B58" t="inlineStr">
        <is>
          <t>Buchwert zu GJ-Beginn</t>
        </is>
      </c>
      <c r="C58" t="inlineStr">
        <is>
          <t>BRAK</t>
        </is>
      </c>
      <c r="D58" t="inlineStr">
        <is>
          <t>added</t>
        </is>
      </c>
    </row>
    <row r="59">
      <c r="A59" t="inlineStr">
        <is>
          <t>Abgänge</t>
        </is>
      </c>
      <c r="B59" t="inlineStr">
        <is>
          <t>Buchwert des Abgangs</t>
        </is>
      </c>
      <c r="C59" t="inlineStr">
        <is>
          <t>BRAK, ABG</t>
        </is>
      </c>
      <c r="D59" t="inlineStr">
        <is>
          <t>added</t>
        </is>
      </c>
    </row>
    <row r="60">
      <c r="A60" t="inlineStr">
        <is>
          <t>Abgänge</t>
        </is>
      </c>
      <c r="B60" t="inlineStr">
        <is>
          <t>Laufender Buchwert</t>
        </is>
      </c>
      <c r="C60" t="inlineStr">
        <is>
          <t>BRAK</t>
        </is>
      </c>
      <c r="D60" t="inlineStr">
        <is>
          <t>added</t>
        </is>
      </c>
    </row>
    <row r="61">
      <c r="A61" t="inlineStr">
        <is>
          <t>Abgänge</t>
        </is>
      </c>
      <c r="B61" t="inlineStr">
        <is>
          <t>Verkaufserlös</t>
        </is>
      </c>
      <c r="C61" t="inlineStr">
        <is>
          <t>BRAK, ABG</t>
        </is>
      </c>
      <c r="D61" t="inlineStr">
        <is>
          <t>added</t>
        </is>
      </c>
    </row>
    <row r="62">
      <c r="A62" t="inlineStr">
        <is>
          <t>Abgänge</t>
        </is>
      </c>
      <c r="B62" t="inlineStr">
        <is>
          <t>Buchungstext</t>
        </is>
      </c>
      <c r="C62" t="inlineStr">
        <is>
          <t>BRAK, ABG</t>
        </is>
      </c>
      <c r="D62" t="inlineStr">
        <is>
          <t>added</t>
        </is>
      </c>
    </row>
    <row r="63">
      <c r="A63" t="inlineStr">
        <is>
          <t>Abgänge</t>
        </is>
      </c>
      <c r="B63" t="inlineStr">
        <is>
          <t>Kontrolle Buchwert des Abgangs</t>
        </is>
      </c>
      <c r="C63" t="inlineStr">
        <is>
          <t>BRAK</t>
        </is>
      </c>
      <c r="D63" t="inlineStr">
        <is>
          <t>added</t>
        </is>
      </c>
    </row>
    <row r="64">
      <c r="A64" t="inlineStr">
        <is>
          <t>Abgänge</t>
        </is>
      </c>
      <c r="B64" t="inlineStr">
        <is>
          <t>Kontrolle aktuelle AHK</t>
        </is>
      </c>
      <c r="C64" t="inlineStr">
        <is>
          <t>BRAK</t>
        </is>
      </c>
      <c r="D64" t="inlineStr">
        <is>
          <t>added</t>
        </is>
      </c>
    </row>
    <row r="65">
      <c r="A65" t="inlineStr">
        <is>
          <t>Abgänge</t>
        </is>
      </c>
      <c r="B65" t="inlineStr">
        <is>
          <t>Kontrolle Buchwert GJ-Beginn</t>
        </is>
      </c>
      <c r="C65" t="inlineStr">
        <is>
          <t>BRAK</t>
        </is>
      </c>
      <c r="D65" t="inlineStr">
        <is>
          <t>added</t>
        </is>
      </c>
    </row>
    <row r="66">
      <c r="A66" t="inlineStr">
        <is>
          <t>Abgänge</t>
        </is>
      </c>
      <c r="B66" t="inlineStr">
        <is>
          <t>Kontrolle laufender Buchwert</t>
        </is>
      </c>
      <c r="C66" t="inlineStr">
        <is>
          <t>BRAK</t>
        </is>
      </c>
      <c r="D66" t="inlineStr">
        <is>
          <t>added</t>
        </is>
      </c>
    </row>
    <row r="67">
      <c r="A67" t="inlineStr">
        <is>
          <t>Belege</t>
        </is>
      </c>
      <c r="B67" t="inlineStr">
        <is>
          <t>USt-Satz laut Beleg</t>
        </is>
      </c>
      <c r="C67" t="inlineStr">
        <is>
          <t>BELEG</t>
        </is>
      </c>
      <c r="D67" t="inlineStr">
        <is>
          <t>deleted by BELEG</t>
        </is>
      </c>
    </row>
    <row r="68">
      <c r="A68" t="inlineStr">
        <is>
          <t>Belege</t>
        </is>
      </c>
      <c r="B68" t="inlineStr">
        <is>
          <t>Skonto laut Beleg</t>
        </is>
      </c>
      <c r="C68" t="inlineStr">
        <is>
          <t>BELEG</t>
        </is>
      </c>
      <c r="D68" t="inlineStr">
        <is>
          <t>deleted by BELEG</t>
        </is>
      </c>
    </row>
    <row r="69">
      <c r="A69" t="inlineStr">
        <is>
          <t>Belege</t>
        </is>
      </c>
      <c r="B69" t="inlineStr">
        <is>
          <t>Übergabeort</t>
        </is>
      </c>
      <c r="C69" t="inlineStr">
        <is>
          <t>BELEG</t>
        </is>
      </c>
      <c r="D69" t="inlineStr">
        <is>
          <t>deleted by BELEG</t>
        </is>
      </c>
    </row>
    <row r="70">
      <c r="A70" t="inlineStr">
        <is>
          <t>Belege</t>
        </is>
      </c>
      <c r="B70" t="inlineStr">
        <is>
          <t>Anteil Grund laut Notarvertrag</t>
        </is>
      </c>
      <c r="C70" t="inlineStr">
        <is>
          <t>BELEG</t>
        </is>
      </c>
      <c r="D70" t="inlineStr">
        <is>
          <t>deleted by BELEG</t>
        </is>
      </c>
    </row>
    <row r="71">
      <c r="A71" t="inlineStr">
        <is>
          <t>Belege</t>
        </is>
      </c>
      <c r="B71" t="inlineStr">
        <is>
          <t>Lieferbedingung (Incoterm) laut Beleg</t>
        </is>
      </c>
      <c r="C71" t="inlineStr">
        <is>
          <t>BELEG</t>
        </is>
      </c>
      <c r="D71" t="inlineStr">
        <is>
          <t>deleted by BELEG</t>
        </is>
      </c>
    </row>
    <row r="72">
      <c r="A72" t="inlineStr">
        <is>
          <t>Belege</t>
        </is>
      </c>
      <c r="B72" t="inlineStr">
        <is>
          <t>Incoterms-Fassung</t>
        </is>
      </c>
      <c r="C72" t="inlineStr">
        <is>
          <t>BELEG</t>
        </is>
      </c>
      <c r="D72" t="inlineStr">
        <is>
          <t>deleted by BELEG</t>
        </is>
      </c>
    </row>
    <row r="73">
      <c r="A73" t="inlineStr">
        <is>
          <t>Belege</t>
        </is>
      </c>
      <c r="B73" t="inlineStr">
        <is>
          <t>Bemerkung</t>
        </is>
      </c>
      <c r="C73" t="inlineStr">
        <is>
          <t>BELEG</t>
        </is>
      </c>
      <c r="D73" t="inlineStr">
        <is>
          <t>deleted by BELEG</t>
        </is>
      </c>
    </row>
    <row r="74">
      <c r="A74" t="inlineStr">
        <is>
          <t>Belege</t>
        </is>
      </c>
      <c r="B74" t="inlineStr">
        <is>
          <t>Bestelldatum</t>
        </is>
      </c>
      <c r="C74" t="inlineStr">
        <is>
          <t>ABG</t>
        </is>
      </c>
      <c r="D74" t="inlineStr">
        <is>
          <t>deleted by ABG</t>
        </is>
      </c>
    </row>
    <row r="75">
      <c r="A75" t="inlineStr">
        <is>
          <t>Belege</t>
        </is>
      </c>
      <c r="B75" t="inlineStr">
        <is>
          <t>Belegart</t>
        </is>
      </c>
      <c r="C75" t="inlineStr">
        <is>
          <t>BELEG, ABG</t>
        </is>
      </c>
      <c r="D75" t="inlineStr">
        <is>
          <t>changed differently in BELEG, ABG: took ABG (newest)</t>
        </is>
      </c>
    </row>
    <row r="76">
      <c r="A76" t="inlineStr">
        <is>
          <t>Belege</t>
        </is>
      </c>
      <c r="B76" t="inlineStr">
        <is>
          <t>Bezug: Rechnungs-Nr. laut Gutschrift</t>
        </is>
      </c>
      <c r="C76" t="inlineStr">
        <is>
          <t>BELEG</t>
        </is>
      </c>
      <c r="D76" t="inlineStr">
        <is>
          <t>added</t>
        </is>
      </c>
    </row>
    <row r="77">
      <c r="A77" t="inlineStr">
        <is>
          <t>Belege</t>
        </is>
      </c>
      <c r="B77" t="inlineStr">
        <is>
          <t>USt-Satz laut Beleg in %</t>
        </is>
      </c>
      <c r="C77" t="inlineStr">
        <is>
          <t>BELEG</t>
        </is>
      </c>
      <c r="D77" t="inlineStr">
        <is>
          <t>added</t>
        </is>
      </c>
    </row>
    <row r="78">
      <c r="A78" t="inlineStr">
        <is>
          <t>Belege</t>
        </is>
      </c>
      <c r="B78" t="inlineStr">
        <is>
          <t>Skonto laut Beleg in %</t>
        </is>
      </c>
      <c r="C78" t="inlineStr">
        <is>
          <t>BELEG</t>
        </is>
      </c>
      <c r="D78" t="inlineStr">
        <is>
          <t>added</t>
        </is>
      </c>
    </row>
    <row r="79">
      <c r="A79" t="inlineStr">
        <is>
          <t>Belege</t>
        </is>
      </c>
      <c r="B79" t="inlineStr">
        <is>
          <t>Anteil Grund laut Notarvertrag in %</t>
        </is>
      </c>
      <c r="C79" t="inlineStr">
        <is>
          <t>BELEG</t>
        </is>
      </c>
      <c r="D79" t="inlineStr">
        <is>
          <t>added</t>
        </is>
      </c>
    </row>
    <row r="80">
      <c r="A80" t="inlineStr">
        <is>
          <t>Belege</t>
        </is>
      </c>
      <c r="B80" t="inlineStr">
        <is>
          <t>Materialeinzelkosten laut Kalkulation</t>
        </is>
      </c>
      <c r="C80" t="inlineStr">
        <is>
          <t>BELEG</t>
        </is>
      </c>
      <c r="D80" t="inlineStr">
        <is>
          <t>added</t>
        </is>
      </c>
    </row>
    <row r="81">
      <c r="A81" t="inlineStr">
        <is>
          <t>Belege</t>
        </is>
      </c>
      <c r="B81" t="inlineStr">
        <is>
          <t>Fertigungseinzelkosten laut Kalkulation</t>
        </is>
      </c>
      <c r="C81" t="inlineStr">
        <is>
          <t>BELEG</t>
        </is>
      </c>
      <c r="D81" t="inlineStr">
        <is>
          <t>added</t>
        </is>
      </c>
    </row>
    <row r="82">
      <c r="A82" t="inlineStr">
        <is>
          <t>Belege</t>
        </is>
      </c>
      <c r="B82" t="inlineStr">
        <is>
          <t>Sondereinzelkosten der Fertigung laut Kalkulation</t>
        </is>
      </c>
      <c r="C82" t="inlineStr">
        <is>
          <t>BELEG</t>
        </is>
      </c>
      <c r="D82" t="inlineStr">
        <is>
          <t>added</t>
        </is>
      </c>
    </row>
    <row r="83">
      <c r="A83" t="inlineStr">
        <is>
          <t>Belege</t>
        </is>
      </c>
      <c r="B83" t="inlineStr">
        <is>
          <t>Materialgemeinkosten laut Kalkulation</t>
        </is>
      </c>
      <c r="C83" t="inlineStr">
        <is>
          <t>BELEG</t>
        </is>
      </c>
      <c r="D83" t="inlineStr">
        <is>
          <t>added</t>
        </is>
      </c>
    </row>
    <row r="84">
      <c r="A84" t="inlineStr">
        <is>
          <t>Belege</t>
        </is>
      </c>
      <c r="B84" t="inlineStr">
        <is>
          <t>Fertigungsgemeinkosten laut Kalkulation</t>
        </is>
      </c>
      <c r="C84" t="inlineStr">
        <is>
          <t>BELEG</t>
        </is>
      </c>
      <c r="D84" t="inlineStr">
        <is>
          <t>added</t>
        </is>
      </c>
    </row>
    <row r="85">
      <c r="A85" t="inlineStr">
        <is>
          <t>Belege</t>
        </is>
      </c>
      <c r="B85" t="inlineStr">
        <is>
          <t>Werteverzehr des Anlagevermögens laut Kalkulation</t>
        </is>
      </c>
      <c r="C85" t="inlineStr">
        <is>
          <t>BELEG</t>
        </is>
      </c>
      <c r="D85" t="inlineStr">
        <is>
          <t>added</t>
        </is>
      </c>
    </row>
    <row r="86">
      <c r="A86" t="inlineStr">
        <is>
          <t>Belege</t>
        </is>
      </c>
      <c r="B86" t="inlineStr">
        <is>
          <t>Allgemeine Verwaltungskosten laut Kalkulation</t>
        </is>
      </c>
      <c r="C86" t="inlineStr">
        <is>
          <t>BELEG</t>
        </is>
      </c>
      <c r="D86" t="inlineStr">
        <is>
          <t>added</t>
        </is>
      </c>
    </row>
    <row r="87">
      <c r="A87" t="inlineStr">
        <is>
          <t>Belege</t>
        </is>
      </c>
      <c r="B87" t="inlineStr">
        <is>
          <t>Soziale Aufwendungen laut Kalkulation</t>
        </is>
      </c>
      <c r="C87" t="inlineStr">
        <is>
          <t>BELEG</t>
        </is>
      </c>
      <c r="D87" t="inlineStr">
        <is>
          <t>added</t>
        </is>
      </c>
    </row>
    <row r="88">
      <c r="A88" t="inlineStr">
        <is>
          <t>Belege</t>
        </is>
      </c>
      <c r="B88" t="inlineStr">
        <is>
          <t>Fremdkapitalzinsen der Herstellung laut Kalkulation</t>
        </is>
      </c>
      <c r="C88" t="inlineStr">
        <is>
          <t>BELEG</t>
        </is>
      </c>
      <c r="D88" t="inlineStr">
        <is>
          <t>added</t>
        </is>
      </c>
    </row>
    <row r="89">
      <c r="A89" t="inlineStr">
        <is>
          <t>Belege</t>
        </is>
      </c>
      <c r="B89" t="inlineStr">
        <is>
          <t>Forschungskosten laut Kalkulation</t>
        </is>
      </c>
      <c r="C89" t="inlineStr">
        <is>
          <t>BELEG</t>
        </is>
      </c>
      <c r="D89" t="inlineStr">
        <is>
          <t>added</t>
        </is>
      </c>
    </row>
    <row r="90">
      <c r="A90" t="inlineStr">
        <is>
          <t>Belege</t>
        </is>
      </c>
      <c r="B90" t="inlineStr">
        <is>
          <t>Vertriebskosten laut Kalkulation</t>
        </is>
      </c>
      <c r="C90" t="inlineStr">
        <is>
          <t>BELEG</t>
        </is>
      </c>
      <c r="D90" t="inlineStr">
        <is>
          <t>added</t>
        </is>
      </c>
    </row>
    <row r="91">
      <c r="A91" t="inlineStr">
        <is>
          <t>Belege</t>
        </is>
      </c>
      <c r="B91" t="inlineStr">
        <is>
          <t>Zuschuss laut Zuwendungsbescheid</t>
        </is>
      </c>
      <c r="C91" t="inlineStr">
        <is>
          <t>BELEG</t>
        </is>
      </c>
      <c r="D91" t="inlineStr">
        <is>
          <t>added</t>
        </is>
      </c>
    </row>
    <row r="92">
      <c r="A92" t="inlineStr">
        <is>
          <t>Belege</t>
        </is>
      </c>
      <c r="B92" t="inlineStr">
        <is>
          <t>Leasingrate laut Vertrag</t>
        </is>
      </c>
      <c r="C92" t="inlineStr">
        <is>
          <t>BELEG</t>
        </is>
      </c>
      <c r="D92" t="inlineStr">
        <is>
          <t>added</t>
        </is>
      </c>
    </row>
    <row r="93">
      <c r="A93" t="inlineStr">
        <is>
          <t>Belege</t>
        </is>
      </c>
      <c r="B93" t="inlineStr">
        <is>
          <t>Zins laut Leasingvertrag in %</t>
        </is>
      </c>
      <c r="C93" t="inlineStr">
        <is>
          <t>BELEG</t>
        </is>
      </c>
      <c r="D93" t="inlineStr">
        <is>
          <t>added</t>
        </is>
      </c>
    </row>
    <row r="94">
      <c r="A94" t="inlineStr">
        <is>
          <t>Belege</t>
        </is>
      </c>
      <c r="B94" t="inlineStr">
        <is>
          <t>Raten im Geschäftsjahr laut Ratenplan</t>
        </is>
      </c>
      <c r="C94" t="inlineStr">
        <is>
          <t>BELEG</t>
        </is>
      </c>
      <c r="D94" t="inlineStr">
        <is>
          <t>added</t>
        </is>
      </c>
    </row>
    <row r="95">
      <c r="A95" t="inlineStr">
        <is>
          <t>Belege</t>
        </is>
      </c>
      <c r="B95" t="inlineStr">
        <is>
          <t>Zahlungsweise der Raten</t>
        </is>
      </c>
      <c r="C95" t="inlineStr">
        <is>
          <t>BELEG</t>
        </is>
      </c>
      <c r="D95" t="inlineStr">
        <is>
          <t>added</t>
        </is>
      </c>
    </row>
    <row r="96">
      <c r="A96" t="inlineStr">
        <is>
          <t>Belege</t>
        </is>
      </c>
      <c r="B96" t="inlineStr">
        <is>
          <t>Währung laut Beleg</t>
        </is>
      </c>
      <c r="C96" t="inlineStr">
        <is>
          <t>BELEG, ABG</t>
        </is>
      </c>
      <c r="D96" t="inlineStr">
        <is>
          <t>added</t>
        </is>
      </c>
    </row>
    <row r="97">
      <c r="A97" t="inlineStr">
        <is>
          <t>Belege</t>
        </is>
      </c>
      <c r="B97" t="inlineStr">
        <is>
          <t>Umrechnungskurs laut Beleg</t>
        </is>
      </c>
      <c r="C97" t="inlineStr">
        <is>
          <t>BELEG, ABG</t>
        </is>
      </c>
      <c r="D97" t="inlineStr">
        <is>
          <t>added</t>
        </is>
      </c>
    </row>
    <row r="98">
      <c r="A98" t="inlineStr">
        <is>
          <t>Belege</t>
        </is>
      </c>
      <c r="B98" t="inlineStr">
        <is>
          <t>Leistungsbeschreibung laut Beleg</t>
        </is>
      </c>
      <c r="C98" t="inlineStr">
        <is>
          <t>BELEG</t>
        </is>
      </c>
      <c r="D98" t="inlineStr">
        <is>
          <t>added</t>
        </is>
      </c>
    </row>
    <row r="99">
      <c r="A99" t="inlineStr">
        <is>
          <t>Belege</t>
        </is>
      </c>
      <c r="B99" t="inlineStr">
        <is>
          <t>Menge laut Beleg</t>
        </is>
      </c>
      <c r="C99" t="inlineStr">
        <is>
          <t>BELEG</t>
        </is>
      </c>
      <c r="D99" t="inlineStr">
        <is>
          <t>added</t>
        </is>
      </c>
    </row>
    <row r="100">
      <c r="A100" t="inlineStr">
        <is>
          <t>Belege</t>
        </is>
      </c>
      <c r="B100" t="inlineStr">
        <is>
          <t>Einzelpreis laut Beleg</t>
        </is>
      </c>
      <c r="C100" t="inlineStr">
        <is>
          <t>BELEG</t>
        </is>
      </c>
      <c r="D100" t="inlineStr">
        <is>
          <t>added</t>
        </is>
      </c>
    </row>
    <row r="101">
      <c r="A101" t="inlineStr">
        <is>
          <t>Belege</t>
        </is>
      </c>
      <c r="B101" t="inlineStr">
        <is>
          <t>Verwendungszweck</t>
        </is>
      </c>
      <c r="C101" t="inlineStr">
        <is>
          <t>BELEG, ABG</t>
        </is>
      </c>
      <c r="D101" t="inlineStr">
        <is>
          <t>added</t>
        </is>
      </c>
    </row>
    <row r="102">
      <c r="A102" t="inlineStr">
        <is>
          <t>Belege</t>
        </is>
      </c>
      <c r="B102" t="inlineStr">
        <is>
          <t>IBAN</t>
        </is>
      </c>
      <c r="C102" t="inlineStr">
        <is>
          <t>BELEG, ABG</t>
        </is>
      </c>
      <c r="D102" t="inlineStr">
        <is>
          <t>added</t>
        </is>
      </c>
    </row>
    <row r="103">
      <c r="A103" t="inlineStr">
        <is>
          <t>Belege</t>
        </is>
      </c>
      <c r="B103" t="inlineStr">
        <is>
          <t>Marktwert laut Nachweis</t>
        </is>
      </c>
      <c r="C103" t="inlineStr">
        <is>
          <t>BELEG, ABG</t>
        </is>
      </c>
      <c r="D103" t="inlineStr">
        <is>
          <t>added</t>
        </is>
      </c>
    </row>
    <row r="104">
      <c r="A104" t="inlineStr">
        <is>
          <t>Belege</t>
        </is>
      </c>
      <c r="B104" t="inlineStr">
        <is>
          <t>Bankkonto des Mandanten</t>
        </is>
      </c>
      <c r="C104" t="inlineStr">
        <is>
          <t>ABG</t>
        </is>
      </c>
      <c r="D104" t="inlineStr">
        <is>
          <t>added</t>
        </is>
      </c>
    </row>
    <row r="105">
      <c r="A105" t="inlineStr">
        <is>
          <t>Belege</t>
        </is>
      </c>
      <c r="B105" t="inlineStr">
        <is>
          <t>Umbuchungsdatum</t>
        </is>
      </c>
      <c r="C105" t="inlineStr">
        <is>
          <t>ABG</t>
        </is>
      </c>
      <c r="D105" t="inlineStr">
        <is>
          <t>added</t>
        </is>
      </c>
    </row>
    <row r="106">
      <c r="A106" t="inlineStr">
        <is>
          <t>Belege</t>
        </is>
      </c>
      <c r="B106" t="inlineStr">
        <is>
          <t>Bevollmächtigter</t>
        </is>
      </c>
      <c r="C106" t="inlineStr">
        <is>
          <t>ABG</t>
        </is>
      </c>
      <c r="D106" t="inlineStr">
        <is>
          <t>added</t>
        </is>
      </c>
    </row>
    <row r="107">
      <c r="A107" t="inlineStr">
        <is>
          <t>Belege</t>
        </is>
      </c>
      <c r="B107" t="inlineStr">
        <is>
          <t>Betragsgrenze laut Unterschriftenregelung</t>
        </is>
      </c>
      <c r="C107" t="inlineStr">
        <is>
          <t>ABG</t>
        </is>
      </c>
      <c r="D107" t="inlineStr">
        <is>
          <t>added</t>
        </is>
      </c>
    </row>
    <row r="108">
      <c r="A108" t="inlineStr">
        <is>
          <t>Belege</t>
        </is>
      </c>
      <c r="B108" t="inlineStr">
        <is>
          <t>Kaufoption laut Leasingvertrag</t>
        </is>
      </c>
      <c r="C108" t="inlineStr">
        <is>
          <t>BELEG</t>
        </is>
      </c>
      <c r="D108" t="inlineStr">
        <is>
          <t>added</t>
        </is>
      </c>
    </row>
    <row r="109">
      <c r="A109" t="inlineStr">
        <is>
          <t>Belege</t>
        </is>
      </c>
      <c r="B109" t="inlineStr">
        <is>
          <t>Optionspreis laut Leasingvertrag</t>
        </is>
      </c>
      <c r="C109" t="inlineStr">
        <is>
          <t>BELEG</t>
        </is>
      </c>
      <c r="D109" t="inlineStr">
        <is>
          <t>added</t>
        </is>
      </c>
    </row>
    <row r="110">
      <c r="A110" t="inlineStr">
        <is>
          <t>Belege</t>
        </is>
      </c>
      <c r="B110" t="inlineStr">
        <is>
          <t>Grundmietzeit in Monaten</t>
        </is>
      </c>
      <c r="C110" t="inlineStr">
        <is>
          <t>BELEG</t>
        </is>
      </c>
      <c r="D110" t="inlineStr">
        <is>
          <t>added</t>
        </is>
      </c>
    </row>
    <row r="111">
      <c r="A111" t="inlineStr">
        <is>
          <t>Belege</t>
        </is>
      </c>
      <c r="B111" t="inlineStr">
        <is>
          <t>Zahlungsintervall der Raten</t>
        </is>
      </c>
      <c r="C111" t="inlineStr">
        <is>
          <t>BELEG</t>
        </is>
      </c>
      <c r="D111" t="inlineStr">
        <is>
          <t>added</t>
        </is>
      </c>
    </row>
    <row r="112">
      <c r="A112" t="inlineStr">
        <is>
          <t>Belege</t>
        </is>
      </c>
      <c r="B112" t="inlineStr">
        <is>
          <t>Fundstelle im Beleg</t>
        </is>
      </c>
      <c r="C112" t="inlineStr">
        <is>
          <t>BELEG</t>
        </is>
      </c>
      <c r="D112" t="inlineStr">
        <is>
          <t>added</t>
        </is>
      </c>
    </row>
    <row r="113">
      <c r="A113" t="inlineStr">
        <is>
          <t>Belege</t>
        </is>
      </c>
      <c r="B113" t="inlineStr">
        <is>
          <t>Lesesicherheit</t>
        </is>
      </c>
      <c r="C113" t="inlineStr">
        <is>
          <t>BELEG</t>
        </is>
      </c>
      <c r="D113" t="inlineStr">
        <is>
          <t>added</t>
        </is>
      </c>
    </row>
    <row r="114">
      <c r="A114" t="inlineStr">
        <is>
          <t>Belegpositionen</t>
        </is>
      </c>
      <c r="B114" t="inlineStr">
        <is>
          <t>Anlagen-Nr.</t>
        </is>
      </c>
      <c r="D114" t="inlineStr">
        <is>
          <t>drop: ABG names the same column 'Anlagen-Nr. laut Position' (newer, says where the number comes from)</t>
        </is>
      </c>
    </row>
    <row r="115">
      <c r="A115" t="inlineStr">
        <is>
          <t>Belegpositionen</t>
        </is>
      </c>
      <c r="B115" t="inlineStr">
        <is>
          <t>Position (Beleg · Pos.)</t>
        </is>
      </c>
      <c r="C115" t="inlineStr">
        <is>
          <t>ABG, BELEG</t>
        </is>
      </c>
      <c r="D115" t="inlineStr">
        <is>
          <t>added</t>
        </is>
      </c>
    </row>
    <row r="116">
      <c r="A116" t="inlineStr">
        <is>
          <t>Belegpositionen</t>
        </is>
      </c>
      <c r="B116" t="inlineStr">
        <is>
          <t>Leistungsbeschreibung</t>
        </is>
      </c>
      <c r="C116" t="inlineStr">
        <is>
          <t>ABG, BELEG</t>
        </is>
      </c>
      <c r="D116" t="inlineStr">
        <is>
          <t>added</t>
        </is>
      </c>
    </row>
    <row r="117">
      <c r="A117" t="inlineStr">
        <is>
          <t>Belegpositionen</t>
        </is>
      </c>
      <c r="B117" t="inlineStr">
        <is>
          <t>Menge</t>
        </is>
      </c>
      <c r="C117" t="inlineStr">
        <is>
          <t>ABG, BELEG</t>
        </is>
      </c>
      <c r="D117" t="inlineStr">
        <is>
          <t>added</t>
        </is>
      </c>
    </row>
    <row r="118">
      <c r="A118" t="inlineStr">
        <is>
          <t>Belegpositionen</t>
        </is>
      </c>
      <c r="B118" t="inlineStr">
        <is>
          <t>Einzelpreis</t>
        </is>
      </c>
      <c r="C118" t="inlineStr">
        <is>
          <t>ABG, BELEG</t>
        </is>
      </c>
      <c r="D118" t="inlineStr">
        <is>
          <t>added</t>
        </is>
      </c>
    </row>
    <row r="119">
      <c r="A119" t="inlineStr">
        <is>
          <t>Belegpositionen</t>
        </is>
      </c>
      <c r="B119" t="inlineStr">
        <is>
          <t>Betrag</t>
        </is>
      </c>
      <c r="C119" t="inlineStr">
        <is>
          <t>ABG, BELEG</t>
        </is>
      </c>
      <c r="D119" t="inlineStr">
        <is>
          <t>added</t>
        </is>
      </c>
    </row>
    <row r="120">
      <c r="A120" t="inlineStr">
        <is>
          <t>Belegpositionen</t>
        </is>
      </c>
      <c r="B120" t="inlineStr">
        <is>
          <t>Anlagen-Nr. laut Position</t>
        </is>
      </c>
      <c r="C120" t="inlineStr">
        <is>
          <t>ABG</t>
        </is>
      </c>
      <c r="D120" t="inlineStr">
        <is>
          <t>added</t>
        </is>
      </c>
    </row>
    <row r="121">
      <c r="A121" t="inlineStr">
        <is>
          <t>Belegpositionen</t>
        </is>
      </c>
      <c r="B121" t="inlineStr">
        <is>
          <t>Zeilen-ID</t>
        </is>
      </c>
      <c r="C121" t="inlineStr">
        <is>
          <t>ABG, BELEG</t>
        </is>
      </c>
      <c r="D121" t="inlineStr">
        <is>
          <t>added</t>
        </is>
      </c>
    </row>
    <row r="122">
      <c r="A122" t="inlineStr">
        <is>
          <t>Aufwandskonten</t>
        </is>
      </c>
      <c r="B122" t="inlineStr">
        <is>
          <t>Buchung (Konto · Buchungsdatum · Beleg)</t>
        </is>
      </c>
      <c r="C122" t="inlineStr">
        <is>
          <t>BELEG</t>
        </is>
      </c>
      <c r="D122" t="inlineStr">
        <is>
          <t>added</t>
        </is>
      </c>
    </row>
    <row r="123">
      <c r="A123" t="inlineStr">
        <is>
          <t>Summen- und Saldenliste</t>
        </is>
      </c>
      <c r="B123" t="inlineStr">
        <is>
          <t>Gruppe laut Mandant</t>
        </is>
      </c>
      <c r="C123" t="inlineStr">
        <is>
          <t>BRAK</t>
        </is>
      </c>
      <c r="D123" t="inlineStr">
        <is>
          <t>added</t>
        </is>
      </c>
    </row>
    <row r="124">
      <c r="A124" t="inlineStr">
        <is>
          <t>Feldkatalog Zugänge</t>
        </is>
      </c>
      <c r="B124" t="inlineStr">
        <is>
          <t>kurs_zu_eur</t>
        </is>
      </c>
      <c r="C124" t="inlineStr">
        <is>
          <t>BRAK, ABG, BELEG</t>
        </is>
      </c>
      <c r="D124" t="inlineStr">
        <is>
          <t>definition changed differently: took ABG (newest)</t>
        </is>
      </c>
    </row>
    <row r="125">
      <c r="A125" t="inlineStr">
        <is>
          <t>Feldkatalog Zugänge</t>
        </is>
      </c>
      <c r="B125" t="inlineStr">
        <is>
          <t>rechnung_nr</t>
        </is>
      </c>
      <c r="C125" t="inlineStr">
        <is>
          <t>BELEG</t>
        </is>
      </c>
      <c r="D125" t="inlineStr">
        <is>
          <t>catalog row for a column the merged tab no longer has: dropped</t>
        </is>
      </c>
    </row>
    <row r="126">
      <c r="A126" t="inlineStr">
        <is>
          <t>Feldkatalog Zugänge</t>
        </is>
      </c>
      <c r="B126" t="inlineStr">
        <is>
          <t>rechnungsdatum</t>
        </is>
      </c>
      <c r="C126" t="inlineStr">
        <is>
          <t>BELEG</t>
        </is>
      </c>
      <c r="D126" t="inlineStr">
        <is>
          <t>catalog row for a column the merged tab no longer has: dropped</t>
        </is>
      </c>
    </row>
    <row r="127">
      <c r="A127" t="inlineStr">
        <is>
          <t>Feldkatalog Zugänge</t>
        </is>
      </c>
      <c r="B127" t="inlineStr">
        <is>
          <t>leistung</t>
        </is>
      </c>
      <c r="C127" t="inlineStr">
        <is>
          <t>BELEG</t>
        </is>
      </c>
      <c r="D127" t="inlineStr">
        <is>
          <t>catalog row for a column the merged tab no longer has: dropped</t>
        </is>
      </c>
    </row>
    <row r="128">
      <c r="A128" t="inlineStr">
        <is>
          <t>Feldkatalog Zugänge</t>
        </is>
      </c>
      <c r="B128" t="inlineStr">
        <is>
          <t>betrag_netto</t>
        </is>
      </c>
      <c r="C128" t="inlineStr">
        <is>
          <t>BELEG</t>
        </is>
      </c>
      <c r="D128" t="inlineStr">
        <is>
          <t>catalog row for a column the merged tab no longer has: dropped</t>
        </is>
      </c>
    </row>
    <row r="129">
      <c r="A129" t="inlineStr">
        <is>
          <t>Feldkatalog Zugänge</t>
        </is>
      </c>
      <c r="B129" t="inlineStr">
        <is>
          <t>aktivierter_betrag</t>
        </is>
      </c>
      <c r="C129" t="inlineStr">
        <is>
          <t>BELEG</t>
        </is>
      </c>
      <c r="D129" t="inlineStr">
        <is>
          <t>catalog row for a column the merged tab no longer has: dropped</t>
        </is>
      </c>
    </row>
    <row r="130">
      <c r="A130" t="inlineStr">
        <is>
          <t>Feldkatalog Zugänge</t>
        </is>
      </c>
      <c r="B130" t="inlineStr">
        <is>
          <t>kontrolle</t>
        </is>
      </c>
      <c r="C130" t="inlineStr">
        <is>
          <t>BELEG</t>
        </is>
      </c>
      <c r="D130" t="inlineStr">
        <is>
          <t>catalog row for a column the merged tab no longer has: dropped</t>
        </is>
      </c>
    </row>
    <row r="131">
      <c r="A131" t="inlineStr">
        <is>
          <t>Feldkatalog Belege</t>
        </is>
      </c>
      <c r="B131" t="inlineStr">
        <is>
          <t>belegart</t>
        </is>
      </c>
      <c r="C131" t="inlineStr">
        <is>
          <t>BELEG, ABG</t>
        </is>
      </c>
      <c r="D131" t="inlineStr">
        <is>
          <t>definition changed differently: took ABG (newest)</t>
        </is>
      </c>
    </row>
    <row r="132">
      <c r="A132" t="inlineStr">
        <is>
          <t>Feldkatalog Belege</t>
        </is>
      </c>
      <c r="B132" t="inlineStr">
        <is>
          <t>bestelldatum</t>
        </is>
      </c>
      <c r="C132" t="inlineStr">
        <is>
          <t>BELEG</t>
        </is>
      </c>
      <c r="D132" t="inlineStr">
        <is>
          <t>catalog row for a column the merged tab no longer has: dropped</t>
        </is>
      </c>
    </row>
    <row r="133">
      <c r="A133" t="inlineStr">
        <is>
          <t>Feldkatalog Belege</t>
        </is>
      </c>
      <c r="B133" t="inlineStr">
        <is>
          <t>iban</t>
        </is>
      </c>
      <c r="C133" t="inlineStr">
        <is>
          <t>BELEG, ABG</t>
        </is>
      </c>
      <c r="D133" t="inlineStr">
        <is>
          <t>definition changed differently: took ABG (newest)</t>
        </is>
      </c>
    </row>
    <row r="134">
      <c r="A134" t="inlineStr">
        <is>
          <t>Feldkatalog Belege</t>
        </is>
      </c>
      <c r="B134" t="inlineStr">
        <is>
          <t>uebergabeort</t>
        </is>
      </c>
      <c r="C134" t="inlineStr">
        <is>
          <t>ABG</t>
        </is>
      </c>
      <c r="D134" t="inlineStr">
        <is>
          <t>catalog row for a column the merged tab no longer has: dropped</t>
        </is>
      </c>
    </row>
    <row r="135">
      <c r="A135" t="inlineStr">
        <is>
          <t>Feldkatalog Belege</t>
        </is>
      </c>
      <c r="B135" t="inlineStr">
        <is>
          <t>incoterm</t>
        </is>
      </c>
      <c r="C135" t="inlineStr">
        <is>
          <t>ABG</t>
        </is>
      </c>
      <c r="D135" t="inlineStr">
        <is>
          <t>catalog row for a column the merged tab no longer has: dropped</t>
        </is>
      </c>
    </row>
    <row r="136">
      <c r="A136" t="inlineStr">
        <is>
          <t>Feldkatalog Belege</t>
        </is>
      </c>
      <c r="B136" t="inlineStr">
        <is>
          <t>incoterm_fassung</t>
        </is>
      </c>
      <c r="C136" t="inlineStr">
        <is>
          <t>ABG</t>
        </is>
      </c>
      <c r="D136" t="inlineStr">
        <is>
          <t>catalog row for a column the merged tab no longer has: dropped</t>
        </is>
      </c>
    </row>
    <row r="137">
      <c r="A137" t="inlineStr">
        <is>
          <t>Feldkatalog Belege</t>
        </is>
      </c>
      <c r="B137" t="inlineStr">
        <is>
          <t>bemerkung</t>
        </is>
      </c>
      <c r="C137" t="inlineStr">
        <is>
          <t>ABG</t>
        </is>
      </c>
      <c r="D137" t="inlineStr">
        <is>
          <t>catalog row for a column the merged tab no longer has: dropped</t>
        </is>
      </c>
    </row>
    <row r="138">
      <c r="A138" t="inlineStr">
        <is>
          <t>Feldkatalog Belegpositionen</t>
        </is>
      </c>
      <c r="B138" t="inlineStr">
        <is>
          <t>position</t>
        </is>
      </c>
      <c r="C138" t="inlineStr">
        <is>
          <t>ABG, BELEG</t>
        </is>
      </c>
      <c r="D138" t="inlineStr">
        <is>
          <t>definition changed differently: took ABG (newest)</t>
        </is>
      </c>
    </row>
    <row r="139">
      <c r="A139" t="inlineStr">
        <is>
          <t>Auswahllisten / Feldkatalog Belege</t>
        </is>
      </c>
      <c r="B139" t="inlineStr">
        <is>
          <t>Zuschussbescheid</t>
        </is>
      </c>
      <c r="C139" t="inlineStr">
        <is>
          <t>ABG vs BELEG</t>
        </is>
      </c>
      <c r="D139" t="inlineStr">
        <is>
          <t>renamed to 'Zuwendungsbescheid' (BELEG's term; column 'Zuschuss laut Zuwendungsbescheid')</t>
        </is>
      </c>
    </row>
    <row r="140">
      <c r="A140" t="inlineStr">
        <is>
          <t>Workbook</t>
        </is>
      </c>
      <c r="B140" t="inlineStr">
        <is>
          <t>A3_LAYOUT_VERSION</t>
        </is>
      </c>
      <c r="C140" t="inlineStr">
        <is>
          <t>BELEG 17, ABG 17, PRAK 17, FIXED 16, BRAK 19</t>
        </is>
      </c>
      <c r="D140" t="inlineStr">
        <is>
          <t>three different layouts all say 17: merged layout = 20</t>
        </is>
      </c>
    </row>
    <row r="141">
      <c r="A141" t="inlineStr">
        <is>
          <t>Workbook</t>
        </is>
      </c>
      <c r="B141" t="inlineStr">
        <is>
          <t>Excel checks</t>
        </is>
      </c>
      <c r="C141" t="inlineStr">
        <is>
          <t>all lines</t>
        </is>
      </c>
      <c r="D141" t="inlineStr">
        <is>
          <t>open: Kontrolle / Differenz / Summe der Posten / AHK 31.12. are still Excel formulas; owner rule 2026-10-15 (workbook = structure only) says A3 writes these values</t>
        </is>
      </c>
    </row>
    <row r="142">
      <c r="A142" t="inlineStr">
        <is>
          <t>Workbook</t>
        </is>
      </c>
      <c r="B142" t="inlineStr">
        <is>
          <t>tab order</t>
        </is>
      </c>
      <c r="D142" t="inlineStr">
        <is>
          <t>proposal: work tabs first, then lists, then every Feldkatalog in the order of its tab (main had Feldkatalog between Gitter and Anlagenverzeichnis)</t>
        </is>
      </c>
    </row>
    <row r="143">
      <c r="A143" t="inlineStr">
        <is>
          <t>Workbook</t>
        </is>
      </c>
      <c r="B143" t="inlineStr">
        <is>
          <t>Feldkatalog</t>
        </is>
      </c>
      <c r="D143" t="inlineStr">
        <is>
          <t>proposal: renamed 'Feldkatalog Anlagenverzeichnis' like every other catalog; code constant FELDKATALOG_SHEET follows</t>
        </is>
      </c>
    </row>
    <row r="145">
      <c r="A145" t="inlineStr">
        <is>
          <t>BRAK</t>
        </is>
      </c>
      <c r="B145" t="inlineStr">
        <is>
          <t>integrate/nessim-latest = brak-x-ftitos-mapper (holds fixed-left-side, list-mapper-left-llm, mapper-left-llm-mehdi)</t>
        </is>
      </c>
    </row>
    <row r="146">
      <c r="A146" t="inlineStr">
        <is>
          <t>BELEG</t>
        </is>
      </c>
      <c r="B146" t="inlineStr">
        <is>
          <t>fix/beleg-mapper = feat/zugaenge-fix-hedi = fix/zugaenge-gate-fields</t>
        </is>
      </c>
    </row>
    <row r="147">
      <c r="A147" t="inlineStr">
        <is>
          <t>ABG</t>
        </is>
      </c>
      <c r="B147" t="inlineStr">
        <is>
          <t>feat/abgaenge (holds feat/zugaenge-praktikant)</t>
        </is>
      </c>
    </row>
    <row r="148">
      <c r="A148" t="inlineStr">
        <is>
          <t>BASE</t>
        </is>
      </c>
      <c r="B148" t="inlineStr">
        <is>
          <t>main line (origin/main, fix/live-state-signals)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2026-10-16T00:48:11Z</dcterms:created>
  <dcterms:modified xsi:type="dcterms:W3CDTF">2026-10-18T13:22:45Z</dcterms:modified>
</cp:coreProperties>
</file>