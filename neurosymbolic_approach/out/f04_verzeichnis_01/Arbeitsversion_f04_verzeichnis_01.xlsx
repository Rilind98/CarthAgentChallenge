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I8" authorId="0" shapeId="0">
      <text>
        <t>Quelle: f04_verzeichnis_01.pdf, Seite 1, Box [304.47, 234.35, 342.0, 241.85] · gedruckt '184.138,91'</t>
      </text>
    </comment>
    <comment ref="S8" authorId="0" shapeId="0">
      <text>
        <t>Quelle: f04_verzeichnis_01.pdf, Seite 1, Box [484.81, 234.35, 514.0, 241.85] · gedruckt '6.733,32'</t>
      </text>
    </comment>
    <comment ref="I9" authorId="0" shapeId="0">
      <text>
        <t>Quelle: f04_verzeichnis_01.pdf, Seite 1, Box [304.47, 320.75, 342.0, 328.25] · gedruckt '475.638,68'</t>
      </text>
    </comment>
    <comment ref="S9" authorId="0" shapeId="0">
      <text>
        <t>Quelle: f04_verzeichnis_01.pdf, Seite 1, Box [476.47, 320.75, 514.0, 328.25] · gedruckt '475.638,68'</t>
      </text>
    </comment>
    <comment ref="I10" authorId="0" shapeId="0">
      <text>
        <t>Quelle: f04_verzeichnis_01.pdf, Seite 1, Box [298.21, 500.75, 342.0, 508.25] · gedruckt '8.506.142,30'</t>
      </text>
    </comment>
    <comment ref="S10" authorId="0" shapeId="0">
      <text>
        <t>Quelle: f04_verzeichnis_01.pdf, Seite 1, Box [470.21, 500.75, 514.0, 508.25] · gedruckt '5.507.725,35'</t>
      </text>
    </comment>
    <comment ref="I11" authorId="0" shapeId="0">
      <text>
        <t>Quelle: f04_verzeichnis_01.pdf, Seite 1, Box [304.47, 665.15, 342.0, 672.65] · gedruckt '950.966,56'</t>
      </text>
    </comment>
    <comment ref="S11" authorId="0" shapeId="0">
      <text>
        <t>Quelle: f04_verzeichnis_01.pdf, Seite 1, Box [476.47, 665.15, 514.0, 672.65] · gedruckt '307.044,59'</t>
      </text>
    </comment>
    <comment ref="I12" authorId="0" shapeId="0">
      <text>
        <t>Quelle: f04_verzeichnis_01.pdf, Seite 2, Box [304.47, 163.55, 342.0, 171.05] · gedruckt '797.521,48'</t>
      </text>
    </comment>
    <comment ref="S12" authorId="0" shapeId="0">
      <text>
        <t>Quelle: f04_verzeichnis_01.pdf, Seite 2, Box [476.47, 163.55, 514.0, 171.05] · gedruckt '350.232,20'</t>
      </text>
    </comment>
    <comment ref="I13" authorId="0" shapeId="0">
      <text>
        <t>Quelle: f04_verzeichnis_01.pdf, Seite 2, Box [304.47, 296.75, 342.0, 304.25] · gedruckt '341.542,94'</t>
      </text>
    </comment>
    <comment ref="S13" authorId="0" shapeId="0">
      <text>
        <t>Quelle: f04_verzeichnis_01.pdf, Seite 2, Box [480.64, 296.75, 514.0, 304.25] · gedruckt '57.571,50'</t>
      </text>
    </comment>
    <comment ref="I14" authorId="0" shapeId="0">
      <text>
        <t>Quelle: f04_verzeichnis_01.pdf, Seite 2, Box [304.47, 476.75, 342.0, 484.25] · gedruckt '915.321,50'</t>
      </text>
    </comment>
    <comment ref="S14" authorId="0" shapeId="0">
      <text>
        <t>Quelle: f04_verzeichnis_01.pdf, Seite 2, Box [476.47, 476.75, 514.0, 484.25] · gedruckt '434.981,45'</t>
      </text>
    </comment>
    <comment ref="I15" authorId="0" shapeId="0">
      <text>
        <t>Quelle: f04_verzeichnis_01.pdf, Seite 2, Box [308.64, 578.75, 342.0, 586.25] · gedruckt '42.457,92'</t>
      </text>
    </comment>
    <comment ref="S15" authorId="0" shapeId="0">
      <text>
        <t>Quelle: f04_verzeichnis_01.pdf, Seite 2, Box [480.64, 578.75, 514.0, 586.25] · gedruckt '14.894,60'</t>
      </text>
    </comment>
    <comment ref="I16" authorId="0" shapeId="0">
      <text>
        <t>Quelle: f04_verzeichnis_01.pdf, Seite 2, Box [308.64, 697.95, 342.0, 705.45] · gedruckt '38.173,17'</t>
      </text>
    </comment>
    <comment ref="S16" authorId="0" shapeId="0">
      <text>
        <t>Quelle: f04_verzeichnis_01.pdf, Seite 2, Box [480.64, 697.95, 514.0, 705.45] · gedruckt '15.018,93'</t>
      </text>
    </comment>
    <comment ref="I17" authorId="0" shapeId="0">
      <text>
        <t>Quelle: f04_verzeichnis_01.pdf, Seite 3, Box [312.81, 163.55, 342.0, 171.05] · gedruckt '2.305,83'</t>
      </text>
    </comment>
    <comment ref="S17" authorId="0" shapeId="0">
      <text>
        <t>Quelle: f04_verzeichnis_01.pdf, Seite 3, Box [499.4, 163.55, 514.0, 171.05] · gedruckt '0,00'</t>
      </text>
    </comment>
    <comment ref="I18" authorId="0" shapeId="0">
      <text>
        <t>Quelle: f04_verzeichnis_01.pdf, Seite 3, Box [308.64, 281.15, 342.0, 288.65] · gedruckt '39.661,26'</t>
      </text>
    </comment>
    <comment ref="S18" authorId="0" shapeId="0">
      <text>
        <t>Quelle: f04_verzeichnis_01.pdf, Seite 3, Box [480.64, 281.15, 514.0, 288.65] · gedruckt '13.936,53'</t>
      </text>
    </comment>
    <comment ref="I19" authorId="0" shapeId="0">
      <text>
        <t>Quelle: f04_verzeichnis_01.pdf, Seite 3, Box [308.64, 351.95, 342.0, 359.45] · gedruckt '32.931,59'</t>
      </text>
    </comment>
    <comment ref="S19" authorId="0" shapeId="0">
      <text>
        <t>Quelle: f04_verzeichnis_01.pdf, Seite 3, Box [480.64, 351.95, 514.0, 359.45] · gedruckt '32.931,59'</t>
      </text>
    </comment>
    <comment ref="I20" authorId="0" shapeId="0">
      <text>
        <t>Quelle: f04_verzeichnis_01.pdf, Seite 3, Box [304.47, 422.75, 342.0, 430.25] · gedruckt '181.516,27'</t>
      </text>
    </comment>
    <comment ref="S20" authorId="0" shapeId="0">
      <text>
        <t>Quelle: f04_verzeichnis_01.pdf, Seite 3, Box [476.47, 422.75, 514.0, 430.25] · gedruckt '157.080,99'</t>
      </text>
    </comment>
  </commentList>
</comments>
</file>

<file path=xl/comments/comment2.xml><?xml version="1.0" encoding="utf-8"?>
<comments xmlns="http://schemas.openxmlformats.org/spreadsheetml/2006/main">
  <authors>
    <author>Datenübernahme</author>
  </authors>
  <commentList>
    <comment ref="AA2" authorId="0" shapeId="0">
      <text>
        <t>Quelle: f04_verzeichnis_01.pdf, Seite 1, Box [308.64, 156.35, 342.0, 163.85] · gedruckt '22.974,45'</t>
      </text>
    </comment>
    <comment ref="AI2" authorId="0" shapeId="0">
      <text>
        <t>Quelle: f04_verzeichnis_01.pdf, Seite 1, Box [499.4, 156.35, 514.0, 163.85] · gedruckt '1,00'</t>
      </text>
    </comment>
    <comment ref="AA3" authorId="0" shapeId="0">
      <text>
        <t>Quelle: f04_verzeichnis_01.pdf, Seite 1, Box [312.81, 171.95, 342.0, 179.45] · gedruckt '7.477,02'</t>
      </text>
    </comment>
    <comment ref="AI3" authorId="0" shapeId="0">
      <text>
        <t>Quelle: f04_verzeichnis_01.pdf, Seite 1, Box [484.81, 171.95, 514.0, 179.45] · gedruckt '6.729,32'</t>
      </text>
    </comment>
    <comment ref="AA4" authorId="0" shapeId="0">
      <text>
        <t>Quelle: f04_verzeichnis_01.pdf, Seite 1, Box [312.81, 187.55, 342.0, 195.05] · gedruckt '4.319,00'</t>
      </text>
    </comment>
    <comment ref="AI4" authorId="0" shapeId="0">
      <text>
        <t>Quelle: f04_verzeichnis_01.pdf, Seite 1, Box [499.4, 187.55, 514.0, 195.05] · gedruckt '1,00'</t>
      </text>
    </comment>
    <comment ref="AA5" authorId="0" shapeId="0">
      <text>
        <t>Quelle: f04_verzeichnis_01.pdf, Seite 1, Box [308.64, 203.15, 342.0, 210.65] · gedruckt '59.912,44'</t>
      </text>
    </comment>
    <comment ref="AI5" authorId="0" shapeId="0">
      <text>
        <t>Quelle: f04_verzeichnis_01.pdf, Seite 1, Box [499.4, 203.15, 514.0, 210.65] · gedruckt '1,00'</t>
      </text>
    </comment>
    <comment ref="AA6" authorId="0" shapeId="0">
      <text>
        <t>Quelle: f04_verzeichnis_01.pdf, Seite 1, Box [308.64, 218.75, 342.0, 226.25] · gedruckt '89.456,00'</t>
      </text>
    </comment>
    <comment ref="AI6" authorId="0" shapeId="0">
      <text>
        <t>Quelle: f04_verzeichnis_01.pdf, Seite 1, Box [499.4, 218.75, 514.0, 226.25] · gedruckt '1,00'</t>
      </text>
    </comment>
    <comment ref="AA7" authorId="0" shapeId="0">
      <text>
        <t>Quelle: f04_verzeichnis_01.pdf, Seite 1, Box [304.47, 273.95, 342.0, 281.45] · gedruckt '164.736,68'</t>
      </text>
    </comment>
    <comment ref="AI7" authorId="0" shapeId="0">
      <text>
        <t>Quelle: f04_verzeichnis_01.pdf, Seite 1, Box [476.47, 273.95, 514.0, 281.45] · gedruckt '164.736,68'</t>
      </text>
    </comment>
    <comment ref="AA8" authorId="0" shapeId="0">
      <text>
        <t>Quelle: f04_verzeichnis_01.pdf, Seite 1, Box [308.64, 289.55, 342.0, 297.05] · gedruckt '43.494,00'</t>
      </text>
    </comment>
    <comment ref="AI8" authorId="0" shapeId="0">
      <text>
        <t>Quelle: f04_verzeichnis_01.pdf, Seite 1, Box [480.64, 289.55, 514.0, 297.05] · gedruckt '43.494,00'</t>
      </text>
    </comment>
    <comment ref="AA9" authorId="0" shapeId="0">
      <text>
        <t>Quelle: f04_verzeichnis_01.pdf, Seite 1, Box [304.47, 305.15, 342.0, 312.65] · gedruckt '267.408,00'</t>
      </text>
    </comment>
    <comment ref="AI9" authorId="0" shapeId="0">
      <text>
        <t>Quelle: f04_verzeichnis_01.pdf, Seite 1, Box [476.47, 305.15, 514.0, 312.65] · gedruckt '267.408,00'</t>
      </text>
    </comment>
    <comment ref="AA10" authorId="0" shapeId="0">
      <text>
        <t>Quelle: f04_verzeichnis_01.pdf, Seite 1, Box [304.47, 360.35, 342.0, 367.85] · gedruckt '796.131,00'</t>
      </text>
    </comment>
    <comment ref="AI10" authorId="0" shapeId="0">
      <text>
        <t>Quelle: f04_verzeichnis_01.pdf, Seite 1, Box [476.47, 360.35, 514.0, 367.85] · gedruckt '741.849,34'</t>
      </text>
    </comment>
    <comment ref="AA11" authorId="0" shapeId="0">
      <text>
        <t>Quelle: f04_verzeichnis_01.pdf, Seite 1, Box [304.47, 375.95, 342.0, 383.45] · gedruckt '205.879,00'</t>
      </text>
    </comment>
    <comment ref="AI11" authorId="0" shapeId="0">
      <text>
        <t>Quelle: f04_verzeichnis_01.pdf, Seite 1, Box [476.47, 375.95, 514.0, 383.45] · gedruckt '194.961,17'</t>
      </text>
    </comment>
    <comment ref="AA12" authorId="0" shapeId="0">
      <text>
        <t>Quelle: f04_verzeichnis_01.pdf, Seite 1, Box [304.47, 391.55, 342.0, 399.05] · gedruckt '207.391,46'</t>
      </text>
    </comment>
    <comment ref="AI12" authorId="0" shapeId="0">
      <text>
        <t>Quelle: f04_verzeichnis_01.pdf, Seite 1, Box [499.4, 391.55, 514.0, 399.05] · gedruckt '1,00'</t>
      </text>
    </comment>
    <comment ref="AA13" authorId="0" shapeId="0">
      <text>
        <t>Quelle: f04_verzeichnis_01.pdf, Seite 1, Box [304.47, 407.15, 342.0, 414.65] · gedruckt '199.601,00'</t>
      </text>
    </comment>
    <comment ref="AI13" authorId="0" shapeId="0">
      <text>
        <t>Quelle: f04_verzeichnis_01.pdf, Seite 1, Box [476.47, 407.15, 514.0, 414.65] · gedruckt '176.919,07'</t>
      </text>
    </comment>
    <comment ref="AA14" authorId="0" shapeId="0">
      <text>
        <t>Quelle: f04_verzeichnis_01.pdf, Seite 1, Box [304.47, 422.75, 342.0, 430.25] · gedruckt '245.650,78'</t>
      </text>
    </comment>
    <comment ref="AI14" authorId="0" shapeId="0">
      <text>
        <t>Quelle: f04_verzeichnis_01.pdf, Seite 1, Box [476.47, 422.75, 514.0, 430.25] · gedruckt '243.169,46'</t>
      </text>
    </comment>
    <comment ref="AA15" authorId="0" shapeId="0">
      <text>
        <t>Quelle: f04_verzeichnis_01.pdf, Seite 1, Box [298.21, 438.35, 342.0, 445.85] · gedruckt '1.952.034,00'</t>
      </text>
    </comment>
    <comment ref="AI15" authorId="0" shapeId="0">
      <text>
        <t>Quelle: f04_verzeichnis_01.pdf, Seite 1, Box [470.21, 438.35, 514.0, 445.85] · gedruckt '1.330.932,27'</t>
      </text>
    </comment>
    <comment ref="AA16" authorId="0" shapeId="0">
      <text>
        <t>Quelle: f04_verzeichnis_01.pdf, Seite 1, Box [304.47, 453.95, 342.0, 461.45] · gedruckt '959.363,82'</t>
      </text>
    </comment>
    <comment ref="AI16" authorId="0" shapeId="0">
      <text>
        <t>Quelle: f04_verzeichnis_01.pdf, Seite 1, Box [476.47, 453.95, 514.0, 461.45] · gedruckt '382.776,47'</t>
      </text>
    </comment>
    <comment ref="AA17" authorId="0" shapeId="0">
      <text>
        <t>Quelle: f04_verzeichnis_01.pdf, Seite 1, Box [298.21, 469.55, 342.0, 477.05] · gedruckt '1.778.066,03'</t>
      </text>
    </comment>
    <comment ref="AI17" authorId="0" shapeId="0">
      <text>
        <t>Quelle: f04_verzeichnis_01.pdf, Seite 1, Box [470.21, 469.55, 514.0, 477.05] · gedruckt '1.279.668,73'</t>
      </text>
    </comment>
    <comment ref="AA18" authorId="0" shapeId="0">
      <text>
        <t>Quelle: f04_verzeichnis_01.pdf, Seite 1, Box [298.21, 485.15, 342.0, 492.65] · gedruckt '2.162.025,21'</t>
      </text>
    </comment>
    <comment ref="AI18" authorId="0" shapeId="0">
      <text>
        <t>Quelle: f04_verzeichnis_01.pdf, Seite 1, Box [470.21, 485.15, 514.0, 492.65] · gedruckt '1.157.447,84'</t>
      </text>
    </comment>
    <comment ref="AA19" authorId="0" shapeId="0">
      <text>
        <t>Quelle: f04_verzeichnis_01.pdf, Seite 1, Box [308.64, 540.35, 342.0, 547.85] · gedruckt '60.293,00'</t>
      </text>
    </comment>
    <comment ref="AI19" authorId="0" shapeId="0">
      <text>
        <t>Quelle: f04_verzeichnis_01.pdf, Seite 1, Box [499.4, 540.35, 514.0, 547.85] · gedruckt '1,00'</t>
      </text>
    </comment>
    <comment ref="AA20" authorId="0" shapeId="0">
      <text>
        <t>Quelle: f04_verzeichnis_01.pdf, Seite 1, Box [308.64, 555.95, 342.0, 563.45] · gedruckt '55.760,45'</t>
      </text>
    </comment>
    <comment ref="AI20" authorId="0" shapeId="0">
      <text>
        <t>Quelle: f04_verzeichnis_01.pdf, Seite 1, Box [480.64, 555.95, 514.0, 563.45] · gedruckt '36.244,29'</t>
      </text>
    </comment>
    <comment ref="AA21" authorId="0" shapeId="0">
      <text>
        <t>Quelle: f04_verzeichnis_01.pdf, Seite 1, Box [304.47, 571.55, 342.0, 579.05] · gedruckt '145.774,00'</t>
      </text>
    </comment>
    <comment ref="AI21" authorId="0" shapeId="0">
      <text>
        <t>Quelle: f04_verzeichnis_01.pdf, Seite 1, Box [480.64, 571.55, 514.0, 579.05] · gedruckt '27.940,02'</t>
      </text>
    </comment>
    <comment ref="AA22" authorId="0" shapeId="0">
      <text>
        <t>Quelle: f04_verzeichnis_01.pdf, Seite 1, Box [304.47, 587.15, 342.0, 594.65] · gedruckt '282.216,45'</t>
      </text>
    </comment>
    <comment ref="AI22" authorId="0" shapeId="0">
      <text>
        <t>Quelle: f04_verzeichnis_01.pdf, Seite 1, Box [499.4, 587.15, 514.0, 594.65] · gedruckt '1,00'</t>
      </text>
    </comment>
    <comment ref="AA23" authorId="0" shapeId="0">
      <text>
        <t>Quelle: f04_verzeichnis_01.pdf, Seite 1, Box [304.47, 602.75, 342.0, 610.25] · gedruckt '257.143,00'</t>
      </text>
    </comment>
    <comment ref="AI23" authorId="0" shapeId="0">
      <text>
        <t>Quelle: f04_verzeichnis_01.pdf, Seite 1, Box [476.47, 602.75, 514.0, 610.25] · gedruckt '242.857,28'</t>
      </text>
    </comment>
    <comment ref="AA24" authorId="0" shapeId="0">
      <text>
        <t>Quelle: f04_verzeichnis_01.pdf, Seite 1, Box [327.4, 618.35, 342.0, 625.85] · gedruckt '0,00'</t>
      </text>
    </comment>
    <comment ref="AI24" authorId="0" shapeId="0">
      <text>
        <t>Quelle: f04_verzeichnis_01.pdf, Seite 1, Box [499.4, 618.35, 514.0, 625.85] · gedruckt '0,00'</t>
      </text>
    </comment>
    <comment ref="AA25" authorId="0" shapeId="0">
      <text>
        <t>Quelle: f04_verzeichnis_01.pdf, Seite 1, Box [304.47, 633.95, 342.0, 641.45] · gedruckt '149.779,66'</t>
      </text>
    </comment>
    <comment ref="AI25" authorId="0" shapeId="0">
      <text>
        <t>Quelle: f04_verzeichnis_01.pdf, Seite 1, Box [499.4, 633.95, 514.0, 641.45] · gedruckt '1,00'</t>
      </text>
    </comment>
    <comment ref="AA26" authorId="0" shapeId="0">
      <text>
        <t>Quelle: f04_verzeichnis_01.pdf, Seite 1, Box [327.4, 649.55, 342.0, 657.05] · gedruckt '0,00'</t>
      </text>
    </comment>
    <comment ref="AI26" authorId="0" shapeId="0">
      <text>
        <t>Quelle: f04_verzeichnis_01.pdf, Seite 1, Box [499.4, 649.55, 514.0, 657.05] · gedruckt '0,00'</t>
      </text>
    </comment>
    <comment ref="AA27" authorId="0" shapeId="0">
      <text>
        <t>Quelle: f04_verzeichnis_01.pdf, Seite 1, Box [304.47, 704.75, 342.0, 712.25] · gedruckt '177.994,00'</t>
      </text>
    </comment>
    <comment ref="AI27" authorId="0" shapeId="0">
      <text>
        <t>Quelle: f04_verzeichnis_01.pdf, Seite 1, Box [480.64, 704.75, 514.0, 712.25] · gedruckt '83.805,51'</t>
      </text>
    </comment>
    <comment ref="AA28" authorId="0" shapeId="0">
      <text>
        <t>Quelle: f04_verzeichnis_01.pdf, Seite 1, Box [308.64, 720.35, 342.0, 727.85] · gedruckt '40.565,18'</t>
      </text>
    </comment>
    <comment ref="AI28" authorId="0" shapeId="0">
      <text>
        <t>Quelle: f04_verzeichnis_01.pdf, Seite 1, Box [499.4, 720.35, 514.0, 727.85] · gedruckt '1,00'</t>
      </text>
    </comment>
    <comment ref="AA29" authorId="0" shapeId="0">
      <text>
        <t>Quelle: f04_verzeichnis_01.pdf, Seite 1, Box [308.64, 735.95, 342.0, 743.45] · gedruckt '53.143,94'</t>
      </text>
    </comment>
    <comment ref="AI29" authorId="0" shapeId="0">
      <text>
        <t>Quelle: f04_verzeichnis_01.pdf, Seite 1, Box [480.64, 735.95, 514.0, 743.45] · gedruckt '52.258,21'</t>
      </text>
    </comment>
    <comment ref="AA30" authorId="0" shapeId="0">
      <text>
        <t>Quelle: f04_verzeichnis_01.pdf, Seite 1, Box [308.64, 751.55, 342.0, 759.05] · gedruckt '82.458,00'</t>
      </text>
    </comment>
    <comment ref="AI30" authorId="0" shapeId="0">
      <text>
        <t>Quelle: f04_verzeichnis_01.pdf, Seite 1, Box [480.64, 751.55, 514.0, 759.05] · gedruckt '50.849,10'</t>
      </text>
    </comment>
    <comment ref="AA31" authorId="0" shapeId="0">
      <text>
        <t>Quelle: f04_verzeichnis_01.pdf, Seite 1, Box [304.47, 767.15, 342.0, 774.65] · gedruckt '128.317,00'</t>
      </text>
    </comment>
    <comment ref="AI31" authorId="0" shapeId="0">
      <text>
        <t>Quelle: f04_verzeichnis_01.pdf, Seite 1, Box [484.81, 767.15, 514.0, 774.65] · gedruckt '6.415,85'</t>
      </text>
    </comment>
    <comment ref="AA32" authorId="0" shapeId="0">
      <text>
        <t>Quelle: f04_verzeichnis_01.pdf, Seite 1, Box [304.47, 782.75, 342.0, 790.25] · gedruckt '147.708,28'</t>
      </text>
    </comment>
    <comment ref="AI32" authorId="0" shapeId="0">
      <text>
        <t>Quelle: f04_verzeichnis_01.pdf, Seite 1, Box [480.64, 782.75, 514.0, 790.25] · gedruckt '71.392,34'</t>
      </text>
    </comment>
    <comment ref="AA33" authorId="0" shapeId="0">
      <text>
        <t>Quelle: f04_verzeichnis_01.pdf, Seite 2, Box [308.64, 132.35, 342.0, 139.85] · gedruckt '26.366,00'</t>
      </text>
    </comment>
    <comment ref="AI33" authorId="0" shapeId="0">
      <text>
        <t>Quelle: f04_verzeichnis_01.pdf, Seite 2, Box [480.64, 132.35, 514.0, 139.85] · gedruckt '10.326,68'</t>
      </text>
    </comment>
    <comment ref="AA34" authorId="0" shapeId="0">
      <text>
        <t>Quelle: f04_verzeichnis_01.pdf, Seite 2, Box [304.47, 147.95, 342.0, 155.45] · gedruckt '140.969,08'</t>
      </text>
    </comment>
    <comment ref="AI34" authorId="0" shapeId="0">
      <text>
        <t>Quelle: f04_verzeichnis_01.pdf, Seite 2, Box [480.64, 147.95, 514.0, 155.45] · gedruckt '75.183,51'</t>
      </text>
    </comment>
    <comment ref="AA35" authorId="0" shapeId="0">
      <text>
        <t>Quelle: f04_verzeichnis_01.pdf, Seite 2, Box [308.64, 203.15, 342.0, 210.65] · gedruckt '44.618,71'</t>
      </text>
    </comment>
    <comment ref="AI35" authorId="0" shapeId="0">
      <text>
        <t>Quelle: f04_verzeichnis_01.pdf, Seite 2, Box [480.64, 203.15, 514.0, 210.65] · gedruckt '14.872,90'</t>
      </text>
    </comment>
    <comment ref="AA36" authorId="0" shapeId="0">
      <text>
        <t>Quelle: f04_verzeichnis_01.pdf, Seite 2, Box [308.64, 218.75, 342.0, 226.25] · gedruckt '79.772,68'</t>
      </text>
    </comment>
    <comment ref="AI36" authorId="0" shapeId="0">
      <text>
        <t>Quelle: f04_verzeichnis_01.pdf, Seite 2, Box [499.4, 218.75, 514.0, 226.25] · gedruckt '1,00'</t>
      </text>
    </comment>
    <comment ref="AA37" authorId="0" shapeId="0">
      <text>
        <t>Quelle: f04_verzeichnis_01.pdf, Seite 2, Box [308.64, 234.35, 342.0, 241.85] · gedruckt '26.894,05'</t>
      </text>
    </comment>
    <comment ref="AI37" authorId="0" shapeId="0">
      <text>
        <t>Quelle: f04_verzeichnis_01.pdf, Seite 2, Box [480.64, 234.35, 514.0, 241.85] · gedruckt '22.411,71'</t>
      </text>
    </comment>
    <comment ref="AA38" authorId="0" shapeId="0">
      <text>
        <t>Quelle: f04_verzeichnis_01.pdf, Seite 2, Box [308.64, 249.95, 342.0, 257.45] · gedruckt '65.322,50'</t>
      </text>
    </comment>
    <comment ref="AI38" authorId="0" shapeId="0">
      <text>
        <t>Quelle: f04_verzeichnis_01.pdf, Seite 2, Box [499.4, 249.95, 514.0, 257.45] · gedruckt '1,00'</t>
      </text>
    </comment>
    <comment ref="AA39" authorId="0" shapeId="0">
      <text>
        <t>Quelle: f04_verzeichnis_01.pdf, Seite 2, Box [308.64, 265.55, 342.0, 273.05] · gedruckt '73.022,00'</t>
      </text>
    </comment>
    <comment ref="AI39" authorId="0" shapeId="0">
      <text>
        <t>Quelle: f04_verzeichnis_01.pdf, Seite 2, Box [480.64, 265.55, 514.0, 273.05] · gedruckt '20.283,89'</t>
      </text>
    </comment>
    <comment ref="AA40" authorId="0" shapeId="0">
      <text>
        <t>Quelle: f04_verzeichnis_01.pdf, Seite 2, Box [308.64, 281.15, 342.0, 288.65] · gedruckt '51.913,00'</t>
      </text>
    </comment>
    <comment ref="AI40" authorId="0" shapeId="0">
      <text>
        <t>Quelle: f04_verzeichnis_01.pdf, Seite 2, Box [499.4, 281.15, 514.0, 288.65] · gedruckt '1,00'</t>
      </text>
    </comment>
    <comment ref="AA41" authorId="0" shapeId="0">
      <text>
        <t>Quelle: f04_verzeichnis_01.pdf, Seite 2, Box [304.47, 336.35, 342.0, 343.85] · gedruckt '102.963,79'</t>
      </text>
    </comment>
    <comment ref="AI41" authorId="0" shapeId="0">
      <text>
        <t>Quelle: f04_verzeichnis_01.pdf, Seite 2, Box [480.64, 336.35, 514.0, 343.85] · gedruckt '66.735,79'</t>
      </text>
    </comment>
    <comment ref="AA42" authorId="0" shapeId="0">
      <text>
        <t>Quelle: f04_verzeichnis_01.pdf, Seite 2, Box [304.47, 351.95, 342.0, 359.45] · gedruckt '135.202,86'</t>
      </text>
    </comment>
    <comment ref="AI42" authorId="0" shapeId="0">
      <text>
        <t>Quelle: f04_verzeichnis_01.pdf, Seite 2, Box [476.47, 351.95, 514.0, 359.45] · gedruckt '121.432,20'</t>
      </text>
    </comment>
    <comment ref="AA43" authorId="0" shapeId="0">
      <text>
        <t>Quelle: f04_verzeichnis_01.pdf, Seite 2, Box [304.47, 367.55, 342.0, 375.05] · gedruckt '107.207,90'</t>
      </text>
    </comment>
    <comment ref="AI43" authorId="0" shapeId="0">
      <text>
        <t>Quelle: f04_verzeichnis_01.pdf, Seite 2, Box [484.81, 367.55, 514.0, 375.05] · gedruckt '1.985,33'</t>
      </text>
    </comment>
    <comment ref="AA44" authorId="0" shapeId="0">
      <text>
        <t>Quelle: f04_verzeichnis_01.pdf, Seite 2, Box [304.47, 383.15, 342.0, 390.65] · gedruckt '113.233,00'</t>
      </text>
    </comment>
    <comment ref="AI44" authorId="0" shapeId="0">
      <text>
        <t>Quelle: f04_verzeichnis_01.pdf, Seite 2, Box [499.4, 383.15, 514.0, 390.65] · gedruckt '1,00'</t>
      </text>
    </comment>
    <comment ref="AA45" authorId="0" shapeId="0">
      <text>
        <t>Quelle: f04_verzeichnis_01.pdf, Seite 2, Box [308.64, 398.75, 342.0, 406.25] · gedruckt '30.202,40'</t>
      </text>
    </comment>
    <comment ref="AI45" authorId="0" shapeId="0">
      <text>
        <t>Quelle: f04_verzeichnis_01.pdf, Seite 2, Box [480.64, 398.75, 514.0, 406.25] · gedruckt '28.524,49'</t>
      </text>
    </comment>
    <comment ref="AA46" authorId="0" shapeId="0">
      <text>
        <t>Quelle: f04_verzeichnis_01.pdf, Seite 2, Box [308.64, 414.35, 342.0, 421.85] · gedruckt '44.331,00'</t>
      </text>
    </comment>
    <comment ref="AI46" authorId="0" shapeId="0">
      <text>
        <t>Quelle: f04_verzeichnis_01.pdf, Seite 2, Box [499.4, 414.35, 514.0, 421.85] · gedruckt '1,00'</t>
      </text>
    </comment>
    <comment ref="AA47" authorId="0" shapeId="0">
      <text>
        <t>Quelle: f04_verzeichnis_01.pdf, Seite 2, Box [304.47, 429.95, 342.0, 437.45] · gedruckt '161.505,62'</t>
      </text>
    </comment>
    <comment ref="AI47" authorId="0" shapeId="0">
      <text>
        <t>Quelle: f04_verzeichnis_01.pdf, Seite 2, Box [480.64, 429.95, 514.0, 437.45] · gedruckt '34.394,72'</t>
      </text>
    </comment>
    <comment ref="AA48" authorId="0" shapeId="0">
      <text>
        <t>Quelle: f04_verzeichnis_01.pdf, Seite 2, Box [304.47, 445.55, 342.0, 453.05] · gedruckt '171.766,70'</t>
      </text>
    </comment>
    <comment ref="AI48" authorId="0" shapeId="0">
      <text>
        <t>Quelle: f04_verzeichnis_01.pdf, Seite 2, Box [476.47, 445.55, 514.0, 453.05] · gedruckt '157.452,81'</t>
      </text>
    </comment>
    <comment ref="AA49" authorId="0" shapeId="0">
      <text>
        <t>Quelle: f04_verzeichnis_01.pdf, Seite 2, Box [308.64, 461.15, 342.0, 468.65] · gedruckt '48.908,23'</t>
      </text>
    </comment>
    <comment ref="AI49" authorId="0" shapeId="0">
      <text>
        <t>Quelle: f04_verzeichnis_01.pdf, Seite 2, Box [480.64, 461.15, 514.0, 468.65] · gedruckt '24.454,11'</t>
      </text>
    </comment>
    <comment ref="AA50" authorId="0" shapeId="0">
      <text>
        <t>Quelle: f04_verzeichnis_01.pdf, Seite 2, Box [312.81, 516.35, 342.0, 523.85] · gedruckt '1.564,90'</t>
      </text>
    </comment>
    <comment ref="AI50" authorId="0" shapeId="0">
      <text>
        <t>Quelle: f04_verzeichnis_01.pdf, Seite 2, Box [484.81, 516.35, 514.0, 523.85] · gedruckt '1.382,33'</t>
      </text>
    </comment>
    <comment ref="AA51" authorId="0" shapeId="0">
      <text>
        <t>Quelle: f04_verzeichnis_01.pdf, Seite 2, Box [308.64, 531.95, 342.0, 539.45] · gedruckt '26.481,00'</t>
      </text>
    </comment>
    <comment ref="AI51" authorId="0" shapeId="0">
      <text>
        <t>Quelle: f04_verzeichnis_01.pdf, Seite 2, Box [499.4, 531.95, 514.0, 539.45] · gedruckt '1,00'</t>
      </text>
    </comment>
    <comment ref="AA52" authorId="0" shapeId="0">
      <text>
        <t>Quelle: f04_verzeichnis_01.pdf, Seite 2, Box [327.4, 547.55, 342.0, 555.05] · gedruckt '0,00'</t>
      </text>
    </comment>
    <comment ref="AI52" authorId="0" shapeId="0">
      <text>
        <t>Quelle: f04_verzeichnis_01.pdf, Seite 2, Box [499.4, 547.55, 514.0, 555.05] · gedruckt '0,00'</t>
      </text>
    </comment>
    <comment ref="AA53" authorId="0" shapeId="0">
      <text>
        <t>Quelle: f04_verzeichnis_01.pdf, Seite 2, Box [308.64, 563.15, 342.0, 570.65] · gedruckt '14.412,02'</t>
      </text>
    </comment>
    <comment ref="AI53" authorId="0" shapeId="0">
      <text>
        <t>Quelle: f04_verzeichnis_01.pdf, Seite 2, Box [480.64, 563.15, 514.0, 570.65] · gedruckt '13.511,27'</t>
      </text>
    </comment>
    <comment ref="AA54" authorId="0" shapeId="0">
      <text>
        <t>Quelle: f04_verzeichnis_01.pdf, Seite 2, Box [308.64, 618.35, 342.0, 625.85] · gedruckt '16.746,17'</t>
      </text>
    </comment>
    <comment ref="AI54" authorId="0" shapeId="0">
      <text>
        <t>Quelle: f04_verzeichnis_01.pdf, Seite 2, Box [480.64, 618.35, 514.0, 625.85] · gedruckt '12.774,32'</t>
      </text>
    </comment>
    <comment ref="AA55" authorId="0" shapeId="0">
      <text>
        <t>Quelle: f04_verzeichnis_01.pdf, Seite 2, Box [319.06, 633.95, 342.0, 641.45] · gedruckt '787,00'</t>
      </text>
    </comment>
    <comment ref="AI55" authorId="0" shapeId="0">
      <text>
        <t>Quelle: f04_verzeichnis_01.pdf, Seite 2, Box [499.4, 633.95, 514.0, 641.45] · gedruckt '1,00'</t>
      </text>
    </comment>
    <comment ref="AA56" authorId="0" shapeId="0">
      <text>
        <t>Quelle: f04_verzeichnis_01.pdf, Seite 2, Box [312.81, 649.55, 342.0, 657.05] · gedruckt '2.227,00'</t>
      </text>
    </comment>
    <comment ref="AI56" authorId="0" shapeId="0">
      <text>
        <t>Quelle: f04_verzeichnis_01.pdf, Seite 2, Box [499.4, 649.55, 514.0, 657.05] · gedruckt '1,00'</t>
      </text>
    </comment>
    <comment ref="AA57" authorId="0" shapeId="0">
      <text>
        <t>Quelle: f04_verzeichnis_01.pdf, Seite 2, Box [308.64, 673.75, 342.0, 681.25] · gedruckt '18.413,00'</t>
      </text>
    </comment>
    <comment ref="AI57" authorId="0" shapeId="0">
      <text>
        <t>Quelle: f04_verzeichnis_01.pdf, Seite 2, Box [484.81, 673.75, 514.0, 681.25] · gedruckt '2.242,61'</t>
      </text>
    </comment>
    <comment ref="AA58" authorId="0" shapeId="0">
      <text>
        <t>Quelle: f04_verzeichnis_01.pdf, Seite 2, Box [319.06, 737.55, 342.0, 745.05] · gedruckt '370,00'</t>
      </text>
    </comment>
    <comment ref="AI58" authorId="0" shapeId="0">
      <text>
        <t>Quelle: f04_verzeichnis_01.pdf, Seite 2, Box [499.4, 737.55, 514.0, 745.05] · gedruckt '0,00'</t>
      </text>
    </comment>
    <comment ref="AA59" authorId="0" shapeId="0">
      <text>
        <t>Quelle: f04_verzeichnis_01.pdf, Seite 2, Box [319.06, 753.15, 342.0, 760.65] · gedruckt '280,00'</t>
      </text>
    </comment>
    <comment ref="AI59" authorId="0" shapeId="0">
      <text>
        <t>Quelle: f04_verzeichnis_01.pdf, Seite 2, Box [499.4, 753.15, 514.0, 760.65] · gedruckt '0,00'</t>
      </text>
    </comment>
    <comment ref="AA60" authorId="0" shapeId="0">
      <text>
        <t>Quelle: f04_verzeichnis_01.pdf, Seite 2, Box [319.06, 768.75, 342.0, 776.25] · gedruckt '311,00'</t>
      </text>
    </comment>
    <comment ref="AI60" authorId="0" shapeId="0">
      <text>
        <t>Quelle: f04_verzeichnis_01.pdf, Seite 2, Box [499.4, 768.75, 514.0, 776.25] · gedruckt '0,00'</t>
      </text>
    </comment>
    <comment ref="AA61" authorId="0" shapeId="0">
      <text>
        <t>Quelle: f04_verzeichnis_01.pdf, Seite 2, Box [319.06, 784.35, 342.0, 791.85] · gedruckt '608,00'</t>
      </text>
    </comment>
    <comment ref="AI61" authorId="0" shapeId="0">
      <text>
        <t>Quelle: f04_verzeichnis_01.pdf, Seite 2, Box [499.4, 784.35, 514.0, 791.85] · gedruckt '0,00'</t>
      </text>
    </comment>
    <comment ref="AA62" authorId="0" shapeId="0">
      <text>
        <t>Quelle: f04_verzeichnis_01.pdf, Seite 3, Box [319.06, 132.35, 342.0, 139.85] · gedruckt '386,83'</t>
      </text>
    </comment>
    <comment ref="AI62" authorId="0" shapeId="0">
      <text>
        <t>Quelle: f04_verzeichnis_01.pdf, Seite 3, Box [499.4, 132.35, 514.0, 139.85] · gedruckt '0,00'</t>
      </text>
    </comment>
    <comment ref="AA63" authorId="0" shapeId="0">
      <text>
        <t>Quelle: f04_verzeichnis_01.pdf, Seite 3, Box [319.06, 147.95, 342.0, 155.45] · gedruckt '350,00'</t>
      </text>
    </comment>
    <comment ref="AI63" authorId="0" shapeId="0">
      <text>
        <t>Quelle: f04_verzeichnis_01.pdf, Seite 3, Box [499.4, 147.95, 514.0, 155.45] · gedruckt '0,00'</t>
      </text>
    </comment>
    <comment ref="AA64" authorId="0" shapeId="0">
      <text>
        <t>Quelle: f04_verzeichnis_01.pdf, Seite 3, Box [312.81, 203.15, 342.0, 210.65] · gedruckt '1.583,67'</t>
      </text>
    </comment>
    <comment ref="AI64" authorId="0" shapeId="0">
      <text>
        <t>Quelle: f04_verzeichnis_01.pdf, Seite 3, Box [491.06, 203.15, 514.0, 210.65] · gedruckt '703,85'</t>
      </text>
    </comment>
    <comment ref="AA65" authorId="0" shapeId="0">
      <text>
        <t>Quelle: f04_verzeichnis_01.pdf, Seite 3, Box [312.81, 218.75, 342.0, 226.25] · gedruckt '1.218,89'</t>
      </text>
    </comment>
    <comment ref="AI65" authorId="0" shapeId="0">
      <text>
        <t>Quelle: f04_verzeichnis_01.pdf, Seite 3, Box [499.4, 218.75, 514.0, 226.25] · gedruckt '1,00'</t>
      </text>
    </comment>
    <comment ref="AA66" authorId="0" shapeId="0">
      <text>
        <t>Quelle: f04_verzeichnis_01.pdf, Seite 3, Box [312.81, 234.35, 342.0, 241.85] · gedruckt '1.329,00'</t>
      </text>
    </comment>
    <comment ref="AI66" authorId="0" shapeId="0">
      <text>
        <t>Quelle: f04_verzeichnis_01.pdf, Seite 3, Box [499.4, 234.35, 514.0, 241.85] · gedruckt '1,00'</t>
      </text>
    </comment>
    <comment ref="AA67" authorId="0" shapeId="0">
      <text>
        <t>Quelle: f04_verzeichnis_01.pdf, Seite 3, Box [308.64, 249.95, 342.0, 257.45] · gedruckt '14.977,00'</t>
      </text>
    </comment>
    <comment ref="AI67" authorId="0" shapeId="0">
      <text>
        <t>Quelle: f04_verzeichnis_01.pdf, Seite 3, Box [480.64, 249.95, 514.0, 257.45] · gedruckt '13.229,68'</t>
      </text>
    </comment>
    <comment ref="AA68" authorId="0" shapeId="0">
      <text>
        <t>Quelle: f04_verzeichnis_01.pdf, Seite 3, Box [308.64, 265.55, 342.0, 273.05] · gedruckt '20.552,70'</t>
      </text>
    </comment>
    <comment ref="AI68" authorId="0" shapeId="0">
      <text>
        <t>Quelle: f04_verzeichnis_01.pdf, Seite 3, Box [499.4, 265.55, 514.0, 273.05] · gedruckt '1,00'</t>
      </text>
    </comment>
    <comment ref="AA69" authorId="0" shapeId="0">
      <text>
        <t>Quelle: f04_verzeichnis_01.pdf, Seite 3, Box [327.4, 320.75, 342.0, 328.25] · gedruckt '0,00'</t>
      </text>
    </comment>
    <comment ref="AI69" authorId="0" shapeId="0">
      <text>
        <t>Quelle: f04_verzeichnis_01.pdf, Seite 3, Box [499.4, 320.75, 514.0, 328.25] · gedruckt '0,00'</t>
      </text>
    </comment>
    <comment ref="AA70" authorId="0" shapeId="0">
      <text>
        <t>Quelle: f04_verzeichnis_01.pdf, Seite 3, Box [308.64, 336.35, 342.0, 343.85] · gedruckt '32.931,59'</t>
      </text>
    </comment>
    <comment ref="AI70" authorId="0" shapeId="0">
      <text>
        <t>Quelle: f04_verzeichnis_01.pdf, Seite 3, Box [480.64, 336.35, 514.0, 343.85] · gedruckt '32.931,59'</t>
      </text>
    </comment>
    <comment ref="AA71" authorId="0" shapeId="0">
      <text>
        <t>Quelle: f04_verzeichnis_01.pdf, Seite 3, Box [304.47, 391.55, 342.0, 399.05] · gedruckt '162.901,89'</t>
      </text>
    </comment>
    <comment ref="AI71" authorId="0" shapeId="0">
      <text>
        <t>Quelle: f04_verzeichnis_01.pdf, Seite 3, Box [476.47, 391.55, 514.0, 399.05] · gedruckt '138.466,61'</t>
      </text>
    </comment>
    <comment ref="AA72" authorId="0" shapeId="0">
      <text>
        <t>Quelle: f04_verzeichnis_01.pdf, Seite 3, Box [308.64, 407.15, 342.0, 414.65] · gedruckt '18.614,38'</t>
      </text>
    </comment>
    <comment ref="AI72" authorId="0" shapeId="0">
      <text>
        <t>Quelle: f04_verzeichnis_01.pdf, Seite 3, Box [480.64, 407.15, 514.0, 414.65] · gedruckt '18.614,38'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f04_verzeichnis_01.pdf</t>
        </is>
      </c>
      <c r="C4" t="inlineStr">
        <is>
          <t>Erkannt: wrapped_description – 2 description(s) continue on the next line</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Summe</t>
        </is>
      </c>
      <c r="D8" s="79" t="n"/>
      <c r="E8" s="79" t="n"/>
      <c r="F8" s="79" t="n"/>
      <c r="G8" s="79" t="n"/>
      <c r="H8" s="79" t="n"/>
      <c r="I8" s="79" t="n">
        <v>184138.91</v>
      </c>
      <c r="J8" s="79" t="n"/>
      <c r="K8" s="79" t="n"/>
      <c r="L8" s="79" t="n"/>
      <c r="M8" s="80" t="n"/>
      <c r="N8" s="79" t="n"/>
      <c r="O8" s="79" t="n"/>
      <c r="P8" s="79" t="n"/>
      <c r="Q8" s="79" t="n"/>
      <c r="R8" s="79" t="n"/>
      <c r="S8" s="79" t="n">
        <v>6733.32</v>
      </c>
      <c r="T8" s="79" t="n"/>
      <c r="U8" s="79" t="n"/>
      <c r="V8" t="inlineStr">
        <is>
          <t>Anlagenklasse</t>
        </is>
      </c>
    </row>
    <row r="9">
      <c r="B9" s="18" t="n"/>
      <c r="C9" s="19" t="inlineStr">
        <is>
          <t>Summe</t>
        </is>
      </c>
      <c r="D9" s="79" t="n"/>
      <c r="E9" s="79" t="n"/>
      <c r="F9" s="79" t="n"/>
      <c r="G9" s="79" t="n"/>
      <c r="H9" s="79" t="n"/>
      <c r="I9" s="79" t="n">
        <v>475638.68</v>
      </c>
      <c r="J9" s="79" t="n"/>
      <c r="K9" s="79" t="n"/>
      <c r="L9" s="79" t="n"/>
      <c r="M9" s="80" t="n"/>
      <c r="N9" s="79" t="n"/>
      <c r="O9" s="79" t="n"/>
      <c r="P9" s="79" t="n"/>
      <c r="Q9" s="79" t="n"/>
      <c r="R9" s="79" t="n"/>
      <c r="S9" s="79" t="n">
        <v>475638.68</v>
      </c>
      <c r="T9" s="79" t="n"/>
      <c r="U9" s="79" t="n"/>
      <c r="V9" t="inlineStr">
        <is>
          <t>Anlagenklasse</t>
        </is>
      </c>
    </row>
    <row r="10">
      <c r="B10" s="18" t="n"/>
      <c r="C10" s="19" t="inlineStr">
        <is>
          <t>Summe</t>
        </is>
      </c>
      <c r="D10" s="79" t="n"/>
      <c r="E10" s="79" t="n"/>
      <c r="F10" s="79" t="n"/>
      <c r="G10" s="79" t="n"/>
      <c r="H10" s="79" t="n"/>
      <c r="I10" s="79" t="n">
        <v>8506142.300000001</v>
      </c>
      <c r="J10" s="79" t="n"/>
      <c r="K10" s="79" t="n"/>
      <c r="L10" s="79" t="n"/>
      <c r="M10" s="80" t="n"/>
      <c r="N10" s="79" t="n"/>
      <c r="O10" s="79" t="n"/>
      <c r="P10" s="79" t="n"/>
      <c r="Q10" s="79" t="n"/>
      <c r="R10" s="79" t="n"/>
      <c r="S10" s="79" t="n">
        <v>5507725.35</v>
      </c>
      <c r="T10" s="79" t="n"/>
      <c r="U10" s="79" t="n"/>
      <c r="V10" t="inlineStr">
        <is>
          <t>Anlagenklasse</t>
        </is>
      </c>
    </row>
    <row r="11">
      <c r="B11" s="18" t="n"/>
      <c r="C11" s="19" t="inlineStr">
        <is>
          <t>Summe</t>
        </is>
      </c>
      <c r="D11" s="79" t="n"/>
      <c r="E11" s="79" t="n"/>
      <c r="F11" s="79" t="n"/>
      <c r="G11" s="79" t="n"/>
      <c r="H11" s="79" t="n"/>
      <c r="I11" s="79" t="n">
        <v>950966.5600000001</v>
      </c>
      <c r="J11" s="79" t="n"/>
      <c r="K11" s="79" t="n"/>
      <c r="L11" s="79" t="n"/>
      <c r="M11" s="80" t="n"/>
      <c r="N11" s="79" t="n"/>
      <c r="O11" s="79" t="n"/>
      <c r="P11" s="79" t="n"/>
      <c r="Q11" s="79" t="n"/>
      <c r="R11" s="79" t="n"/>
      <c r="S11" s="79" t="n">
        <v>307044.59</v>
      </c>
      <c r="T11" s="79" t="n"/>
      <c r="U11" s="79" t="n"/>
      <c r="V11" t="inlineStr">
        <is>
          <t>Anlagenklasse</t>
        </is>
      </c>
    </row>
    <row r="12">
      <c r="B12" s="18" t="n"/>
      <c r="C12" s="19" t="inlineStr">
        <is>
          <t>Summe</t>
        </is>
      </c>
      <c r="D12" s="79" t="n"/>
      <c r="E12" s="79" t="n"/>
      <c r="F12" s="79" t="n"/>
      <c r="G12" s="79" t="n"/>
      <c r="H12" s="79" t="n"/>
      <c r="I12" s="79" t="n">
        <v>797521.48</v>
      </c>
      <c r="J12" s="79" t="n"/>
      <c r="K12" s="79" t="n"/>
      <c r="L12" s="79" t="n"/>
      <c r="M12" s="80" t="n"/>
      <c r="N12" s="79" t="n"/>
      <c r="O12" s="79" t="n"/>
      <c r="P12" s="79" t="n"/>
      <c r="Q12" s="79" t="n"/>
      <c r="R12" s="79" t="n"/>
      <c r="S12" s="79" t="n">
        <v>350232.2</v>
      </c>
      <c r="T12" s="79" t="n"/>
      <c r="U12" s="79" t="n"/>
      <c r="V12" t="inlineStr">
        <is>
          <t>Anlagenklasse</t>
        </is>
      </c>
    </row>
    <row r="13">
      <c r="B13" s="18" t="n"/>
      <c r="C13" s="19" t="inlineStr">
        <is>
          <t>Summe</t>
        </is>
      </c>
      <c r="D13" s="79" t="n"/>
      <c r="E13" s="79" t="n"/>
      <c r="F13" s="79" t="n"/>
      <c r="G13" s="79" t="n"/>
      <c r="H13" s="79" t="n"/>
      <c r="I13" s="79" t="n">
        <v>341542.94</v>
      </c>
      <c r="J13" s="79" t="n"/>
      <c r="K13" s="79" t="n"/>
      <c r="L13" s="79" t="n"/>
      <c r="M13" s="80" t="n"/>
      <c r="N13" s="79" t="n"/>
      <c r="O13" s="79" t="n"/>
      <c r="P13" s="79" t="n"/>
      <c r="Q13" s="79" t="n"/>
      <c r="R13" s="79" t="n"/>
      <c r="S13" s="79" t="n">
        <v>57571.5</v>
      </c>
      <c r="T13" s="79" t="n"/>
      <c r="U13" s="79" t="n"/>
      <c r="V13" t="inlineStr">
        <is>
          <t>Anlagenklasse</t>
        </is>
      </c>
    </row>
    <row r="14">
      <c r="B14" s="18" t="n"/>
      <c r="C14" s="19" t="inlineStr">
        <is>
          <t>Summe</t>
        </is>
      </c>
      <c r="D14" s="79" t="n"/>
      <c r="E14" s="79" t="n"/>
      <c r="F14" s="79" t="n"/>
      <c r="G14" s="79" t="n"/>
      <c r="H14" s="79" t="n"/>
      <c r="I14" s="79" t="n">
        <v>915321.5</v>
      </c>
      <c r="J14" s="79" t="n"/>
      <c r="K14" s="79" t="n"/>
      <c r="L14" s="79" t="n"/>
      <c r="M14" s="80" t="n"/>
      <c r="N14" s="79" t="n"/>
      <c r="O14" s="79" t="n"/>
      <c r="P14" s="79" t="n"/>
      <c r="Q14" s="79" t="n"/>
      <c r="R14" s="79" t="n"/>
      <c r="S14" s="79" t="n">
        <v>434981.45</v>
      </c>
      <c r="T14" s="79" t="n"/>
      <c r="U14" s="79" t="n"/>
      <c r="V14" t="inlineStr">
        <is>
          <t>Anlagenklasse</t>
        </is>
      </c>
    </row>
    <row r="15">
      <c r="B15" s="18" t="n"/>
      <c r="C15" s="19" t="inlineStr">
        <is>
          <t>Summe</t>
        </is>
      </c>
      <c r="D15" s="79" t="n"/>
      <c r="E15" s="79" t="n"/>
      <c r="F15" s="79" t="n"/>
      <c r="G15" s="79" t="n"/>
      <c r="H15" s="79" t="n"/>
      <c r="I15" s="79" t="n">
        <v>42457.92</v>
      </c>
      <c r="J15" s="79" t="n"/>
      <c r="K15" s="79" t="n"/>
      <c r="L15" s="79" t="n"/>
      <c r="M15" s="80" t="n"/>
      <c r="N15" s="79" t="n"/>
      <c r="O15" s="79" t="n"/>
      <c r="P15" s="79" t="n"/>
      <c r="Q15" s="79" t="n"/>
      <c r="R15" s="79" t="n"/>
      <c r="S15" s="79" t="n">
        <v>14894.6</v>
      </c>
      <c r="T15" s="79" t="n"/>
      <c r="U15" s="79" t="n"/>
      <c r="V15" t="inlineStr">
        <is>
          <t>Anlagenklasse</t>
        </is>
      </c>
    </row>
    <row r="16">
      <c r="B16" s="18" t="n"/>
      <c r="C16" s="19" t="inlineStr">
        <is>
          <t>Summe</t>
        </is>
      </c>
      <c r="D16" s="79" t="n"/>
      <c r="E16" s="79" t="n"/>
      <c r="F16" s="79" t="n"/>
      <c r="G16" s="79" t="n"/>
      <c r="H16" s="79" t="n"/>
      <c r="I16" s="79" t="n">
        <v>38173.17</v>
      </c>
      <c r="J16" s="79" t="n"/>
      <c r="K16" s="79" t="n"/>
      <c r="L16" s="79" t="n"/>
      <c r="M16" s="80" t="n"/>
      <c r="N16" s="79" t="n"/>
      <c r="O16" s="79" t="n"/>
      <c r="P16" s="79" t="n"/>
      <c r="Q16" s="79" t="n"/>
      <c r="R16" s="79" t="n"/>
      <c r="S16" s="79" t="n">
        <v>15018.93</v>
      </c>
      <c r="T16" s="79" t="n"/>
      <c r="U16" s="79" t="n"/>
      <c r="V16" t="inlineStr">
        <is>
          <t>Anlagenklasse</t>
        </is>
      </c>
    </row>
    <row r="17">
      <c r="B17" s="18" t="n"/>
      <c r="C17" s="19" t="inlineStr">
        <is>
          <t>Summe</t>
        </is>
      </c>
      <c r="D17" s="79" t="n"/>
      <c r="E17" s="79" t="n"/>
      <c r="F17" s="79" t="n"/>
      <c r="G17" s="79" t="n"/>
      <c r="H17" s="79" t="n"/>
      <c r="I17" s="79" t="n">
        <v>2305.83</v>
      </c>
      <c r="J17" s="79" t="n"/>
      <c r="K17" s="79" t="n"/>
      <c r="L17" s="79" t="n"/>
      <c r="M17" s="80" t="n"/>
      <c r="N17" s="79" t="n"/>
      <c r="O17" s="79" t="n"/>
      <c r="P17" s="79" t="n"/>
      <c r="Q17" s="79" t="n"/>
      <c r="R17" s="79" t="n"/>
      <c r="S17" s="79" t="n">
        <v>0</v>
      </c>
      <c r="T17" s="79" t="n"/>
      <c r="U17" s="79" t="n"/>
      <c r="V17" t="inlineStr">
        <is>
          <t>Anlagenklasse</t>
        </is>
      </c>
    </row>
    <row r="18">
      <c r="B18" s="18" t="n"/>
      <c r="C18" s="19" t="inlineStr">
        <is>
          <t>Summe</t>
        </is>
      </c>
      <c r="D18" s="79" t="n"/>
      <c r="E18" s="79" t="n"/>
      <c r="F18" s="79" t="n"/>
      <c r="G18" s="79" t="n"/>
      <c r="H18" s="79" t="n"/>
      <c r="I18" s="79" t="n">
        <v>39661.26</v>
      </c>
      <c r="J18" s="79" t="n"/>
      <c r="K18" s="79" t="n"/>
      <c r="L18" s="79" t="n"/>
      <c r="M18" s="80" t="n"/>
      <c r="N18" s="79" t="n"/>
      <c r="O18" s="79" t="n"/>
      <c r="P18" s="79" t="n"/>
      <c r="Q18" s="79" t="n"/>
      <c r="R18" s="79" t="n"/>
      <c r="S18" s="79" t="n">
        <v>13936.53</v>
      </c>
      <c r="T18" s="79" t="n"/>
      <c r="U18" s="79" t="n"/>
      <c r="V18" t="inlineStr">
        <is>
          <t>Anlagenklasse</t>
        </is>
      </c>
    </row>
    <row r="19">
      <c r="B19" s="18" t="n"/>
      <c r="C19" s="19" t="inlineStr">
        <is>
          <t>Summe</t>
        </is>
      </c>
      <c r="D19" s="79" t="n"/>
      <c r="E19" s="79" t="n"/>
      <c r="F19" s="79" t="n"/>
      <c r="G19" s="79" t="n"/>
      <c r="H19" s="79" t="n"/>
      <c r="I19" s="79" t="n">
        <v>32931.59</v>
      </c>
      <c r="J19" s="79" t="n"/>
      <c r="K19" s="79" t="n"/>
      <c r="L19" s="79" t="n"/>
      <c r="M19" s="80" t="n"/>
      <c r="N19" s="79" t="n"/>
      <c r="O19" s="79" t="n"/>
      <c r="P19" s="79" t="n"/>
      <c r="Q19" s="79" t="n"/>
      <c r="R19" s="79" t="n"/>
      <c r="S19" s="79" t="n">
        <v>32931.59</v>
      </c>
      <c r="T19" s="79" t="n"/>
      <c r="U19" s="79" t="n"/>
      <c r="V19" t="inlineStr">
        <is>
          <t>Anlagenklasse</t>
        </is>
      </c>
    </row>
    <row r="20">
      <c r="B20" s="18" t="n"/>
      <c r="C20" s="19" t="inlineStr">
        <is>
          <t>Summe</t>
        </is>
      </c>
      <c r="D20" s="79" t="n"/>
      <c r="E20" s="79" t="n"/>
      <c r="F20" s="79" t="n"/>
      <c r="G20" s="79" t="n"/>
      <c r="H20" s="79" t="n"/>
      <c r="I20" s="79" t="n">
        <v>181516.27</v>
      </c>
      <c r="J20" s="79" t="n"/>
      <c r="K20" s="79" t="n"/>
      <c r="L20" s="79" t="n"/>
      <c r="M20" s="80" t="n"/>
      <c r="N20" s="79" t="n"/>
      <c r="O20" s="79" t="n"/>
      <c r="P20" s="79" t="n"/>
      <c r="Q20" s="79" t="n"/>
      <c r="R20" s="79" t="n"/>
      <c r="S20" s="79" t="n">
        <v>157080.99</v>
      </c>
      <c r="T20" s="79" t="n"/>
      <c r="U20" s="79" t="n"/>
      <c r="V20" t="inlineStr">
        <is>
          <t>Anlagenklasse</t>
        </is>
      </c>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173</t>
        </is>
      </c>
      <c r="B2" s="33" t="inlineStr">
        <is>
          <t>Warenwirtschaft Modul Lager 0</t>
        </is>
      </c>
      <c r="C2" s="33" t="inlineStr">
        <is>
          <t>Konto 027</t>
        </is>
      </c>
      <c r="D2" s="33" t="n"/>
      <c r="E2" s="33" t="n"/>
      <c r="F2" s="33" t="n"/>
      <c r="G2" s="33" t="n"/>
      <c r="H2" s="33" t="inlineStr">
        <is>
          <t>027</t>
        </is>
      </c>
      <c r="I2" s="33" t="n"/>
      <c r="J2" s="33" t="n"/>
      <c r="K2" s="34" t="n">
        <v>43911</v>
      </c>
      <c r="L2" s="34" t="n"/>
      <c r="M2" s="34" t="n"/>
      <c r="N2" s="82" t="n"/>
      <c r="O2" s="82" t="n"/>
      <c r="P2" s="33" t="inlineStr">
        <is>
          <t>linear</t>
        </is>
      </c>
      <c r="Q2" s="34" t="n"/>
      <c r="R2" s="83" t="n"/>
      <c r="S2" s="34" t="n"/>
      <c r="T2" s="33" t="n"/>
      <c r="U2" s="83" t="n"/>
      <c r="V2" s="33" t="n"/>
      <c r="W2" s="83" t="n"/>
      <c r="X2" s="83" t="n"/>
      <c r="Y2" s="83" t="n"/>
      <c r="Z2" s="83" t="n"/>
      <c r="AA2" s="84" t="n">
        <v>22974.45</v>
      </c>
      <c r="AB2" s="83" t="n"/>
      <c r="AC2" s="83" t="n"/>
      <c r="AD2" s="83" t="n"/>
      <c r="AE2" s="83" t="n"/>
      <c r="AF2" s="83" t="n"/>
      <c r="AG2" s="83" t="n"/>
      <c r="AH2" s="84">
        <f>IF(OR($A2="",COUNT(AB2,AC2,AD2,AG2,AE2,AF2)&lt;1),"",AB2+AC2+AD2+AG2-AE2-AF2)</f>
        <v/>
      </c>
      <c r="AI2" s="84" t="n">
        <v>1</v>
      </c>
      <c r="AJ2" s="84">
        <f>IF(OR($A2="",COUNT(W2,AB2)&lt;2),"",W2-AB2)</f>
        <v/>
      </c>
      <c r="AK2" s="83" t="n"/>
      <c r="AL2" s="33" t="n"/>
      <c r="AM2" s="33" t="n"/>
      <c r="AN2" s="83" t="n"/>
      <c r="AO2" s="33" t="n"/>
      <c r="AP2" s="33" t="n"/>
      <c r="AQ2" s="33" t="n"/>
    </row>
    <row r="3">
      <c r="A3" s="33" t="inlineStr">
        <is>
          <t>1879</t>
        </is>
      </c>
      <c r="B3" s="33" t="inlineStr">
        <is>
          <t>Office-Lizenzen 0</t>
        </is>
      </c>
      <c r="C3" s="33" t="inlineStr">
        <is>
          <t>Konto 027</t>
        </is>
      </c>
      <c r="D3" s="33" t="n"/>
      <c r="E3" s="33" t="n"/>
      <c r="F3" s="33" t="n"/>
      <c r="G3" s="33" t="n"/>
      <c r="H3" s="33" t="inlineStr">
        <is>
          <t>027</t>
        </is>
      </c>
      <c r="I3" s="33" t="n"/>
      <c r="J3" s="33" t="n"/>
      <c r="K3" s="34" t="n">
        <v>45862</v>
      </c>
      <c r="L3" s="34" t="n"/>
      <c r="M3" s="34" t="n"/>
      <c r="N3" s="82" t="n"/>
      <c r="O3" s="82" t="n"/>
      <c r="P3" s="33" t="inlineStr">
        <is>
          <t>linear</t>
        </is>
      </c>
      <c r="Q3" s="34" t="n"/>
      <c r="R3" s="83" t="n"/>
      <c r="S3" s="34" t="n"/>
      <c r="T3" s="33" t="n"/>
      <c r="U3" s="83" t="n"/>
      <c r="V3" s="33" t="n"/>
      <c r="W3" s="83" t="n"/>
      <c r="X3" s="83" t="n"/>
      <c r="Y3" s="83" t="n"/>
      <c r="Z3" s="83" t="n"/>
      <c r="AA3" s="84" t="n">
        <v>7477.02</v>
      </c>
      <c r="AB3" s="83" t="n"/>
      <c r="AC3" s="83" t="n"/>
      <c r="AD3" s="83" t="n"/>
      <c r="AE3" s="83" t="n"/>
      <c r="AF3" s="83" t="n"/>
      <c r="AG3" s="83" t="n"/>
      <c r="AH3" s="84">
        <f>IF(OR($A3="",COUNT(AB3,AC3,AD3,AG3,AE3,AF3)&lt;1),"",AB3+AC3+AD3+AG3-AE3-AF3)</f>
        <v/>
      </c>
      <c r="AI3" s="84" t="n">
        <v>6729.32</v>
      </c>
      <c r="AJ3" s="84">
        <f>IF(OR($A3="",COUNT(W3,AB3)&lt;2),"",W3-AB3)</f>
        <v/>
      </c>
      <c r="AK3" s="83" t="n"/>
      <c r="AL3" s="33" t="n"/>
      <c r="AM3" s="33" t="n"/>
      <c r="AN3" s="83" t="n"/>
      <c r="AO3" s="33" t="n"/>
      <c r="AP3" s="33" t="n"/>
      <c r="AQ3" s="33" t="n"/>
    </row>
    <row r="4">
      <c r="A4" s="33" t="inlineStr">
        <is>
          <t>2942</t>
        </is>
      </c>
      <c r="B4" s="33" t="inlineStr">
        <is>
          <t>Office-Lizenzen 0</t>
        </is>
      </c>
      <c r="C4" s="33" t="inlineStr">
        <is>
          <t>Konto 027</t>
        </is>
      </c>
      <c r="D4" s="33" t="n"/>
      <c r="E4" s="33" t="n"/>
      <c r="F4" s="33" t="n"/>
      <c r="G4" s="33" t="n"/>
      <c r="H4" s="33" t="inlineStr">
        <is>
          <t>027</t>
        </is>
      </c>
      <c r="I4" s="33" t="n"/>
      <c r="J4" s="33" t="n"/>
      <c r="K4" s="34" t="n">
        <v>43801</v>
      </c>
      <c r="L4" s="34" t="n"/>
      <c r="M4" s="34" t="n"/>
      <c r="N4" s="82" t="n"/>
      <c r="O4" s="82" t="n"/>
      <c r="P4" s="33" t="inlineStr">
        <is>
          <t>linear</t>
        </is>
      </c>
      <c r="Q4" s="34" t="n"/>
      <c r="R4" s="83" t="n"/>
      <c r="S4" s="34" t="n"/>
      <c r="T4" s="33" t="n"/>
      <c r="U4" s="83" t="n"/>
      <c r="V4" s="33" t="n"/>
      <c r="W4" s="83" t="n"/>
      <c r="X4" s="83" t="n"/>
      <c r="Y4" s="83" t="n"/>
      <c r="Z4" s="83" t="n"/>
      <c r="AA4" s="84" t="n">
        <v>4319</v>
      </c>
      <c r="AB4" s="83" t="n"/>
      <c r="AC4" s="83" t="n"/>
      <c r="AD4" s="83" t="n"/>
      <c r="AE4" s="83" t="n"/>
      <c r="AF4" s="83" t="n"/>
      <c r="AG4" s="83" t="n"/>
      <c r="AH4" s="84">
        <f>IF(OR($A4="",COUNT(AB4,AC4,AD4,AG4,AE4,AF4)&lt;1),"",AB4+AC4+AD4+AG4-AE4-AF4)</f>
        <v/>
      </c>
      <c r="AI4" s="84" t="n">
        <v>1</v>
      </c>
      <c r="AJ4" s="84">
        <f>IF(OR($A4="",COUNT(W4,AB4)&lt;2),"",W4-AB4)</f>
        <v/>
      </c>
      <c r="AK4" s="83" t="n"/>
      <c r="AL4" s="33" t="n"/>
      <c r="AM4" s="33" t="n"/>
      <c r="AN4" s="83" t="n"/>
      <c r="AO4" s="33" t="n"/>
      <c r="AP4" s="33" t="n"/>
      <c r="AQ4" s="33" t="n"/>
    </row>
    <row r="5">
      <c r="A5" s="33" t="inlineStr">
        <is>
          <t>784</t>
        </is>
      </c>
      <c r="B5" s="33" t="inlineStr">
        <is>
          <t>Office-Lizenzen Typ A48 0</t>
        </is>
      </c>
      <c r="C5" s="33" t="inlineStr">
        <is>
          <t>Konto 027</t>
        </is>
      </c>
      <c r="D5" s="33" t="n"/>
      <c r="E5" s="33" t="n"/>
      <c r="F5" s="33" t="n"/>
      <c r="G5" s="33" t="n"/>
      <c r="H5" s="33" t="inlineStr">
        <is>
          <t>027</t>
        </is>
      </c>
      <c r="I5" s="33" t="n"/>
      <c r="J5" s="33" t="n"/>
      <c r="K5" s="34" t="n">
        <v>44547</v>
      </c>
      <c r="L5" s="34" t="n"/>
      <c r="M5" s="34" t="n"/>
      <c r="N5" s="82" t="n"/>
      <c r="O5" s="82" t="n"/>
      <c r="P5" s="33" t="inlineStr">
        <is>
          <t>linear</t>
        </is>
      </c>
      <c r="Q5" s="34" t="n"/>
      <c r="R5" s="83" t="n"/>
      <c r="S5" s="34" t="n"/>
      <c r="T5" s="33" t="n"/>
      <c r="U5" s="83" t="n"/>
      <c r="V5" s="33" t="n"/>
      <c r="W5" s="83" t="n"/>
      <c r="X5" s="83" t="n"/>
      <c r="Y5" s="83" t="n"/>
      <c r="Z5" s="83" t="n"/>
      <c r="AA5" s="84" t="n">
        <v>59912.44</v>
      </c>
      <c r="AB5" s="83" t="n"/>
      <c r="AC5" s="83" t="n"/>
      <c r="AD5" s="83" t="n"/>
      <c r="AE5" s="83" t="n"/>
      <c r="AF5" s="83" t="n"/>
      <c r="AG5" s="83" t="n"/>
      <c r="AH5" s="84">
        <f>IF(OR($A5="",COUNT(AB5,AC5,AD5,AG5,AE5,AF5)&lt;1),"",AB5+AC5+AD5+AG5-AE5-AF5)</f>
        <v/>
      </c>
      <c r="AI5" s="84" t="n">
        <v>1</v>
      </c>
      <c r="AJ5" s="84">
        <f>IF(OR($A5="",COUNT(W5,AB5)&lt;2),"",W5-AB5)</f>
        <v/>
      </c>
      <c r="AK5" s="83" t="n"/>
      <c r="AL5" s="33" t="n"/>
      <c r="AM5" s="33" t="n"/>
      <c r="AN5" s="83" t="n"/>
      <c r="AO5" s="33" t="n"/>
      <c r="AP5" s="33" t="n"/>
      <c r="AQ5" s="33" t="n"/>
    </row>
    <row r="6">
      <c r="A6" s="33" t="inlineStr">
        <is>
          <t>98</t>
        </is>
      </c>
      <c r="B6" s="33" t="inlineStr">
        <is>
          <t>CAD-Software Lizenz Typ B653 0</t>
        </is>
      </c>
      <c r="C6" s="33" t="inlineStr">
        <is>
          <t>Konto 027</t>
        </is>
      </c>
      <c r="D6" s="33" t="n"/>
      <c r="E6" s="33" t="n"/>
      <c r="F6" s="33" t="n"/>
      <c r="G6" s="33" t="n"/>
      <c r="H6" s="33" t="inlineStr">
        <is>
          <t>027</t>
        </is>
      </c>
      <c r="I6" s="33" t="n"/>
      <c r="J6" s="33" t="n"/>
      <c r="K6" s="34" t="n">
        <v>44145</v>
      </c>
      <c r="L6" s="34" t="n"/>
      <c r="M6" s="34" t="n"/>
      <c r="N6" s="82" t="n"/>
      <c r="O6" s="82" t="n"/>
      <c r="P6" s="33" t="inlineStr">
        <is>
          <t>linear</t>
        </is>
      </c>
      <c r="Q6" s="34" t="n"/>
      <c r="R6" s="83" t="n"/>
      <c r="S6" s="34" t="n"/>
      <c r="T6" s="33" t="n"/>
      <c r="U6" s="83" t="n"/>
      <c r="V6" s="33" t="n"/>
      <c r="W6" s="83" t="n"/>
      <c r="X6" s="83" t="n"/>
      <c r="Y6" s="83" t="n"/>
      <c r="Z6" s="83" t="n"/>
      <c r="AA6" s="84" t="n">
        <v>89456</v>
      </c>
      <c r="AB6" s="83" t="n"/>
      <c r="AC6" s="83" t="n"/>
      <c r="AD6" s="83" t="n"/>
      <c r="AE6" s="83" t="n"/>
      <c r="AF6" s="83" t="n"/>
      <c r="AG6" s="83" t="n"/>
      <c r="AH6" s="84">
        <f>IF(OR($A6="",COUNT(AB6,AC6,AD6,AG6,AE6,AF6)&lt;1),"",AB6+AC6+AD6+AG6-AE6-AF6)</f>
        <v/>
      </c>
      <c r="AI6" s="84" t="n">
        <v>1</v>
      </c>
      <c r="AJ6" s="84">
        <f>IF(OR($A6="",COUNT(W6,AB6)&lt;2),"",W6-AB6)</f>
        <v/>
      </c>
      <c r="AK6" s="83" t="n"/>
      <c r="AL6" s="33" t="n"/>
      <c r="AM6" s="33" t="n"/>
      <c r="AN6" s="83" t="n"/>
      <c r="AO6" s="33" t="n"/>
      <c r="AP6" s="33" t="n"/>
      <c r="AQ6" s="33" t="n"/>
    </row>
    <row r="7">
      <c r="A7" s="33" t="inlineStr">
        <is>
          <t>01</t>
        </is>
      </c>
      <c r="B7" s="33" t="inlineStr">
        <is>
          <t>Grund und Boden Betriebsgelände 0</t>
        </is>
      </c>
      <c r="C7" s="33" t="inlineStr">
        <is>
          <t>Konto 085</t>
        </is>
      </c>
      <c r="D7" s="33" t="n"/>
      <c r="E7" s="33" t="n"/>
      <c r="F7" s="33" t="n"/>
      <c r="G7" s="33" t="n"/>
      <c r="H7" s="33" t="inlineStr">
        <is>
          <t>085</t>
        </is>
      </c>
      <c r="I7" s="33" t="n"/>
      <c r="J7" s="33" t="n"/>
      <c r="K7" s="34" t="n">
        <v>37257</v>
      </c>
      <c r="L7" s="34" t="n"/>
      <c r="M7" s="34" t="n"/>
      <c r="N7" s="82" t="n"/>
      <c r="O7" s="82" t="n"/>
      <c r="P7" s="33" t="inlineStr">
        <is>
          <t>keine AfA</t>
        </is>
      </c>
      <c r="Q7" s="34" t="n"/>
      <c r="R7" s="83" t="n"/>
      <c r="S7" s="34" t="n"/>
      <c r="T7" s="33" t="n"/>
      <c r="U7" s="83" t="n"/>
      <c r="V7" s="33" t="n"/>
      <c r="W7" s="83" t="n"/>
      <c r="X7" s="83" t="n"/>
      <c r="Y7" s="83" t="n"/>
      <c r="Z7" s="83" t="n"/>
      <c r="AA7" s="84" t="n">
        <v>164736.68</v>
      </c>
      <c r="AB7" s="83" t="n"/>
      <c r="AC7" s="83" t="n"/>
      <c r="AD7" s="83" t="n"/>
      <c r="AE7" s="83" t="n"/>
      <c r="AF7" s="83" t="n"/>
      <c r="AG7" s="83" t="n"/>
      <c r="AH7" s="84">
        <f>IF(OR($A7="",COUNT(AB7,AC7,AD7,AG7,AE7,AF7)&lt;1),"",AB7+AC7+AD7+AG7-AE7-AF7)</f>
        <v/>
      </c>
      <c r="AI7" s="84" t="n">
        <v>164736.68</v>
      </c>
      <c r="AJ7" s="84">
        <f>IF(OR($A7="",COUNT(W7,AB7)&lt;2),"",W7-AB7)</f>
        <v/>
      </c>
      <c r="AK7" s="83" t="n"/>
      <c r="AL7" s="33" t="n"/>
      <c r="AM7" s="33" t="n"/>
      <c r="AN7" s="83" t="n"/>
      <c r="AO7" s="33" t="n"/>
      <c r="AP7" s="33" t="n"/>
      <c r="AQ7" s="33" t="n"/>
    </row>
    <row r="8">
      <c r="A8" s="33" t="inlineStr">
        <is>
          <t>02</t>
        </is>
      </c>
      <c r="B8" s="33" t="inlineStr">
        <is>
          <t>Grund und Boden Betriebsgelände 0</t>
        </is>
      </c>
      <c r="C8" s="33" t="inlineStr">
        <is>
          <t>Konto 085</t>
        </is>
      </c>
      <c r="D8" s="33" t="n"/>
      <c r="E8" s="33" t="n"/>
      <c r="F8" s="33" t="n"/>
      <c r="G8" s="33" t="n"/>
      <c r="H8" s="33" t="inlineStr">
        <is>
          <t>085</t>
        </is>
      </c>
      <c r="I8" s="33" t="n"/>
      <c r="J8" s="33" t="n"/>
      <c r="K8" s="34" t="n">
        <v>40179</v>
      </c>
      <c r="L8" s="34" t="n"/>
      <c r="M8" s="34" t="n"/>
      <c r="N8" s="82" t="n"/>
      <c r="O8" s="82" t="n"/>
      <c r="P8" s="33" t="inlineStr">
        <is>
          <t>keine AfA</t>
        </is>
      </c>
      <c r="Q8" s="34" t="n"/>
      <c r="R8" s="83" t="n"/>
      <c r="S8" s="34" t="n"/>
      <c r="T8" s="33" t="n"/>
      <c r="U8" s="83" t="n"/>
      <c r="V8" s="33" t="n"/>
      <c r="W8" s="83" t="n"/>
      <c r="X8" s="83" t="n"/>
      <c r="Y8" s="83" t="n"/>
      <c r="Z8" s="83" t="n"/>
      <c r="AA8" s="84" t="n">
        <v>43494</v>
      </c>
      <c r="AB8" s="83" t="n"/>
      <c r="AC8" s="83" t="n"/>
      <c r="AD8" s="83" t="n"/>
      <c r="AE8" s="83" t="n"/>
      <c r="AF8" s="83" t="n"/>
      <c r="AG8" s="83" t="n"/>
      <c r="AH8" s="84">
        <f>IF(OR($A8="",COUNT(AB8,AC8,AD8,AG8,AE8,AF8)&lt;1),"",AB8+AC8+AD8+AG8-AE8-AF8)</f>
        <v/>
      </c>
      <c r="AI8" s="84" t="n">
        <v>43494</v>
      </c>
      <c r="AJ8" s="84">
        <f>IF(OR($A8="",COUNT(W8,AB8)&lt;2),"",W8-AB8)</f>
        <v/>
      </c>
      <c r="AK8" s="83" t="n"/>
      <c r="AL8" s="33" t="n"/>
      <c r="AM8" s="33" t="n"/>
      <c r="AN8" s="83" t="n"/>
      <c r="AO8" s="33" t="n"/>
      <c r="AP8" s="33" t="n"/>
      <c r="AQ8" s="33" t="n"/>
    </row>
    <row r="9">
      <c r="A9" s="33" t="inlineStr">
        <is>
          <t>03</t>
        </is>
      </c>
      <c r="B9" s="33" t="inlineStr">
        <is>
          <t>Erweiterungsfläche 0</t>
        </is>
      </c>
      <c r="C9" s="33" t="inlineStr">
        <is>
          <t>Konto 085</t>
        </is>
      </c>
      <c r="D9" s="33" t="n"/>
      <c r="E9" s="33" t="n"/>
      <c r="F9" s="33" t="n"/>
      <c r="G9" s="33" t="n"/>
      <c r="H9" s="33" t="inlineStr">
        <is>
          <t>085</t>
        </is>
      </c>
      <c r="I9" s="33" t="n"/>
      <c r="J9" s="33" t="n"/>
      <c r="K9" s="34" t="n">
        <v>40179</v>
      </c>
      <c r="L9" s="34" t="n"/>
      <c r="M9" s="34" t="n"/>
      <c r="N9" s="82" t="n"/>
      <c r="O9" s="82" t="n"/>
      <c r="P9" s="33" t="inlineStr">
        <is>
          <t>keine AfA</t>
        </is>
      </c>
      <c r="Q9" s="34" t="n"/>
      <c r="R9" s="83" t="n"/>
      <c r="S9" s="34" t="n"/>
      <c r="T9" s="33" t="n"/>
      <c r="U9" s="83" t="n"/>
      <c r="V9" s="33" t="n"/>
      <c r="W9" s="83" t="n"/>
      <c r="X9" s="83" t="n"/>
      <c r="Y9" s="83" t="n"/>
      <c r="Z9" s="83" t="n"/>
      <c r="AA9" s="84" t="n">
        <v>267408</v>
      </c>
      <c r="AB9" s="83" t="n"/>
      <c r="AC9" s="83" t="n"/>
      <c r="AD9" s="83" t="n"/>
      <c r="AE9" s="83" t="n"/>
      <c r="AF9" s="83" t="n"/>
      <c r="AG9" s="83" t="n"/>
      <c r="AH9" s="84">
        <f>IF(OR($A9="",COUNT(AB9,AC9,AD9,AG9,AE9,AF9)&lt;1),"",AB9+AC9+AD9+AG9-AE9-AF9)</f>
        <v/>
      </c>
      <c r="AI9" s="84" t="n">
        <v>267408</v>
      </c>
      <c r="AJ9" s="84">
        <f>IF(OR($A9="",COUNT(W9,AB9)&lt;2),"",W9-AB9)</f>
        <v/>
      </c>
      <c r="AK9" s="83" t="n"/>
      <c r="AL9" s="33" t="n"/>
      <c r="AM9" s="33" t="n"/>
      <c r="AN9" s="83" t="n"/>
      <c r="AO9" s="33" t="n"/>
      <c r="AP9" s="33" t="n"/>
      <c r="AQ9" s="33" t="n"/>
    </row>
    <row r="10">
      <c r="A10" s="33" t="inlineStr">
        <is>
          <t>1632b</t>
        </is>
      </c>
      <c r="B10" s="33" t="inlineStr">
        <is>
          <t>Produktionshalle</t>
        </is>
      </c>
      <c r="C10" s="33" t="inlineStr">
        <is>
          <t>Konto 100</t>
        </is>
      </c>
      <c r="D10" s="33" t="n"/>
      <c r="E10" s="33" t="n"/>
      <c r="F10" s="33" t="n"/>
      <c r="G10" s="33" t="n"/>
      <c r="H10" s="33" t="inlineStr">
        <is>
          <t>100</t>
        </is>
      </c>
      <c r="I10" s="33" t="n"/>
      <c r="J10" s="33" t="n"/>
      <c r="K10" s="34" t="n">
        <v>45210</v>
      </c>
      <c r="L10" s="34" t="n"/>
      <c r="M10" s="34" t="n"/>
      <c r="N10" s="82" t="n"/>
      <c r="O10" s="82" t="n"/>
      <c r="P10" s="33" t="inlineStr">
        <is>
          <t>Gebäude-AfA</t>
        </is>
      </c>
      <c r="Q10" s="34" t="n"/>
      <c r="R10" s="83" t="n"/>
      <c r="S10" s="34" t="n"/>
      <c r="T10" s="33" t="n"/>
      <c r="U10" s="83" t="n"/>
      <c r="V10" s="33" t="n"/>
      <c r="W10" s="83" t="n"/>
      <c r="X10" s="83" t="n"/>
      <c r="Y10" s="83" t="n"/>
      <c r="Z10" s="83" t="n"/>
      <c r="AA10" s="84" t="n">
        <v>796131</v>
      </c>
      <c r="AB10" s="83" t="n"/>
      <c r="AC10" s="83" t="n"/>
      <c r="AD10" s="83" t="n"/>
      <c r="AE10" s="83" t="n"/>
      <c r="AF10" s="83" t="n"/>
      <c r="AG10" s="83" t="n"/>
      <c r="AH10" s="84">
        <f>IF(OR($A10="",COUNT(AB10,AC10,AD10,AG10,AE10,AF10)&lt;1),"",AB10+AC10+AD10+AG10-AE10-AF10)</f>
        <v/>
      </c>
      <c r="AI10" s="84" t="n">
        <v>741849.34</v>
      </c>
      <c r="AJ10" s="84">
        <f>IF(OR($A10="",COUNT(W10,AB10)&lt;2),"",W10-AB10)</f>
        <v/>
      </c>
      <c r="AK10" s="83" t="n"/>
      <c r="AL10" s="33" t="n"/>
      <c r="AM10" s="33" t="n"/>
      <c r="AN10" s="83" t="n"/>
      <c r="AO10" s="33" t="n"/>
      <c r="AP10" s="33" t="n"/>
      <c r="AQ10" s="33" t="n"/>
    </row>
    <row r="11">
      <c r="A11" s="33" t="inlineStr">
        <is>
          <t>1894</t>
        </is>
      </c>
      <c r="B11" s="33" t="inlineStr">
        <is>
          <t>Anbau Sozialtrakt</t>
        </is>
      </c>
      <c r="C11" s="33" t="inlineStr">
        <is>
          <t>Konto 100</t>
        </is>
      </c>
      <c r="D11" s="33" t="n"/>
      <c r="E11" s="33" t="n"/>
      <c r="F11" s="33" t="n"/>
      <c r="G11" s="33" t="n"/>
      <c r="H11" s="33" t="inlineStr">
        <is>
          <t>100</t>
        </is>
      </c>
      <c r="I11" s="33" t="n"/>
      <c r="J11" s="33" t="n"/>
      <c r="K11" s="34" t="n">
        <v>45394</v>
      </c>
      <c r="L11" s="34" t="n"/>
      <c r="M11" s="34" t="n"/>
      <c r="N11" s="82" t="n"/>
      <c r="O11" s="82" t="n"/>
      <c r="P11" s="33" t="inlineStr">
        <is>
          <t>Gebäude-AfA</t>
        </is>
      </c>
      <c r="Q11" s="34" t="n"/>
      <c r="R11" s="83" t="n"/>
      <c r="S11" s="34" t="n"/>
      <c r="T11" s="33" t="n"/>
      <c r="U11" s="83" t="n"/>
      <c r="V11" s="33" t="n"/>
      <c r="W11" s="83" t="n"/>
      <c r="X11" s="83" t="n"/>
      <c r="Y11" s="83" t="n"/>
      <c r="Z11" s="83" t="n"/>
      <c r="AA11" s="84" t="n">
        <v>205879</v>
      </c>
      <c r="AB11" s="83" t="n"/>
      <c r="AC11" s="83" t="n"/>
      <c r="AD11" s="83" t="n"/>
      <c r="AE11" s="83" t="n"/>
      <c r="AF11" s="83" t="n"/>
      <c r="AG11" s="83" t="n"/>
      <c r="AH11" s="84">
        <f>IF(OR($A11="",COUNT(AB11,AC11,AD11,AG11,AE11,AF11)&lt;1),"",AB11+AC11+AD11+AG11-AE11-AF11)</f>
        <v/>
      </c>
      <c r="AI11" s="84" t="n">
        <v>194961.17</v>
      </c>
      <c r="AJ11" s="84">
        <f>IF(OR($A11="",COUNT(W11,AB11)&lt;2),"",W11-AB11)</f>
        <v/>
      </c>
      <c r="AK11" s="83" t="n"/>
      <c r="AL11" s="33" t="n"/>
      <c r="AM11" s="33" t="n"/>
      <c r="AN11" s="83" t="n"/>
      <c r="AO11" s="33" t="n"/>
      <c r="AP11" s="33" t="n"/>
      <c r="AQ11" s="33" t="n"/>
    </row>
    <row r="12">
      <c r="A12" s="33" t="inlineStr">
        <is>
          <t>2108</t>
        </is>
      </c>
      <c r="B12" s="33" t="inlineStr">
        <is>
          <t>Produktionshalle</t>
        </is>
      </c>
      <c r="C12" s="33" t="inlineStr">
        <is>
          <t>Konto 100</t>
        </is>
      </c>
      <c r="D12" s="33" t="n"/>
      <c r="E12" s="33" t="n"/>
      <c r="F12" s="33" t="n"/>
      <c r="G12" s="33" t="n"/>
      <c r="H12" s="33" t="inlineStr">
        <is>
          <t>100</t>
        </is>
      </c>
      <c r="I12" s="33" t="n"/>
      <c r="J12" s="33" t="n"/>
      <c r="K12" s="34" t="n">
        <v>33576</v>
      </c>
      <c r="L12" s="34" t="n"/>
      <c r="M12" s="34" t="n"/>
      <c r="N12" s="82" t="n"/>
      <c r="O12" s="82" t="n"/>
      <c r="P12" s="33" t="inlineStr">
        <is>
          <t>Gebäude-AfA</t>
        </is>
      </c>
      <c r="Q12" s="34" t="n"/>
      <c r="R12" s="83" t="n"/>
      <c r="S12" s="34" t="n"/>
      <c r="T12" s="33" t="n"/>
      <c r="U12" s="83" t="n"/>
      <c r="V12" s="33" t="n"/>
      <c r="W12" s="83" t="n"/>
      <c r="X12" s="83" t="n"/>
      <c r="Y12" s="83" t="n"/>
      <c r="Z12" s="83" t="n"/>
      <c r="AA12" s="84" t="n">
        <v>207391.46</v>
      </c>
      <c r="AB12" s="83" t="n"/>
      <c r="AC12" s="83" t="n"/>
      <c r="AD12" s="83" t="n"/>
      <c r="AE12" s="83" t="n"/>
      <c r="AF12" s="83" t="n"/>
      <c r="AG12" s="83" t="n"/>
      <c r="AH12" s="84">
        <f>IF(OR($A12="",COUNT(AB12,AC12,AD12,AG12,AE12,AF12)&lt;1),"",AB12+AC12+AD12+AG12-AE12-AF12)</f>
        <v/>
      </c>
      <c r="AI12" s="84" t="n">
        <v>1</v>
      </c>
      <c r="AJ12" s="84">
        <f>IF(OR($A12="",COUNT(W12,AB12)&lt;2),"",W12-AB12)</f>
        <v/>
      </c>
      <c r="AK12" s="83" t="n"/>
      <c r="AL12" s="33" t="n"/>
      <c r="AM12" s="33" t="n"/>
      <c r="AN12" s="83" t="n"/>
      <c r="AO12" s="33" t="n"/>
      <c r="AP12" s="33" t="n"/>
      <c r="AQ12" s="33" t="n"/>
    </row>
    <row r="13">
      <c r="A13" s="33" t="inlineStr">
        <is>
          <t>21b</t>
        </is>
      </c>
      <c r="B13" s="33" t="inlineStr">
        <is>
          <t>Lagerhalle</t>
        </is>
      </c>
      <c r="C13" s="33" t="inlineStr">
        <is>
          <t>Konto 100</t>
        </is>
      </c>
      <c r="D13" s="33" t="n"/>
      <c r="E13" s="33" t="n"/>
      <c r="F13" s="33" t="n"/>
      <c r="G13" s="33" t="n"/>
      <c r="H13" s="33" t="inlineStr">
        <is>
          <t>100</t>
        </is>
      </c>
      <c r="I13" s="33" t="n"/>
      <c r="J13" s="33" t="n"/>
      <c r="K13" s="34" t="n">
        <v>44677</v>
      </c>
      <c r="L13" s="34" t="n"/>
      <c r="M13" s="34" t="n"/>
      <c r="N13" s="82" t="n"/>
      <c r="O13" s="82" t="n"/>
      <c r="P13" s="33" t="inlineStr">
        <is>
          <t>Gebäude-AfA</t>
        </is>
      </c>
      <c r="Q13" s="34" t="n"/>
      <c r="R13" s="83" t="n"/>
      <c r="S13" s="34" t="n"/>
      <c r="T13" s="33" t="n"/>
      <c r="U13" s="83" t="n"/>
      <c r="V13" s="33" t="n"/>
      <c r="W13" s="83" t="n"/>
      <c r="X13" s="83" t="n"/>
      <c r="Y13" s="83" t="n"/>
      <c r="Z13" s="83" t="n"/>
      <c r="AA13" s="84" t="n">
        <v>199601</v>
      </c>
      <c r="AB13" s="83" t="n"/>
      <c r="AC13" s="83" t="n"/>
      <c r="AD13" s="83" t="n"/>
      <c r="AE13" s="83" t="n"/>
      <c r="AF13" s="83" t="n"/>
      <c r="AG13" s="83" t="n"/>
      <c r="AH13" s="84">
        <f>IF(OR($A13="",COUNT(AB13,AC13,AD13,AG13,AE13,AF13)&lt;1),"",AB13+AC13+AD13+AG13-AE13-AF13)</f>
        <v/>
      </c>
      <c r="AI13" s="84" t="n">
        <v>176919.07</v>
      </c>
      <c r="AJ13" s="84">
        <f>IF(OR($A13="",COUNT(W13,AB13)&lt;2),"",W13-AB13)</f>
        <v/>
      </c>
      <c r="AK13" s="83" t="n"/>
      <c r="AL13" s="33" t="n"/>
      <c r="AM13" s="33" t="n"/>
      <c r="AN13" s="83" t="n"/>
      <c r="AO13" s="33" t="n"/>
      <c r="AP13" s="33" t="n"/>
      <c r="AQ13" s="33" t="n"/>
    </row>
    <row r="14">
      <c r="A14" s="33" t="inlineStr">
        <is>
          <t>2406</t>
        </is>
      </c>
      <c r="B14" s="33" t="inlineStr">
        <is>
          <t>Produktionshalle</t>
        </is>
      </c>
      <c r="C14" s="33" t="inlineStr">
        <is>
          <t>Konto 100</t>
        </is>
      </c>
      <c r="D14" s="33" t="n"/>
      <c r="E14" s="33" t="n"/>
      <c r="F14" s="33" t="n"/>
      <c r="G14" s="33" t="n"/>
      <c r="H14" s="33" t="inlineStr">
        <is>
          <t>100</t>
        </is>
      </c>
      <c r="I14" s="33" t="n"/>
      <c r="J14" s="33" t="n"/>
      <c r="K14" s="34" t="n">
        <v>45929</v>
      </c>
      <c r="L14" s="34" t="n"/>
      <c r="M14" s="34" t="n"/>
      <c r="N14" s="82" t="n"/>
      <c r="O14" s="82" t="n"/>
      <c r="P14" s="33" t="inlineStr">
        <is>
          <t>Gebäude-AfA</t>
        </is>
      </c>
      <c r="Q14" s="34" t="n"/>
      <c r="R14" s="83" t="n"/>
      <c r="S14" s="34" t="n"/>
      <c r="T14" s="33" t="n"/>
      <c r="U14" s="83" t="n"/>
      <c r="V14" s="33" t="n"/>
      <c r="W14" s="83" t="n"/>
      <c r="X14" s="83" t="n"/>
      <c r="Y14" s="83" t="n"/>
      <c r="Z14" s="83" t="n"/>
      <c r="AA14" s="84" t="n">
        <v>245650.78</v>
      </c>
      <c r="AB14" s="83" t="n"/>
      <c r="AC14" s="83" t="n"/>
      <c r="AD14" s="83" t="n"/>
      <c r="AE14" s="83" t="n"/>
      <c r="AF14" s="83" t="n"/>
      <c r="AG14" s="83" t="n"/>
      <c r="AH14" s="84">
        <f>IF(OR($A14="",COUNT(AB14,AC14,AD14,AG14,AE14,AF14)&lt;1),"",AB14+AC14+AD14+AG14-AE14-AF14)</f>
        <v/>
      </c>
      <c r="AI14" s="84" t="n">
        <v>243169.46</v>
      </c>
      <c r="AJ14" s="84">
        <f>IF(OR($A14="",COUNT(W14,AB14)&lt;2),"",W14-AB14)</f>
        <v/>
      </c>
      <c r="AK14" s="83" t="n"/>
      <c r="AL14" s="33" t="n"/>
      <c r="AM14" s="33" t="n"/>
      <c r="AN14" s="83" t="n"/>
      <c r="AO14" s="33" t="n"/>
      <c r="AP14" s="33" t="n"/>
      <c r="AQ14" s="33" t="n"/>
    </row>
    <row r="15">
      <c r="A15" s="33" t="inlineStr">
        <is>
          <t>249</t>
        </is>
      </c>
      <c r="B15" s="33" t="inlineStr">
        <is>
          <t>Werkstattgebäude</t>
        </is>
      </c>
      <c r="C15" s="33" t="inlineStr">
        <is>
          <t>Konto 100</t>
        </is>
      </c>
      <c r="D15" s="33" t="n"/>
      <c r="E15" s="33" t="n"/>
      <c r="F15" s="33" t="n"/>
      <c r="G15" s="33" t="n"/>
      <c r="H15" s="33" t="inlineStr">
        <is>
          <t>100</t>
        </is>
      </c>
      <c r="I15" s="33" t="n"/>
      <c r="J15" s="33" t="n"/>
      <c r="K15" s="34" t="n">
        <v>42211</v>
      </c>
      <c r="L15" s="34" t="n"/>
      <c r="M15" s="34" t="n"/>
      <c r="N15" s="82" t="n"/>
      <c r="O15" s="82" t="n"/>
      <c r="P15" s="33" t="inlineStr">
        <is>
          <t>Gebäude-AfA</t>
        </is>
      </c>
      <c r="Q15" s="34" t="n"/>
      <c r="R15" s="83" t="n"/>
      <c r="S15" s="34" t="n"/>
      <c r="T15" s="33" t="n"/>
      <c r="U15" s="83" t="n"/>
      <c r="V15" s="33" t="n"/>
      <c r="W15" s="83" t="n"/>
      <c r="X15" s="83" t="n"/>
      <c r="Y15" s="83" t="n"/>
      <c r="Z15" s="83" t="n"/>
      <c r="AA15" s="84" t="n">
        <v>1952034</v>
      </c>
      <c r="AB15" s="83" t="n"/>
      <c r="AC15" s="83" t="n"/>
      <c r="AD15" s="83" t="n"/>
      <c r="AE15" s="83" t="n"/>
      <c r="AF15" s="83" t="n"/>
      <c r="AG15" s="83" t="n"/>
      <c r="AH15" s="84">
        <f>IF(OR($A15="",COUNT(AB15,AC15,AD15,AG15,AE15,AF15)&lt;1),"",AB15+AC15+AD15+AG15-AE15-AF15)</f>
        <v/>
      </c>
      <c r="AI15" s="84" t="n">
        <v>1330932.27</v>
      </c>
      <c r="AJ15" s="84">
        <f>IF(OR($A15="",COUNT(W15,AB15)&lt;2),"",W15-AB15)</f>
        <v/>
      </c>
      <c r="AK15" s="83" t="n"/>
      <c r="AL15" s="33" t="n"/>
      <c r="AM15" s="33" t="n"/>
      <c r="AN15" s="83" t="n"/>
      <c r="AO15" s="33" t="n"/>
      <c r="AP15" s="33" t="n"/>
      <c r="AQ15" s="33" t="n"/>
    </row>
    <row r="16">
      <c r="A16" s="33" t="inlineStr">
        <is>
          <t>40</t>
        </is>
      </c>
      <c r="B16" s="33" t="inlineStr">
        <is>
          <t>Werkstattgebäude</t>
        </is>
      </c>
      <c r="C16" s="33" t="inlineStr">
        <is>
          <t>Konto 100</t>
        </is>
      </c>
      <c r="D16" s="33" t="n"/>
      <c r="E16" s="33" t="n"/>
      <c r="F16" s="33" t="n"/>
      <c r="G16" s="33" t="n"/>
      <c r="H16" s="33" t="inlineStr">
        <is>
          <t>100</t>
        </is>
      </c>
      <c r="I16" s="33" t="n"/>
      <c r="J16" s="33" t="n"/>
      <c r="K16" s="34" t="n">
        <v>38804</v>
      </c>
      <c r="L16" s="34" t="n"/>
      <c r="M16" s="34" t="n"/>
      <c r="N16" s="82" t="n"/>
      <c r="O16" s="82" t="n"/>
      <c r="P16" s="33" t="inlineStr">
        <is>
          <t>Gebäude-AfA</t>
        </is>
      </c>
      <c r="Q16" s="34" t="n"/>
      <c r="R16" s="83" t="n"/>
      <c r="S16" s="34" t="n"/>
      <c r="T16" s="33" t="n"/>
      <c r="U16" s="83" t="n"/>
      <c r="V16" s="33" t="n"/>
      <c r="W16" s="83" t="n"/>
      <c r="X16" s="83" t="n"/>
      <c r="Y16" s="83" t="n"/>
      <c r="Z16" s="83" t="n"/>
      <c r="AA16" s="84" t="n">
        <v>959363.8199999999</v>
      </c>
      <c r="AB16" s="83" t="n"/>
      <c r="AC16" s="83" t="n"/>
      <c r="AD16" s="83" t="n"/>
      <c r="AE16" s="83" t="n"/>
      <c r="AF16" s="83" t="n"/>
      <c r="AG16" s="83" t="n"/>
      <c r="AH16" s="84">
        <f>IF(OR($A16="",COUNT(AB16,AC16,AD16,AG16,AE16,AF16)&lt;1),"",AB16+AC16+AD16+AG16-AE16-AF16)</f>
        <v/>
      </c>
      <c r="AI16" s="84" t="n">
        <v>382776.47</v>
      </c>
      <c r="AJ16" s="84">
        <f>IF(OR($A16="",COUNT(W16,AB16)&lt;2),"",W16-AB16)</f>
        <v/>
      </c>
      <c r="AK16" s="83" t="n"/>
      <c r="AL16" s="33" t="n"/>
      <c r="AM16" s="33" t="n"/>
      <c r="AN16" s="83" t="n"/>
      <c r="AO16" s="33" t="n"/>
      <c r="AP16" s="33" t="n"/>
      <c r="AQ16" s="33" t="n"/>
    </row>
    <row r="17">
      <c r="A17" s="33" t="inlineStr">
        <is>
          <t>720d</t>
        </is>
      </c>
      <c r="B17" s="33" t="inlineStr">
        <is>
          <t>Produktionshalle</t>
        </is>
      </c>
      <c r="C17" s="33" t="inlineStr">
        <is>
          <t>Konto 100</t>
        </is>
      </c>
      <c r="D17" s="33" t="n"/>
      <c r="E17" s="33" t="n"/>
      <c r="F17" s="33" t="n"/>
      <c r="G17" s="33" t="n"/>
      <c r="H17" s="33" t="inlineStr">
        <is>
          <t>100</t>
        </is>
      </c>
      <c r="I17" s="33" t="n"/>
      <c r="J17" s="33" t="n"/>
      <c r="K17" s="34" t="n">
        <v>42665</v>
      </c>
      <c r="L17" s="34" t="n"/>
      <c r="M17" s="34" t="n"/>
      <c r="N17" s="82" t="n"/>
      <c r="O17" s="82" t="n"/>
      <c r="P17" s="33" t="inlineStr">
        <is>
          <t>Gebäude-AfA</t>
        </is>
      </c>
      <c r="Q17" s="34" t="n"/>
      <c r="R17" s="83" t="n"/>
      <c r="S17" s="34" t="n"/>
      <c r="T17" s="33" t="n"/>
      <c r="U17" s="83" t="n"/>
      <c r="V17" s="33" t="n"/>
      <c r="W17" s="83" t="n"/>
      <c r="X17" s="83" t="n"/>
      <c r="Y17" s="83" t="n"/>
      <c r="Z17" s="83" t="n"/>
      <c r="AA17" s="84" t="n">
        <v>1778066.03</v>
      </c>
      <c r="AB17" s="83" t="n"/>
      <c r="AC17" s="83" t="n"/>
      <c r="AD17" s="83" t="n"/>
      <c r="AE17" s="83" t="n"/>
      <c r="AF17" s="83" t="n"/>
      <c r="AG17" s="83" t="n"/>
      <c r="AH17" s="84">
        <f>IF(OR($A17="",COUNT(AB17,AC17,AD17,AG17,AE17,AF17)&lt;1),"",AB17+AC17+AD17+AG17-AE17-AF17)</f>
        <v/>
      </c>
      <c r="AI17" s="84" t="n">
        <v>1279668.73</v>
      </c>
      <c r="AJ17" s="84">
        <f>IF(OR($A17="",COUNT(W17,AB17)&lt;2),"",W17-AB17)</f>
        <v/>
      </c>
      <c r="AK17" s="83" t="n"/>
      <c r="AL17" s="33" t="n"/>
      <c r="AM17" s="33" t="n"/>
      <c r="AN17" s="83" t="n"/>
      <c r="AO17" s="33" t="n"/>
      <c r="AP17" s="33" t="n"/>
      <c r="AQ17" s="33" t="n"/>
    </row>
    <row r="18">
      <c r="A18" s="33" t="inlineStr">
        <is>
          <t>75</t>
        </is>
      </c>
      <c r="B18" s="33" t="inlineStr">
        <is>
          <t>Werkstattgebäude</t>
        </is>
      </c>
      <c r="C18" s="33" t="inlineStr">
        <is>
          <t>Konto 100</t>
        </is>
      </c>
      <c r="D18" s="33" t="n"/>
      <c r="E18" s="33" t="n"/>
      <c r="F18" s="33" t="n"/>
      <c r="G18" s="33" t="n"/>
      <c r="H18" s="33" t="inlineStr">
        <is>
          <t>100</t>
        </is>
      </c>
      <c r="I18" s="33" t="n"/>
      <c r="J18" s="33" t="n"/>
      <c r="K18" s="34" t="n">
        <v>40427</v>
      </c>
      <c r="L18" s="34" t="n"/>
      <c r="M18" s="34" t="n"/>
      <c r="N18" s="82" t="n"/>
      <c r="O18" s="82" t="n"/>
      <c r="P18" s="33" t="inlineStr">
        <is>
          <t>Gebäude-AfA</t>
        </is>
      </c>
      <c r="Q18" s="34" t="n"/>
      <c r="R18" s="83" t="n"/>
      <c r="S18" s="34" t="n"/>
      <c r="T18" s="33" t="n"/>
      <c r="U18" s="83" t="n"/>
      <c r="V18" s="33" t="n"/>
      <c r="W18" s="83" t="n"/>
      <c r="X18" s="83" t="n"/>
      <c r="Y18" s="83" t="n"/>
      <c r="Z18" s="83" t="n"/>
      <c r="AA18" s="84" t="n">
        <v>2162025.21</v>
      </c>
      <c r="AB18" s="83" t="n"/>
      <c r="AC18" s="83" t="n"/>
      <c r="AD18" s="83" t="n"/>
      <c r="AE18" s="83" t="n"/>
      <c r="AF18" s="83" t="n"/>
      <c r="AG18" s="83" t="n"/>
      <c r="AH18" s="84">
        <f>IF(OR($A18="",COUNT(AB18,AC18,AD18,AG18,AE18,AF18)&lt;1),"",AB18+AC18+AD18+AG18-AE18-AF18)</f>
        <v/>
      </c>
      <c r="AI18" s="84" t="n">
        <v>1157447.84</v>
      </c>
      <c r="AJ18" s="84">
        <f>IF(OR($A18="",COUNT(W18,AB18)&lt;2),"",W18-AB18)</f>
        <v/>
      </c>
      <c r="AK18" s="83" t="n"/>
      <c r="AL18" s="33" t="n"/>
      <c r="AM18" s="33" t="n"/>
      <c r="AN18" s="83" t="n"/>
      <c r="AO18" s="33" t="n"/>
      <c r="AP18" s="33" t="n"/>
      <c r="AQ18" s="33" t="n"/>
    </row>
    <row r="19">
      <c r="A19" s="33" t="inlineStr">
        <is>
          <t>1055</t>
        </is>
      </c>
      <c r="B19" s="33" t="inlineStr">
        <is>
          <t>Etikettiermaschine Halle 1 0</t>
        </is>
      </c>
      <c r="C19" s="33" t="inlineStr">
        <is>
          <t>Konto 210</t>
        </is>
      </c>
      <c r="D19" s="33" t="n"/>
      <c r="E19" s="33" t="n"/>
      <c r="F19" s="33" t="n"/>
      <c r="G19" s="33" t="n"/>
      <c r="H19" s="33" t="inlineStr">
        <is>
          <t>210</t>
        </is>
      </c>
      <c r="I19" s="33" t="n"/>
      <c r="J19" s="33" t="n"/>
      <c r="K19" s="34" t="n">
        <v>40296</v>
      </c>
      <c r="L19" s="34" t="n"/>
      <c r="M19" s="34" t="n"/>
      <c r="N19" s="82" t="n"/>
      <c r="O19" s="82" t="n"/>
      <c r="P19" s="33" t="inlineStr">
        <is>
          <t>linear</t>
        </is>
      </c>
      <c r="Q19" s="34" t="n"/>
      <c r="R19" s="83" t="n"/>
      <c r="S19" s="34" t="n"/>
      <c r="T19" s="33" t="n"/>
      <c r="U19" s="83" t="n"/>
      <c r="V19" s="33" t="n"/>
      <c r="W19" s="83" t="n"/>
      <c r="X19" s="83" t="n"/>
      <c r="Y19" s="83" t="n"/>
      <c r="Z19" s="83" t="n"/>
      <c r="AA19" s="84" t="n">
        <v>60293</v>
      </c>
      <c r="AB19" s="83" t="n"/>
      <c r="AC19" s="83" t="n"/>
      <c r="AD19" s="83" t="n"/>
      <c r="AE19" s="83" t="n"/>
      <c r="AF19" s="83" t="n"/>
      <c r="AG19" s="83" t="n"/>
      <c r="AH19" s="84">
        <f>IF(OR($A19="",COUNT(AB19,AC19,AD19,AG19,AE19,AF19)&lt;1),"",AB19+AC19+AD19+AG19-AE19-AF19)</f>
        <v/>
      </c>
      <c r="AI19" s="84" t="n">
        <v>1</v>
      </c>
      <c r="AJ19" s="84">
        <f>IF(OR($A19="",COUNT(W19,AB19)&lt;2),"",W19-AB19)</f>
        <v/>
      </c>
      <c r="AK19" s="83" t="n"/>
      <c r="AL19" s="33" t="n"/>
      <c r="AM19" s="33" t="n"/>
      <c r="AN19" s="83" t="n"/>
      <c r="AO19" s="33" t="n"/>
      <c r="AP19" s="33" t="n"/>
      <c r="AQ19" s="33" t="n"/>
    </row>
    <row r="20">
      <c r="A20" s="33" t="inlineStr">
        <is>
          <t>24</t>
        </is>
      </c>
      <c r="B20" s="33" t="inlineStr">
        <is>
          <t>Laserschneidanlage 0</t>
        </is>
      </c>
      <c r="C20" s="33" t="inlineStr">
        <is>
          <t>Konto 210</t>
        </is>
      </c>
      <c r="D20" s="33" t="n"/>
      <c r="E20" s="33" t="n"/>
      <c r="F20" s="33" t="n"/>
      <c r="G20" s="33" t="n"/>
      <c r="H20" s="33" t="inlineStr">
        <is>
          <t>210</t>
        </is>
      </c>
      <c r="I20" s="33" t="n"/>
      <c r="J20" s="33" t="n"/>
      <c r="K20" s="34" t="n">
        <v>44752</v>
      </c>
      <c r="L20" s="34" t="n"/>
      <c r="M20" s="34" t="n"/>
      <c r="N20" s="82" t="n"/>
      <c r="O20" s="82" t="n"/>
      <c r="P20" s="33" t="inlineStr">
        <is>
          <t>linear</t>
        </is>
      </c>
      <c r="Q20" s="34" t="n"/>
      <c r="R20" s="83" t="n"/>
      <c r="S20" s="34" t="n"/>
      <c r="T20" s="33" t="n"/>
      <c r="U20" s="83" t="n"/>
      <c r="V20" s="33" t="n"/>
      <c r="W20" s="83" t="n"/>
      <c r="X20" s="83" t="n"/>
      <c r="Y20" s="83" t="n"/>
      <c r="Z20" s="83" t="n"/>
      <c r="AA20" s="84" t="n">
        <v>55760.45</v>
      </c>
      <c r="AB20" s="83" t="n"/>
      <c r="AC20" s="83" t="n"/>
      <c r="AD20" s="83" t="n"/>
      <c r="AE20" s="83" t="n"/>
      <c r="AF20" s="83" t="n"/>
      <c r="AG20" s="83" t="n"/>
      <c r="AH20" s="84">
        <f>IF(OR($A20="",COUNT(AB20,AC20,AD20,AG20,AE20,AF20)&lt;1),"",AB20+AC20+AD20+AG20-AE20-AF20)</f>
        <v/>
      </c>
      <c r="AI20" s="84" t="n">
        <v>36244.29</v>
      </c>
      <c r="AJ20" s="84">
        <f>IF(OR($A20="",COUNT(W20,AB20)&lt;2),"",W20-AB20)</f>
        <v/>
      </c>
      <c r="AK20" s="83" t="n"/>
      <c r="AL20" s="33" t="n"/>
      <c r="AM20" s="33" t="n"/>
      <c r="AN20" s="83" t="n"/>
      <c r="AO20" s="33" t="n"/>
      <c r="AP20" s="33" t="n"/>
      <c r="AQ20" s="33" t="n"/>
    </row>
    <row r="21">
      <c r="A21" s="33" t="inlineStr">
        <is>
          <t>2553</t>
        </is>
      </c>
      <c r="B21" s="33" t="inlineStr">
        <is>
          <t>Etikettiermaschine 0</t>
        </is>
      </c>
      <c r="C21" s="33" t="inlineStr">
        <is>
          <t>Konto 210</t>
        </is>
      </c>
      <c r="D21" s="33" t="n"/>
      <c r="E21" s="33" t="n"/>
      <c r="F21" s="33" t="n"/>
      <c r="G21" s="33" t="n"/>
      <c r="H21" s="33" t="inlineStr">
        <is>
          <t>210</t>
        </is>
      </c>
      <c r="I21" s="33" t="n"/>
      <c r="J21" s="33" t="n"/>
      <c r="K21" s="34" t="n">
        <v>43088</v>
      </c>
      <c r="L21" s="34" t="n"/>
      <c r="M21" s="34" t="n"/>
      <c r="N21" s="82" t="n"/>
      <c r="O21" s="82" t="n"/>
      <c r="P21" s="33" t="inlineStr">
        <is>
          <t>linear</t>
        </is>
      </c>
      <c r="Q21" s="34" t="n"/>
      <c r="R21" s="83" t="n"/>
      <c r="S21" s="34" t="n"/>
      <c r="T21" s="33" t="n"/>
      <c r="U21" s="83" t="n"/>
      <c r="V21" s="33" t="n"/>
      <c r="W21" s="83" t="n"/>
      <c r="X21" s="83" t="n"/>
      <c r="Y21" s="83" t="n"/>
      <c r="Z21" s="83" t="n"/>
      <c r="AA21" s="84" t="n">
        <v>145774</v>
      </c>
      <c r="AB21" s="83" t="n"/>
      <c r="AC21" s="83" t="n"/>
      <c r="AD21" s="83" t="n"/>
      <c r="AE21" s="83" t="n"/>
      <c r="AF21" s="83" t="n"/>
      <c r="AG21" s="83" t="n"/>
      <c r="AH21" s="84">
        <f>IF(OR($A21="",COUNT(AB21,AC21,AD21,AG21,AE21,AF21)&lt;1),"",AB21+AC21+AD21+AG21-AE21-AF21)</f>
        <v/>
      </c>
      <c r="AI21" s="84" t="n">
        <v>27940.02</v>
      </c>
      <c r="AJ21" s="84">
        <f>IF(OR($A21="",COUNT(W21,AB21)&lt;2),"",W21-AB21)</f>
        <v/>
      </c>
      <c r="AK21" s="83" t="n"/>
      <c r="AL21" s="33" t="n"/>
      <c r="AM21" s="33" t="n"/>
      <c r="AN21" s="83" t="n"/>
      <c r="AO21" s="33" t="n"/>
      <c r="AP21" s="33" t="n"/>
      <c r="AQ21" s="33" t="n"/>
    </row>
    <row r="22">
      <c r="A22" s="33" t="inlineStr">
        <is>
          <t>311</t>
        </is>
      </c>
      <c r="B22" s="33" t="inlineStr">
        <is>
          <t>Laserschneidanlage Halle 4 0</t>
        </is>
      </c>
      <c r="C22" s="33" t="inlineStr">
        <is>
          <t>Konto 210</t>
        </is>
      </c>
      <c r="D22" s="33" t="n"/>
      <c r="E22" s="33" t="n"/>
      <c r="F22" s="33" t="n"/>
      <c r="G22" s="33" t="n"/>
      <c r="H22" s="33" t="inlineStr">
        <is>
          <t>210</t>
        </is>
      </c>
      <c r="I22" s="33" t="n"/>
      <c r="J22" s="33" t="n"/>
      <c r="K22" s="34" t="n">
        <v>41950</v>
      </c>
      <c r="L22" s="34" t="n"/>
      <c r="M22" s="34" t="n"/>
      <c r="N22" s="82" t="n"/>
      <c r="O22" s="82" t="n"/>
      <c r="P22" s="33" t="inlineStr">
        <is>
          <t>linear</t>
        </is>
      </c>
      <c r="Q22" s="34" t="n"/>
      <c r="R22" s="83" t="n"/>
      <c r="S22" s="34" t="n"/>
      <c r="T22" s="33" t="n"/>
      <c r="U22" s="83" t="n"/>
      <c r="V22" s="33" t="n"/>
      <c r="W22" s="83" t="n"/>
      <c r="X22" s="83" t="n"/>
      <c r="Y22" s="83" t="n"/>
      <c r="Z22" s="83" t="n"/>
      <c r="AA22" s="84" t="n">
        <v>282216.45</v>
      </c>
      <c r="AB22" s="83" t="n"/>
      <c r="AC22" s="83" t="n"/>
      <c r="AD22" s="83" t="n"/>
      <c r="AE22" s="83" t="n"/>
      <c r="AF22" s="83" t="n"/>
      <c r="AG22" s="83" t="n"/>
      <c r="AH22" s="84">
        <f>IF(OR($A22="",COUNT(AB22,AC22,AD22,AG22,AE22,AF22)&lt;1),"",AB22+AC22+AD22+AG22-AE22-AF22)</f>
        <v/>
      </c>
      <c r="AI22" s="84" t="n">
        <v>1</v>
      </c>
      <c r="AJ22" s="84">
        <f>IF(OR($A22="",COUNT(W22,AB22)&lt;2),"",W22-AB22)</f>
        <v/>
      </c>
      <c r="AK22" s="83" t="n"/>
      <c r="AL22" s="33" t="n"/>
      <c r="AM22" s="33" t="n"/>
      <c r="AN22" s="83" t="n"/>
      <c r="AO22" s="33" t="n"/>
      <c r="AP22" s="33" t="n"/>
      <c r="AQ22" s="33" t="n"/>
    </row>
    <row r="23">
      <c r="A23" s="33" t="inlineStr">
        <is>
          <t>3396</t>
        </is>
      </c>
      <c r="B23" s="33" t="inlineStr">
        <is>
          <t>Spritzgießmaschine 0</t>
        </is>
      </c>
      <c r="C23" s="33" t="inlineStr">
        <is>
          <t>Konto 210</t>
        </is>
      </c>
      <c r="D23" s="33" t="n"/>
      <c r="E23" s="33" t="n"/>
      <c r="F23" s="33" t="n"/>
      <c r="G23" s="33" t="n"/>
      <c r="H23" s="33" t="inlineStr">
        <is>
          <t>210</t>
        </is>
      </c>
      <c r="I23" s="33" t="n"/>
      <c r="J23" s="33" t="n"/>
      <c r="K23" s="34" t="n">
        <v>45721</v>
      </c>
      <c r="L23" s="34" t="n"/>
      <c r="M23" s="34" t="n"/>
      <c r="N23" s="82" t="n"/>
      <c r="O23" s="82" t="n"/>
      <c r="P23" s="33" t="inlineStr">
        <is>
          <t>linear</t>
        </is>
      </c>
      <c r="Q23" s="34" t="n"/>
      <c r="R23" s="83" t="n"/>
      <c r="S23" s="34" t="n"/>
      <c r="T23" s="33" t="n"/>
      <c r="U23" s="83" t="n"/>
      <c r="V23" s="33" t="n"/>
      <c r="W23" s="83" t="n"/>
      <c r="X23" s="83" t="n"/>
      <c r="Y23" s="83" t="n"/>
      <c r="Z23" s="83" t="n"/>
      <c r="AA23" s="84" t="n">
        <v>257143</v>
      </c>
      <c r="AB23" s="83" t="n"/>
      <c r="AC23" s="83" t="n"/>
      <c r="AD23" s="83" t="n"/>
      <c r="AE23" s="83" t="n"/>
      <c r="AF23" s="83" t="n"/>
      <c r="AG23" s="83" t="n"/>
      <c r="AH23" s="84">
        <f>IF(OR($A23="",COUNT(AB23,AC23,AD23,AG23,AE23,AF23)&lt;1),"",AB23+AC23+AD23+AG23-AE23-AF23)</f>
        <v/>
      </c>
      <c r="AI23" s="84" t="n">
        <v>242857.28</v>
      </c>
      <c r="AJ23" s="84">
        <f>IF(OR($A23="",COUNT(W23,AB23)&lt;2),"",W23-AB23)</f>
        <v/>
      </c>
      <c r="AK23" s="83" t="n"/>
      <c r="AL23" s="33" t="n"/>
      <c r="AM23" s="33" t="n"/>
      <c r="AN23" s="83" t="n"/>
      <c r="AO23" s="33" t="n"/>
      <c r="AP23" s="33" t="n"/>
      <c r="AQ23" s="33" t="n"/>
    </row>
    <row r="24">
      <c r="A24" s="33" t="inlineStr">
        <is>
          <t>34</t>
        </is>
      </c>
      <c r="B24" s="33" t="inlineStr">
        <is>
          <t>CNC-Fräszentrum 5-Achs 0</t>
        </is>
      </c>
      <c r="C24" s="33" t="inlineStr">
        <is>
          <t>Konto 210</t>
        </is>
      </c>
      <c r="D24" s="33" t="n"/>
      <c r="E24" s="33" t="n"/>
      <c r="F24" s="33" t="n"/>
      <c r="G24" s="33" t="n"/>
      <c r="H24" s="33" t="inlineStr">
        <is>
          <t>210</t>
        </is>
      </c>
      <c r="I24" s="33" t="n"/>
      <c r="J24" s="33" t="n"/>
      <c r="K24" s="34" t="n">
        <v>45503</v>
      </c>
      <c r="L24" s="34" t="n"/>
      <c r="M24" s="34" t="n"/>
      <c r="N24" s="82" t="n"/>
      <c r="O24" s="82" t="n"/>
      <c r="P24" s="33" t="inlineStr">
        <is>
          <t>linear</t>
        </is>
      </c>
      <c r="Q24" s="34" t="n"/>
      <c r="R24" s="83" t="n"/>
      <c r="S24" s="34" t="n"/>
      <c r="T24" s="33" t="n"/>
      <c r="U24" s="83" t="n"/>
      <c r="V24" s="33" t="n"/>
      <c r="W24" s="83" t="n"/>
      <c r="X24" s="83" t="n"/>
      <c r="Y24" s="83" t="n"/>
      <c r="Z24" s="83" t="n"/>
      <c r="AA24" s="84" t="n">
        <v>0</v>
      </c>
      <c r="AB24" s="83" t="n"/>
      <c r="AC24" s="83" t="n"/>
      <c r="AD24" s="83" t="n"/>
      <c r="AE24" s="83" t="n"/>
      <c r="AF24" s="83" t="n"/>
      <c r="AG24" s="83" t="n"/>
      <c r="AH24" s="84">
        <f>IF(OR($A24="",COUNT(AB24,AC24,AD24,AG24,AE24,AF24)&lt;1),"",AB24+AC24+AD24+AG24-AE24-AF24)</f>
        <v/>
      </c>
      <c r="AI24" s="84" t="n">
        <v>0</v>
      </c>
      <c r="AJ24" s="84">
        <f>IF(OR($A24="",COUNT(W24,AB24)&lt;2),"",W24-AB24)</f>
        <v/>
      </c>
      <c r="AK24" s="83" t="n"/>
      <c r="AL24" s="33" t="n"/>
      <c r="AM24" s="33" t="n"/>
      <c r="AN24" s="83" t="n"/>
      <c r="AO24" s="33" t="n"/>
      <c r="AP24" s="33" t="n"/>
      <c r="AQ24" s="33" t="n"/>
    </row>
    <row r="25">
      <c r="A25" s="33" t="inlineStr">
        <is>
          <t>464</t>
        </is>
      </c>
      <c r="B25" s="33" t="inlineStr">
        <is>
          <t>Verpackungsmaschine 0</t>
        </is>
      </c>
      <c r="C25" s="33" t="inlineStr">
        <is>
          <t>Konto 210</t>
        </is>
      </c>
      <c r="D25" s="33" t="n"/>
      <c r="E25" s="33" t="n"/>
      <c r="F25" s="33" t="n"/>
      <c r="G25" s="33" t="n"/>
      <c r="H25" s="33" t="inlineStr">
        <is>
          <t>210</t>
        </is>
      </c>
      <c r="I25" s="33" t="n"/>
      <c r="J25" s="33" t="n"/>
      <c r="K25" s="34" t="n">
        <v>42967</v>
      </c>
      <c r="L25" s="34" t="n"/>
      <c r="M25" s="34" t="n"/>
      <c r="N25" s="82" t="n"/>
      <c r="O25" s="82" t="n"/>
      <c r="P25" s="33" t="inlineStr">
        <is>
          <t>linear</t>
        </is>
      </c>
      <c r="Q25" s="34" t="n"/>
      <c r="R25" s="83" t="n"/>
      <c r="S25" s="34" t="n"/>
      <c r="T25" s="33" t="n"/>
      <c r="U25" s="83" t="n"/>
      <c r="V25" s="33" t="n"/>
      <c r="W25" s="83" t="n"/>
      <c r="X25" s="83" t="n"/>
      <c r="Y25" s="83" t="n"/>
      <c r="Z25" s="83" t="n"/>
      <c r="AA25" s="84" t="n">
        <v>149779.66</v>
      </c>
      <c r="AB25" s="83" t="n"/>
      <c r="AC25" s="83" t="n"/>
      <c r="AD25" s="83" t="n"/>
      <c r="AE25" s="83" t="n"/>
      <c r="AF25" s="83" t="n"/>
      <c r="AG25" s="83" t="n"/>
      <c r="AH25" s="84">
        <f>IF(OR($A25="",COUNT(AB25,AC25,AD25,AG25,AE25,AF25)&lt;1),"",AB25+AC25+AD25+AG25-AE25-AF25)</f>
        <v/>
      </c>
      <c r="AI25" s="84" t="n">
        <v>1</v>
      </c>
      <c r="AJ25" s="84">
        <f>IF(OR($A25="",COUNT(W25,AB25)&lt;2),"",W25-AB25)</f>
        <v/>
      </c>
      <c r="AK25" s="83" t="n"/>
      <c r="AL25" s="33" t="n"/>
      <c r="AM25" s="33" t="n"/>
      <c r="AN25" s="83" t="n"/>
      <c r="AO25" s="33" t="n"/>
      <c r="AP25" s="33" t="n"/>
      <c r="AQ25" s="33" t="n"/>
    </row>
    <row r="26">
      <c r="A26" s="33" t="inlineStr">
        <is>
          <t>944</t>
        </is>
      </c>
      <c r="B26" s="33" t="inlineStr">
        <is>
          <t>Laserschneidanlage Nr. 27 0</t>
        </is>
      </c>
      <c r="C26" s="33" t="inlineStr">
        <is>
          <t>Konto 210</t>
        </is>
      </c>
      <c r="D26" s="33" t="n"/>
      <c r="E26" s="33" t="n"/>
      <c r="F26" s="33" t="n"/>
      <c r="G26" s="33" t="n"/>
      <c r="H26" s="33" t="inlineStr">
        <is>
          <t>210</t>
        </is>
      </c>
      <c r="I26" s="33" t="n"/>
      <c r="J26" s="33" t="n"/>
      <c r="K26" s="34" t="n">
        <v>42640</v>
      </c>
      <c r="L26" s="34" t="n"/>
      <c r="M26" s="34" t="n"/>
      <c r="N26" s="82" t="n"/>
      <c r="O26" s="82" t="n"/>
      <c r="P26" s="33" t="inlineStr">
        <is>
          <t>linear</t>
        </is>
      </c>
      <c r="Q26" s="34" t="n"/>
      <c r="R26" s="83" t="n"/>
      <c r="S26" s="34" t="n"/>
      <c r="T26" s="33" t="n"/>
      <c r="U26" s="83" t="n"/>
      <c r="V26" s="33" t="n"/>
      <c r="W26" s="83" t="n"/>
      <c r="X26" s="83" t="n"/>
      <c r="Y26" s="83" t="n"/>
      <c r="Z26" s="83" t="n"/>
      <c r="AA26" s="84" t="n">
        <v>0</v>
      </c>
      <c r="AB26" s="83" t="n"/>
      <c r="AC26" s="83" t="n"/>
      <c r="AD26" s="83" t="n"/>
      <c r="AE26" s="83" t="n"/>
      <c r="AF26" s="83" t="n"/>
      <c r="AG26" s="83" t="n"/>
      <c r="AH26" s="84">
        <f>IF(OR($A26="",COUNT(AB26,AC26,AD26,AG26,AE26,AF26)&lt;1),"",AB26+AC26+AD26+AG26-AE26-AF26)</f>
        <v/>
      </c>
      <c r="AI26" s="84" t="n">
        <v>0</v>
      </c>
      <c r="AJ26" s="84">
        <f>IF(OR($A26="",COUNT(W26,AB26)&lt;2),"",W26-AB26)</f>
        <v/>
      </c>
      <c r="AK26" s="83" t="n"/>
      <c r="AL26" s="33" t="n"/>
      <c r="AM26" s="33" t="n"/>
      <c r="AN26" s="83" t="n"/>
      <c r="AO26" s="33" t="n"/>
      <c r="AP26" s="33" t="n"/>
      <c r="AQ26" s="33" t="n"/>
    </row>
    <row r="27">
      <c r="A27" s="33" t="inlineStr">
        <is>
          <t>1448</t>
        </is>
      </c>
      <c r="B27" s="33" t="inlineStr">
        <is>
          <t>Lüftungsanlage Halle (gebraucht) 0</t>
        </is>
      </c>
      <c r="C27" s="33" t="inlineStr">
        <is>
          <t>Konto 240</t>
        </is>
      </c>
      <c r="D27" s="33" t="n"/>
      <c r="E27" s="33" t="n"/>
      <c r="F27" s="33" t="n"/>
      <c r="G27" s="33" t="n"/>
      <c r="H27" s="33" t="inlineStr">
        <is>
          <t>240</t>
        </is>
      </c>
      <c r="I27" s="33" t="n"/>
      <c r="J27" s="33" t="n"/>
      <c r="K27" s="34" t="n">
        <v>42173</v>
      </c>
      <c r="L27" s="34" t="n"/>
      <c r="M27" s="34" t="n"/>
      <c r="N27" s="82" t="n"/>
      <c r="O27" s="82" t="n"/>
      <c r="P27" s="33" t="inlineStr">
        <is>
          <t>linear</t>
        </is>
      </c>
      <c r="Q27" s="34" t="n"/>
      <c r="R27" s="83" t="n"/>
      <c r="S27" s="34" t="n"/>
      <c r="T27" s="33" t="n"/>
      <c r="U27" s="83" t="n"/>
      <c r="V27" s="33" t="n"/>
      <c r="W27" s="83" t="n"/>
      <c r="X27" s="83" t="n"/>
      <c r="Y27" s="83" t="n"/>
      <c r="Z27" s="83" t="n"/>
      <c r="AA27" s="84" t="n">
        <v>177994</v>
      </c>
      <c r="AB27" s="83" t="n"/>
      <c r="AC27" s="83" t="n"/>
      <c r="AD27" s="83" t="n"/>
      <c r="AE27" s="83" t="n"/>
      <c r="AF27" s="83" t="n"/>
      <c r="AG27" s="83" t="n"/>
      <c r="AH27" s="84">
        <f>IF(OR($A27="",COUNT(AB27,AC27,AD27,AG27,AE27,AF27)&lt;1),"",AB27+AC27+AD27+AG27-AE27-AF27)</f>
        <v/>
      </c>
      <c r="AI27" s="84" t="n">
        <v>83805.50999999999</v>
      </c>
      <c r="AJ27" s="84">
        <f>IF(OR($A27="",COUNT(W27,AB27)&lt;2),"",W27-AB27)</f>
        <v/>
      </c>
      <c r="AK27" s="83" t="n"/>
      <c r="AL27" s="33" t="n"/>
      <c r="AM27" s="33" t="n"/>
      <c r="AN27" s="83" t="n"/>
      <c r="AO27" s="33" t="n"/>
      <c r="AP27" s="33" t="n"/>
      <c r="AQ27" s="33" t="n"/>
    </row>
    <row r="28">
      <c r="A28" s="33" t="inlineStr">
        <is>
          <t>1727</t>
        </is>
      </c>
      <c r="B28" s="33" t="inlineStr">
        <is>
          <t>Notstromaggregat (gebraucht) 0</t>
        </is>
      </c>
      <c r="C28" s="33" t="inlineStr">
        <is>
          <t>Konto 240</t>
        </is>
      </c>
      <c r="D28" s="33" t="n"/>
      <c r="E28" s="33" t="n"/>
      <c r="F28" s="33" t="n"/>
      <c r="G28" s="33" t="n"/>
      <c r="H28" s="33" t="inlineStr">
        <is>
          <t>240</t>
        </is>
      </c>
      <c r="I28" s="33" t="n"/>
      <c r="J28" s="33" t="n"/>
      <c r="K28" s="34" t="n">
        <v>38849</v>
      </c>
      <c r="L28" s="34" t="n"/>
      <c r="M28" s="34" t="n"/>
      <c r="N28" s="82" t="n"/>
      <c r="O28" s="82" t="n"/>
      <c r="P28" s="33" t="inlineStr">
        <is>
          <t>linear</t>
        </is>
      </c>
      <c r="Q28" s="34" t="n"/>
      <c r="R28" s="83" t="n"/>
      <c r="S28" s="34" t="n"/>
      <c r="T28" s="33" t="n"/>
      <c r="U28" s="83" t="n"/>
      <c r="V28" s="33" t="n"/>
      <c r="W28" s="83" t="n"/>
      <c r="X28" s="83" t="n"/>
      <c r="Y28" s="83" t="n"/>
      <c r="Z28" s="83" t="n"/>
      <c r="AA28" s="84" t="n">
        <v>40565.18</v>
      </c>
      <c r="AB28" s="83" t="n"/>
      <c r="AC28" s="83" t="n"/>
      <c r="AD28" s="83" t="n"/>
      <c r="AE28" s="83" t="n"/>
      <c r="AF28" s="83" t="n"/>
      <c r="AG28" s="83" t="n"/>
      <c r="AH28" s="84">
        <f>IF(OR($A28="",COUNT(AB28,AC28,AD28,AG28,AE28,AF28)&lt;1),"",AB28+AC28+AD28+AG28-AE28-AF28)</f>
        <v/>
      </c>
      <c r="AI28" s="84" t="n">
        <v>1</v>
      </c>
      <c r="AJ28" s="84">
        <f>IF(OR($A28="",COUNT(W28,AB28)&lt;2),"",W28-AB28)</f>
        <v/>
      </c>
      <c r="AK28" s="83" t="n"/>
      <c r="AL28" s="33" t="n"/>
      <c r="AM28" s="33" t="n"/>
      <c r="AN28" s="83" t="n"/>
      <c r="AO28" s="33" t="n"/>
      <c r="AP28" s="33" t="n"/>
      <c r="AQ28" s="33" t="n"/>
    </row>
    <row r="29">
      <c r="A29" s="33" t="inlineStr">
        <is>
          <t>251</t>
        </is>
      </c>
      <c r="B29" s="33" t="inlineStr">
        <is>
          <t>Druckluftnetz Nr. 15 0</t>
        </is>
      </c>
      <c r="C29" s="33" t="inlineStr">
        <is>
          <t>Konto 240</t>
        </is>
      </c>
      <c r="D29" s="33" t="n"/>
      <c r="E29" s="33" t="n"/>
      <c r="F29" s="33" t="n"/>
      <c r="G29" s="33" t="n"/>
      <c r="H29" s="33" t="inlineStr">
        <is>
          <t>240</t>
        </is>
      </c>
      <c r="I29" s="33" t="n"/>
      <c r="J29" s="33" t="n"/>
      <c r="K29" s="34" t="n">
        <v>45934</v>
      </c>
      <c r="L29" s="34" t="n"/>
      <c r="M29" s="34" t="n"/>
      <c r="N29" s="82" t="n"/>
      <c r="O29" s="82" t="n"/>
      <c r="P29" s="33" t="inlineStr">
        <is>
          <t>linear</t>
        </is>
      </c>
      <c r="Q29" s="34" t="n"/>
      <c r="R29" s="83" t="n"/>
      <c r="S29" s="34" t="n"/>
      <c r="T29" s="33" t="n"/>
      <c r="U29" s="83" t="n"/>
      <c r="V29" s="33" t="n"/>
      <c r="W29" s="83" t="n"/>
      <c r="X29" s="83" t="n"/>
      <c r="Y29" s="83" t="n"/>
      <c r="Z29" s="83" t="n"/>
      <c r="AA29" s="84" t="n">
        <v>53143.94</v>
      </c>
      <c r="AB29" s="83" t="n"/>
      <c r="AC29" s="83" t="n"/>
      <c r="AD29" s="83" t="n"/>
      <c r="AE29" s="83" t="n"/>
      <c r="AF29" s="83" t="n"/>
      <c r="AG29" s="83" t="n"/>
      <c r="AH29" s="84">
        <f>IF(OR($A29="",COUNT(AB29,AC29,AD29,AG29,AE29,AF29)&lt;1),"",AB29+AC29+AD29+AG29-AE29-AF29)</f>
        <v/>
      </c>
      <c r="AI29" s="84" t="n">
        <v>52258.21</v>
      </c>
      <c r="AJ29" s="84">
        <f>IF(OR($A29="",COUNT(W29,AB29)&lt;2),"",W29-AB29)</f>
        <v/>
      </c>
      <c r="AK29" s="83" t="n"/>
      <c r="AL29" s="33" t="n"/>
      <c r="AM29" s="33" t="n"/>
      <c r="AN29" s="83" t="n"/>
      <c r="AO29" s="33" t="n"/>
      <c r="AP29" s="33" t="n"/>
      <c r="AQ29" s="33" t="n"/>
    </row>
    <row r="30">
      <c r="A30" s="33" t="inlineStr">
        <is>
          <t>264</t>
        </is>
      </c>
      <c r="B30" s="33" t="inlineStr">
        <is>
          <t>Notstromaggregat Halle 3 0</t>
        </is>
      </c>
      <c r="C30" s="33" t="inlineStr">
        <is>
          <t>Konto 240</t>
        </is>
      </c>
      <c r="D30" s="33" t="n"/>
      <c r="E30" s="33" t="n"/>
      <c r="F30" s="33" t="n"/>
      <c r="G30" s="33" t="n"/>
      <c r="H30" s="33" t="inlineStr">
        <is>
          <t>240</t>
        </is>
      </c>
      <c r="I30" s="33" t="n"/>
      <c r="J30" s="33" t="n"/>
      <c r="K30" s="34" t="n">
        <v>44627</v>
      </c>
      <c r="L30" s="34" t="n"/>
      <c r="M30" s="34" t="n"/>
      <c r="N30" s="82" t="n"/>
      <c r="O30" s="82" t="n"/>
      <c r="P30" s="33" t="inlineStr">
        <is>
          <t>linear</t>
        </is>
      </c>
      <c r="Q30" s="34" t="n"/>
      <c r="R30" s="83" t="n"/>
      <c r="S30" s="34" t="n"/>
      <c r="T30" s="33" t="n"/>
      <c r="U30" s="83" t="n"/>
      <c r="V30" s="33" t="n"/>
      <c r="W30" s="83" t="n"/>
      <c r="X30" s="83" t="n"/>
      <c r="Y30" s="83" t="n"/>
      <c r="Z30" s="83" t="n"/>
      <c r="AA30" s="84" t="n">
        <v>82458</v>
      </c>
      <c r="AB30" s="83" t="n"/>
      <c r="AC30" s="83" t="n"/>
      <c r="AD30" s="83" t="n"/>
      <c r="AE30" s="83" t="n"/>
      <c r="AF30" s="83" t="n"/>
      <c r="AG30" s="83" t="n"/>
      <c r="AH30" s="84">
        <f>IF(OR($A30="",COUNT(AB30,AC30,AD30,AG30,AE30,AF30)&lt;1),"",AB30+AC30+AD30+AG30-AE30-AF30)</f>
        <v/>
      </c>
      <c r="AI30" s="84" t="n">
        <v>50849.1</v>
      </c>
      <c r="AJ30" s="84">
        <f>IF(OR($A30="",COUNT(W30,AB30)&lt;2),"",W30-AB30)</f>
        <v/>
      </c>
      <c r="AK30" s="83" t="n"/>
      <c r="AL30" s="33" t="n"/>
      <c r="AM30" s="33" t="n"/>
      <c r="AN30" s="83" t="n"/>
      <c r="AO30" s="33" t="n"/>
      <c r="AP30" s="33" t="n"/>
      <c r="AQ30" s="33" t="n"/>
    </row>
    <row r="31">
      <c r="A31" s="33" t="inlineStr">
        <is>
          <t>315</t>
        </is>
      </c>
      <c r="B31" s="33" t="inlineStr">
        <is>
          <t>Photovoltaikanlage Dach 0</t>
        </is>
      </c>
      <c r="C31" s="33" t="inlineStr">
        <is>
          <t>Konto 240</t>
        </is>
      </c>
      <c r="D31" s="33" t="n"/>
      <c r="E31" s="33" t="n"/>
      <c r="F31" s="33" t="n"/>
      <c r="G31" s="33" t="n"/>
      <c r="H31" s="33" t="inlineStr">
        <is>
          <t>240</t>
        </is>
      </c>
      <c r="I31" s="33" t="n"/>
      <c r="J31" s="33" t="n"/>
      <c r="K31" s="34" t="n">
        <v>42582</v>
      </c>
      <c r="L31" s="34" t="n"/>
      <c r="M31" s="34" t="n"/>
      <c r="N31" s="82" t="n"/>
      <c r="O31" s="82" t="n"/>
      <c r="P31" s="33" t="inlineStr">
        <is>
          <t>linear</t>
        </is>
      </c>
      <c r="Q31" s="34" t="n"/>
      <c r="R31" s="83" t="n"/>
      <c r="S31" s="34" t="n"/>
      <c r="T31" s="33" t="n"/>
      <c r="U31" s="83" t="n"/>
      <c r="V31" s="33" t="n"/>
      <c r="W31" s="83" t="n"/>
      <c r="X31" s="83" t="n"/>
      <c r="Y31" s="83" t="n"/>
      <c r="Z31" s="83" t="n"/>
      <c r="AA31" s="84" t="n">
        <v>128317</v>
      </c>
      <c r="AB31" s="83" t="n"/>
      <c r="AC31" s="83" t="n"/>
      <c r="AD31" s="83" t="n"/>
      <c r="AE31" s="83" t="n"/>
      <c r="AF31" s="83" t="n"/>
      <c r="AG31" s="83" t="n"/>
      <c r="AH31" s="84">
        <f>IF(OR($A31="",COUNT(AB31,AC31,AD31,AG31,AE31,AF31)&lt;1),"",AB31+AC31+AD31+AG31-AE31-AF31)</f>
        <v/>
      </c>
      <c r="AI31" s="84" t="n">
        <v>6415.85</v>
      </c>
      <c r="AJ31" s="84">
        <f>IF(OR($A31="",COUNT(W31,AB31)&lt;2),"",W31-AB31)</f>
        <v/>
      </c>
      <c r="AK31" s="83" t="n"/>
      <c r="AL31" s="33" t="n"/>
      <c r="AM31" s="33" t="n"/>
      <c r="AN31" s="83" t="n"/>
      <c r="AO31" s="33" t="n"/>
      <c r="AP31" s="33" t="n"/>
      <c r="AQ31" s="33" t="n"/>
    </row>
    <row r="32">
      <c r="A32" s="33" t="inlineStr">
        <is>
          <t>79</t>
        </is>
      </c>
      <c r="B32" s="33" t="inlineStr">
        <is>
          <t>Brückenkran 5t Nr. 30 0</t>
        </is>
      </c>
      <c r="C32" s="33" t="inlineStr">
        <is>
          <t>Konto 240</t>
        </is>
      </c>
      <c r="D32" s="33" t="n"/>
      <c r="E32" s="33" t="n"/>
      <c r="F32" s="33" t="n"/>
      <c r="G32" s="33" t="n"/>
      <c r="H32" s="33" t="inlineStr">
        <is>
          <t>240</t>
        </is>
      </c>
      <c r="I32" s="33" t="n"/>
      <c r="J32" s="33" t="n"/>
      <c r="K32" s="34" t="n">
        <v>42262</v>
      </c>
      <c r="L32" s="34" t="n"/>
      <c r="M32" s="34" t="n"/>
      <c r="N32" s="82" t="n"/>
      <c r="O32" s="82" t="n"/>
      <c r="P32" s="33" t="inlineStr">
        <is>
          <t>linear</t>
        </is>
      </c>
      <c r="Q32" s="34" t="n"/>
      <c r="R32" s="83" t="n"/>
      <c r="S32" s="34" t="n"/>
      <c r="T32" s="33" t="n"/>
      <c r="U32" s="83" t="n"/>
      <c r="V32" s="33" t="n"/>
      <c r="W32" s="83" t="n"/>
      <c r="X32" s="83" t="n"/>
      <c r="Y32" s="83" t="n"/>
      <c r="Z32" s="83" t="n"/>
      <c r="AA32" s="84" t="n">
        <v>147708.28</v>
      </c>
      <c r="AB32" s="83" t="n"/>
      <c r="AC32" s="83" t="n"/>
      <c r="AD32" s="83" t="n"/>
      <c r="AE32" s="83" t="n"/>
      <c r="AF32" s="83" t="n"/>
      <c r="AG32" s="83" t="n"/>
      <c r="AH32" s="84">
        <f>IF(OR($A32="",COUNT(AB32,AC32,AD32,AG32,AE32,AF32)&lt;1),"",AB32+AC32+AD32+AG32-AE32-AF32)</f>
        <v/>
      </c>
      <c r="AI32" s="84" t="n">
        <v>71392.34</v>
      </c>
      <c r="AJ32" s="84">
        <f>IF(OR($A32="",COUNT(W32,AB32)&lt;2),"",W32-AB32)</f>
        <v/>
      </c>
      <c r="AK32" s="83" t="n"/>
      <c r="AL32" s="33" t="n"/>
      <c r="AM32" s="33" t="n"/>
      <c r="AN32" s="83" t="n"/>
      <c r="AO32" s="33" t="n"/>
      <c r="AP32" s="33" t="n"/>
      <c r="AQ32" s="33" t="n"/>
    </row>
    <row r="33">
      <c r="A33" s="33" t="inlineStr">
        <is>
          <t>793b</t>
        </is>
      </c>
      <c r="B33" s="33" t="inlineStr">
        <is>
          <t>Kälteanlage 0</t>
        </is>
      </c>
      <c r="C33" s="33" t="n"/>
      <c r="D33" s="33" t="n"/>
      <c r="E33" s="33" t="n"/>
      <c r="F33" s="33" t="n"/>
      <c r="G33" s="33" t="n"/>
      <c r="H33" s="33" t="n"/>
      <c r="I33" s="33" t="n"/>
      <c r="J33" s="33" t="n"/>
      <c r="K33" s="34" t="n">
        <v>41590</v>
      </c>
      <c r="L33" s="34" t="n"/>
      <c r="M33" s="34" t="n"/>
      <c r="N33" s="82" t="n"/>
      <c r="O33" s="82" t="n"/>
      <c r="P33" s="33" t="inlineStr">
        <is>
          <t>linear</t>
        </is>
      </c>
      <c r="Q33" s="34" t="n"/>
      <c r="R33" s="83" t="n"/>
      <c r="S33" s="34" t="n"/>
      <c r="T33" s="33" t="n"/>
      <c r="U33" s="83" t="n"/>
      <c r="V33" s="33" t="n"/>
      <c r="W33" s="83" t="n"/>
      <c r="X33" s="83" t="n"/>
      <c r="Y33" s="83" t="n"/>
      <c r="Z33" s="83" t="n"/>
      <c r="AA33" s="84" t="n">
        <v>26366</v>
      </c>
      <c r="AB33" s="83" t="n"/>
      <c r="AC33" s="83" t="n"/>
      <c r="AD33" s="83" t="n"/>
      <c r="AE33" s="83" t="n"/>
      <c r="AF33" s="83" t="n"/>
      <c r="AG33" s="83" t="n"/>
      <c r="AH33" s="84">
        <f>IF(OR($A33="",COUNT(AB33,AC33,AD33,AG33,AE33,AF33)&lt;1),"",AB33+AC33+AD33+AG33-AE33-AF33)</f>
        <v/>
      </c>
      <c r="AI33" s="84" t="n">
        <v>10326.68</v>
      </c>
      <c r="AJ33" s="84">
        <f>IF(OR($A33="",COUNT(W33,AB33)&lt;2),"",W33-AB33)</f>
        <v/>
      </c>
      <c r="AK33" s="83" t="n"/>
      <c r="AL33" s="33" t="n"/>
      <c r="AM33" s="33" t="n"/>
      <c r="AN33" s="83" t="n"/>
      <c r="AO33" s="33" t="n"/>
      <c r="AP33" s="33" t="n"/>
      <c r="AQ33" s="33" t="n"/>
    </row>
    <row r="34">
      <c r="A34" s="33" t="inlineStr">
        <is>
          <t>979</t>
        </is>
      </c>
      <c r="B34" s="33" t="inlineStr">
        <is>
          <t>Photovoltaikanlage Dach 0</t>
        </is>
      </c>
      <c r="C34" s="33" t="n"/>
      <c r="D34" s="33" t="n"/>
      <c r="E34" s="33" t="n"/>
      <c r="F34" s="33" t="n"/>
      <c r="G34" s="33" t="n"/>
      <c r="H34" s="33" t="n"/>
      <c r="I34" s="33" t="n"/>
      <c r="J34" s="33" t="n"/>
      <c r="K34" s="34" t="n">
        <v>42627</v>
      </c>
      <c r="L34" s="34" t="n"/>
      <c r="M34" s="34" t="n"/>
      <c r="N34" s="82" t="n"/>
      <c r="O34" s="82" t="n"/>
      <c r="P34" s="33" t="inlineStr">
        <is>
          <t>linear</t>
        </is>
      </c>
      <c r="Q34" s="34" t="n"/>
      <c r="R34" s="83" t="n"/>
      <c r="S34" s="34" t="n"/>
      <c r="T34" s="33" t="n"/>
      <c r="U34" s="83" t="n"/>
      <c r="V34" s="33" t="n"/>
      <c r="W34" s="83" t="n"/>
      <c r="X34" s="83" t="n"/>
      <c r="Y34" s="83" t="n"/>
      <c r="Z34" s="83" t="n"/>
      <c r="AA34" s="84" t="n">
        <v>140969.08</v>
      </c>
      <c r="AB34" s="83" t="n"/>
      <c r="AC34" s="83" t="n"/>
      <c r="AD34" s="83" t="n"/>
      <c r="AE34" s="83" t="n"/>
      <c r="AF34" s="83" t="n"/>
      <c r="AG34" s="83" t="n"/>
      <c r="AH34" s="84">
        <f>IF(OR($A34="",COUNT(AB34,AC34,AD34,AG34,AE34,AF34)&lt;1),"",AB34+AC34+AD34+AG34-AE34-AF34)</f>
        <v/>
      </c>
      <c r="AI34" s="84" t="n">
        <v>75183.50999999999</v>
      </c>
      <c r="AJ34" s="84">
        <f>IF(OR($A34="",COUNT(W34,AB34)&lt;2),"",W34-AB34)</f>
        <v/>
      </c>
      <c r="AK34" s="83" t="n"/>
      <c r="AL34" s="33" t="n"/>
      <c r="AM34" s="33" t="n"/>
      <c r="AN34" s="83" t="n"/>
      <c r="AO34" s="33" t="n"/>
      <c r="AP34" s="33" t="n"/>
      <c r="AQ34" s="33" t="n"/>
    </row>
    <row r="35">
      <c r="A35" s="33" t="inlineStr">
        <is>
          <t>1900</t>
        </is>
      </c>
      <c r="B35" s="33" t="inlineStr">
        <is>
          <t>Pkw Mittelklasse Hybrid</t>
        </is>
      </c>
      <c r="C35" s="33" t="inlineStr">
        <is>
          <t>Konto 320</t>
        </is>
      </c>
      <c r="D35" s="33" t="n"/>
      <c r="E35" s="33" t="n"/>
      <c r="F35" s="33" t="n"/>
      <c r="G35" s="33" t="n"/>
      <c r="H35" s="33" t="inlineStr">
        <is>
          <t>320</t>
        </is>
      </c>
      <c r="I35" s="33" t="n"/>
      <c r="J35" s="33" t="n"/>
      <c r="K35" s="34" t="n">
        <v>44591</v>
      </c>
      <c r="L35" s="34" t="n"/>
      <c r="M35" s="34" t="n"/>
      <c r="N35" s="82" t="n"/>
      <c r="O35" s="82" t="n"/>
      <c r="P35" s="33" t="inlineStr">
        <is>
          <t>linear</t>
        </is>
      </c>
      <c r="Q35" s="34" t="n"/>
      <c r="R35" s="83" t="n"/>
      <c r="S35" s="34" t="n"/>
      <c r="T35" s="33" t="n"/>
      <c r="U35" s="83" t="n"/>
      <c r="V35" s="33" t="n"/>
      <c r="W35" s="83" t="n"/>
      <c r="X35" s="83" t="n"/>
      <c r="Y35" s="83" t="n"/>
      <c r="Z35" s="83" t="n"/>
      <c r="AA35" s="84" t="n">
        <v>44618.71</v>
      </c>
      <c r="AB35" s="83" t="n"/>
      <c r="AC35" s="83" t="n"/>
      <c r="AD35" s="83" t="n"/>
      <c r="AE35" s="83" t="n"/>
      <c r="AF35" s="83" t="n"/>
      <c r="AG35" s="83" t="n"/>
      <c r="AH35" s="84">
        <f>IF(OR($A35="",COUNT(AB35,AC35,AD35,AG35,AE35,AF35)&lt;1),"",AB35+AC35+AD35+AG35-AE35-AF35)</f>
        <v/>
      </c>
      <c r="AI35" s="84" t="n">
        <v>14872.9</v>
      </c>
      <c r="AJ35" s="84">
        <f>IF(OR($A35="",COUNT(W35,AB35)&lt;2),"",W35-AB35)</f>
        <v/>
      </c>
      <c r="AK35" s="83" t="n"/>
      <c r="AL35" s="33" t="n"/>
      <c r="AM35" s="33" t="n"/>
      <c r="AN35" s="83" t="n"/>
      <c r="AO35" s="33" t="n"/>
      <c r="AP35" s="33" t="n"/>
      <c r="AQ35" s="33" t="n"/>
    </row>
    <row r="36">
      <c r="A36" s="33" t="inlineStr">
        <is>
          <t>1986</t>
        </is>
      </c>
      <c r="B36" s="33" t="inlineStr">
        <is>
          <t>Kleintransporter</t>
        </is>
      </c>
      <c r="C36" s="33" t="inlineStr">
        <is>
          <t>Konto 320</t>
        </is>
      </c>
      <c r="D36" s="33" t="n"/>
      <c r="E36" s="33" t="n"/>
      <c r="F36" s="33" t="n"/>
      <c r="G36" s="33" t="n"/>
      <c r="H36" s="33" t="inlineStr">
        <is>
          <t>320</t>
        </is>
      </c>
      <c r="I36" s="33" t="n"/>
      <c r="J36" s="33" t="n"/>
      <c r="K36" s="34" t="n">
        <v>42854</v>
      </c>
      <c r="L36" s="34" t="n"/>
      <c r="M36" s="34" t="n"/>
      <c r="N36" s="82" t="n"/>
      <c r="O36" s="82" t="n"/>
      <c r="P36" s="33" t="inlineStr">
        <is>
          <t>linear</t>
        </is>
      </c>
      <c r="Q36" s="34" t="n"/>
      <c r="R36" s="83" t="n"/>
      <c r="S36" s="34" t="n"/>
      <c r="T36" s="33" t="n"/>
      <c r="U36" s="83" t="n"/>
      <c r="V36" s="33" t="n"/>
      <c r="W36" s="83" t="n"/>
      <c r="X36" s="83" t="n"/>
      <c r="Y36" s="83" t="n"/>
      <c r="Z36" s="83" t="n"/>
      <c r="AA36" s="84" t="n">
        <v>79772.67999999999</v>
      </c>
      <c r="AB36" s="83" t="n"/>
      <c r="AC36" s="83" t="n"/>
      <c r="AD36" s="83" t="n"/>
      <c r="AE36" s="83" t="n"/>
      <c r="AF36" s="83" t="n"/>
      <c r="AG36" s="83" t="n"/>
      <c r="AH36" s="84">
        <f>IF(OR($A36="",COUNT(AB36,AC36,AD36,AG36,AE36,AF36)&lt;1),"",AB36+AC36+AD36+AG36-AE36-AF36)</f>
        <v/>
      </c>
      <c r="AI36" s="84" t="n">
        <v>1</v>
      </c>
      <c r="AJ36" s="84">
        <f>IF(OR($A36="",COUNT(W36,AB36)&lt;2),"",W36-AB36)</f>
        <v/>
      </c>
      <c r="AK36" s="83" t="n"/>
      <c r="AL36" s="33" t="n"/>
      <c r="AM36" s="33" t="n"/>
      <c r="AN36" s="83" t="n"/>
      <c r="AO36" s="33" t="n"/>
      <c r="AP36" s="33" t="n"/>
      <c r="AQ36" s="33" t="n"/>
    </row>
    <row r="37">
      <c r="A37" s="33" t="inlineStr">
        <is>
          <t>2139</t>
        </is>
      </c>
      <c r="B37" s="33" t="inlineStr">
        <is>
          <t>Kleintransporter</t>
        </is>
      </c>
      <c r="C37" s="33" t="inlineStr">
        <is>
          <t>Konto 320</t>
        </is>
      </c>
      <c r="D37" s="33" t="n"/>
      <c r="E37" s="33" t="n"/>
      <c r="F37" s="33" t="n"/>
      <c r="G37" s="33" t="n"/>
      <c r="H37" s="33" t="inlineStr">
        <is>
          <t>320</t>
        </is>
      </c>
      <c r="I37" s="33" t="n"/>
      <c r="J37" s="33" t="n"/>
      <c r="K37" s="34" t="n">
        <v>45687</v>
      </c>
      <c r="L37" s="34" t="n"/>
      <c r="M37" s="34" t="n"/>
      <c r="N37" s="82" t="n"/>
      <c r="O37" s="82" t="n"/>
      <c r="P37" s="33" t="inlineStr">
        <is>
          <t>linear</t>
        </is>
      </c>
      <c r="Q37" s="34" t="n"/>
      <c r="R37" s="83" t="n"/>
      <c r="S37" s="34" t="n"/>
      <c r="T37" s="33" t="n"/>
      <c r="U37" s="83" t="n"/>
      <c r="V37" s="33" t="n"/>
      <c r="W37" s="83" t="n"/>
      <c r="X37" s="83" t="n"/>
      <c r="Y37" s="83" t="n"/>
      <c r="Z37" s="83" t="n"/>
      <c r="AA37" s="84" t="n">
        <v>26894.05</v>
      </c>
      <c r="AB37" s="83" t="n"/>
      <c r="AC37" s="83" t="n"/>
      <c r="AD37" s="83" t="n"/>
      <c r="AE37" s="83" t="n"/>
      <c r="AF37" s="83" t="n"/>
      <c r="AG37" s="83" t="n"/>
      <c r="AH37" s="84">
        <f>IF(OR($A37="",COUNT(AB37,AC37,AD37,AG37,AE37,AF37)&lt;1),"",AB37+AC37+AD37+AG37-AE37-AF37)</f>
        <v/>
      </c>
      <c r="AI37" s="84" t="n">
        <v>22411.71</v>
      </c>
      <c r="AJ37" s="84">
        <f>IF(OR($A37="",COUNT(W37,AB37)&lt;2),"",W37-AB37)</f>
        <v/>
      </c>
      <c r="AK37" s="83" t="n"/>
      <c r="AL37" s="33" t="n"/>
      <c r="AM37" s="33" t="n"/>
      <c r="AN37" s="83" t="n"/>
      <c r="AO37" s="33" t="n"/>
      <c r="AP37" s="33" t="n"/>
      <c r="AQ37" s="33" t="n"/>
    </row>
    <row r="38">
      <c r="A38" s="33" t="inlineStr">
        <is>
          <t>307</t>
        </is>
      </c>
      <c r="B38" s="33" t="inlineStr">
        <is>
          <t>Pkw Kombi Diesel Typ A524</t>
        </is>
      </c>
      <c r="C38" s="33" t="inlineStr">
        <is>
          <t>Konto 320</t>
        </is>
      </c>
      <c r="D38" s="33" t="n"/>
      <c r="E38" s="33" t="n"/>
      <c r="F38" s="33" t="n"/>
      <c r="G38" s="33" t="n"/>
      <c r="H38" s="33" t="inlineStr">
        <is>
          <t>320</t>
        </is>
      </c>
      <c r="I38" s="33" t="n"/>
      <c r="J38" s="33" t="n"/>
      <c r="K38" s="34" t="n">
        <v>43806</v>
      </c>
      <c r="L38" s="34" t="n"/>
      <c r="M38" s="34" t="n"/>
      <c r="N38" s="82" t="n"/>
      <c r="O38" s="82" t="n"/>
      <c r="P38" s="33" t="inlineStr">
        <is>
          <t>linear</t>
        </is>
      </c>
      <c r="Q38" s="34" t="n"/>
      <c r="R38" s="83" t="n"/>
      <c r="S38" s="34" t="n"/>
      <c r="T38" s="33" t="n"/>
      <c r="U38" s="83" t="n"/>
      <c r="V38" s="33" t="n"/>
      <c r="W38" s="83" t="n"/>
      <c r="X38" s="83" t="n"/>
      <c r="Y38" s="83" t="n"/>
      <c r="Z38" s="83" t="n"/>
      <c r="AA38" s="84" t="n">
        <v>65322.5</v>
      </c>
      <c r="AB38" s="83" t="n"/>
      <c r="AC38" s="83" t="n"/>
      <c r="AD38" s="83" t="n"/>
      <c r="AE38" s="83" t="n"/>
      <c r="AF38" s="83" t="n"/>
      <c r="AG38" s="83" t="n"/>
      <c r="AH38" s="84">
        <f>IF(OR($A38="",COUNT(AB38,AC38,AD38,AG38,AE38,AF38)&lt;1),"",AB38+AC38+AD38+AG38-AE38-AF38)</f>
        <v/>
      </c>
      <c r="AI38" s="84" t="n">
        <v>1</v>
      </c>
      <c r="AJ38" s="84">
        <f>IF(OR($A38="",COUNT(W38,AB38)&lt;2),"",W38-AB38)</f>
        <v/>
      </c>
      <c r="AK38" s="83" t="n"/>
      <c r="AL38" s="33" t="n"/>
      <c r="AM38" s="33" t="n"/>
      <c r="AN38" s="83" t="n"/>
      <c r="AO38" s="33" t="n"/>
      <c r="AP38" s="33" t="n"/>
      <c r="AQ38" s="33" t="n"/>
    </row>
    <row r="39">
      <c r="A39" s="33" t="inlineStr">
        <is>
          <t>66</t>
        </is>
      </c>
      <c r="B39" s="33" t="inlineStr">
        <is>
          <t>Pkw Mittelklasse Hybrid</t>
        </is>
      </c>
      <c r="C39" s="33" t="inlineStr">
        <is>
          <t>Konto 320</t>
        </is>
      </c>
      <c r="D39" s="33" t="n"/>
      <c r="E39" s="33" t="n"/>
      <c r="F39" s="33" t="n"/>
      <c r="G39" s="33" t="n"/>
      <c r="H39" s="33" t="inlineStr">
        <is>
          <t>320</t>
        </is>
      </c>
      <c r="I39" s="33" t="n"/>
      <c r="J39" s="33" t="n"/>
      <c r="K39" s="34" t="n">
        <v>44462</v>
      </c>
      <c r="L39" s="34" t="n"/>
      <c r="M39" s="34" t="n"/>
      <c r="N39" s="82" t="n"/>
      <c r="O39" s="82" t="n"/>
      <c r="P39" s="33" t="inlineStr">
        <is>
          <t>linear</t>
        </is>
      </c>
      <c r="Q39" s="34" t="n"/>
      <c r="R39" s="83" t="n"/>
      <c r="S39" s="34" t="n"/>
      <c r="T39" s="33" t="n"/>
      <c r="U39" s="83" t="n"/>
      <c r="V39" s="33" t="n"/>
      <c r="W39" s="83" t="n"/>
      <c r="X39" s="83" t="n"/>
      <c r="Y39" s="83" t="n"/>
      <c r="Z39" s="83" t="n"/>
      <c r="AA39" s="84" t="n">
        <v>73022</v>
      </c>
      <c r="AB39" s="83" t="n"/>
      <c r="AC39" s="83" t="n"/>
      <c r="AD39" s="83" t="n"/>
      <c r="AE39" s="83" t="n"/>
      <c r="AF39" s="83" t="n"/>
      <c r="AG39" s="83" t="n"/>
      <c r="AH39" s="84">
        <f>IF(OR($A39="",COUNT(AB39,AC39,AD39,AG39,AE39,AF39)&lt;1),"",AB39+AC39+AD39+AG39-AE39-AF39)</f>
        <v/>
      </c>
      <c r="AI39" s="84" t="n">
        <v>20283.89</v>
      </c>
      <c r="AJ39" s="84">
        <f>IF(OR($A39="",COUNT(W39,AB39)&lt;2),"",W39-AB39)</f>
        <v/>
      </c>
      <c r="AK39" s="83" t="n"/>
      <c r="AL39" s="33" t="n"/>
      <c r="AM39" s="33" t="n"/>
      <c r="AN39" s="83" t="n"/>
      <c r="AO39" s="33" t="n"/>
      <c r="AP39" s="33" t="n"/>
      <c r="AQ39" s="33" t="n"/>
    </row>
    <row r="40">
      <c r="A40" s="33" t="inlineStr">
        <is>
          <t>88c</t>
        </is>
      </c>
      <c r="B40" s="33" t="inlineStr">
        <is>
          <t>Pkw Mittelklasse Hybrid</t>
        </is>
      </c>
      <c r="C40" s="33" t="inlineStr">
        <is>
          <t>Konto 320</t>
        </is>
      </c>
      <c r="D40" s="33" t="n"/>
      <c r="E40" s="33" t="n"/>
      <c r="F40" s="33" t="n"/>
      <c r="G40" s="33" t="n"/>
      <c r="H40" s="33" t="inlineStr">
        <is>
          <t>320</t>
        </is>
      </c>
      <c r="I40" s="33" t="n"/>
      <c r="J40" s="33" t="n"/>
      <c r="K40" s="34" t="n">
        <v>43684</v>
      </c>
      <c r="L40" s="34" t="n"/>
      <c r="M40" s="34" t="n"/>
      <c r="N40" s="82" t="n"/>
      <c r="O40" s="82" t="n"/>
      <c r="P40" s="33" t="inlineStr">
        <is>
          <t>linear</t>
        </is>
      </c>
      <c r="Q40" s="34" t="n"/>
      <c r="R40" s="83" t="n"/>
      <c r="S40" s="34" t="n"/>
      <c r="T40" s="33" t="n"/>
      <c r="U40" s="83" t="n"/>
      <c r="V40" s="33" t="n"/>
      <c r="W40" s="83" t="n"/>
      <c r="X40" s="83" t="n"/>
      <c r="Y40" s="83" t="n"/>
      <c r="Z40" s="83" t="n"/>
      <c r="AA40" s="84" t="n">
        <v>51913</v>
      </c>
      <c r="AB40" s="83" t="n"/>
      <c r="AC40" s="83" t="n"/>
      <c r="AD40" s="83" t="n"/>
      <c r="AE40" s="83" t="n"/>
      <c r="AF40" s="83" t="n"/>
      <c r="AG40" s="83" t="n"/>
      <c r="AH40" s="84">
        <f>IF(OR($A40="",COUNT(AB40,AC40,AD40,AG40,AE40,AF40)&lt;1),"",AB40+AC40+AD40+AG40-AE40-AF40)</f>
        <v/>
      </c>
      <c r="AI40" s="84" t="n">
        <v>1</v>
      </c>
      <c r="AJ40" s="84">
        <f>IF(OR($A40="",COUNT(W40,AB40)&lt;2),"",W40-AB40)</f>
        <v/>
      </c>
      <c r="AK40" s="83" t="n"/>
      <c r="AL40" s="33" t="n"/>
      <c r="AM40" s="33" t="n"/>
      <c r="AN40" s="83" t="n"/>
      <c r="AO40" s="33" t="n"/>
      <c r="AP40" s="33" t="n"/>
      <c r="AQ40" s="33" t="n"/>
    </row>
    <row r="41">
      <c r="A41" s="33" t="inlineStr">
        <is>
          <t>1650</t>
        </is>
      </c>
      <c r="B41" s="33" t="inlineStr">
        <is>
          <t>Sattelzugmaschine 0</t>
        </is>
      </c>
      <c r="C41" s="33" t="inlineStr">
        <is>
          <t>Konto 350</t>
        </is>
      </c>
      <c r="D41" s="33" t="n"/>
      <c r="E41" s="33" t="n"/>
      <c r="F41" s="33" t="n"/>
      <c r="G41" s="33" t="n"/>
      <c r="H41" s="33" t="inlineStr">
        <is>
          <t>350</t>
        </is>
      </c>
      <c r="I41" s="33" t="n"/>
      <c r="J41" s="33" t="n"/>
      <c r="K41" s="34" t="n">
        <v>44888</v>
      </c>
      <c r="L41" s="34" t="n"/>
      <c r="M41" s="34" t="n"/>
      <c r="N41" s="82" t="n"/>
      <c r="O41" s="82" t="n"/>
      <c r="P41" s="33" t="inlineStr">
        <is>
          <t>linear</t>
        </is>
      </c>
      <c r="Q41" s="34" t="n"/>
      <c r="R41" s="83" t="n"/>
      <c r="S41" s="34" t="n"/>
      <c r="T41" s="33" t="n"/>
      <c r="U41" s="83" t="n"/>
      <c r="V41" s="33" t="n"/>
      <c r="W41" s="83" t="n"/>
      <c r="X41" s="83" t="n"/>
      <c r="Y41" s="83" t="n"/>
      <c r="Z41" s="83" t="n"/>
      <c r="AA41" s="84" t="n">
        <v>102963.79</v>
      </c>
      <c r="AB41" s="83" t="n"/>
      <c r="AC41" s="83" t="n"/>
      <c r="AD41" s="83" t="n"/>
      <c r="AE41" s="83" t="n"/>
      <c r="AF41" s="83" t="n"/>
      <c r="AG41" s="83" t="n"/>
      <c r="AH41" s="84">
        <f>IF(OR($A41="",COUNT(AB41,AC41,AD41,AG41,AE41,AF41)&lt;1),"",AB41+AC41+AD41+AG41-AE41-AF41)</f>
        <v/>
      </c>
      <c r="AI41" s="84" t="n">
        <v>66735.78999999999</v>
      </c>
      <c r="AJ41" s="84">
        <f>IF(OR($A41="",COUNT(W41,AB41)&lt;2),"",W41-AB41)</f>
        <v/>
      </c>
      <c r="AK41" s="83" t="n"/>
      <c r="AL41" s="33" t="n"/>
      <c r="AM41" s="33" t="n"/>
      <c r="AN41" s="83" t="n"/>
      <c r="AO41" s="33" t="n"/>
      <c r="AP41" s="33" t="n"/>
      <c r="AQ41" s="33" t="n"/>
    </row>
    <row r="42">
      <c r="A42" s="33" t="inlineStr">
        <is>
          <t>189e</t>
        </is>
      </c>
      <c r="B42" s="33" t="inlineStr">
        <is>
          <t>Lkw 7,5t Pritsche Halle 1 0</t>
        </is>
      </c>
      <c r="C42" s="33" t="inlineStr">
        <is>
          <t>Konto 350</t>
        </is>
      </c>
      <c r="D42" s="33" t="n"/>
      <c r="E42" s="33" t="n"/>
      <c r="F42" s="33" t="n"/>
      <c r="G42" s="33" t="n"/>
      <c r="H42" s="33" t="inlineStr">
        <is>
          <t>350</t>
        </is>
      </c>
      <c r="I42" s="33" t="n"/>
      <c r="J42" s="33" t="n"/>
      <c r="K42" s="34" t="n">
        <v>45709</v>
      </c>
      <c r="L42" s="34" t="n"/>
      <c r="M42" s="34" t="n"/>
      <c r="N42" s="82" t="n"/>
      <c r="O42" s="82" t="n"/>
      <c r="P42" s="33" t="inlineStr">
        <is>
          <t>linear</t>
        </is>
      </c>
      <c r="Q42" s="34" t="n"/>
      <c r="R42" s="83" t="n"/>
      <c r="S42" s="34" t="n"/>
      <c r="T42" s="33" t="n"/>
      <c r="U42" s="83" t="n"/>
      <c r="V42" s="33" t="n"/>
      <c r="W42" s="83" t="n"/>
      <c r="X42" s="83" t="n"/>
      <c r="Y42" s="83" t="n"/>
      <c r="Z42" s="83" t="n"/>
      <c r="AA42" s="84" t="n">
        <v>135202.86</v>
      </c>
      <c r="AB42" s="83" t="n"/>
      <c r="AC42" s="83" t="n"/>
      <c r="AD42" s="83" t="n"/>
      <c r="AE42" s="83" t="n"/>
      <c r="AF42" s="83" t="n"/>
      <c r="AG42" s="83" t="n"/>
      <c r="AH42" s="84">
        <f>IF(OR($A42="",COUNT(AB42,AC42,AD42,AG42,AE42,AF42)&lt;1),"",AB42+AC42+AD42+AG42-AE42-AF42)</f>
        <v/>
      </c>
      <c r="AI42" s="84" t="n">
        <v>121432.2</v>
      </c>
      <c r="AJ42" s="84">
        <f>IF(OR($A42="",COUNT(W42,AB42)&lt;2),"",W42-AB42)</f>
        <v/>
      </c>
      <c r="AK42" s="83" t="n"/>
      <c r="AL42" s="33" t="n"/>
      <c r="AM42" s="33" t="n"/>
      <c r="AN42" s="83" t="n"/>
      <c r="AO42" s="33" t="n"/>
      <c r="AP42" s="33" t="n"/>
      <c r="AQ42" s="33" t="n"/>
    </row>
    <row r="43">
      <c r="A43" s="33" t="inlineStr">
        <is>
          <t>259</t>
        </is>
      </c>
      <c r="B43" s="33" t="inlineStr">
        <is>
          <t>Kastenwagen 0</t>
        </is>
      </c>
      <c r="C43" s="33" t="inlineStr">
        <is>
          <t>Konto 350</t>
        </is>
      </c>
      <c r="D43" s="33" t="n"/>
      <c r="E43" s="33" t="n"/>
      <c r="F43" s="33" t="n"/>
      <c r="G43" s="33" t="n"/>
      <c r="H43" s="33" t="inlineStr">
        <is>
          <t>350</t>
        </is>
      </c>
      <c r="I43" s="33" t="n"/>
      <c r="J43" s="33" t="n"/>
      <c r="K43" s="34" t="n">
        <v>42806</v>
      </c>
      <c r="L43" s="34" t="n"/>
      <c r="M43" s="34" t="n"/>
      <c r="N43" s="82" t="n"/>
      <c r="O43" s="82" t="n"/>
      <c r="P43" s="33" t="inlineStr">
        <is>
          <t>linear</t>
        </is>
      </c>
      <c r="Q43" s="34" t="n"/>
      <c r="R43" s="83" t="n"/>
      <c r="S43" s="34" t="n"/>
      <c r="T43" s="33" t="n"/>
      <c r="U43" s="83" t="n"/>
      <c r="V43" s="33" t="n"/>
      <c r="W43" s="83" t="n"/>
      <c r="X43" s="83" t="n"/>
      <c r="Y43" s="83" t="n"/>
      <c r="Z43" s="83" t="n"/>
      <c r="AA43" s="84" t="n">
        <v>107207.9</v>
      </c>
      <c r="AB43" s="83" t="n"/>
      <c r="AC43" s="83" t="n"/>
      <c r="AD43" s="83" t="n"/>
      <c r="AE43" s="83" t="n"/>
      <c r="AF43" s="83" t="n"/>
      <c r="AG43" s="83" t="n"/>
      <c r="AH43" s="84">
        <f>IF(OR($A43="",COUNT(AB43,AC43,AD43,AG43,AE43,AF43)&lt;1),"",AB43+AC43+AD43+AG43-AE43-AF43)</f>
        <v/>
      </c>
      <c r="AI43" s="84" t="n">
        <v>1985.33</v>
      </c>
      <c r="AJ43" s="84">
        <f>IF(OR($A43="",COUNT(W43,AB43)&lt;2),"",W43-AB43)</f>
        <v/>
      </c>
      <c r="AK43" s="83" t="n"/>
      <c r="AL43" s="33" t="n"/>
      <c r="AM43" s="33" t="n"/>
      <c r="AN43" s="83" t="n"/>
      <c r="AO43" s="33" t="n"/>
      <c r="AP43" s="33" t="n"/>
      <c r="AQ43" s="33" t="n"/>
    </row>
    <row r="44">
      <c r="A44" s="33" t="inlineStr">
        <is>
          <t>4503</t>
        </is>
      </c>
      <c r="B44" s="33" t="inlineStr">
        <is>
          <t>Tandemanhänger 0</t>
        </is>
      </c>
      <c r="C44" s="33" t="inlineStr">
        <is>
          <t>Konto 350</t>
        </is>
      </c>
      <c r="D44" s="33" t="n"/>
      <c r="E44" s="33" t="n"/>
      <c r="F44" s="33" t="n"/>
      <c r="G44" s="33" t="n"/>
      <c r="H44" s="33" t="inlineStr">
        <is>
          <t>350</t>
        </is>
      </c>
      <c r="I44" s="33" t="n"/>
      <c r="J44" s="33" t="n"/>
      <c r="K44" s="34" t="n">
        <v>42113</v>
      </c>
      <c r="L44" s="34" t="n"/>
      <c r="M44" s="34" t="n"/>
      <c r="N44" s="82" t="n"/>
      <c r="O44" s="82" t="n"/>
      <c r="P44" s="33" t="inlineStr">
        <is>
          <t>linear</t>
        </is>
      </c>
      <c r="Q44" s="34" t="n"/>
      <c r="R44" s="83" t="n"/>
      <c r="S44" s="34" t="n"/>
      <c r="T44" s="33" t="n"/>
      <c r="U44" s="83" t="n"/>
      <c r="V44" s="33" t="n"/>
      <c r="W44" s="83" t="n"/>
      <c r="X44" s="83" t="n"/>
      <c r="Y44" s="83" t="n"/>
      <c r="Z44" s="83" t="n"/>
      <c r="AA44" s="84" t="n">
        <v>113233</v>
      </c>
      <c r="AB44" s="83" t="n"/>
      <c r="AC44" s="83" t="n"/>
      <c r="AD44" s="83" t="n"/>
      <c r="AE44" s="83" t="n"/>
      <c r="AF44" s="83" t="n"/>
      <c r="AG44" s="83" t="n"/>
      <c r="AH44" s="84">
        <f>IF(OR($A44="",COUNT(AB44,AC44,AD44,AG44,AE44,AF44)&lt;1),"",AB44+AC44+AD44+AG44-AE44-AF44)</f>
        <v/>
      </c>
      <c r="AI44" s="84" t="n">
        <v>1</v>
      </c>
      <c r="AJ44" s="84">
        <f>IF(OR($A44="",COUNT(W44,AB44)&lt;2),"",W44-AB44)</f>
        <v/>
      </c>
      <c r="AK44" s="83" t="n"/>
      <c r="AL44" s="33" t="n"/>
      <c r="AM44" s="33" t="n"/>
      <c r="AN44" s="83" t="n"/>
      <c r="AO44" s="33" t="n"/>
      <c r="AP44" s="33" t="n"/>
      <c r="AQ44" s="33" t="n"/>
    </row>
    <row r="45">
      <c r="A45" s="33" t="inlineStr">
        <is>
          <t>502</t>
        </is>
      </c>
      <c r="B45" s="33" t="inlineStr">
        <is>
          <t>Kastenwagen 0</t>
        </is>
      </c>
      <c r="C45" s="33" t="inlineStr">
        <is>
          <t>Konto 350</t>
        </is>
      </c>
      <c r="D45" s="33" t="n"/>
      <c r="E45" s="33" t="n"/>
      <c r="F45" s="33" t="n"/>
      <c r="G45" s="33" t="n"/>
      <c r="H45" s="33" t="inlineStr">
        <is>
          <t>350</t>
        </is>
      </c>
      <c r="I45" s="33" t="n"/>
      <c r="J45" s="33" t="n"/>
      <c r="K45" s="34" t="n">
        <v>45853</v>
      </c>
      <c r="L45" s="34" t="n"/>
      <c r="M45" s="34" t="n"/>
      <c r="N45" s="82" t="n"/>
      <c r="O45" s="82" t="n"/>
      <c r="P45" s="33" t="inlineStr">
        <is>
          <t>linear</t>
        </is>
      </c>
      <c r="Q45" s="34" t="n"/>
      <c r="R45" s="83" t="n"/>
      <c r="S45" s="34" t="n"/>
      <c r="T45" s="33" t="n"/>
      <c r="U45" s="83" t="n"/>
      <c r="V45" s="33" t="n"/>
      <c r="W45" s="83" t="n"/>
      <c r="X45" s="83" t="n"/>
      <c r="Y45" s="83" t="n"/>
      <c r="Z45" s="83" t="n"/>
      <c r="AA45" s="84" t="n">
        <v>30202.4</v>
      </c>
      <c r="AB45" s="83" t="n"/>
      <c r="AC45" s="83" t="n"/>
      <c r="AD45" s="83" t="n"/>
      <c r="AE45" s="83" t="n"/>
      <c r="AF45" s="83" t="n"/>
      <c r="AG45" s="83" t="n"/>
      <c r="AH45" s="84">
        <f>IF(OR($A45="",COUNT(AB45,AC45,AD45,AG45,AE45,AF45)&lt;1),"",AB45+AC45+AD45+AG45-AE45-AF45)</f>
        <v/>
      </c>
      <c r="AI45" s="84" t="n">
        <v>28524.49</v>
      </c>
      <c r="AJ45" s="84">
        <f>IF(OR($A45="",COUNT(W45,AB45)&lt;2),"",W45-AB45)</f>
        <v/>
      </c>
      <c r="AK45" s="83" t="n"/>
      <c r="AL45" s="33" t="n"/>
      <c r="AM45" s="33" t="n"/>
      <c r="AN45" s="83" t="n"/>
      <c r="AO45" s="33" t="n"/>
      <c r="AP45" s="33" t="n"/>
      <c r="AQ45" s="33" t="n"/>
    </row>
    <row r="46">
      <c r="A46" s="33" t="inlineStr">
        <is>
          <t>935</t>
        </is>
      </c>
      <c r="B46" s="33" t="inlineStr">
        <is>
          <t>Tandemanhänger 0</t>
        </is>
      </c>
      <c r="C46" s="33" t="inlineStr">
        <is>
          <t>Konto 350</t>
        </is>
      </c>
      <c r="D46" s="33" t="n"/>
      <c r="E46" s="33" t="n"/>
      <c r="F46" s="33" t="n"/>
      <c r="G46" s="33" t="n"/>
      <c r="H46" s="33" t="inlineStr">
        <is>
          <t>350</t>
        </is>
      </c>
      <c r="I46" s="33" t="n"/>
      <c r="J46" s="33" t="n"/>
      <c r="K46" s="34" t="n">
        <v>42301</v>
      </c>
      <c r="L46" s="34" t="n"/>
      <c r="M46" s="34" t="n"/>
      <c r="N46" s="82" t="n"/>
      <c r="O46" s="82" t="n"/>
      <c r="P46" s="33" t="inlineStr">
        <is>
          <t>linear</t>
        </is>
      </c>
      <c r="Q46" s="34" t="n"/>
      <c r="R46" s="83" t="n"/>
      <c r="S46" s="34" t="n"/>
      <c r="T46" s="33" t="n"/>
      <c r="U46" s="83" t="n"/>
      <c r="V46" s="33" t="n"/>
      <c r="W46" s="83" t="n"/>
      <c r="X46" s="83" t="n"/>
      <c r="Y46" s="83" t="n"/>
      <c r="Z46" s="83" t="n"/>
      <c r="AA46" s="84" t="n">
        <v>44331</v>
      </c>
      <c r="AB46" s="83" t="n"/>
      <c r="AC46" s="83" t="n"/>
      <c r="AD46" s="83" t="n"/>
      <c r="AE46" s="83" t="n"/>
      <c r="AF46" s="83" t="n"/>
      <c r="AG46" s="83" t="n"/>
      <c r="AH46" s="84">
        <f>IF(OR($A46="",COUNT(AB46,AC46,AD46,AG46,AE46,AF46)&lt;1),"",AB46+AC46+AD46+AG46-AE46-AF46)</f>
        <v/>
      </c>
      <c r="AI46" s="84" t="n">
        <v>1</v>
      </c>
      <c r="AJ46" s="84">
        <f>IF(OR($A46="",COUNT(W46,AB46)&lt;2),"",W46-AB46)</f>
        <v/>
      </c>
      <c r="AK46" s="83" t="n"/>
      <c r="AL46" s="33" t="n"/>
      <c r="AM46" s="33" t="n"/>
      <c r="AN46" s="83" t="n"/>
      <c r="AO46" s="33" t="n"/>
      <c r="AP46" s="33" t="n"/>
      <c r="AQ46" s="33" t="n"/>
    </row>
    <row r="47">
      <c r="A47" s="33" t="inlineStr">
        <is>
          <t>94</t>
        </is>
      </c>
      <c r="B47" s="33" t="inlineStr">
        <is>
          <t>Lkw 7,5t Pritsche Nr. 39 0</t>
        </is>
      </c>
      <c r="C47" s="33" t="inlineStr">
        <is>
          <t>Konto 350</t>
        </is>
      </c>
      <c r="D47" s="33" t="n"/>
      <c r="E47" s="33" t="n"/>
      <c r="F47" s="33" t="n"/>
      <c r="G47" s="33" t="n"/>
      <c r="H47" s="33" t="inlineStr">
        <is>
          <t>350</t>
        </is>
      </c>
      <c r="I47" s="33" t="n"/>
      <c r="J47" s="33" t="n"/>
      <c r="K47" s="34" t="n">
        <v>43452</v>
      </c>
      <c r="L47" s="34" t="n"/>
      <c r="M47" s="34" t="n"/>
      <c r="N47" s="82" t="n"/>
      <c r="O47" s="82" t="n"/>
      <c r="P47" s="33" t="inlineStr">
        <is>
          <t>linear</t>
        </is>
      </c>
      <c r="Q47" s="34" t="n"/>
      <c r="R47" s="83" t="n"/>
      <c r="S47" s="34" t="n"/>
      <c r="T47" s="33" t="n"/>
      <c r="U47" s="83" t="n"/>
      <c r="V47" s="33" t="n"/>
      <c r="W47" s="83" t="n"/>
      <c r="X47" s="83" t="n"/>
      <c r="Y47" s="83" t="n"/>
      <c r="Z47" s="83" t="n"/>
      <c r="AA47" s="84" t="n">
        <v>161505.62</v>
      </c>
      <c r="AB47" s="83" t="n"/>
      <c r="AC47" s="83" t="n"/>
      <c r="AD47" s="83" t="n"/>
      <c r="AE47" s="83" t="n"/>
      <c r="AF47" s="83" t="n"/>
      <c r="AG47" s="83" t="n"/>
      <c r="AH47" s="84">
        <f>IF(OR($A47="",COUNT(AB47,AC47,AD47,AG47,AE47,AF47)&lt;1),"",AB47+AC47+AD47+AG47-AE47-AF47)</f>
        <v/>
      </c>
      <c r="AI47" s="84" t="n">
        <v>34394.72</v>
      </c>
      <c r="AJ47" s="84">
        <f>IF(OR($A47="",COUNT(W47,AB47)&lt;2),"",W47-AB47)</f>
        <v/>
      </c>
      <c r="AK47" s="83" t="n"/>
      <c r="AL47" s="33" t="n"/>
      <c r="AM47" s="33" t="n"/>
      <c r="AN47" s="83" t="n"/>
      <c r="AO47" s="33" t="n"/>
      <c r="AP47" s="33" t="n"/>
      <c r="AQ47" s="33" t="n"/>
    </row>
    <row r="48">
      <c r="A48" s="33" t="inlineStr">
        <is>
          <t>95</t>
        </is>
      </c>
      <c r="B48" s="33" t="inlineStr">
        <is>
          <t>Sattelzugmaschine 0</t>
        </is>
      </c>
      <c r="C48" s="33" t="inlineStr">
        <is>
          <t>Konto 350</t>
        </is>
      </c>
      <c r="D48" s="33" t="n"/>
      <c r="E48" s="33" t="n"/>
      <c r="F48" s="33" t="n"/>
      <c r="G48" s="33" t="n"/>
      <c r="H48" s="33" t="inlineStr">
        <is>
          <t>350</t>
        </is>
      </c>
      <c r="I48" s="33" t="n"/>
      <c r="J48" s="33" t="n"/>
      <c r="K48" s="34" t="n">
        <v>45758</v>
      </c>
      <c r="L48" s="34" t="n"/>
      <c r="M48" s="34" t="n"/>
      <c r="N48" s="82" t="n"/>
      <c r="O48" s="82" t="n"/>
      <c r="P48" s="33" t="inlineStr">
        <is>
          <t>linear</t>
        </is>
      </c>
      <c r="Q48" s="34" t="n"/>
      <c r="R48" s="83" t="n"/>
      <c r="S48" s="34" t="n"/>
      <c r="T48" s="33" t="n"/>
      <c r="U48" s="83" t="n"/>
      <c r="V48" s="33" t="n"/>
      <c r="W48" s="83" t="n"/>
      <c r="X48" s="83" t="n"/>
      <c r="Y48" s="83" t="n"/>
      <c r="Z48" s="83" t="n"/>
      <c r="AA48" s="84" t="n">
        <v>171766.7</v>
      </c>
      <c r="AB48" s="83" t="n"/>
      <c r="AC48" s="83" t="n"/>
      <c r="AD48" s="83" t="n"/>
      <c r="AE48" s="83" t="n"/>
      <c r="AF48" s="83" t="n"/>
      <c r="AG48" s="83" t="n"/>
      <c r="AH48" s="84">
        <f>IF(OR($A48="",COUNT(AB48,AC48,AD48,AG48,AE48,AF48)&lt;1),"",AB48+AC48+AD48+AG48-AE48-AF48)</f>
        <v/>
      </c>
      <c r="AI48" s="84" t="n">
        <v>157452.81</v>
      </c>
      <c r="AJ48" s="84">
        <f>IF(OR($A48="",COUNT(W48,AB48)&lt;2),"",W48-AB48)</f>
        <v/>
      </c>
      <c r="AK48" s="83" t="n"/>
      <c r="AL48" s="33" t="n"/>
      <c r="AM48" s="33" t="n"/>
      <c r="AN48" s="83" t="n"/>
      <c r="AO48" s="33" t="n"/>
      <c r="AP48" s="33" t="n"/>
      <c r="AQ48" s="33" t="n"/>
    </row>
    <row r="49">
      <c r="A49" s="33" t="inlineStr">
        <is>
          <t>987</t>
        </is>
      </c>
      <c r="B49" s="33" t="inlineStr">
        <is>
          <t>Lkw 7,5t Pritsche (gebraucht) 0</t>
        </is>
      </c>
      <c r="C49" s="33" t="inlineStr">
        <is>
          <t>Konto 350</t>
        </is>
      </c>
      <c r="D49" s="33" t="n"/>
      <c r="E49" s="33" t="n"/>
      <c r="F49" s="33" t="n"/>
      <c r="G49" s="33" t="n"/>
      <c r="H49" s="33" t="inlineStr">
        <is>
          <t>350</t>
        </is>
      </c>
      <c r="I49" s="33" t="n"/>
      <c r="J49" s="33" t="n"/>
      <c r="K49" s="34" t="n">
        <v>44390</v>
      </c>
      <c r="L49" s="34" t="n"/>
      <c r="M49" s="34" t="n"/>
      <c r="N49" s="82" t="n"/>
      <c r="O49" s="82" t="n"/>
      <c r="P49" s="33" t="inlineStr">
        <is>
          <t>linear</t>
        </is>
      </c>
      <c r="Q49" s="34" t="n"/>
      <c r="R49" s="83" t="n"/>
      <c r="S49" s="34" t="n"/>
      <c r="T49" s="33" t="n"/>
      <c r="U49" s="83" t="n"/>
      <c r="V49" s="33" t="n"/>
      <c r="W49" s="83" t="n"/>
      <c r="X49" s="83" t="n"/>
      <c r="Y49" s="83" t="n"/>
      <c r="Z49" s="83" t="n"/>
      <c r="AA49" s="84" t="n">
        <v>48908.23</v>
      </c>
      <c r="AB49" s="83" t="n"/>
      <c r="AC49" s="83" t="n"/>
      <c r="AD49" s="83" t="n"/>
      <c r="AE49" s="83" t="n"/>
      <c r="AF49" s="83" t="n"/>
      <c r="AG49" s="83" t="n"/>
      <c r="AH49" s="84">
        <f>IF(OR($A49="",COUNT(AB49,AC49,AD49,AG49,AE49,AF49)&lt;1),"",AB49+AC49+AD49+AG49-AE49-AF49)</f>
        <v/>
      </c>
      <c r="AI49" s="84" t="n">
        <v>24454.11</v>
      </c>
      <c r="AJ49" s="84">
        <f>IF(OR($A49="",COUNT(W49,AB49)&lt;2),"",W49-AB49)</f>
        <v/>
      </c>
      <c r="AK49" s="83" t="n"/>
      <c r="AL49" s="33" t="n"/>
      <c r="AM49" s="33" t="n"/>
      <c r="AN49" s="83" t="n"/>
      <c r="AO49" s="33" t="n"/>
      <c r="AP49" s="33" t="n"/>
      <c r="AQ49" s="33" t="n"/>
    </row>
    <row r="50">
      <c r="A50" s="33" t="inlineStr">
        <is>
          <t>19d</t>
        </is>
      </c>
      <c r="B50" s="33" t="inlineStr">
        <is>
          <t>Palettenregal Typ S641 0</t>
        </is>
      </c>
      <c r="C50" s="33" t="inlineStr">
        <is>
          <t>Konto 400</t>
        </is>
      </c>
      <c r="D50" s="33" t="n"/>
      <c r="E50" s="33" t="n"/>
      <c r="F50" s="33" t="n"/>
      <c r="G50" s="33" t="n"/>
      <c r="H50" s="33" t="inlineStr">
        <is>
          <t>400</t>
        </is>
      </c>
      <c r="I50" s="33" t="n"/>
      <c r="J50" s="33" t="n"/>
      <c r="K50" s="34" t="n">
        <v>45836</v>
      </c>
      <c r="L50" s="34" t="n"/>
      <c r="M50" s="34" t="n"/>
      <c r="N50" s="82" t="n"/>
      <c r="O50" s="82" t="n"/>
      <c r="P50" s="33" t="inlineStr">
        <is>
          <t>linear</t>
        </is>
      </c>
      <c r="Q50" s="34" t="n"/>
      <c r="R50" s="83" t="n"/>
      <c r="S50" s="34" t="n"/>
      <c r="T50" s="33" t="n"/>
      <c r="U50" s="83" t="n"/>
      <c r="V50" s="33" t="n"/>
      <c r="W50" s="83" t="n"/>
      <c r="X50" s="83" t="n"/>
      <c r="Y50" s="83" t="n"/>
      <c r="Z50" s="83" t="n"/>
      <c r="AA50" s="84" t="n">
        <v>1564.9</v>
      </c>
      <c r="AB50" s="83" t="n"/>
      <c r="AC50" s="83" t="n"/>
      <c r="AD50" s="83" t="n"/>
      <c r="AE50" s="83" t="n"/>
      <c r="AF50" s="83" t="n"/>
      <c r="AG50" s="83" t="n"/>
      <c r="AH50" s="84">
        <f>IF(OR($A50="",COUNT(AB50,AC50,AD50,AG50,AE50,AF50)&lt;1),"",AB50+AC50+AD50+AG50-AE50-AF50)</f>
        <v/>
      </c>
      <c r="AI50" s="84" t="n">
        <v>1382.33</v>
      </c>
      <c r="AJ50" s="84">
        <f>IF(OR($A50="",COUNT(W50,AB50)&lt;2),"",W50-AB50)</f>
        <v/>
      </c>
      <c r="AK50" s="83" t="n"/>
      <c r="AL50" s="33" t="n"/>
      <c r="AM50" s="33" t="n"/>
      <c r="AN50" s="83" t="n"/>
      <c r="AO50" s="33" t="n"/>
      <c r="AP50" s="33" t="n"/>
      <c r="AQ50" s="33" t="n"/>
    </row>
    <row r="51">
      <c r="A51" s="33" t="inlineStr">
        <is>
          <t>23</t>
        </is>
      </c>
      <c r="B51" s="33" t="inlineStr">
        <is>
          <t>Palettenregal 0</t>
        </is>
      </c>
      <c r="C51" s="33" t="inlineStr">
        <is>
          <t>Konto 400</t>
        </is>
      </c>
      <c r="D51" s="33" t="n"/>
      <c r="E51" s="33" t="n"/>
      <c r="F51" s="33" t="n"/>
      <c r="G51" s="33" t="n"/>
      <c r="H51" s="33" t="inlineStr">
        <is>
          <t>400</t>
        </is>
      </c>
      <c r="I51" s="33" t="n"/>
      <c r="J51" s="33" t="n"/>
      <c r="K51" s="34" t="n">
        <v>42149</v>
      </c>
      <c r="L51" s="34" t="n"/>
      <c r="M51" s="34" t="n"/>
      <c r="N51" s="82" t="n"/>
      <c r="O51" s="82" t="n"/>
      <c r="P51" s="33" t="inlineStr">
        <is>
          <t>linear</t>
        </is>
      </c>
      <c r="Q51" s="34" t="n"/>
      <c r="R51" s="83" t="n"/>
      <c r="S51" s="34" t="n"/>
      <c r="T51" s="33" t="n"/>
      <c r="U51" s="83" t="n"/>
      <c r="V51" s="33" t="n"/>
      <c r="W51" s="83" t="n"/>
      <c r="X51" s="83" t="n"/>
      <c r="Y51" s="83" t="n"/>
      <c r="Z51" s="83" t="n"/>
      <c r="AA51" s="84" t="n">
        <v>26481</v>
      </c>
      <c r="AB51" s="83" t="n"/>
      <c r="AC51" s="83" t="n"/>
      <c r="AD51" s="83" t="n"/>
      <c r="AE51" s="83" t="n"/>
      <c r="AF51" s="83" t="n"/>
      <c r="AG51" s="83" t="n"/>
      <c r="AH51" s="84">
        <f>IF(OR($A51="",COUNT(AB51,AC51,AD51,AG51,AE51,AF51)&lt;1),"",AB51+AC51+AD51+AG51-AE51-AF51)</f>
        <v/>
      </c>
      <c r="AI51" s="84" t="n">
        <v>1</v>
      </c>
      <c r="AJ51" s="84">
        <f>IF(OR($A51="",COUNT(W51,AB51)&lt;2),"",W51-AB51)</f>
        <v/>
      </c>
      <c r="AK51" s="83" t="n"/>
      <c r="AL51" s="33" t="n"/>
      <c r="AM51" s="33" t="n"/>
      <c r="AN51" s="83" t="n"/>
      <c r="AO51" s="33" t="n"/>
      <c r="AP51" s="33" t="n"/>
      <c r="AQ51" s="33" t="n"/>
    </row>
    <row r="52">
      <c r="A52" s="33" t="inlineStr">
        <is>
          <t>632</t>
        </is>
      </c>
      <c r="B52" s="33" t="inlineStr">
        <is>
          <t>Schweißgerät Typ K88 0</t>
        </is>
      </c>
      <c r="C52" s="33" t="inlineStr">
        <is>
          <t>Konto 400</t>
        </is>
      </c>
      <c r="D52" s="33" t="n"/>
      <c r="E52" s="33" t="n"/>
      <c r="F52" s="33" t="n"/>
      <c r="G52" s="33" t="n"/>
      <c r="H52" s="33" t="inlineStr">
        <is>
          <t>400</t>
        </is>
      </c>
      <c r="I52" s="33" t="n"/>
      <c r="J52" s="33" t="n"/>
      <c r="K52" s="34" t="n">
        <v>43880</v>
      </c>
      <c r="L52" s="34" t="n"/>
      <c r="M52" s="34" t="n"/>
      <c r="N52" s="82" t="n"/>
      <c r="O52" s="82" t="n"/>
      <c r="P52" s="33" t="inlineStr">
        <is>
          <t>linear</t>
        </is>
      </c>
      <c r="Q52" s="34" t="n"/>
      <c r="R52" s="83" t="n"/>
      <c r="S52" s="34" t="n"/>
      <c r="T52" s="33" t="n"/>
      <c r="U52" s="83" t="n"/>
      <c r="V52" s="33" t="n"/>
      <c r="W52" s="83" t="n"/>
      <c r="X52" s="83" t="n"/>
      <c r="Y52" s="83" t="n"/>
      <c r="Z52" s="83" t="n"/>
      <c r="AA52" s="84" t="n">
        <v>0</v>
      </c>
      <c r="AB52" s="83" t="n"/>
      <c r="AC52" s="83" t="n"/>
      <c r="AD52" s="83" t="n"/>
      <c r="AE52" s="83" t="n"/>
      <c r="AF52" s="83" t="n"/>
      <c r="AG52" s="83" t="n"/>
      <c r="AH52" s="84">
        <f>IF(OR($A52="",COUNT(AB52,AC52,AD52,AG52,AE52,AF52)&lt;1),"",AB52+AC52+AD52+AG52-AE52-AF52)</f>
        <v/>
      </c>
      <c r="AI52" s="84" t="n">
        <v>0</v>
      </c>
      <c r="AJ52" s="84">
        <f>IF(OR($A52="",COUNT(W52,AB52)&lt;2),"",W52-AB52)</f>
        <v/>
      </c>
      <c r="AK52" s="83" t="n"/>
      <c r="AL52" s="33" t="n"/>
      <c r="AM52" s="33" t="n"/>
      <c r="AN52" s="83" t="n"/>
      <c r="AO52" s="33" t="n"/>
      <c r="AP52" s="33" t="n"/>
      <c r="AQ52" s="33" t="n"/>
    </row>
    <row r="53">
      <c r="A53" s="33" t="inlineStr">
        <is>
          <t>64</t>
        </is>
      </c>
      <c r="B53" s="33" t="inlineStr">
        <is>
          <t>Palettenregal 0</t>
        </is>
      </c>
      <c r="C53" s="33" t="inlineStr">
        <is>
          <t>Konto 400</t>
        </is>
      </c>
      <c r="D53" s="33" t="n"/>
      <c r="E53" s="33" t="n"/>
      <c r="F53" s="33" t="n"/>
      <c r="G53" s="33" t="n"/>
      <c r="H53" s="33" t="inlineStr">
        <is>
          <t>400</t>
        </is>
      </c>
      <c r="I53" s="33" t="n"/>
      <c r="J53" s="33" t="n"/>
      <c r="K53" s="34" t="n">
        <v>45840</v>
      </c>
      <c r="L53" s="34" t="n"/>
      <c r="M53" s="34" t="n"/>
      <c r="N53" s="82" t="n"/>
      <c r="O53" s="82" t="n"/>
      <c r="P53" s="33" t="inlineStr">
        <is>
          <t>linear</t>
        </is>
      </c>
      <c r="Q53" s="34" t="n"/>
      <c r="R53" s="83" t="n"/>
      <c r="S53" s="34" t="n"/>
      <c r="T53" s="33" t="n"/>
      <c r="U53" s="83" t="n"/>
      <c r="V53" s="33" t="n"/>
      <c r="W53" s="83" t="n"/>
      <c r="X53" s="83" t="n"/>
      <c r="Y53" s="83" t="n"/>
      <c r="Z53" s="83" t="n"/>
      <c r="AA53" s="84" t="n">
        <v>14412.02</v>
      </c>
      <c r="AB53" s="83" t="n"/>
      <c r="AC53" s="83" t="n"/>
      <c r="AD53" s="83" t="n"/>
      <c r="AE53" s="83" t="n"/>
      <c r="AF53" s="83" t="n"/>
      <c r="AG53" s="83" t="n"/>
      <c r="AH53" s="84">
        <f>IF(OR($A53="",COUNT(AB53,AC53,AD53,AG53,AE53,AF53)&lt;1),"",AB53+AC53+AD53+AG53-AE53-AF53)</f>
        <v/>
      </c>
      <c r="AI53" s="84" t="n">
        <v>13511.27</v>
      </c>
      <c r="AJ53" s="84">
        <f>IF(OR($A53="",COUNT(W53,AB53)&lt;2),"",W53-AB53)</f>
        <v/>
      </c>
      <c r="AK53" s="83" t="n"/>
      <c r="AL53" s="33" t="n"/>
      <c r="AM53" s="33" t="n"/>
      <c r="AN53" s="83" t="n"/>
      <c r="AO53" s="33" t="n"/>
      <c r="AP53" s="33" t="n"/>
      <c r="AQ53" s="33" t="n"/>
    </row>
    <row r="54">
      <c r="A54" s="33" t="inlineStr">
        <is>
          <t>1469</t>
        </is>
      </c>
      <c r="B54" s="33" t="inlineStr">
        <is>
          <t>Konferenzstühle (8 Stück) 0</t>
        </is>
      </c>
      <c r="C54" s="33" t="inlineStr">
        <is>
          <t>Konto 420</t>
        </is>
      </c>
      <c r="D54" s="33" t="n"/>
      <c r="E54" s="33" t="n"/>
      <c r="F54" s="33" t="n"/>
      <c r="G54" s="33" t="n"/>
      <c r="H54" s="33" t="inlineStr">
        <is>
          <t>420</t>
        </is>
      </c>
      <c r="I54" s="33" t="n"/>
      <c r="J54" s="33" t="n"/>
      <c r="K54" s="34" t="n">
        <v>44926</v>
      </c>
      <c r="L54" s="34" t="n"/>
      <c r="M54" s="34" t="n"/>
      <c r="N54" s="82" t="n"/>
      <c r="O54" s="82" t="n"/>
      <c r="P54" s="33" t="inlineStr">
        <is>
          <t>linear</t>
        </is>
      </c>
      <c r="Q54" s="34" t="n"/>
      <c r="R54" s="83" t="n"/>
      <c r="S54" s="34" t="n"/>
      <c r="T54" s="33" t="n"/>
      <c r="U54" s="83" t="n"/>
      <c r="V54" s="33" t="n"/>
      <c r="W54" s="83" t="n"/>
      <c r="X54" s="83" t="n"/>
      <c r="Y54" s="83" t="n"/>
      <c r="Z54" s="83" t="n"/>
      <c r="AA54" s="84" t="n">
        <v>16746.17</v>
      </c>
      <c r="AB54" s="83" t="n"/>
      <c r="AC54" s="83" t="n"/>
      <c r="AD54" s="83" t="n"/>
      <c r="AE54" s="83" t="n"/>
      <c r="AF54" s="83" t="n"/>
      <c r="AG54" s="83" t="n"/>
      <c r="AH54" s="84">
        <f>IF(OR($A54="",COUNT(AB54,AC54,AD54,AG54,AE54,AF54)&lt;1),"",AB54+AC54+AD54+AG54-AE54-AF54)</f>
        <v/>
      </c>
      <c r="AI54" s="84" t="n">
        <v>12774.32</v>
      </c>
      <c r="AJ54" s="84">
        <f>IF(OR($A54="",COUNT(W54,AB54)&lt;2),"",W54-AB54)</f>
        <v/>
      </c>
      <c r="AK54" s="83" t="n"/>
      <c r="AL54" s="33" t="n"/>
      <c r="AM54" s="33" t="n"/>
      <c r="AN54" s="83" t="n"/>
      <c r="AO54" s="33" t="n"/>
      <c r="AP54" s="33" t="n"/>
      <c r="AQ54" s="33" t="n"/>
    </row>
    <row r="55">
      <c r="A55" s="33" t="inlineStr">
        <is>
          <t>297</t>
        </is>
      </c>
      <c r="B55" s="33" t="inlineStr">
        <is>
          <t>Konferenzstühle (8 Stück) 0</t>
        </is>
      </c>
      <c r="C55" s="33" t="inlineStr">
        <is>
          <t>Konto 420</t>
        </is>
      </c>
      <c r="D55" s="33" t="n"/>
      <c r="E55" s="33" t="n"/>
      <c r="F55" s="33" t="n"/>
      <c r="G55" s="33" t="n"/>
      <c r="H55" s="33" t="inlineStr">
        <is>
          <t>420</t>
        </is>
      </c>
      <c r="I55" s="33" t="n"/>
      <c r="J55" s="33" t="n"/>
      <c r="K55" s="34" t="n">
        <v>39701</v>
      </c>
      <c r="L55" s="34" t="n"/>
      <c r="M55" s="34" t="n"/>
      <c r="N55" s="82" t="n"/>
      <c r="O55" s="82" t="n"/>
      <c r="P55" s="33" t="inlineStr">
        <is>
          <t>linear</t>
        </is>
      </c>
      <c r="Q55" s="34" t="n"/>
      <c r="R55" s="83" t="n"/>
      <c r="S55" s="34" t="n"/>
      <c r="T55" s="33" t="n"/>
      <c r="U55" s="83" t="n"/>
      <c r="V55" s="33" t="n"/>
      <c r="W55" s="83" t="n"/>
      <c r="X55" s="83" t="n"/>
      <c r="Y55" s="83" t="n"/>
      <c r="Z55" s="83" t="n"/>
      <c r="AA55" s="84" t="n">
        <v>787</v>
      </c>
      <c r="AB55" s="83" t="n"/>
      <c r="AC55" s="83" t="n"/>
      <c r="AD55" s="83" t="n"/>
      <c r="AE55" s="83" t="n"/>
      <c r="AF55" s="83" t="n"/>
      <c r="AG55" s="83" t="n"/>
      <c r="AH55" s="84">
        <f>IF(OR($A55="",COUNT(AB55,AC55,AD55,AG55,AE55,AF55)&lt;1),"",AB55+AC55+AD55+AG55-AE55-AF55)</f>
        <v/>
      </c>
      <c r="AI55" s="84" t="n">
        <v>1</v>
      </c>
      <c r="AJ55" s="84">
        <f>IF(OR($A55="",COUNT(W55,AB55)&lt;2),"",W55-AB55)</f>
        <v/>
      </c>
      <c r="AK55" s="83" t="n"/>
      <c r="AL55" s="33" t="n"/>
      <c r="AM55" s="33" t="n"/>
      <c r="AN55" s="83" t="n"/>
      <c r="AO55" s="33" t="n"/>
      <c r="AP55" s="33" t="n"/>
      <c r="AQ55" s="33" t="n"/>
    </row>
    <row r="56">
      <c r="A56" s="33" t="inlineStr">
        <is>
          <t>345</t>
        </is>
      </c>
      <c r="B56" s="33" t="inlineStr">
        <is>
          <t>Schreibtisch höhenverstellbar 0</t>
        </is>
      </c>
      <c r="C56" s="33" t="inlineStr">
        <is>
          <t>Konto 420</t>
        </is>
      </c>
      <c r="D56" s="33" t="n"/>
      <c r="E56" s="33" t="n"/>
      <c r="F56" s="33" t="n"/>
      <c r="G56" s="33" t="n"/>
      <c r="H56" s="33" t="inlineStr">
        <is>
          <t>420</t>
        </is>
      </c>
      <c r="I56" s="33" t="n"/>
      <c r="J56" s="33" t="n"/>
      <c r="K56" s="34" t="n">
        <v>40325</v>
      </c>
      <c r="L56" s="34" t="n"/>
      <c r="M56" s="34" t="n"/>
      <c r="N56" s="82" t="n"/>
      <c r="O56" s="82" t="n"/>
      <c r="P56" s="33" t="inlineStr">
        <is>
          <t>linear</t>
        </is>
      </c>
      <c r="Q56" s="34" t="n"/>
      <c r="R56" s="83" t="n"/>
      <c r="S56" s="34" t="n"/>
      <c r="T56" s="33" t="n"/>
      <c r="U56" s="83" t="n"/>
      <c r="V56" s="33" t="n"/>
      <c r="W56" s="83" t="n"/>
      <c r="X56" s="83" t="n"/>
      <c r="Y56" s="83" t="n"/>
      <c r="Z56" s="83" t="n"/>
      <c r="AA56" s="84" t="n">
        <v>2227</v>
      </c>
      <c r="AB56" s="83" t="n"/>
      <c r="AC56" s="83" t="n"/>
      <c r="AD56" s="83" t="n"/>
      <c r="AE56" s="83" t="n"/>
      <c r="AF56" s="83" t="n"/>
      <c r="AG56" s="83" t="n"/>
      <c r="AH56" s="84">
        <f>IF(OR($A56="",COUNT(AB56,AC56,AD56,AG56,AE56,AF56)&lt;1),"",AB56+AC56+AD56+AG56-AE56-AF56)</f>
        <v/>
      </c>
      <c r="AI56" s="84" t="n">
        <v>1</v>
      </c>
      <c r="AJ56" s="84">
        <f>IF(OR($A56="",COUNT(W56,AB56)&lt;2),"",W56-AB56)</f>
        <v/>
      </c>
      <c r="AK56" s="83" t="n"/>
      <c r="AL56" s="33" t="n"/>
      <c r="AM56" s="33" t="n"/>
      <c r="AN56" s="83" t="n"/>
      <c r="AO56" s="33" t="n"/>
      <c r="AP56" s="33" t="n"/>
      <c r="AQ56" s="33" t="n"/>
    </row>
    <row r="57">
      <c r="A57" s="33" t="inlineStr">
        <is>
          <t>38</t>
        </is>
      </c>
      <c r="B57" s="33" t="inlineStr">
        <is>
          <t>B Konferenzstühle (8 Stück) 0</t>
        </is>
      </c>
      <c r="C57" s="33" t="inlineStr">
        <is>
          <t>Konto 420</t>
        </is>
      </c>
      <c r="D57" s="33" t="n"/>
      <c r="E57" s="33" t="n"/>
      <c r="F57" s="33" t="n"/>
      <c r="G57" s="33" t="n"/>
      <c r="H57" s="33" t="inlineStr">
        <is>
          <t>420</t>
        </is>
      </c>
      <c r="I57" s="33" t="n"/>
      <c r="J57" s="33" t="n"/>
      <c r="K57" s="34" t="n">
        <v>41860</v>
      </c>
      <c r="L57" s="34" t="n"/>
      <c r="M57" s="34" t="n"/>
      <c r="N57" s="82" t="n"/>
      <c r="O57" s="82" t="n"/>
      <c r="P57" s="33" t="inlineStr">
        <is>
          <t>linear</t>
        </is>
      </c>
      <c r="Q57" s="34" t="n"/>
      <c r="R57" s="83" t="n"/>
      <c r="S57" s="34" t="n"/>
      <c r="T57" s="33" t="n"/>
      <c r="U57" s="83" t="n"/>
      <c r="V57" s="33" t="n"/>
      <c r="W57" s="83" t="n"/>
      <c r="X57" s="83" t="n"/>
      <c r="Y57" s="83" t="n"/>
      <c r="Z57" s="83" t="n"/>
      <c r="AA57" s="84" t="n">
        <v>18413</v>
      </c>
      <c r="AB57" s="83" t="n"/>
      <c r="AC57" s="83" t="n"/>
      <c r="AD57" s="83" t="n"/>
      <c r="AE57" s="83" t="n"/>
      <c r="AF57" s="83" t="n"/>
      <c r="AG57" s="83" t="n"/>
      <c r="AH57" s="84">
        <f>IF(OR($A57="",COUNT(AB57,AC57,AD57,AG57,AE57,AF57)&lt;1),"",AB57+AC57+AD57+AG57-AE57-AF57)</f>
        <v/>
      </c>
      <c r="AI57" s="84" t="n">
        <v>2242.61</v>
      </c>
      <c r="AJ57" s="84">
        <f>IF(OR($A57="",COUNT(W57,AB57)&lt;2),"",W57-AB57)</f>
        <v/>
      </c>
      <c r="AK57" s="83" t="n"/>
      <c r="AL57" s="33" t="n"/>
      <c r="AM57" s="33" t="n"/>
      <c r="AN57" s="83" t="n"/>
      <c r="AO57" s="33" t="n"/>
      <c r="AP57" s="33" t="n"/>
      <c r="AQ57" s="33" t="n"/>
    </row>
    <row r="58">
      <c r="A58" s="33" t="inlineStr">
        <is>
          <t>139</t>
        </is>
      </c>
      <c r="B58" s="33" t="inlineStr">
        <is>
          <t>Stehleuchte 0</t>
        </is>
      </c>
      <c r="C58" s="33" t="inlineStr">
        <is>
          <t>Konto 480</t>
        </is>
      </c>
      <c r="D58" s="33" t="n"/>
      <c r="E58" s="33" t="n"/>
      <c r="F58" s="33" t="n"/>
      <c r="G58" s="33" t="n"/>
      <c r="H58" s="33" t="inlineStr">
        <is>
          <t>480</t>
        </is>
      </c>
      <c r="I58" s="33" t="n"/>
      <c r="J58" s="33" t="n"/>
      <c r="K58" s="34" t="n">
        <v>44414</v>
      </c>
      <c r="L58" s="34" t="n"/>
      <c r="M58" s="34" t="n"/>
      <c r="N58" s="82" t="n"/>
      <c r="O58" s="82" t="n"/>
      <c r="P58" s="33" t="inlineStr">
        <is>
          <t>Sofortabschreibung</t>
        </is>
      </c>
      <c r="Q58" s="34" t="n"/>
      <c r="R58" s="83" t="n"/>
      <c r="S58" s="34" t="n"/>
      <c r="T58" s="33" t="n"/>
      <c r="U58" s="83" t="n"/>
      <c r="V58" s="33" t="n"/>
      <c r="W58" s="83" t="n"/>
      <c r="X58" s="83" t="n"/>
      <c r="Y58" s="83" t="n"/>
      <c r="Z58" s="83" t="n"/>
      <c r="AA58" s="84" t="n">
        <v>370</v>
      </c>
      <c r="AB58" s="83" t="n"/>
      <c r="AC58" s="83" t="n"/>
      <c r="AD58" s="83" t="n"/>
      <c r="AE58" s="83" t="n"/>
      <c r="AF58" s="83" t="n"/>
      <c r="AG58" s="83" t="n"/>
      <c r="AH58" s="84">
        <f>IF(OR($A58="",COUNT(AB58,AC58,AD58,AG58,AE58,AF58)&lt;1),"",AB58+AC58+AD58+AG58-AE58-AF58)</f>
        <v/>
      </c>
      <c r="AI58" s="84" t="n">
        <v>0</v>
      </c>
      <c r="AJ58" s="84">
        <f>IF(OR($A58="",COUNT(W58,AB58)&lt;2),"",W58-AB58)</f>
        <v/>
      </c>
      <c r="AK58" s="83" t="n"/>
      <c r="AL58" s="33" t="n"/>
      <c r="AM58" s="33" t="n"/>
      <c r="AN58" s="83" t="n"/>
      <c r="AO58" s="33" t="n"/>
      <c r="AP58" s="33" t="n"/>
      <c r="AQ58" s="33" t="n"/>
    </row>
    <row r="59">
      <c r="A59" s="33" t="inlineStr">
        <is>
          <t>27</t>
        </is>
      </c>
      <c r="B59" s="33" t="inlineStr">
        <is>
          <t>Werkzeugkoffer 0</t>
        </is>
      </c>
      <c r="C59" s="33" t="inlineStr">
        <is>
          <t>Konto 480</t>
        </is>
      </c>
      <c r="D59" s="33" t="n"/>
      <c r="E59" s="33" t="n"/>
      <c r="F59" s="33" t="n"/>
      <c r="G59" s="33" t="n"/>
      <c r="H59" s="33" t="inlineStr">
        <is>
          <t>480</t>
        </is>
      </c>
      <c r="I59" s="33" t="n"/>
      <c r="J59" s="33" t="n"/>
      <c r="K59" s="34" t="n">
        <v>45361</v>
      </c>
      <c r="L59" s="34" t="n"/>
      <c r="M59" s="34" t="n"/>
      <c r="N59" s="82" t="n"/>
      <c r="O59" s="82" t="n"/>
      <c r="P59" s="33" t="inlineStr">
        <is>
          <t>Sofortabschreibung</t>
        </is>
      </c>
      <c r="Q59" s="34" t="n"/>
      <c r="R59" s="83" t="n"/>
      <c r="S59" s="34" t="n"/>
      <c r="T59" s="33" t="n"/>
      <c r="U59" s="83" t="n"/>
      <c r="V59" s="33" t="n"/>
      <c r="W59" s="83" t="n"/>
      <c r="X59" s="83" t="n"/>
      <c r="Y59" s="83" t="n"/>
      <c r="Z59" s="83" t="n"/>
      <c r="AA59" s="84" t="n">
        <v>280</v>
      </c>
      <c r="AB59" s="83" t="n"/>
      <c r="AC59" s="83" t="n"/>
      <c r="AD59" s="83" t="n"/>
      <c r="AE59" s="83" t="n"/>
      <c r="AF59" s="83" t="n"/>
      <c r="AG59" s="83" t="n"/>
      <c r="AH59" s="84">
        <f>IF(OR($A59="",COUNT(AB59,AC59,AD59,AG59,AE59,AF59)&lt;1),"",AB59+AC59+AD59+AG59-AE59-AF59)</f>
        <v/>
      </c>
      <c r="AI59" s="84" t="n">
        <v>0</v>
      </c>
      <c r="AJ59" s="84">
        <f>IF(OR($A59="",COUNT(W59,AB59)&lt;2),"",W59-AB59)</f>
        <v/>
      </c>
      <c r="AK59" s="83" t="n"/>
      <c r="AL59" s="33" t="n"/>
      <c r="AM59" s="33" t="n"/>
      <c r="AN59" s="83" t="n"/>
      <c r="AO59" s="33" t="n"/>
      <c r="AP59" s="33" t="n"/>
      <c r="AQ59" s="33" t="n"/>
    </row>
    <row r="60">
      <c r="A60" s="33" t="inlineStr">
        <is>
          <t>344</t>
        </is>
      </c>
      <c r="B60" s="33" t="inlineStr">
        <is>
          <t>Monitor 27 Zoll 0</t>
        </is>
      </c>
      <c r="C60" s="33" t="inlineStr">
        <is>
          <t>Konto 480</t>
        </is>
      </c>
      <c r="D60" s="33" t="n"/>
      <c r="E60" s="33" t="n"/>
      <c r="F60" s="33" t="n"/>
      <c r="G60" s="33" t="n"/>
      <c r="H60" s="33" t="inlineStr">
        <is>
          <t>480</t>
        </is>
      </c>
      <c r="I60" s="33" t="n"/>
      <c r="J60" s="33" t="n"/>
      <c r="K60" s="34" t="n">
        <v>45303</v>
      </c>
      <c r="L60" s="34" t="n"/>
      <c r="M60" s="34" t="n"/>
      <c r="N60" s="82" t="n"/>
      <c r="O60" s="82" t="n"/>
      <c r="P60" s="33" t="inlineStr">
        <is>
          <t>Sofortabschreibung</t>
        </is>
      </c>
      <c r="Q60" s="34" t="n"/>
      <c r="R60" s="83" t="n"/>
      <c r="S60" s="34" t="n"/>
      <c r="T60" s="33" t="n"/>
      <c r="U60" s="83" t="n"/>
      <c r="V60" s="33" t="n"/>
      <c r="W60" s="83" t="n"/>
      <c r="X60" s="83" t="n"/>
      <c r="Y60" s="83" t="n"/>
      <c r="Z60" s="83" t="n"/>
      <c r="AA60" s="84" t="n">
        <v>311</v>
      </c>
      <c r="AB60" s="83" t="n"/>
      <c r="AC60" s="83" t="n"/>
      <c r="AD60" s="83" t="n"/>
      <c r="AE60" s="83" t="n"/>
      <c r="AF60" s="83" t="n"/>
      <c r="AG60" s="83" t="n"/>
      <c r="AH60" s="84">
        <f>IF(OR($A60="",COUNT(AB60,AC60,AD60,AG60,AE60,AF60)&lt;1),"",AB60+AC60+AD60+AG60-AE60-AF60)</f>
        <v/>
      </c>
      <c r="AI60" s="84" t="n">
        <v>0</v>
      </c>
      <c r="AJ60" s="84">
        <f>IF(OR($A60="",COUNT(W60,AB60)&lt;2),"",W60-AB60)</f>
        <v/>
      </c>
      <c r="AK60" s="83" t="n"/>
      <c r="AL60" s="33" t="n"/>
      <c r="AM60" s="33" t="n"/>
      <c r="AN60" s="83" t="n"/>
      <c r="AO60" s="33" t="n"/>
      <c r="AP60" s="33" t="n"/>
      <c r="AQ60" s="33" t="n"/>
    </row>
    <row r="61">
      <c r="A61" s="33" t="inlineStr">
        <is>
          <t>48</t>
        </is>
      </c>
      <c r="B61" s="33" t="inlineStr">
        <is>
          <t>Stehleuchte 0</t>
        </is>
      </c>
      <c r="C61" s="33" t="inlineStr">
        <is>
          <t>Konto 480</t>
        </is>
      </c>
      <c r="D61" s="33" t="n"/>
      <c r="E61" s="33" t="n"/>
      <c r="F61" s="33" t="n"/>
      <c r="G61" s="33" t="n"/>
      <c r="H61" s="33" t="inlineStr">
        <is>
          <t>480</t>
        </is>
      </c>
      <c r="I61" s="33" t="n"/>
      <c r="J61" s="33" t="n"/>
      <c r="K61" s="34" t="n">
        <v>44236</v>
      </c>
      <c r="L61" s="34" t="n"/>
      <c r="M61" s="34" t="n"/>
      <c r="N61" s="82" t="n"/>
      <c r="O61" s="82" t="n"/>
      <c r="P61" s="33" t="inlineStr">
        <is>
          <t>Sofortabschreibung</t>
        </is>
      </c>
      <c r="Q61" s="34" t="n"/>
      <c r="R61" s="83" t="n"/>
      <c r="S61" s="34" t="n"/>
      <c r="T61" s="33" t="n"/>
      <c r="U61" s="83" t="n"/>
      <c r="V61" s="33" t="n"/>
      <c r="W61" s="83" t="n"/>
      <c r="X61" s="83" t="n"/>
      <c r="Y61" s="83" t="n"/>
      <c r="Z61" s="83" t="n"/>
      <c r="AA61" s="84" t="n">
        <v>608</v>
      </c>
      <c r="AB61" s="83" t="n"/>
      <c r="AC61" s="83" t="n"/>
      <c r="AD61" s="83" t="n"/>
      <c r="AE61" s="83" t="n"/>
      <c r="AF61" s="83" t="n"/>
      <c r="AG61" s="83" t="n"/>
      <c r="AH61" s="84">
        <f>IF(OR($A61="",COUNT(AB61,AC61,AD61,AG61,AE61,AF61)&lt;1),"",AB61+AC61+AD61+AG61-AE61-AF61)</f>
        <v/>
      </c>
      <c r="AI61" s="84" t="n">
        <v>0</v>
      </c>
      <c r="AJ61" s="84">
        <f>IF(OR($A61="",COUNT(W61,AB61)&lt;2),"",W61-AB61)</f>
        <v/>
      </c>
      <c r="AK61" s="83" t="n"/>
      <c r="AL61" s="33" t="n"/>
      <c r="AM61" s="33" t="n"/>
      <c r="AN61" s="83" t="n"/>
      <c r="AO61" s="33" t="n"/>
      <c r="AP61" s="33" t="n"/>
      <c r="AQ61" s="33" t="n"/>
    </row>
    <row r="62">
      <c r="A62" s="33" t="inlineStr">
        <is>
          <t>50</t>
        </is>
      </c>
      <c r="B62" s="33" t="inlineStr">
        <is>
          <t>Monitor 27 Zoll 0</t>
        </is>
      </c>
      <c r="C62" s="33" t="n"/>
      <c r="D62" s="33" t="n"/>
      <c r="E62" s="33" t="n"/>
      <c r="F62" s="33" t="n"/>
      <c r="G62" s="33" t="n"/>
      <c r="H62" s="33" t="n"/>
      <c r="I62" s="33" t="n"/>
      <c r="J62" s="33" t="n"/>
      <c r="K62" s="34" t="n">
        <v>44877</v>
      </c>
      <c r="L62" s="34" t="n"/>
      <c r="M62" s="34" t="n"/>
      <c r="N62" s="82" t="n"/>
      <c r="O62" s="82" t="n"/>
      <c r="P62" s="33" t="inlineStr">
        <is>
          <t>Sofortabschreibung</t>
        </is>
      </c>
      <c r="Q62" s="34" t="n"/>
      <c r="R62" s="83" t="n"/>
      <c r="S62" s="34" t="n"/>
      <c r="T62" s="33" t="n"/>
      <c r="U62" s="83" t="n"/>
      <c r="V62" s="33" t="n"/>
      <c r="W62" s="83" t="n"/>
      <c r="X62" s="83" t="n"/>
      <c r="Y62" s="83" t="n"/>
      <c r="Z62" s="83" t="n"/>
      <c r="AA62" s="84" t="n">
        <v>386.83</v>
      </c>
      <c r="AB62" s="83" t="n"/>
      <c r="AC62" s="83" t="n"/>
      <c r="AD62" s="83" t="n"/>
      <c r="AE62" s="83" t="n"/>
      <c r="AF62" s="83" t="n"/>
      <c r="AG62" s="83" t="n"/>
      <c r="AH62" s="84">
        <f>IF(OR($A62="",COUNT(AB62,AC62,AD62,AG62,AE62,AF62)&lt;1),"",AB62+AC62+AD62+AG62-AE62-AF62)</f>
        <v/>
      </c>
      <c r="AI62" s="84" t="n">
        <v>0</v>
      </c>
      <c r="AJ62" s="84">
        <f>IF(OR($A62="",COUNT(W62,AB62)&lt;2),"",W62-AB62)</f>
        <v/>
      </c>
      <c r="AK62" s="83" t="n"/>
      <c r="AL62" s="33" t="n"/>
      <c r="AM62" s="33" t="n"/>
      <c r="AN62" s="83" t="n"/>
      <c r="AO62" s="33" t="n"/>
      <c r="AP62" s="33" t="n"/>
      <c r="AQ62" s="33" t="n"/>
    </row>
    <row r="63">
      <c r="A63" s="33" t="inlineStr">
        <is>
          <t>536</t>
        </is>
      </c>
      <c r="B63" s="33" t="inlineStr">
        <is>
          <t>Monitor 27 Zoll 0</t>
        </is>
      </c>
      <c r="C63" s="33" t="n"/>
      <c r="D63" s="33" t="n"/>
      <c r="E63" s="33" t="n"/>
      <c r="F63" s="33" t="n"/>
      <c r="G63" s="33" t="n"/>
      <c r="H63" s="33" t="n"/>
      <c r="I63" s="33" t="n"/>
      <c r="J63" s="33" t="n"/>
      <c r="K63" s="34" t="n">
        <v>45847</v>
      </c>
      <c r="L63" s="34" t="n"/>
      <c r="M63" s="34" t="n"/>
      <c r="N63" s="82" t="n"/>
      <c r="O63" s="82" t="n"/>
      <c r="P63" s="33" t="inlineStr">
        <is>
          <t>Sofortabschreibung</t>
        </is>
      </c>
      <c r="Q63" s="34" t="n"/>
      <c r="R63" s="83" t="n"/>
      <c r="S63" s="34" t="n"/>
      <c r="T63" s="33" t="n"/>
      <c r="U63" s="83" t="n"/>
      <c r="V63" s="33" t="n"/>
      <c r="W63" s="83" t="n"/>
      <c r="X63" s="83" t="n"/>
      <c r="Y63" s="83" t="n"/>
      <c r="Z63" s="83" t="n"/>
      <c r="AA63" s="84" t="n">
        <v>350</v>
      </c>
      <c r="AB63" s="83" t="n"/>
      <c r="AC63" s="83" t="n"/>
      <c r="AD63" s="83" t="n"/>
      <c r="AE63" s="83" t="n"/>
      <c r="AF63" s="83" t="n"/>
      <c r="AG63" s="83" t="n"/>
      <c r="AH63" s="84">
        <f>IF(OR($A63="",COUNT(AB63,AC63,AD63,AG63,AE63,AF63)&lt;1),"",AB63+AC63+AD63+AG63-AE63-AF63)</f>
        <v/>
      </c>
      <c r="AI63" s="84" t="n">
        <v>0</v>
      </c>
      <c r="AJ63" s="84">
        <f>IF(OR($A63="",COUNT(W63,AB63)&lt;2),"",W63-AB63)</f>
        <v/>
      </c>
      <c r="AK63" s="83" t="n"/>
      <c r="AL63" s="33" t="n"/>
      <c r="AM63" s="33" t="n"/>
      <c r="AN63" s="83" t="n"/>
      <c r="AO63" s="33" t="n"/>
      <c r="AP63" s="33" t="n"/>
      <c r="AQ63" s="33" t="n"/>
    </row>
    <row r="64">
      <c r="A64" s="33" t="inlineStr">
        <is>
          <t>158</t>
        </is>
      </c>
      <c r="B64" s="33" t="inlineStr">
        <is>
          <t>Firewall-Appliance 0</t>
        </is>
      </c>
      <c r="C64" s="33" t="inlineStr">
        <is>
          <t>Konto 490</t>
        </is>
      </c>
      <c r="D64" s="33" t="n"/>
      <c r="E64" s="33" t="n"/>
      <c r="F64" s="33" t="n"/>
      <c r="G64" s="33" t="n"/>
      <c r="H64" s="33" t="inlineStr">
        <is>
          <t>490</t>
        </is>
      </c>
      <c r="I64" s="33" t="n"/>
      <c r="J64" s="33" t="n"/>
      <c r="K64" s="34" t="n">
        <v>45434</v>
      </c>
      <c r="L64" s="34" t="n"/>
      <c r="M64" s="34" t="n"/>
      <c r="N64" s="82" t="n"/>
      <c r="O64" s="82" t="n"/>
      <c r="P64" s="33" t="inlineStr">
        <is>
          <t>linear</t>
        </is>
      </c>
      <c r="Q64" s="34" t="n"/>
      <c r="R64" s="83" t="n"/>
      <c r="S64" s="34" t="n"/>
      <c r="T64" s="33" t="n"/>
      <c r="U64" s="83" t="n"/>
      <c r="V64" s="33" t="n"/>
      <c r="W64" s="83" t="n"/>
      <c r="X64" s="83" t="n"/>
      <c r="Y64" s="83" t="n"/>
      <c r="Z64" s="83" t="n"/>
      <c r="AA64" s="84" t="n">
        <v>1583.67</v>
      </c>
      <c r="AB64" s="83" t="n"/>
      <c r="AC64" s="83" t="n"/>
      <c r="AD64" s="83" t="n"/>
      <c r="AE64" s="83" t="n"/>
      <c r="AF64" s="83" t="n"/>
      <c r="AG64" s="83" t="n"/>
      <c r="AH64" s="84">
        <f>IF(OR($A64="",COUNT(AB64,AC64,AD64,AG64,AE64,AF64)&lt;1),"",AB64+AC64+AD64+AG64-AE64-AF64)</f>
        <v/>
      </c>
      <c r="AI64" s="84" t="n">
        <v>703.85</v>
      </c>
      <c r="AJ64" s="84">
        <f>IF(OR($A64="",COUNT(W64,AB64)&lt;2),"",W64-AB64)</f>
        <v/>
      </c>
      <c r="AK64" s="83" t="n"/>
      <c r="AL64" s="33" t="n"/>
      <c r="AM64" s="33" t="n"/>
      <c r="AN64" s="83" t="n"/>
      <c r="AO64" s="33" t="n"/>
      <c r="AP64" s="33" t="n"/>
      <c r="AQ64" s="33" t="n"/>
    </row>
    <row r="65">
      <c r="A65" s="33" t="inlineStr">
        <is>
          <t>201</t>
        </is>
      </c>
      <c r="B65" s="33" t="inlineStr">
        <is>
          <t>NAS-Speicher 0</t>
        </is>
      </c>
      <c r="C65" s="33" t="inlineStr">
        <is>
          <t>Konto 490</t>
        </is>
      </c>
      <c r="D65" s="33" t="n"/>
      <c r="E65" s="33" t="n"/>
      <c r="F65" s="33" t="n"/>
      <c r="G65" s="33" t="n"/>
      <c r="H65" s="33" t="inlineStr">
        <is>
          <t>490</t>
        </is>
      </c>
      <c r="I65" s="33" t="n"/>
      <c r="J65" s="33" t="n"/>
      <c r="K65" s="34" t="n">
        <v>41947</v>
      </c>
      <c r="L65" s="34" t="n"/>
      <c r="M65" s="34" t="n"/>
      <c r="N65" s="82" t="n"/>
      <c r="O65" s="82" t="n"/>
      <c r="P65" s="33" t="inlineStr">
        <is>
          <t>linear</t>
        </is>
      </c>
      <c r="Q65" s="34" t="n"/>
      <c r="R65" s="83" t="n"/>
      <c r="S65" s="34" t="n"/>
      <c r="T65" s="33" t="n"/>
      <c r="U65" s="83" t="n"/>
      <c r="V65" s="33" t="n"/>
      <c r="W65" s="83" t="n"/>
      <c r="X65" s="83" t="n"/>
      <c r="Y65" s="83" t="n"/>
      <c r="Z65" s="83" t="n"/>
      <c r="AA65" s="84" t="n">
        <v>1218.89</v>
      </c>
      <c r="AB65" s="83" t="n"/>
      <c r="AC65" s="83" t="n"/>
      <c r="AD65" s="83" t="n"/>
      <c r="AE65" s="83" t="n"/>
      <c r="AF65" s="83" t="n"/>
      <c r="AG65" s="83" t="n"/>
      <c r="AH65" s="84">
        <f>IF(OR($A65="",COUNT(AB65,AC65,AD65,AG65,AE65,AF65)&lt;1),"",AB65+AC65+AD65+AG65-AE65-AF65)</f>
        <v/>
      </c>
      <c r="AI65" s="84" t="n">
        <v>1</v>
      </c>
      <c r="AJ65" s="84">
        <f>IF(OR($A65="",COUNT(W65,AB65)&lt;2),"",W65-AB65)</f>
        <v/>
      </c>
      <c r="AK65" s="83" t="n"/>
      <c r="AL65" s="33" t="n"/>
      <c r="AM65" s="33" t="n"/>
      <c r="AN65" s="83" t="n"/>
      <c r="AO65" s="33" t="n"/>
      <c r="AP65" s="33" t="n"/>
      <c r="AQ65" s="33" t="n"/>
    </row>
    <row r="66">
      <c r="A66" s="33" t="inlineStr">
        <is>
          <t>610</t>
        </is>
      </c>
      <c r="B66" s="33" t="inlineStr">
        <is>
          <t>Netzwerk-Switch 48 Port Typ R30 0</t>
        </is>
      </c>
      <c r="C66" s="33" t="inlineStr">
        <is>
          <t>Konto 490</t>
        </is>
      </c>
      <c r="D66" s="33" t="n"/>
      <c r="E66" s="33" t="n"/>
      <c r="F66" s="33" t="n"/>
      <c r="G66" s="33" t="n"/>
      <c r="H66" s="33" t="inlineStr">
        <is>
          <t>490</t>
        </is>
      </c>
      <c r="I66" s="33" t="n"/>
      <c r="J66" s="33" t="n"/>
      <c r="K66" s="34" t="n">
        <v>43139</v>
      </c>
      <c r="L66" s="34" t="n"/>
      <c r="M66" s="34" t="n"/>
      <c r="N66" s="82" t="n"/>
      <c r="O66" s="82" t="n"/>
      <c r="P66" s="33" t="inlineStr">
        <is>
          <t>linear</t>
        </is>
      </c>
      <c r="Q66" s="34" t="n"/>
      <c r="R66" s="83" t="n"/>
      <c r="S66" s="34" t="n"/>
      <c r="T66" s="33" t="n"/>
      <c r="U66" s="83" t="n"/>
      <c r="V66" s="33" t="n"/>
      <c r="W66" s="83" t="n"/>
      <c r="X66" s="83" t="n"/>
      <c r="Y66" s="83" t="n"/>
      <c r="Z66" s="83" t="n"/>
      <c r="AA66" s="84" t="n">
        <v>1329</v>
      </c>
      <c r="AB66" s="83" t="n"/>
      <c r="AC66" s="83" t="n"/>
      <c r="AD66" s="83" t="n"/>
      <c r="AE66" s="83" t="n"/>
      <c r="AF66" s="83" t="n"/>
      <c r="AG66" s="83" t="n"/>
      <c r="AH66" s="84">
        <f>IF(OR($A66="",COUNT(AB66,AC66,AD66,AG66,AE66,AF66)&lt;1),"",AB66+AC66+AD66+AG66-AE66-AF66)</f>
        <v/>
      </c>
      <c r="AI66" s="84" t="n">
        <v>1</v>
      </c>
      <c r="AJ66" s="84">
        <f>IF(OR($A66="",COUNT(W66,AB66)&lt;2),"",W66-AB66)</f>
        <v/>
      </c>
      <c r="AK66" s="83" t="n"/>
      <c r="AL66" s="33" t="n"/>
      <c r="AM66" s="33" t="n"/>
      <c r="AN66" s="83" t="n"/>
      <c r="AO66" s="33" t="n"/>
      <c r="AP66" s="33" t="n"/>
      <c r="AQ66" s="33" t="n"/>
    </row>
    <row r="67">
      <c r="A67" s="33" t="inlineStr">
        <is>
          <t>615</t>
        </is>
      </c>
      <c r="B67" s="33" t="inlineStr">
        <is>
          <t>Firewall-Appliance 0</t>
        </is>
      </c>
      <c r="C67" s="33" t="inlineStr">
        <is>
          <t>Konto 490</t>
        </is>
      </c>
      <c r="D67" s="33" t="n"/>
      <c r="E67" s="33" t="n"/>
      <c r="F67" s="33" t="n"/>
      <c r="G67" s="33" t="n"/>
      <c r="H67" s="33" t="inlineStr">
        <is>
          <t>490</t>
        </is>
      </c>
      <c r="I67" s="33" t="n"/>
      <c r="J67" s="33" t="n"/>
      <c r="K67" s="34" t="n">
        <v>45814</v>
      </c>
      <c r="L67" s="34" t="n"/>
      <c r="M67" s="34" t="n"/>
      <c r="N67" s="82" t="n"/>
      <c r="O67" s="82" t="n"/>
      <c r="P67" s="33" t="inlineStr">
        <is>
          <t>linear</t>
        </is>
      </c>
      <c r="Q67" s="34" t="n"/>
      <c r="R67" s="83" t="n"/>
      <c r="S67" s="34" t="n"/>
      <c r="T67" s="33" t="n"/>
      <c r="U67" s="83" t="n"/>
      <c r="V67" s="33" t="n"/>
      <c r="W67" s="83" t="n"/>
      <c r="X67" s="83" t="n"/>
      <c r="Y67" s="83" t="n"/>
      <c r="Z67" s="83" t="n"/>
      <c r="AA67" s="84" t="n">
        <v>14977</v>
      </c>
      <c r="AB67" s="83" t="n"/>
      <c r="AC67" s="83" t="n"/>
      <c r="AD67" s="83" t="n"/>
      <c r="AE67" s="83" t="n"/>
      <c r="AF67" s="83" t="n"/>
      <c r="AG67" s="83" t="n"/>
      <c r="AH67" s="84">
        <f>IF(OR($A67="",COUNT(AB67,AC67,AD67,AG67,AE67,AF67)&lt;1),"",AB67+AC67+AD67+AG67-AE67-AF67)</f>
        <v/>
      </c>
      <c r="AI67" s="84" t="n">
        <v>13229.68</v>
      </c>
      <c r="AJ67" s="84">
        <f>IF(OR($A67="",COUNT(W67,AB67)&lt;2),"",W67-AB67)</f>
        <v/>
      </c>
      <c r="AK67" s="83" t="n"/>
      <c r="AL67" s="33" t="n"/>
      <c r="AM67" s="33" t="n"/>
      <c r="AN67" s="83" t="n"/>
      <c r="AO67" s="33" t="n"/>
      <c r="AP67" s="33" t="n"/>
      <c r="AQ67" s="33" t="n"/>
    </row>
    <row r="68">
      <c r="A68" s="33" t="inlineStr">
        <is>
          <t>815</t>
        </is>
      </c>
      <c r="B68" s="33" t="inlineStr">
        <is>
          <t>Serverschrank 42HE 0</t>
        </is>
      </c>
      <c r="C68" s="33" t="inlineStr">
        <is>
          <t>Konto 490</t>
        </is>
      </c>
      <c r="D68" s="33" t="n"/>
      <c r="E68" s="33" t="n"/>
      <c r="F68" s="33" t="n"/>
      <c r="G68" s="33" t="n"/>
      <c r="H68" s="33" t="inlineStr">
        <is>
          <t>490</t>
        </is>
      </c>
      <c r="I68" s="33" t="n"/>
      <c r="J68" s="33" t="n"/>
      <c r="K68" s="34" t="n">
        <v>42585</v>
      </c>
      <c r="L68" s="34" t="n"/>
      <c r="M68" s="34" t="n"/>
      <c r="N68" s="82" t="n"/>
      <c r="O68" s="82" t="n"/>
      <c r="P68" s="33" t="inlineStr">
        <is>
          <t>linear</t>
        </is>
      </c>
      <c r="Q68" s="34" t="n"/>
      <c r="R68" s="83" t="n"/>
      <c r="S68" s="34" t="n"/>
      <c r="T68" s="33" t="n"/>
      <c r="U68" s="83" t="n"/>
      <c r="V68" s="33" t="n"/>
      <c r="W68" s="83" t="n"/>
      <c r="X68" s="83" t="n"/>
      <c r="Y68" s="83" t="n"/>
      <c r="Z68" s="83" t="n"/>
      <c r="AA68" s="84" t="n">
        <v>20552.7</v>
      </c>
      <c r="AB68" s="83" t="n"/>
      <c r="AC68" s="83" t="n"/>
      <c r="AD68" s="83" t="n"/>
      <c r="AE68" s="83" t="n"/>
      <c r="AF68" s="83" t="n"/>
      <c r="AG68" s="83" t="n"/>
      <c r="AH68" s="84">
        <f>IF(OR($A68="",COUNT(AB68,AC68,AD68,AG68,AE68,AF68)&lt;1),"",AB68+AC68+AD68+AG68-AE68-AF68)</f>
        <v/>
      </c>
      <c r="AI68" s="84" t="n">
        <v>1</v>
      </c>
      <c r="AJ68" s="84">
        <f>IF(OR($A68="",COUNT(W68,AB68)&lt;2),"",W68-AB68)</f>
        <v/>
      </c>
      <c r="AK68" s="83" t="n"/>
      <c r="AL68" s="33" t="n"/>
      <c r="AM68" s="33" t="n"/>
      <c r="AN68" s="83" t="n"/>
      <c r="AO68" s="33" t="n"/>
      <c r="AP68" s="33" t="n"/>
      <c r="AQ68" s="33" t="n"/>
    </row>
    <row r="69">
      <c r="A69" s="33" t="inlineStr">
        <is>
          <t>2187</t>
        </is>
      </c>
      <c r="B69" s="33" t="inlineStr">
        <is>
          <t>AiB Spritzgießmaschine</t>
        </is>
      </c>
      <c r="C69" s="33" t="inlineStr">
        <is>
          <t>Konto 120</t>
        </is>
      </c>
      <c r="D69" s="33" t="n"/>
      <c r="E69" s="33" t="n"/>
      <c r="F69" s="33" t="n"/>
      <c r="G69" s="33" t="n"/>
      <c r="H69" s="33" t="inlineStr">
        <is>
          <t>120</t>
        </is>
      </c>
      <c r="I69" s="33" t="n"/>
      <c r="J69" s="33" t="n"/>
      <c r="K69" s="34" t="n">
        <v>45314</v>
      </c>
      <c r="L69" s="34" t="n"/>
      <c r="M69" s="34" t="n"/>
      <c r="N69" s="82" t="n"/>
      <c r="O69" s="82" t="n"/>
      <c r="P69" s="33" t="inlineStr">
        <is>
          <t>keine AfA</t>
        </is>
      </c>
      <c r="Q69" s="34" t="n"/>
      <c r="R69" s="83" t="n"/>
      <c r="S69" s="34" t="n"/>
      <c r="T69" s="33" t="n"/>
      <c r="U69" s="83" t="n"/>
      <c r="V69" s="33" t="n"/>
      <c r="W69" s="83" t="n"/>
      <c r="X69" s="83" t="n"/>
      <c r="Y69" s="83" t="n"/>
      <c r="Z69" s="83" t="n"/>
      <c r="AA69" s="84" t="n">
        <v>0</v>
      </c>
      <c r="AB69" s="83" t="n"/>
      <c r="AC69" s="83" t="n"/>
      <c r="AD69" s="83" t="n"/>
      <c r="AE69" s="83" t="n"/>
      <c r="AF69" s="83" t="n"/>
      <c r="AG69" s="83" t="n"/>
      <c r="AH69" s="84">
        <f>IF(OR($A69="",COUNT(AB69,AC69,AD69,AG69,AE69,AF69)&lt;1),"",AB69+AC69+AD69+AG69-AE69-AF69)</f>
        <v/>
      </c>
      <c r="AI69" s="84" t="n">
        <v>0</v>
      </c>
      <c r="AJ69" s="84">
        <f>IF(OR($A69="",COUNT(W69,AB69)&lt;2),"",W69-AB69)</f>
        <v/>
      </c>
      <c r="AK69" s="83" t="n"/>
      <c r="AL69" s="33" t="n"/>
      <c r="AM69" s="33" t="n"/>
      <c r="AN69" s="83" t="n"/>
      <c r="AO69" s="33" t="n"/>
      <c r="AP69" s="33" t="n"/>
      <c r="AQ69" s="33" t="n"/>
    </row>
    <row r="70">
      <c r="A70" s="33" t="inlineStr">
        <is>
          <t>62f</t>
        </is>
      </c>
      <c r="B70" s="33" t="inlineStr">
        <is>
          <t>Anlagen im Bau Halle 2</t>
        </is>
      </c>
      <c r="C70" s="33" t="inlineStr">
        <is>
          <t>Konto 120</t>
        </is>
      </c>
      <c r="D70" s="33" t="n"/>
      <c r="E70" s="33" t="n"/>
      <c r="F70" s="33" t="n"/>
      <c r="G70" s="33" t="n"/>
      <c r="H70" s="33" t="inlineStr">
        <is>
          <t>120</t>
        </is>
      </c>
      <c r="I70" s="33" t="n"/>
      <c r="J70" s="33" t="n"/>
      <c r="K70" s="34" t="n">
        <v>45973</v>
      </c>
      <c r="L70" s="34" t="n"/>
      <c r="M70" s="34" t="n"/>
      <c r="N70" s="82" t="n"/>
      <c r="O70" s="82" t="n"/>
      <c r="P70" s="33" t="inlineStr">
        <is>
          <t>keine AfA</t>
        </is>
      </c>
      <c r="Q70" s="34" t="n"/>
      <c r="R70" s="83" t="n"/>
      <c r="S70" s="34" t="n"/>
      <c r="T70" s="33" t="n"/>
      <c r="U70" s="83" t="n"/>
      <c r="V70" s="33" t="n"/>
      <c r="W70" s="83" t="n"/>
      <c r="X70" s="83" t="n"/>
      <c r="Y70" s="83" t="n"/>
      <c r="Z70" s="83" t="n"/>
      <c r="AA70" s="84" t="n">
        <v>32931.59</v>
      </c>
      <c r="AB70" s="83" t="n"/>
      <c r="AC70" s="83" t="n"/>
      <c r="AD70" s="83" t="n"/>
      <c r="AE70" s="83" t="n"/>
      <c r="AF70" s="83" t="n"/>
      <c r="AG70" s="83" t="n"/>
      <c r="AH70" s="84">
        <f>IF(OR($A70="",COUNT(AB70,AC70,AD70,AG70,AE70,AF70)&lt;1),"",AB70+AC70+AD70+AG70-AE70-AF70)</f>
        <v/>
      </c>
      <c r="AI70" s="84" t="n">
        <v>32931.59</v>
      </c>
      <c r="AJ70" s="84">
        <f>IF(OR($A70="",COUNT(W70,AB70)&lt;2),"",W70-AB70)</f>
        <v/>
      </c>
      <c r="AK70" s="83" t="n"/>
      <c r="AL70" s="33" t="n"/>
      <c r="AM70" s="33" t="n"/>
      <c r="AN70" s="83" t="n"/>
      <c r="AO70" s="33" t="n"/>
      <c r="AP70" s="33" t="n"/>
      <c r="AQ70" s="33" t="n"/>
    </row>
    <row r="71">
      <c r="A71" s="33" t="inlineStr">
        <is>
          <t>896</t>
        </is>
      </c>
      <c r="B71" s="33" t="inlineStr">
        <is>
          <t>Beteiligung Einkaufsgenossenschaft 0</t>
        </is>
      </c>
      <c r="C71" s="33" t="inlineStr">
        <is>
          <t>Konto 510</t>
        </is>
      </c>
      <c r="D71" s="33" t="n"/>
      <c r="E71" s="33" t="n"/>
      <c r="F71" s="33" t="n"/>
      <c r="G71" s="33" t="n"/>
      <c r="H71" s="33" t="inlineStr">
        <is>
          <t>510</t>
        </is>
      </c>
      <c r="I71" s="33" t="n"/>
      <c r="J71" s="33" t="n"/>
      <c r="K71" s="34" t="n">
        <v>40871</v>
      </c>
      <c r="L71" s="34" t="n"/>
      <c r="M71" s="34" t="n"/>
      <c r="N71" s="82" t="n"/>
      <c r="O71" s="82" t="n"/>
      <c r="P71" s="33" t="inlineStr">
        <is>
          <t>keine AfA</t>
        </is>
      </c>
      <c r="Q71" s="34" t="n"/>
      <c r="R71" s="83" t="n"/>
      <c r="S71" s="34" t="n"/>
      <c r="T71" s="33" t="n"/>
      <c r="U71" s="83" t="n"/>
      <c r="V71" s="33" t="n"/>
      <c r="W71" s="83" t="n"/>
      <c r="X71" s="83" t="n"/>
      <c r="Y71" s="83" t="n"/>
      <c r="Z71" s="83" t="n"/>
      <c r="AA71" s="84" t="n">
        <v>162901.89</v>
      </c>
      <c r="AB71" s="83" t="n"/>
      <c r="AC71" s="83" t="n"/>
      <c r="AD71" s="83" t="n"/>
      <c r="AE71" s="83" t="n"/>
      <c r="AF71" s="83" t="n"/>
      <c r="AG71" s="83" t="n"/>
      <c r="AH71" s="84">
        <f>IF(OR($A71="",COUNT(AB71,AC71,AD71,AG71,AE71,AF71)&lt;1),"",AB71+AC71+AD71+AG71-AE71-AF71)</f>
        <v/>
      </c>
      <c r="AI71" s="84" t="n">
        <v>138466.61</v>
      </c>
      <c r="AJ71" s="84">
        <f>IF(OR($A71="",COUNT(W71,AB71)&lt;2),"",W71-AB71)</f>
        <v/>
      </c>
      <c r="AK71" s="83" t="n"/>
      <c r="AL71" s="33" t="n"/>
      <c r="AM71" s="33" t="n"/>
      <c r="AN71" s="83" t="n"/>
      <c r="AO71" s="33" t="n"/>
      <c r="AP71" s="33" t="n"/>
      <c r="AQ71" s="33" t="n"/>
    </row>
    <row r="72">
      <c r="A72" s="33" t="inlineStr">
        <is>
          <t>927</t>
        </is>
      </c>
      <c r="B72" s="33" t="inlineStr">
        <is>
          <t>Anteile Servicegesellschaft 0</t>
        </is>
      </c>
      <c r="C72" s="33" t="inlineStr">
        <is>
          <t>Konto 510</t>
        </is>
      </c>
      <c r="D72" s="33" t="n"/>
      <c r="E72" s="33" t="n"/>
      <c r="F72" s="33" t="n"/>
      <c r="G72" s="33" t="n"/>
      <c r="H72" s="33" t="inlineStr">
        <is>
          <t>510</t>
        </is>
      </c>
      <c r="I72" s="33" t="n"/>
      <c r="J72" s="33" t="n"/>
      <c r="K72" s="34" t="n">
        <v>44507</v>
      </c>
      <c r="L72" s="34" t="n"/>
      <c r="M72" s="34" t="n"/>
      <c r="N72" s="82" t="n"/>
      <c r="O72" s="82" t="n"/>
      <c r="P72" s="33" t="inlineStr">
        <is>
          <t>keine AfA</t>
        </is>
      </c>
      <c r="Q72" s="34" t="n"/>
      <c r="R72" s="83" t="n"/>
      <c r="S72" s="34" t="n"/>
      <c r="T72" s="33" t="n"/>
      <c r="U72" s="83" t="n"/>
      <c r="V72" s="33" t="n"/>
      <c r="W72" s="83" t="n"/>
      <c r="X72" s="83" t="n"/>
      <c r="Y72" s="83" t="n"/>
      <c r="Z72" s="83" t="n"/>
      <c r="AA72" s="84" t="n">
        <v>18614.38</v>
      </c>
      <c r="AB72" s="83" t="n"/>
      <c r="AC72" s="83" t="n"/>
      <c r="AD72" s="83" t="n"/>
      <c r="AE72" s="83" t="n"/>
      <c r="AF72" s="83" t="n"/>
      <c r="AG72" s="83" t="n"/>
      <c r="AH72" s="84">
        <f>IF(OR($A72="",COUNT(AB72,AC72,AD72,AG72,AE72,AF72)&lt;1),"",AB72+AC72+AD72+AG72-AE72-AF72)</f>
        <v/>
      </c>
      <c r="AI72" s="84" t="n">
        <v>18614.38</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2026-10-18T13:21:56Z</dcterms:modified>
</cp:coreProperties>
</file>